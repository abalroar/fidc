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Gráfico" sheetId="2" state="visible" r:id="rId2"/>
  </sheets>
  <definedNames>
    <definedName name="_xlnm._FilterDatabase" localSheetId="0" hidden="1">'Dados'!$A$1:$P$102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&quot;%&quot;"/>
    <numFmt numFmtId="166" formatCode="+0.00;-0.00;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51515"/>
      <sz val="14"/>
    </font>
    <font>
      <name val="Arial"/>
      <color rgb="005D6369"/>
      <sz val="9"/>
    </font>
    <font>
      <name val="Arial"/>
      <b val="1"/>
      <color rgb="0030353A"/>
      <sz val="9"/>
    </font>
    <font>
      <name val="Arial"/>
      <color rgb="0030353A"/>
      <sz val="9"/>
    </font>
  </fonts>
  <fills count="3">
    <fill>
      <patternFill/>
    </fill>
    <fill>
      <patternFill patternType="gray125"/>
    </fill>
    <fill>
      <patternFill patternType="solid">
        <fgColor rgb="00E36C0A"/>
      </patternFill>
    </fill>
  </fills>
  <borders count="2">
    <border>
      <left/>
      <right/>
      <top/>
      <bottom/>
      <diagonal/>
    </border>
    <border>
      <bottom style="thin">
        <color rgb="00D7DA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A83C32"/>
        <sz val="10"/>
      </font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8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Subordinação mínima (x) × atual (y) — bolha = PL jun-26</a:t>
            </a:r>
          </a:p>
        </rich>
      </tx>
    </title>
    <plotArea>
      <bubbleChart>
        <ser>
          <idx val="0"/>
          <order val="0"/>
          <tx>
            <v>Agro, Indústria e Comércio</v>
          </tx>
          <spPr>
            <a:solidFill xmlns:a="http://schemas.openxmlformats.org/drawingml/2006/main">
              <a:srgbClr val="2D6F51"/>
            </a:solidFill>
            <a:ln xmlns:a="http://schemas.openxmlformats.org/drawingml/2006/main">
              <a:solidFill>
                <a:srgbClr val="2D6F51"/>
              </a:solidFill>
              <a:prstDash val="solid"/>
            </a:ln>
          </spPr>
          <xVal>
            <numRef>
              <f>'Dados'!$H$2:$H$26</f>
            </numRef>
          </xVal>
          <yVal>
            <numRef>
              <f>'Dados'!$G$2:$G$26</f>
            </numRef>
          </yVal>
          <bubbleSize>
            <numRef>
              <f>'Dados'!$F$2:$F$26</f>
            </numRef>
          </bubbleSize>
          <bubble3D val="0"/>
        </ser>
        <ser>
          <idx val="1"/>
          <order val="1"/>
          <tx>
            <v>Financeiro</v>
          </tx>
          <spPr>
            <a:solidFill xmlns:a="http://schemas.openxmlformats.org/drawingml/2006/main">
              <a:srgbClr val="14315C"/>
            </a:solidFill>
            <a:ln xmlns:a="http://schemas.openxmlformats.org/drawingml/2006/main">
              <a:solidFill>
                <a:srgbClr val="14315C"/>
              </a:solidFill>
              <a:prstDash val="solid"/>
            </a:ln>
          </spPr>
          <xVal>
            <numRef>
              <f>'Dados'!$H$27:$H$49</f>
            </numRef>
          </xVal>
          <yVal>
            <numRef>
              <f>'Dados'!$G$27:$G$49</f>
            </numRef>
          </yVal>
          <bubbleSize>
            <numRef>
              <f>'Dados'!$F$27:$F$49</f>
            </numRef>
          </bubbleSize>
          <bubble3D val="0"/>
        </ser>
        <ser>
          <idx val="2"/>
          <order val="2"/>
          <tx>
            <v>Fomento Mercantil</v>
          </tx>
          <spPr>
            <a:solidFill xmlns:a="http://schemas.openxmlformats.org/drawingml/2006/main">
              <a:srgbClr val="E36C0A"/>
            </a:solidFill>
            <a:ln xmlns:a="http://schemas.openxmlformats.org/drawingml/2006/main">
              <a:solidFill>
                <a:srgbClr val="E36C0A"/>
              </a:solidFill>
              <a:prstDash val="solid"/>
            </a:ln>
          </spPr>
          <xVal>
            <numRef>
              <f>'Dados'!$H$50:$H$54</f>
            </numRef>
          </xVal>
          <yVal>
            <numRef>
              <f>'Dados'!$G$50:$G$54</f>
            </numRef>
          </yVal>
          <bubbleSize>
            <numRef>
              <f>'Dados'!$F$50:$F$54</f>
            </numRef>
          </bubbleSize>
          <bubble3D val="0"/>
        </ser>
        <ser>
          <idx val="3"/>
          <order val="3"/>
          <tx>
            <v>Não classificado</v>
          </tx>
          <spPr>
            <a:solidFill xmlns:a="http://schemas.openxmlformats.org/drawingml/2006/main">
              <a:srgbClr val="C7CBCF"/>
            </a:solidFill>
            <a:ln xmlns:a="http://schemas.openxmlformats.org/drawingml/2006/main">
              <a:solidFill>
                <a:srgbClr val="C7CBCF"/>
              </a:solidFill>
              <a:prstDash val="solid"/>
            </a:ln>
          </spPr>
          <xVal>
            <numRef>
              <f>'Dados'!$H$55:$H$63</f>
            </numRef>
          </xVal>
          <yVal>
            <numRef>
              <f>'Dados'!$G$55:$G$63</f>
            </numRef>
          </yVal>
          <bubbleSize>
            <numRef>
              <f>'Dados'!$F$55:$F$63</f>
            </numRef>
          </bubbleSize>
          <bubble3D val="0"/>
        </ser>
        <ser>
          <idx val="4"/>
          <order val="4"/>
          <tx>
            <v>Outros</v>
          </tx>
          <spPr>
            <a:solidFill xmlns:a="http://schemas.openxmlformats.org/drawingml/2006/main">
              <a:srgbClr val="8D9399"/>
            </a:solidFill>
            <a:ln xmlns:a="http://schemas.openxmlformats.org/drawingml/2006/main">
              <a:solidFill>
                <a:srgbClr val="8D9399"/>
              </a:solidFill>
              <a:prstDash val="solid"/>
            </a:ln>
          </spPr>
          <xVal>
            <numRef>
              <f>'Dados'!$H$64:$H$69</f>
            </numRef>
          </xVal>
          <yVal>
            <numRef>
              <f>'Dados'!$G$64:$G$69</f>
            </numRef>
          </yVal>
          <bubbleSize>
            <numRef>
              <f>'Dados'!$F$64:$F$69</f>
            </numRef>
          </bubbleSize>
          <bubble3D val="0"/>
        </ser>
        <axId val="10"/>
        <axId val="20"/>
      </bubbleChart>
      <val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Subordinação mínima contratual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Subordinação atual, jun-26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800000" cy="55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7" customWidth="1" min="2" max="2"/>
    <col width="46" customWidth="1" min="3" max="3"/>
    <col width="24" customWidth="1" min="4" max="4"/>
    <col width="26" customWidth="1" min="5" max="5"/>
    <col width="16" customWidth="1" min="6" max="6"/>
    <col width="16" customWidth="1" min="7" max="7"/>
    <col width="17" customWidth="1" min="8" max="8"/>
    <col width="19" customWidth="1" min="9" max="9"/>
    <col width="20" customWidth="1" min="10" max="10"/>
    <col width="22" customWidth="1" min="11" max="11"/>
    <col width="16" customWidth="1" min="12" max="12"/>
    <col width="17" customWidth="1" min="13" max="13"/>
    <col width="16" customWidth="1" min="14" max="14"/>
    <col width="22" customWidth="1" min="15" max="15"/>
    <col width="40" customWidth="1" min="16" max="16"/>
  </cols>
  <sheetData>
    <row r="1" ht="30" customHeight="1">
      <c r="A1" s="1" t="inlineStr">
        <is>
          <t>#</t>
        </is>
      </c>
      <c r="B1" s="1" t="inlineStr">
        <is>
          <t>CNPJ do fundo</t>
        </is>
      </c>
      <c r="C1" s="1" t="inlineStr">
        <is>
          <t>FIDC</t>
        </is>
      </c>
      <c r="D1" s="1" t="inlineStr">
        <is>
          <t>Tipo ANBIMA</t>
        </is>
      </c>
      <c r="E1" s="1" t="inlineStr">
        <is>
          <t>Foco ANBIMA</t>
        </is>
      </c>
      <c r="F1" s="1" t="inlineStr">
        <is>
          <t>PL jun-26 (R$ mm)</t>
        </is>
      </c>
      <c r="G1" s="1" t="inlineStr">
        <is>
          <t>Subord. atual (%)</t>
        </is>
      </c>
      <c r="H1" s="1" t="inlineStr">
        <is>
          <t>Subord. mínima (%)</t>
        </is>
      </c>
      <c r="I1" s="1" t="inlineStr">
        <is>
          <t>Subord. estrutural (%)</t>
        </is>
      </c>
      <c r="J1" s="1" t="inlineStr">
        <is>
          <t>Folga vs. mínima (p.p.)</t>
        </is>
      </c>
      <c r="K1" s="1" t="inlineStr">
        <is>
          <t>Folga vs. estrutural (p.p.)</t>
        </is>
      </c>
      <c r="L1" s="1" t="inlineStr">
        <is>
          <t>Regulamento (id)</t>
        </is>
      </c>
      <c r="M1" s="1" t="inlineStr">
        <is>
          <t>Data do regulamento</t>
        </is>
      </c>
      <c r="N1" s="1" t="inlineStr">
        <is>
          <t>Página da cláusula</t>
        </is>
      </c>
      <c r="O1" s="1" t="inlineStr">
        <is>
          <t>Fonte da mínima</t>
        </is>
      </c>
      <c r="P1" s="1" t="inlineStr">
        <is>
          <t>Status da curadoria</t>
        </is>
      </c>
    </row>
    <row r="2">
      <c r="A2" s="2" t="n">
        <v>78</v>
      </c>
      <c r="B2" s="3" t="inlineStr">
        <is>
          <t>29492605000129</t>
        </is>
      </c>
      <c r="C2" s="4" t="inlineStr">
        <is>
          <t>GAZIN FUNDO DE INVESTIMENTO EM DIREITOS CREDITÓRIOS MULTISSEGMENTOS - RESPONSABILIDADE LIMITADA</t>
        </is>
      </c>
      <c r="D2" s="4" t="inlineStr">
        <is>
          <t>Agro, Indústria e Comércio</t>
        </is>
      </c>
      <c r="E2" s="4" t="inlineStr">
        <is>
          <t>Multicarteira Agro, Indústria e Comércio</t>
        </is>
      </c>
      <c r="F2" s="5" t="n">
        <v>2494.2</v>
      </c>
      <c r="G2" s="6" t="n">
        <v>67.59999999999999</v>
      </c>
      <c r="H2" s="6" t="n">
        <v>51</v>
      </c>
      <c r="I2" s="6" t="n">
        <v>51</v>
      </c>
      <c r="J2" s="7">
        <f>IF(OR(G2="",H2=""),"",G2-H2)</f>
        <v/>
      </c>
      <c r="K2" s="7">
        <f>IF(OR(G2="",I2=""),"",G2-I2)</f>
        <v/>
      </c>
      <c r="L2" s="2" t="inlineStr">
        <is>
          <t>1117213</t>
        </is>
      </c>
      <c r="M2" s="2" t="inlineStr">
        <is>
          <t>2026-02-12</t>
        </is>
      </c>
      <c r="N2" s="2" t="inlineStr">
        <is>
          <t>44</t>
        </is>
      </c>
      <c r="O2" s="4" t="inlineStr">
        <is>
          <t>FundosNet/B3; documento 1117213; referência 2026-02-12; p. 44</t>
        </is>
      </c>
      <c r="P2" s="4" t="inlineStr">
        <is>
          <t>revisto — mínimo júnior localizado</t>
        </is>
      </c>
    </row>
    <row r="3">
      <c r="A3" s="2" t="n">
        <v>17</v>
      </c>
      <c r="B3" s="3" t="inlineStr">
        <is>
          <t>32526025000110</t>
        </is>
      </c>
      <c r="C3" s="4" t="inlineStr">
        <is>
          <t>COBUCCIO FUNDO DE INVESTIMENTO EM DIREITOS CREDITÓRIOS DE CLASSE ÚNICA FECHADA DE RESPONS LIMITADA</t>
        </is>
      </c>
      <c r="D3" s="4" t="inlineStr">
        <is>
          <t>Agro, Indústria e Comércio</t>
        </is>
      </c>
      <c r="E3" s="4" t="inlineStr">
        <is>
          <t>Recebíveis Comerciais</t>
        </is>
      </c>
      <c r="F3" s="5" t="n">
        <v>1759.6</v>
      </c>
      <c r="G3" s="6" t="n">
        <v>75.55</v>
      </c>
      <c r="H3" s="6" t="n">
        <v>75</v>
      </c>
      <c r="I3" s="6" t="n"/>
      <c r="J3" s="7">
        <f>IF(OR(G3="",H3=""),"",G3-H3)</f>
        <v/>
      </c>
      <c r="K3" s="7">
        <f>IF(OR(G3="",I3=""),"",G3-I3)</f>
        <v/>
      </c>
      <c r="L3" s="2" t="inlineStr">
        <is>
          <t>1186789</t>
        </is>
      </c>
      <c r="M3" s="2" t="inlineStr">
        <is>
          <t>2026-05-12</t>
        </is>
      </c>
      <c r="N3" s="2" t="inlineStr">
        <is>
          <t>57</t>
        </is>
      </c>
      <c r="O3" s="4" t="inlineStr">
        <is>
          <t>FundosNet/B3; documento 1186789; referência 2026-05-12; p. 57</t>
        </is>
      </c>
      <c r="P3" s="4" t="inlineStr">
        <is>
          <t>revisto — mínimo júnior localizado</t>
        </is>
      </c>
    </row>
    <row r="4">
      <c r="A4" s="2" t="n">
        <v>79</v>
      </c>
      <c r="B4" s="3" t="inlineStr">
        <is>
          <t>31739396000117</t>
        </is>
      </c>
      <c r="C4" s="4" t="inlineStr">
        <is>
          <t>LF III FUNDO DE INVESTIMENTO EM DIREITOS CREDITÓRIOS DE RESPONSABILIDADE LIMITADA</t>
        </is>
      </c>
      <c r="D4" s="4" t="inlineStr">
        <is>
          <t>Agro, Indústria e Comércio</t>
        </is>
      </c>
      <c r="E4" s="4" t="inlineStr">
        <is>
          <t>Recebíveis Comerciais</t>
        </is>
      </c>
      <c r="F4" s="5" t="n">
        <v>1386</v>
      </c>
      <c r="G4" s="6" t="n">
        <v>8</v>
      </c>
      <c r="H4" s="6" t="n">
        <v>0.5</v>
      </c>
      <c r="I4" s="6" t="n"/>
      <c r="J4" s="7">
        <f>IF(OR(G4="",H4=""),"",G4-H4)</f>
        <v/>
      </c>
      <c r="K4" s="7">
        <f>IF(OR(G4="",I4=""),"",G4-I4)</f>
        <v/>
      </c>
      <c r="L4" s="2" t="inlineStr">
        <is>
          <t>1146939</t>
        </is>
      </c>
      <c r="M4" s="2" t="inlineStr">
        <is>
          <t>2026-03-27</t>
        </is>
      </c>
      <c r="N4" s="2" t="inlineStr">
        <is>
          <t>39</t>
        </is>
      </c>
      <c r="O4" s="4" t="inlineStr">
        <is>
          <t>FundosNet/B3; documento 1146939; referência 2026-03-27; p. 39</t>
        </is>
      </c>
      <c r="P4" s="4" t="inlineStr">
        <is>
          <t>revisto — mínimo júnior localizado</t>
        </is>
      </c>
    </row>
    <row r="5">
      <c r="A5" s="2" t="n">
        <v>41</v>
      </c>
      <c r="B5" s="3" t="inlineStr">
        <is>
          <t>29226654000110</t>
        </is>
      </c>
      <c r="C5" s="4" t="inlineStr">
        <is>
          <t>INVESTCRED FUNDO DE INVESTIMENTO EM DIREITOS CREDITÓRIOS</t>
        </is>
      </c>
      <c r="D5" s="4" t="inlineStr">
        <is>
          <t>Agro, Indústria e Comércio</t>
        </is>
      </c>
      <c r="E5" s="4" t="inlineStr">
        <is>
          <t>Recebíveis Comerciais</t>
        </is>
      </c>
      <c r="F5" s="5" t="n">
        <v>1193.6</v>
      </c>
      <c r="G5" s="6" t="n">
        <v>79.64</v>
      </c>
      <c r="H5" s="6" t="n">
        <v>67.43000000000001</v>
      </c>
      <c r="I5" s="6" t="n">
        <v>67.43000000000001</v>
      </c>
      <c r="J5" s="7">
        <f>IF(OR(G5="",H5=""),"",G5-H5)</f>
        <v/>
      </c>
      <c r="K5" s="7">
        <f>IF(OR(G5="",I5=""),"",G5-I5)</f>
        <v/>
      </c>
      <c r="L5" s="2" t="inlineStr">
        <is>
          <t>1023848</t>
        </is>
      </c>
      <c r="M5" s="2" t="inlineStr">
        <is>
          <t>2025-10-28</t>
        </is>
      </c>
      <c r="N5" s="2" t="inlineStr">
        <is>
          <t>3–4; 9–10</t>
        </is>
      </c>
      <c r="O5" s="4" t="inlineStr">
        <is>
          <t>FundosNet/B3; documento 1023848; referência 2025-10-28; p. 3–4; 9–10</t>
        </is>
      </c>
      <c r="P5" s="4" t="inlineStr">
        <is>
          <t>revisto — mínimo júnior localizado</t>
        </is>
      </c>
    </row>
    <row r="6">
      <c r="A6" s="2" t="n">
        <v>65</v>
      </c>
      <c r="B6" s="3" t="inlineStr">
        <is>
          <t>58349979000198</t>
        </is>
      </c>
      <c r="C6" s="4" t="inlineStr">
        <is>
          <t>VOLKSWAGEN TERA FUNDO DE INVESTIMENTO EM DIREITOS CREDITÓRIOS RECEBÍVEIS COMERCIAIS RESP LTDA</t>
        </is>
      </c>
      <c r="D6" s="4" t="inlineStr">
        <is>
          <t>Agro, Indústria e Comércio</t>
        </is>
      </c>
      <c r="E6" s="4" t="inlineStr">
        <is>
          <t>Recebíveis Comerciais</t>
        </is>
      </c>
      <c r="F6" s="5" t="n">
        <v>1085.9</v>
      </c>
      <c r="G6" s="6" t="n">
        <v>25.19</v>
      </c>
      <c r="H6" s="6" t="n">
        <v>25</v>
      </c>
      <c r="I6" s="6" t="n">
        <v>25</v>
      </c>
      <c r="J6" s="7">
        <f>IF(OR(G6="",H6=""),"",G6-H6)</f>
        <v/>
      </c>
      <c r="K6" s="7">
        <f>IF(OR(G6="",I6=""),"",G6-I6)</f>
        <v/>
      </c>
      <c r="L6" s="2" t="inlineStr">
        <is>
          <t>826213</t>
        </is>
      </c>
      <c r="M6" s="2" t="inlineStr">
        <is>
          <t>2025-01-28</t>
        </is>
      </c>
      <c r="N6" s="2" t="inlineStr">
        <is>
          <t>94</t>
        </is>
      </c>
      <c r="O6" s="4" t="inlineStr">
        <is>
          <t>FundosNet/B3; documento 826213; referência 2025-01-28; p. 94</t>
        </is>
      </c>
      <c r="P6" s="4" t="inlineStr">
        <is>
          <t>revisto — mínimo júnior localizado</t>
        </is>
      </c>
    </row>
    <row r="7">
      <c r="A7" s="2" t="n">
        <v>84</v>
      </c>
      <c r="B7" s="3" t="inlineStr">
        <is>
          <t>31570767000180</t>
        </is>
      </c>
      <c r="C7" s="4" t="inlineStr">
        <is>
          <t>FUNDO DE INVESTIMENTO EM DIREITOS CREDITÓRIOS TRADEPAY VAREJO I - RESPONSABILIDADE LIMITADA</t>
        </is>
      </c>
      <c r="D7" s="4" t="inlineStr">
        <is>
          <t>Agro, Indústria e Comércio</t>
        </is>
      </c>
      <c r="E7" s="4" t="inlineStr">
        <is>
          <t>Recebíveis Comerciais</t>
        </is>
      </c>
      <c r="F7" s="5" t="n">
        <v>702.1</v>
      </c>
      <c r="G7" s="6" t="n">
        <v>23.31</v>
      </c>
      <c r="H7" s="6" t="n">
        <v>5</v>
      </c>
      <c r="I7" s="6" t="n"/>
      <c r="J7" s="7">
        <f>IF(OR(G7="",H7=""),"",G7-H7)</f>
        <v/>
      </c>
      <c r="K7" s="7">
        <f>IF(OR(G7="",I7=""),"",G7-I7)</f>
        <v/>
      </c>
      <c r="L7" s="2" t="inlineStr">
        <is>
          <t>1203635</t>
        </is>
      </c>
      <c r="M7" s="2" t="inlineStr">
        <is>
          <t>2026-05-25</t>
        </is>
      </c>
      <c r="N7" s="2" t="inlineStr">
        <is>
          <t>39</t>
        </is>
      </c>
      <c r="O7" s="4" t="inlineStr">
        <is>
          <t>FundosNet/B3; documento 1203635; referência 2026-05-25; p. 39</t>
        </is>
      </c>
      <c r="P7" s="4" t="inlineStr">
        <is>
          <t>revisto — mínimo júnior localizado</t>
        </is>
      </c>
    </row>
    <row r="8">
      <c r="A8" s="2" t="n">
        <v>48</v>
      </c>
      <c r="B8" s="3" t="inlineStr">
        <is>
          <t>47280025000150</t>
        </is>
      </c>
      <c r="C8" s="4" t="inlineStr">
        <is>
          <t>FIDC AGRO CAPITAL FINANCE RESPONSABILIDADE LIMITADA</t>
        </is>
      </c>
      <c r="D8" s="4" t="inlineStr">
        <is>
          <t>Agro, Indústria e Comércio</t>
        </is>
      </c>
      <c r="E8" s="4" t="inlineStr">
        <is>
          <t>Recebíveis Comerciais</t>
        </is>
      </c>
      <c r="F8" s="5" t="n">
        <v>522.1</v>
      </c>
      <c r="G8" s="6" t="n">
        <v>32.16</v>
      </c>
      <c r="H8" s="6" t="n">
        <v>30</v>
      </c>
      <c r="I8" s="6" t="n">
        <v>30</v>
      </c>
      <c r="J8" s="7">
        <f>IF(OR(G8="",H8=""),"",G8-H8)</f>
        <v/>
      </c>
      <c r="K8" s="7">
        <f>IF(OR(G8="",I8=""),"",G8-I8)</f>
        <v/>
      </c>
      <c r="L8" s="2" t="inlineStr">
        <is>
          <t>1074880</t>
        </is>
      </c>
      <c r="M8" s="2" t="inlineStr">
        <is>
          <t>2025-12-23</t>
        </is>
      </c>
      <c r="N8" s="2" t="inlineStr">
        <is>
          <t>10; 34</t>
        </is>
      </c>
      <c r="O8" s="4" t="inlineStr">
        <is>
          <t>FundosNet/B3; documento 1074880; referência 2025-12-23; p. 10; 34</t>
        </is>
      </c>
      <c r="P8" s="4" t="inlineStr">
        <is>
          <t>revisto — mínimo júnior localizado</t>
        </is>
      </c>
    </row>
    <row r="9">
      <c r="A9" s="2" t="n">
        <v>13</v>
      </c>
      <c r="B9" s="3" t="inlineStr">
        <is>
          <t>33076242000118</t>
        </is>
      </c>
      <c r="C9" s="4" t="inlineStr">
        <is>
          <t>WORKCAP AGRO FUNDO DE INVESTIMENTO EM DIREITOS CREDITORIOS RESPONSABILIDADE LIMITADA</t>
        </is>
      </c>
      <c r="D9" s="4" t="inlineStr">
        <is>
          <t>Agro, Indústria e Comércio</t>
        </is>
      </c>
      <c r="E9" s="4" t="inlineStr">
        <is>
          <t>Recebíveis Comerciais</t>
        </is>
      </c>
      <c r="F9" s="5" t="n">
        <v>443.2</v>
      </c>
      <c r="G9" s="6" t="n">
        <v>21.58</v>
      </c>
      <c r="H9" s="6" t="n">
        <v>20</v>
      </c>
      <c r="I9" s="6" t="n">
        <v>20</v>
      </c>
      <c r="J9" s="7">
        <f>IF(OR(G9="",H9=""),"",G9-H9)</f>
        <v/>
      </c>
      <c r="K9" s="7">
        <f>IF(OR(G9="",I9=""),"",G9-I9)</f>
        <v/>
      </c>
      <c r="L9" s="2" t="inlineStr">
        <is>
          <t>1060211</t>
        </is>
      </c>
      <c r="M9" s="2" t="inlineStr">
        <is>
          <t>2025-12-12</t>
        </is>
      </c>
      <c r="N9" s="2" t="inlineStr">
        <is>
          <t>61</t>
        </is>
      </c>
      <c r="O9" s="4" t="inlineStr">
        <is>
          <t>FundosNet/B3; documento 1060211; referência 2025-12-12; p. 61</t>
        </is>
      </c>
      <c r="P9" s="4" t="inlineStr">
        <is>
          <t>revisto — mínimo júnior localizado</t>
        </is>
      </c>
    </row>
    <row r="10">
      <c r="A10" s="2" t="n">
        <v>31</v>
      </c>
      <c r="B10" s="3" t="inlineStr">
        <is>
          <t>45598747000121</t>
        </is>
      </c>
      <c r="C10" s="4" t="inlineStr">
        <is>
          <t>SUMUP SOLO FUNDO DE INVESTIMENTO EM DIREITOS CREDITÓRIOS SEGMENTO MEIOS DE PAGAMENTO DE RESPONSABILI</t>
        </is>
      </c>
      <c r="D10" s="4" t="inlineStr">
        <is>
          <t>Agro, Indústria e Comércio</t>
        </is>
      </c>
      <c r="E10" s="4" t="inlineStr">
        <is>
          <t>Recebíveis Comerciais</t>
        </is>
      </c>
      <c r="F10" s="5" t="n">
        <v>378.1</v>
      </c>
      <c r="G10" s="6" t="n">
        <v>10.17</v>
      </c>
      <c r="H10" s="6" t="n">
        <v>4.76</v>
      </c>
      <c r="I10" s="6" t="n">
        <v>4.76</v>
      </c>
      <c r="J10" s="7">
        <f>IF(OR(G10="",H10=""),"",G10-H10)</f>
        <v/>
      </c>
      <c r="K10" s="7">
        <f>IF(OR(G10="",I10=""),"",G10-I10)</f>
        <v/>
      </c>
      <c r="L10" s="2" t="inlineStr">
        <is>
          <t>883977</t>
        </is>
      </c>
      <c r="M10" s="2" t="inlineStr">
        <is>
          <t>2025-04-22</t>
        </is>
      </c>
      <c r="N10" s="2" t="inlineStr">
        <is>
          <t>95</t>
        </is>
      </c>
      <c r="O10" s="4" t="inlineStr">
        <is>
          <t>FundosNet/B3; documento 883977; referência 2025-04-22; p. 95</t>
        </is>
      </c>
      <c r="P10" s="4" t="inlineStr">
        <is>
          <t>revisto — mínimo júnior localizado</t>
        </is>
      </c>
    </row>
    <row r="11">
      <c r="A11" s="2" t="n">
        <v>72</v>
      </c>
      <c r="B11" s="3" t="inlineStr">
        <is>
          <t>58171340000165</t>
        </is>
      </c>
      <c r="C11" s="4" t="inlineStr">
        <is>
          <t>FRIMESA FUNDO DE INVESTIMENTO EM DIREITOS CREDITÓRIOS DE RESPONSABILIDADE LIMITADA</t>
        </is>
      </c>
      <c r="D11" s="4" t="inlineStr">
        <is>
          <t>Agro, Indústria e Comércio</t>
        </is>
      </c>
      <c r="E11" s="4" t="inlineStr">
        <is>
          <t>Multicarteira Agro, Indústria e Comércio</t>
        </is>
      </c>
      <c r="F11" s="5" t="n">
        <v>357.7</v>
      </c>
      <c r="G11" s="6" t="n">
        <v>21.02</v>
      </c>
      <c r="H11" s="6" t="n">
        <v>1</v>
      </c>
      <c r="I11" s="6" t="n"/>
      <c r="J11" s="7">
        <f>IF(OR(G11="",H11=""),"",G11-H11)</f>
        <v/>
      </c>
      <c r="K11" s="7">
        <f>IF(OR(G11="",I11=""),"",G11-I11)</f>
        <v/>
      </c>
      <c r="L11" s="2" t="inlineStr">
        <is>
          <t>861191</t>
        </is>
      </c>
      <c r="M11" s="2" t="inlineStr">
        <is>
          <t>2025-03-13</t>
        </is>
      </c>
      <c r="N11" s="2" t="inlineStr">
        <is>
          <t>51</t>
        </is>
      </c>
      <c r="O11" s="4" t="inlineStr">
        <is>
          <t>FundosNet/B3; documento 861191; referência 2025-03-13; p. 51</t>
        </is>
      </c>
      <c r="P11" s="4" t="inlineStr">
        <is>
          <t>revisto — mínimo júnior localizado</t>
        </is>
      </c>
    </row>
    <row r="12">
      <c r="A12" s="2" t="n">
        <v>40</v>
      </c>
      <c r="B12" s="3" t="inlineStr">
        <is>
          <t>52271464000136</t>
        </is>
      </c>
      <c r="C12" s="4" t="inlineStr">
        <is>
          <t>KIWIFY FUNDO DE INVESTIMENTO EM DIREITOS CREDITÓRIOS SEGMENTO MEIOS DE PAGAMENTO DE RESPONSABILIDADE</t>
        </is>
      </c>
      <c r="D12" s="4" t="inlineStr">
        <is>
          <t>Agro, Indústria e Comércio</t>
        </is>
      </c>
      <c r="E12" s="4" t="inlineStr">
        <is>
          <t>Recebíveis Comerciais</t>
        </is>
      </c>
      <c r="F12" s="5" t="n">
        <v>347.3</v>
      </c>
      <c r="G12" s="6" t="n">
        <v>20.16</v>
      </c>
      <c r="H12" s="6" t="n">
        <v>6</v>
      </c>
      <c r="I12" s="6" t="n"/>
      <c r="J12" s="7">
        <f>IF(OR(G12="",H12=""),"",G12-H12)</f>
        <v/>
      </c>
      <c r="K12" s="7">
        <f>IF(OR(G12="",I12=""),"",G12-I12)</f>
        <v/>
      </c>
      <c r="L12" s="2" t="inlineStr">
        <is>
          <t>1155755</t>
        </is>
      </c>
      <c r="M12" s="2" t="inlineStr">
        <is>
          <t>2026-03-18</t>
        </is>
      </c>
      <c r="N12" s="2" t="inlineStr">
        <is>
          <t>18</t>
        </is>
      </c>
      <c r="O12" s="4" t="inlineStr">
        <is>
          <t>FundosNet/B3; documento 1155755; referência 2026-03-18; p. 18</t>
        </is>
      </c>
      <c r="P12" s="4" t="inlineStr">
        <is>
          <t>revisto — mínimo júnior localizado</t>
        </is>
      </c>
    </row>
    <row r="13">
      <c r="A13" s="2" t="n">
        <v>92</v>
      </c>
      <c r="B13" s="3" t="inlineStr">
        <is>
          <t>42085830000109</t>
        </is>
      </c>
      <c r="C13" s="4" t="inlineStr">
        <is>
          <t>CLOUDWALK AKIRA I FUNDO DE INVESTIMENTO EM DIREITOS CREDITÓRIOS SEGMENTO MEIOS DE PAGAMENTO</t>
        </is>
      </c>
      <c r="D13" s="4" t="inlineStr">
        <is>
          <t>Agro, Indústria e Comércio</t>
        </is>
      </c>
      <c r="E13" s="4" t="inlineStr">
        <is>
          <t>Recebíveis Comerciais</t>
        </is>
      </c>
      <c r="F13" s="5" t="n">
        <v>308.2</v>
      </c>
      <c r="G13" s="6" t="n">
        <v>5.31</v>
      </c>
      <c r="H13" s="6" t="n">
        <v>3</v>
      </c>
      <c r="I13" s="6" t="n">
        <v>3</v>
      </c>
      <c r="J13" s="7">
        <f>IF(OR(G13="",H13=""),"",G13-H13)</f>
        <v/>
      </c>
      <c r="K13" s="7">
        <f>IF(OR(G13="",I13=""),"",G13-I13)</f>
        <v/>
      </c>
      <c r="L13" s="2" t="inlineStr">
        <is>
          <t>966441</t>
        </is>
      </c>
      <c r="M13" s="2" t="inlineStr">
        <is>
          <t>2025-07-24</t>
        </is>
      </c>
      <c r="N13" s="2" t="inlineStr">
        <is>
          <t>99</t>
        </is>
      </c>
      <c r="O13" s="4" t="inlineStr">
        <is>
          <t>FundosNet/B3; documento 966441; referência 2025-07-24; p. 99</t>
        </is>
      </c>
      <c r="P13" s="4" t="inlineStr">
        <is>
          <t>revisto — mínimo júnior localizado</t>
        </is>
      </c>
    </row>
    <row r="14">
      <c r="A14" s="2" t="n">
        <v>76</v>
      </c>
      <c r="B14" s="3" t="inlineStr">
        <is>
          <t>37035970000132</t>
        </is>
      </c>
      <c r="C14" s="4" t="inlineStr">
        <is>
          <t>CD CASH FUNDO DE INVESTIMENTO EM DIREITOS CREDITÓRIOS RESPONSABILIDADE LIMITADA</t>
        </is>
      </c>
      <c r="D14" s="4" t="inlineStr">
        <is>
          <t>Agro, Indústria e Comércio</t>
        </is>
      </c>
      <c r="E14" s="4" t="inlineStr">
        <is>
          <t>Multicarteira Agro, Indústria e Comércio</t>
        </is>
      </c>
      <c r="F14" s="5" t="n">
        <v>291.8</v>
      </c>
      <c r="G14" s="6" t="n">
        <v>46.79</v>
      </c>
      <c r="H14" s="6" t="n">
        <v>30</v>
      </c>
      <c r="I14" s="6" t="n"/>
      <c r="J14" s="7">
        <f>IF(OR(G14="",H14=""),"",G14-H14)</f>
        <v/>
      </c>
      <c r="K14" s="7">
        <f>IF(OR(G14="",I14=""),"",G14-I14)</f>
        <v/>
      </c>
      <c r="L14" s="2" t="inlineStr">
        <is>
          <t>1187379</t>
        </is>
      </c>
      <c r="M14" s="2" t="inlineStr">
        <is>
          <t>2026-05-12</t>
        </is>
      </c>
      <c r="N14" s="2" t="inlineStr">
        <is>
          <t>43</t>
        </is>
      </c>
      <c r="O14" s="4" t="inlineStr">
        <is>
          <t>FundosNet/B3; documento 1187379; referência 2026-05-12; p. 43</t>
        </is>
      </c>
      <c r="P14" s="4" t="inlineStr">
        <is>
          <t>revisto — mínimo júnior calculado de cláusulas contratuais</t>
        </is>
      </c>
    </row>
    <row r="15">
      <c r="A15" s="2" t="n">
        <v>36</v>
      </c>
      <c r="B15" s="3" t="inlineStr">
        <is>
          <t>40919667000107</t>
        </is>
      </c>
      <c r="C15" s="4" t="inlineStr">
        <is>
          <t>RECARGAPAY I FUNDO DE INVESTIMENTO EM DIREITOS CREDITÓRIOS</t>
        </is>
      </c>
      <c r="D15" s="4" t="inlineStr">
        <is>
          <t>Agro, Indústria e Comércio</t>
        </is>
      </c>
      <c r="E15" s="4" t="inlineStr">
        <is>
          <t>Recebíveis Comerciais</t>
        </is>
      </c>
      <c r="F15" s="5" t="n">
        <v>281.5</v>
      </c>
      <c r="G15" s="6" t="n">
        <v>97.98999999999999</v>
      </c>
      <c r="H15" s="6" t="n">
        <v>50</v>
      </c>
      <c r="I15" s="6" t="n">
        <v>50</v>
      </c>
      <c r="J15" s="7">
        <f>IF(OR(G15="",H15=""),"",G15-H15)</f>
        <v/>
      </c>
      <c r="K15" s="7">
        <f>IF(OR(G15="",I15=""),"",G15-I15)</f>
        <v/>
      </c>
      <c r="L15" s="2" t="inlineStr">
        <is>
          <t>1118056</t>
        </is>
      </c>
      <c r="M15" s="2" t="inlineStr">
        <is>
          <t>2026-02-12</t>
        </is>
      </c>
      <c r="N15" s="2" t="inlineStr">
        <is>
          <t>31</t>
        </is>
      </c>
      <c r="O15" s="4" t="inlineStr">
        <is>
          <t>FundosNet/B3; documento 1118056; referência 2026-02-12; p. 31</t>
        </is>
      </c>
      <c r="P15" s="4" t="inlineStr">
        <is>
          <t>revisto — mínimo júnior localizado</t>
        </is>
      </c>
    </row>
    <row r="16">
      <c r="A16" s="2" t="n">
        <v>68</v>
      </c>
      <c r="B16" s="3" t="inlineStr">
        <is>
          <t>43866348000179</t>
        </is>
      </c>
      <c r="C16" s="4" t="inlineStr">
        <is>
          <t>FUNDO DE INVESTIMENTO EM DIREITOS CREDITÓRIOS OPEA AGRO SUMITOMO CHEMICAL RESP LIMITADA</t>
        </is>
      </c>
      <c r="D16" s="4" t="inlineStr">
        <is>
          <t>Agro, Indústria e Comércio</t>
        </is>
      </c>
      <c r="E16" s="4" t="inlineStr">
        <is>
          <t>Multicarteira Agro, Indústria e Comércio</t>
        </is>
      </c>
      <c r="F16" s="5" t="n">
        <v>256</v>
      </c>
      <c r="G16" s="6" t="n">
        <v>65.37</v>
      </c>
      <c r="H16" s="6" t="n">
        <v>5</v>
      </c>
      <c r="I16" s="6" t="n"/>
      <c r="J16" s="7">
        <f>IF(OR(G16="",H16=""),"",G16-H16)</f>
        <v/>
      </c>
      <c r="K16" s="7">
        <f>IF(OR(G16="",I16=""),"",G16-I16)</f>
        <v/>
      </c>
      <c r="L16" s="2" t="inlineStr">
        <is>
          <t>741139</t>
        </is>
      </c>
      <c r="M16" s="2" t="inlineStr">
        <is>
          <t>2024-09-17</t>
        </is>
      </c>
      <c r="N16" s="2" t="inlineStr">
        <is>
          <t>81</t>
        </is>
      </c>
      <c r="O16" s="4" t="inlineStr">
        <is>
          <t>FundosNet/B3; documento 741139; referência 2024-09-17; p. 81</t>
        </is>
      </c>
      <c r="P16" s="4" t="inlineStr">
        <is>
          <t>revisto — mínimo júnior localizado</t>
        </is>
      </c>
    </row>
    <row r="17">
      <c r="A17" s="2" t="n">
        <v>19</v>
      </c>
      <c r="B17" s="3" t="inlineStr">
        <is>
          <t>54083697000130</t>
        </is>
      </c>
      <c r="C17" s="4" t="inlineStr">
        <is>
          <t>PERNAMBUCANAS FIDC DE RESPONSABILIDADE LIMITADA</t>
        </is>
      </c>
      <c r="D17" s="4" t="inlineStr">
        <is>
          <t>Agro, Indústria e Comércio</t>
        </is>
      </c>
      <c r="E17" s="4" t="inlineStr">
        <is>
          <t>Multicarteira Agro, Indústria e Comércio</t>
        </is>
      </c>
      <c r="F17" s="5" t="n">
        <v>226.6</v>
      </c>
      <c r="G17" s="6" t="n">
        <v>10.9</v>
      </c>
      <c r="H17" s="6" t="n">
        <v>10</v>
      </c>
      <c r="I17" s="6" t="n">
        <v>10</v>
      </c>
      <c r="J17" s="7">
        <f>IF(OR(G17="",H17=""),"",G17-H17)</f>
        <v/>
      </c>
      <c r="K17" s="7">
        <f>IF(OR(G17="",I17=""),"",G17-I17)</f>
        <v/>
      </c>
      <c r="L17" s="2" t="inlineStr">
        <is>
          <t>640301</t>
        </is>
      </c>
      <c r="M17" s="2" t="inlineStr">
        <is>
          <t>2024-04-12</t>
        </is>
      </c>
      <c r="N17" s="2" t="inlineStr">
        <is>
          <t>84</t>
        </is>
      </c>
      <c r="O17" s="4" t="inlineStr">
        <is>
          <t>FundosNet/B3; documento 640301; referência 2024-04-12; p. 84</t>
        </is>
      </c>
      <c r="P17" s="4" t="inlineStr">
        <is>
          <t>revisto — mínimo júnior localizado</t>
        </is>
      </c>
    </row>
    <row r="18">
      <c r="A18" s="2" t="n">
        <v>29</v>
      </c>
      <c r="B18" s="3" t="inlineStr">
        <is>
          <t>50857998000113</t>
        </is>
      </c>
      <c r="C18" s="4" t="inlineStr">
        <is>
          <t>LEO MADEIRAS FIDC SEGMENTO MEIOS DE PAGAMENTO DE RESPONSABILIDADE LIMITADA</t>
        </is>
      </c>
      <c r="D18" s="4" t="inlineStr">
        <is>
          <t>Agro, Indústria e Comércio</t>
        </is>
      </c>
      <c r="E18" s="4" t="inlineStr">
        <is>
          <t>Recebíveis Comerciais</t>
        </is>
      </c>
      <c r="F18" s="5" t="n">
        <v>177</v>
      </c>
      <c r="G18" s="6" t="n">
        <v>12.6</v>
      </c>
      <c r="H18" s="6" t="n">
        <v>5</v>
      </c>
      <c r="I18" s="6" t="n"/>
      <c r="J18" s="7">
        <f>IF(OR(G18="",H18=""),"",G18-H18)</f>
        <v/>
      </c>
      <c r="K18" s="7">
        <f>IF(OR(G18="",I18=""),"",G18-I18)</f>
        <v/>
      </c>
      <c r="L18" s="2" t="inlineStr">
        <is>
          <t>1017825</t>
        </is>
      </c>
      <c r="M18" s="2" t="inlineStr">
        <is>
          <t>2025-10-06</t>
        </is>
      </c>
      <c r="N18" s="2" t="inlineStr">
        <is>
          <t>62</t>
        </is>
      </c>
      <c r="O18" s="4" t="inlineStr">
        <is>
          <t>FundosNet/B3; documento 1017825; referência 2025-10-06; p. 62</t>
        </is>
      </c>
      <c r="P18" s="4" t="inlineStr">
        <is>
          <t>revisto — mínimo júnior localizado</t>
        </is>
      </c>
    </row>
    <row r="19">
      <c r="A19" s="2" t="n">
        <v>64</v>
      </c>
      <c r="B19" s="3" t="inlineStr">
        <is>
          <t>58476088000100</t>
        </is>
      </c>
      <c r="C19" s="4" t="inlineStr">
        <is>
          <t>SAGA FUNDO DE INVESTIMENTO EM DIREITOS CREDITÓRIOS CRÉDITO PRIVADO - RESPONSABILIDADE LIMITADA</t>
        </is>
      </c>
      <c r="D19" s="4" t="inlineStr">
        <is>
          <t>Agro, Indústria e Comércio</t>
        </is>
      </c>
      <c r="E19" s="4" t="inlineStr">
        <is>
          <t>Recebíveis Comerciais</t>
        </is>
      </c>
      <c r="F19" s="5" t="n">
        <v>167.6</v>
      </c>
      <c r="G19" s="6" t="n">
        <v>38.69</v>
      </c>
      <c r="H19" s="6" t="n">
        <v>33.33</v>
      </c>
      <c r="I19" s="6" t="n">
        <v>33.33</v>
      </c>
      <c r="J19" s="7">
        <f>IF(OR(G19="",H19=""),"",G19-H19)</f>
        <v/>
      </c>
      <c r="K19" s="7">
        <f>IF(OR(G19="",I19=""),"",G19-I19)</f>
        <v/>
      </c>
      <c r="L19" s="2" t="inlineStr">
        <is>
          <t>852325</t>
        </is>
      </c>
      <c r="M19" s="2" t="inlineStr">
        <is>
          <t>2025-02-25</t>
        </is>
      </c>
      <c r="N19" s="2" t="inlineStr">
        <is>
          <t>18</t>
        </is>
      </c>
      <c r="O19" s="4" t="inlineStr">
        <is>
          <t>FundosNet/B3; documento 852325; referência 2025-02-25; p. 18</t>
        </is>
      </c>
      <c r="P19" s="4" t="inlineStr">
        <is>
          <t>revisto — mínimo júnior localizado</t>
        </is>
      </c>
    </row>
    <row r="20">
      <c r="A20" s="2" t="n">
        <v>42</v>
      </c>
      <c r="B20" s="3" t="inlineStr">
        <is>
          <t>54857414000160</t>
        </is>
      </c>
      <c r="C20" s="4" t="inlineStr">
        <is>
          <t>INDIE MERX RAIZ I CRÉDITO AGRO FIDC DO AGRONEGÓCIO - RESPONSABILIDADE LIMITADA</t>
        </is>
      </c>
      <c r="D20" s="4" t="inlineStr">
        <is>
          <t>Agro, Indústria e Comércio</t>
        </is>
      </c>
      <c r="E20" s="4" t="inlineStr">
        <is>
          <t>Agronegócio</t>
        </is>
      </c>
      <c r="F20" s="5" t="n">
        <v>104.2</v>
      </c>
      <c r="G20" s="6" t="n">
        <v>27.55</v>
      </c>
      <c r="H20" s="6" t="n">
        <v>15</v>
      </c>
      <c r="I20" s="6" t="n"/>
      <c r="J20" s="7">
        <f>IF(OR(G20="",H20=""),"",G20-H20)</f>
        <v/>
      </c>
      <c r="K20" s="7">
        <f>IF(OR(G20="",I20=""),"",G20-I20)</f>
        <v/>
      </c>
      <c r="L20" s="2" t="inlineStr">
        <is>
          <t>1263627</t>
        </is>
      </c>
      <c r="M20" s="2" t="inlineStr">
        <is>
          <t>2026-06-01</t>
        </is>
      </c>
      <c r="N20" s="2" t="inlineStr">
        <is>
          <t>74</t>
        </is>
      </c>
      <c r="O20" s="4" t="inlineStr">
        <is>
          <t>FundosNet/B3; documento 1263627; referência 2026-06-01; p. 74</t>
        </is>
      </c>
      <c r="P20" s="4" t="inlineStr">
        <is>
          <t>revisto — mínimo júnior localizado</t>
        </is>
      </c>
    </row>
    <row r="21">
      <c r="A21" s="2" t="n">
        <v>59</v>
      </c>
      <c r="B21" s="3" t="inlineStr">
        <is>
          <t>50536324000117</t>
        </is>
      </c>
      <c r="C21" s="4" t="inlineStr">
        <is>
          <t>MAQNELSON FUNDO DE INVESTIMENTO EM DIREITOS CREDITÓRIOS - RESPONSABILIDADE LIMITADA</t>
        </is>
      </c>
      <c r="D21" s="4" t="inlineStr">
        <is>
          <t>Agro, Indústria e Comércio</t>
        </is>
      </c>
      <c r="E21" s="4" t="inlineStr">
        <is>
          <t>Recebíveis Comerciais</t>
        </is>
      </c>
      <c r="F21" s="5" t="n">
        <v>100</v>
      </c>
      <c r="G21" s="6" t="n">
        <v>49.21</v>
      </c>
      <c r="H21" s="6" t="n">
        <v>50</v>
      </c>
      <c r="I21" s="6" t="n">
        <v>50</v>
      </c>
      <c r="J21" s="7">
        <f>IF(OR(G21="",H21=""),"",G21-H21)</f>
        <v/>
      </c>
      <c r="K21" s="7">
        <f>IF(OR(G21="",I21=""),"",G21-I21)</f>
        <v/>
      </c>
      <c r="L21" s="2" t="inlineStr">
        <is>
          <t>918862</t>
        </is>
      </c>
      <c r="M21" s="2" t="inlineStr">
        <is>
          <t>2025-06-04</t>
        </is>
      </c>
      <c r="N21" s="2" t="inlineStr">
        <is>
          <t>111</t>
        </is>
      </c>
      <c r="O21" s="4" t="inlineStr">
        <is>
          <t>FundosNet/B3; documento 918862; referência 2025-06-04; p. 111</t>
        </is>
      </c>
      <c r="P21" s="4" t="inlineStr">
        <is>
          <t>revisto — mínimo júnior localizado</t>
        </is>
      </c>
    </row>
    <row r="22">
      <c r="A22" s="2" t="n">
        <v>50</v>
      </c>
      <c r="B22" s="3" t="inlineStr">
        <is>
          <t>58288437000152</t>
        </is>
      </c>
      <c r="C22" s="4" t="inlineStr">
        <is>
          <t>ALTOMAX FUNDO DE INVESTIMENTO EM DIREITOS CREDITÓRIOS SEGMENTO RECEBÍVEIS COMERCIAIS DE RESP LTDA</t>
        </is>
      </c>
      <c r="D22" s="4" t="inlineStr">
        <is>
          <t>Agro, Indústria e Comércio</t>
        </is>
      </c>
      <c r="E22" s="4" t="inlineStr">
        <is>
          <t>Recebíveis Comerciais</t>
        </is>
      </c>
      <c r="F22" s="5" t="n">
        <v>89.90000000000001</v>
      </c>
      <c r="G22" s="6" t="n">
        <v>64.64</v>
      </c>
      <c r="H22" s="6" t="n">
        <v>20</v>
      </c>
      <c r="I22" s="6" t="n"/>
      <c r="J22" s="7">
        <f>IF(OR(G22="",H22=""),"",G22-H22)</f>
        <v/>
      </c>
      <c r="K22" s="7">
        <f>IF(OR(G22="",I22=""),"",G22-I22)</f>
        <v/>
      </c>
      <c r="L22" s="2" t="inlineStr">
        <is>
          <t>1240668</t>
        </is>
      </c>
      <c r="M22" s="2" t="inlineStr">
        <is>
          <t>2026-02-24</t>
        </is>
      </c>
      <c r="N22" s="2" t="inlineStr">
        <is>
          <t>94</t>
        </is>
      </c>
      <c r="O22" s="4" t="inlineStr">
        <is>
          <t>FundosNet/B3; documento 1240668; referência 2026-02-24; p. 94</t>
        </is>
      </c>
      <c r="P22" s="4" t="inlineStr">
        <is>
          <t>revisto — mínimo júnior localizado</t>
        </is>
      </c>
    </row>
    <row r="23">
      <c r="A23" s="2" t="n">
        <v>10</v>
      </c>
      <c r="B23" s="3" t="inlineStr">
        <is>
          <t>48967719000122</t>
        </is>
      </c>
      <c r="C23" s="4" t="inlineStr">
        <is>
          <t>SOULPAY FUNDO DE INVESTIMENTO EM DIREITOS CREDITÓRIOS</t>
        </is>
      </c>
      <c r="D23" s="4" t="inlineStr">
        <is>
          <t>Agro, Indústria e Comércio</t>
        </is>
      </c>
      <c r="E23" s="4" t="inlineStr">
        <is>
          <t>Recebíveis Comerciais</t>
        </is>
      </c>
      <c r="F23" s="5" t="n">
        <v>78.40000000000001</v>
      </c>
      <c r="G23" s="6" t="n">
        <v>5.96</v>
      </c>
      <c r="H23" s="6" t="n">
        <v>5</v>
      </c>
      <c r="I23" s="6" t="n">
        <v>5</v>
      </c>
      <c r="J23" s="7">
        <f>IF(OR(G23="",H23=""),"",G23-H23)</f>
        <v/>
      </c>
      <c r="K23" s="7">
        <f>IF(OR(G23="",I23=""),"",G23-I23)</f>
        <v/>
      </c>
      <c r="L23" s="2" t="inlineStr">
        <is>
          <t>785770</t>
        </is>
      </c>
      <c r="M23" s="2" t="inlineStr">
        <is>
          <t>2024-11-22</t>
        </is>
      </c>
      <c r="N23" s="2" t="inlineStr">
        <is>
          <t>82</t>
        </is>
      </c>
      <c r="O23" s="4" t="inlineStr">
        <is>
          <t>FundosNet/B3; documento 785770; referência 2024-11-22; p. 82</t>
        </is>
      </c>
      <c r="P23" s="4" t="inlineStr">
        <is>
          <t>revisto — mínimo júnior localizado</t>
        </is>
      </c>
    </row>
    <row r="24">
      <c r="A24" s="2" t="n">
        <v>74</v>
      </c>
      <c r="B24" s="3" t="inlineStr">
        <is>
          <t>57752597000148</t>
        </is>
      </c>
      <c r="C24" s="4" t="inlineStr">
        <is>
          <t>AGROMERCANTIL CRÉDITO AGRO FUNDO DE INVESTIMENTO EM DIREITOS CREDITÓRIOS - RESPONSABILIDADE LIMITADA</t>
        </is>
      </c>
      <c r="D24" s="4" t="inlineStr">
        <is>
          <t>Agro, Indústria e Comércio</t>
        </is>
      </c>
      <c r="E24" s="4" t="inlineStr">
        <is>
          <t>Multicarteira Agro, Indústria e Comércio</t>
        </is>
      </c>
      <c r="F24" s="5" t="n">
        <v>68.7</v>
      </c>
      <c r="G24" s="6" t="n">
        <v>32.48</v>
      </c>
      <c r="H24" s="6" t="n">
        <v>30</v>
      </c>
      <c r="I24" s="6" t="n"/>
      <c r="J24" s="7">
        <f>IF(OR(G24="",H24=""),"",G24-H24)</f>
        <v/>
      </c>
      <c r="K24" s="7">
        <f>IF(OR(G24="",I24=""),"",G24-I24)</f>
        <v/>
      </c>
      <c r="L24" s="2" t="inlineStr">
        <is>
          <t>1200681</t>
        </is>
      </c>
      <c r="M24" s="2" t="inlineStr">
        <is>
          <t>2026-05-21</t>
        </is>
      </c>
      <c r="N24" s="2" t="inlineStr">
        <is>
          <t>44</t>
        </is>
      </c>
      <c r="O24" s="4" t="inlineStr">
        <is>
          <t>FundosNet/B3; documento 1200681; referência 2026-05-21; p. 44</t>
        </is>
      </c>
      <c r="P24" s="4" t="inlineStr">
        <is>
          <t>revisto — mínimo júnior localizado</t>
        </is>
      </c>
    </row>
    <row r="25">
      <c r="A25" s="2" t="n">
        <v>49</v>
      </c>
      <c r="B25" s="3" t="inlineStr">
        <is>
          <t>57270666000187</t>
        </is>
      </c>
      <c r="C25" s="4" t="inlineStr">
        <is>
          <t>MOBILITAS FUNDO DE INVESTIMENTO EM DIREITOS CREDITÓRIOS - RESPONSABILIDADE LIMITADA</t>
        </is>
      </c>
      <c r="D25" s="4" t="inlineStr">
        <is>
          <t>Agro, Indústria e Comércio</t>
        </is>
      </c>
      <c r="E25" s="4" t="inlineStr">
        <is>
          <t>Recebíveis Comerciais</t>
        </is>
      </c>
      <c r="F25" s="5" t="n">
        <v>53</v>
      </c>
      <c r="G25" s="6" t="n">
        <v>15.13</v>
      </c>
      <c r="H25" s="6" t="n">
        <v>10</v>
      </c>
      <c r="I25" s="6" t="n"/>
      <c r="J25" s="7">
        <f>IF(OR(G25="",H25=""),"",G25-H25)</f>
        <v/>
      </c>
      <c r="K25" s="7">
        <f>IF(OR(G25="",I25=""),"",G25-I25)</f>
        <v/>
      </c>
      <c r="L25" s="2" t="inlineStr">
        <is>
          <t>769277</t>
        </is>
      </c>
      <c r="M25" s="2" t="inlineStr">
        <is>
          <t>2024-10-31</t>
        </is>
      </c>
      <c r="N25" s="2" t="inlineStr">
        <is>
          <t>49</t>
        </is>
      </c>
      <c r="O25" s="4" t="inlineStr">
        <is>
          <t>FundosNet/B3; documento 769277; referência 2024-10-31; p. 49</t>
        </is>
      </c>
      <c r="P25" s="4" t="inlineStr">
        <is>
          <t>revisto — mínimo júnior localizado</t>
        </is>
      </c>
    </row>
    <row r="26">
      <c r="A26" s="2" t="n">
        <v>55</v>
      </c>
      <c r="B26" s="3" t="inlineStr">
        <is>
          <t>55374251000128</t>
        </is>
      </c>
      <c r="C26" s="4" t="inlineStr">
        <is>
          <t>FUNDO DE INVESTIMENTO EM DIREITOS CREDITÓRIOS BLUE II SEGMENTO CRÉDITO CORPORATIVO DE RESP LTDA</t>
        </is>
      </c>
      <c r="D26" s="4" t="inlineStr">
        <is>
          <t>Agro, Indústria e Comércio</t>
        </is>
      </c>
      <c r="E26" s="4" t="inlineStr">
        <is>
          <t>Crédito Corporativo</t>
        </is>
      </c>
      <c r="F26" s="5" t="n">
        <v>44</v>
      </c>
      <c r="G26" s="6" t="n">
        <v>0</v>
      </c>
      <c r="H26" s="6" t="n">
        <v>5</v>
      </c>
      <c r="I26" s="6" t="n"/>
      <c r="J26" s="7">
        <f>IF(OR(G26="",H26=""),"",G26-H26)</f>
        <v/>
      </c>
      <c r="K26" s="7">
        <f>IF(OR(G26="",I26=""),"",G26-I26)</f>
        <v/>
      </c>
      <c r="L26" s="2" t="inlineStr">
        <is>
          <t>686750</t>
        </is>
      </c>
      <c r="M26" s="2" t="inlineStr">
        <is>
          <t>2024-06-25</t>
        </is>
      </c>
      <c r="N26" s="2" t="inlineStr">
        <is>
          <t>61</t>
        </is>
      </c>
      <c r="O26" s="4" t="inlineStr">
        <is>
          <t>FundosNet/B3; documento 686750; referência 2024-06-25; p. 61</t>
        </is>
      </c>
      <c r="P26" s="4" t="inlineStr">
        <is>
          <t>revisto — mínimo júnior localizado</t>
        </is>
      </c>
    </row>
    <row r="27">
      <c r="A27" s="2" t="n">
        <v>61</v>
      </c>
      <c r="B27" s="3" t="inlineStr">
        <is>
          <t>50473039000102</t>
        </is>
      </c>
      <c r="C27" s="4" t="inlineStr">
        <is>
          <t>SELLER FIDC SEGMENTO MEIOS DE PAGAMENTO DE RESPONSABILIDADE LIMITADA</t>
        </is>
      </c>
      <c r="D27" s="4" t="inlineStr">
        <is>
          <t>Financeiro</t>
        </is>
      </c>
      <c r="E27" s="4" t="inlineStr">
        <is>
          <t>Crédito Pessoal</t>
        </is>
      </c>
      <c r="F27" s="5" t="n">
        <v>3656.4</v>
      </c>
      <c r="G27" s="6" t="n">
        <v>51.34</v>
      </c>
      <c r="H27" s="6" t="n">
        <v>10</v>
      </c>
      <c r="I27" s="6" t="n"/>
      <c r="J27" s="7">
        <f>IF(OR(G27="",H27=""),"",G27-H27)</f>
        <v/>
      </c>
      <c r="K27" s="7">
        <f>IF(OR(G27="",I27=""),"",G27-I27)</f>
        <v/>
      </c>
      <c r="L27" s="2" t="inlineStr">
        <is>
          <t>909547</t>
        </is>
      </c>
      <c r="M27" s="2" t="inlineStr">
        <is>
          <t>2025-05-19</t>
        </is>
      </c>
      <c r="N27" s="2" t="inlineStr">
        <is>
          <t>99</t>
        </is>
      </c>
      <c r="O27" s="4" t="inlineStr">
        <is>
          <t>FundosNet/B3; documento 909547; referência 2025-05-19; p. 99</t>
        </is>
      </c>
      <c r="P27" s="4" t="inlineStr">
        <is>
          <t>revisto — mínimo júnior localizado</t>
        </is>
      </c>
    </row>
    <row r="28">
      <c r="A28" s="2" t="n">
        <v>62</v>
      </c>
      <c r="B28" s="3" t="inlineStr">
        <is>
          <t>62588266000154</t>
        </is>
      </c>
      <c r="C28" s="4" t="inlineStr">
        <is>
          <t>VTK FUNDO DE INVESTIMENTO EM DIREITOS CREDITÓRIOS RESPONSABILIDADE LIMITADA</t>
        </is>
      </c>
      <c r="D28" s="4" t="inlineStr">
        <is>
          <t>Financeiro</t>
        </is>
      </c>
      <c r="E28" s="4" t="inlineStr">
        <is>
          <t>Crédito Consignado</t>
        </is>
      </c>
      <c r="F28" s="5" t="n">
        <v>3085.1</v>
      </c>
      <c r="G28" s="6" t="n">
        <v>18.52</v>
      </c>
      <c r="H28" s="6" t="n">
        <v>5</v>
      </c>
      <c r="I28" s="6" t="n"/>
      <c r="J28" s="7">
        <f>IF(OR(G28="",H28=""),"",G28-H28)</f>
        <v/>
      </c>
      <c r="K28" s="7">
        <f>IF(OR(G28="",I28=""),"",G28-I28)</f>
        <v/>
      </c>
      <c r="L28" s="2" t="inlineStr">
        <is>
          <t>1002580</t>
        </is>
      </c>
      <c r="M28" s="2" t="inlineStr">
        <is>
          <t>2025-09-29</t>
        </is>
      </c>
      <c r="N28" s="2" t="inlineStr">
        <is>
          <t>35</t>
        </is>
      </c>
      <c r="O28" s="4" t="inlineStr">
        <is>
          <t>FundosNet/B3; documento 1002580; referência 2025-09-29; p. 35</t>
        </is>
      </c>
      <c r="P28" s="4" t="inlineStr">
        <is>
          <t>revisto — mínimo júnior localizado</t>
        </is>
      </c>
    </row>
    <row r="29">
      <c r="A29" s="2" t="n">
        <v>30</v>
      </c>
      <c r="B29" s="3" t="inlineStr">
        <is>
          <t>38376526000143</t>
        </is>
      </c>
      <c r="C29" s="4" t="inlineStr">
        <is>
          <t>HOTFUND FUNDO DE INVESTIMENTO EM DIREITOS CREDITÓRIOS SEGMENTO MEIOS DE PAGAMENTO DE RESPONSABILIDAD</t>
        </is>
      </c>
      <c r="D29" s="4" t="inlineStr">
        <is>
          <t>Financeiro</t>
        </is>
      </c>
      <c r="E29" s="4" t="inlineStr">
        <is>
          <t>Multicarteira Financeiro</t>
        </is>
      </c>
      <c r="F29" s="5" t="n">
        <v>1702.4</v>
      </c>
      <c r="G29" s="6" t="n">
        <v>76.42</v>
      </c>
      <c r="H29" s="6" t="n">
        <v>21</v>
      </c>
      <c r="I29" s="6" t="n"/>
      <c r="J29" s="7">
        <f>IF(OR(G29="",H29=""),"",G29-H29)</f>
        <v/>
      </c>
      <c r="K29" s="7">
        <f>IF(OR(G29="",I29=""),"",G29-I29)</f>
        <v/>
      </c>
      <c r="L29" s="2" t="inlineStr">
        <is>
          <t>948252</t>
        </is>
      </c>
      <c r="M29" s="2" t="inlineStr">
        <is>
          <t>2025-07-02</t>
        </is>
      </c>
      <c r="N29" s="2" t="inlineStr">
        <is>
          <t>68</t>
        </is>
      </c>
      <c r="O29" s="4" t="inlineStr">
        <is>
          <t>FundosNet/B3; documento 948252; referência 2025-07-02; p. 68</t>
        </is>
      </c>
      <c r="P29" s="4" t="inlineStr">
        <is>
          <t>revisto — mínimo júnior localizado</t>
        </is>
      </c>
    </row>
    <row r="30">
      <c r="A30" s="2" t="n">
        <v>60</v>
      </c>
      <c r="B30" s="3" t="inlineStr">
        <is>
          <t>57816252000100</t>
        </is>
      </c>
      <c r="C30" s="4" t="inlineStr">
        <is>
          <t>NATURA PAY FUNDO DE INVESTIMENTO EM DIREITOS CREDITÓRIOS CRÉDITO PESSOAL SOCIAL E IS RESP LTDA</t>
        </is>
      </c>
      <c r="D30" s="4" t="inlineStr">
        <is>
          <t>Financeiro</t>
        </is>
      </c>
      <c r="E30" s="4" t="inlineStr">
        <is>
          <t>Crédito Pessoal</t>
        </is>
      </c>
      <c r="F30" s="5" t="n">
        <v>1009.3</v>
      </c>
      <c r="G30" s="6" t="n">
        <v>28.34</v>
      </c>
      <c r="H30" s="6" t="n">
        <v>25.26</v>
      </c>
      <c r="I30" s="6" t="n">
        <v>25.26</v>
      </c>
      <c r="J30" s="7">
        <f>IF(OR(G30="",H30=""),"",G30-H30)</f>
        <v/>
      </c>
      <c r="K30" s="7">
        <f>IF(OR(G30="",I30=""),"",G30-I30)</f>
        <v/>
      </c>
      <c r="L30" s="2" t="inlineStr">
        <is>
          <t>1182394</t>
        </is>
      </c>
      <c r="M30" s="2" t="inlineStr">
        <is>
          <t>2026-05-07</t>
        </is>
      </c>
      <c r="N30" s="2" t="inlineStr">
        <is>
          <t>28; 68</t>
        </is>
      </c>
      <c r="O30" s="4" t="inlineStr">
        <is>
          <t>FundosNet/B3; documento 1182394; referência 2026-05-07; p. 28; 68</t>
        </is>
      </c>
      <c r="P30" s="4" t="inlineStr">
        <is>
          <t>revisto — mínimo júnior localizado</t>
        </is>
      </c>
    </row>
    <row r="31">
      <c r="A31" s="2" t="n">
        <v>2</v>
      </c>
      <c r="B31" s="3" t="inlineStr">
        <is>
          <t>54810968000102</t>
        </is>
      </c>
      <c r="C31" s="4" t="inlineStr">
        <is>
          <t>ANGÁ FGTS III FUNDO DE INVESTIMENTO EM DIREITOS CREDITÓRIOS</t>
        </is>
      </c>
      <c r="D31" s="4" t="inlineStr">
        <is>
          <t>Financeiro</t>
        </is>
      </c>
      <c r="E31" s="4" t="inlineStr">
        <is>
          <t>Crédito Pessoal</t>
        </is>
      </c>
      <c r="F31" s="5" t="n">
        <v>965.3</v>
      </c>
      <c r="G31" s="6" t="n">
        <v>16.14</v>
      </c>
      <c r="H31" s="6" t="n">
        <v>5</v>
      </c>
      <c r="I31" s="6" t="n"/>
      <c r="J31" s="7">
        <f>IF(OR(G31="",H31=""),"",G31-H31)</f>
        <v/>
      </c>
      <c r="K31" s="7">
        <f>IF(OR(G31="",I31=""),"",G31-I31)</f>
        <v/>
      </c>
      <c r="L31" s="2" t="inlineStr">
        <is>
          <t>937760</t>
        </is>
      </c>
      <c r="M31" s="2" t="inlineStr">
        <is>
          <t>2025-04-22</t>
        </is>
      </c>
      <c r="N31" s="2" t="inlineStr">
        <is>
          <t>16</t>
        </is>
      </c>
      <c r="O31" s="4" t="inlineStr">
        <is>
          <t>FundosNet/B3; documento 937760; referência 2025-04-22; p. 16</t>
        </is>
      </c>
      <c r="P31" s="4" t="inlineStr">
        <is>
          <t>revisto — mínimo júnior localizado</t>
        </is>
      </c>
    </row>
    <row r="32">
      <c r="A32" s="2" t="n">
        <v>93</v>
      </c>
      <c r="B32" s="3" t="inlineStr">
        <is>
          <t>61288838000117</t>
        </is>
      </c>
      <c r="C32" s="4" t="inlineStr">
        <is>
          <t>IFOOD PAGO CRÉDITO III FUNDO DE INVESTIMENTO EM DIREITOS CREDITÓRIOS FINANCEIRO RESP. LIMITADA</t>
        </is>
      </c>
      <c r="D32" s="4" t="inlineStr">
        <is>
          <t>Financeiro</t>
        </is>
      </c>
      <c r="E32" s="4" t="inlineStr">
        <is>
          <t>Multicarteira Financeiro</t>
        </is>
      </c>
      <c r="F32" s="5" t="n">
        <v>722.5</v>
      </c>
      <c r="G32" s="6" t="n">
        <v>30.31</v>
      </c>
      <c r="H32" s="6" t="n">
        <v>15</v>
      </c>
      <c r="I32" s="6" t="n"/>
      <c r="J32" s="7">
        <f>IF(OR(G32="",H32=""),"",G32-H32)</f>
        <v/>
      </c>
      <c r="K32" s="7">
        <f>IF(OR(G32="",I32=""),"",G32-I32)</f>
        <v/>
      </c>
      <c r="L32" s="2" t="inlineStr">
        <is>
          <t>1240846</t>
        </is>
      </c>
      <c r="M32" s="2" t="inlineStr">
        <is>
          <t>2026-07-03</t>
        </is>
      </c>
      <c r="N32" s="2" t="inlineStr">
        <is>
          <t>114</t>
        </is>
      </c>
      <c r="O32" s="4" t="inlineStr">
        <is>
          <t>FundosNet/B3; documento 1240846; referência 2026-07-03; p. 114</t>
        </is>
      </c>
      <c r="P32" s="4" t="inlineStr">
        <is>
          <t>revisto — mínimo júnior localizado</t>
        </is>
      </c>
    </row>
    <row r="33">
      <c r="A33" s="2" t="n">
        <v>85</v>
      </c>
      <c r="B33" s="3" t="inlineStr">
        <is>
          <t>54464892000100</t>
        </is>
      </c>
      <c r="C33" s="4" t="inlineStr">
        <is>
          <t>FUNDO DE INVESTIMENTO EM DIREITOS CREDITÓRIOS MT FGTS RECEIVABLES II</t>
        </is>
      </c>
      <c r="D33" s="4" t="inlineStr">
        <is>
          <t>Financeiro</t>
        </is>
      </c>
      <c r="E33" s="4" t="inlineStr">
        <is>
          <t>Crédito Pessoal</t>
        </is>
      </c>
      <c r="F33" s="5" t="n">
        <v>697.5</v>
      </c>
      <c r="G33" s="6" t="n">
        <v>19.36</v>
      </c>
      <c r="H33" s="6" t="n">
        <v>3.5</v>
      </c>
      <c r="I33" s="6" t="n"/>
      <c r="J33" s="7">
        <f>IF(OR(G33="",H33=""),"",G33-H33)</f>
        <v/>
      </c>
      <c r="K33" s="7">
        <f>IF(OR(G33="",I33=""),"",G33-I33)</f>
        <v/>
      </c>
      <c r="L33" s="2" t="inlineStr">
        <is>
          <t>884293</t>
        </is>
      </c>
      <c r="M33" s="2" t="inlineStr">
        <is>
          <t>2025-04-23</t>
        </is>
      </c>
      <c r="N33" s="2" t="inlineStr">
        <is>
          <t>85–86</t>
        </is>
      </c>
      <c r="O33" s="4" t="inlineStr">
        <is>
          <t>FundosNet/B3; documento 884293; referência 2025-04-23; p. 85–86</t>
        </is>
      </c>
      <c r="P33" s="4" t="inlineStr">
        <is>
          <t>revisto — mínimo júnior localizado</t>
        </is>
      </c>
    </row>
    <row r="34">
      <c r="A34" s="2" t="n">
        <v>32</v>
      </c>
      <c r="B34" s="3" t="inlineStr">
        <is>
          <t>41197066000109</t>
        </is>
      </c>
      <c r="C34" s="4" t="inlineStr">
        <is>
          <t>IFOOD PAGO CRÉDITO I FUNDO DE INVESTIMENTO EM DIREITOS CREDITÓRIOS FINANCEIRO DE RESP LIMITADA</t>
        </is>
      </c>
      <c r="D34" s="4" t="inlineStr">
        <is>
          <t>Financeiro</t>
        </is>
      </c>
      <c r="E34" s="4" t="inlineStr">
        <is>
          <t>Crédito Pessoal</t>
        </is>
      </c>
      <c r="F34" s="5" t="n">
        <v>657.1</v>
      </c>
      <c r="G34" s="6" t="n">
        <v>36.46</v>
      </c>
      <c r="H34" s="6" t="n">
        <v>10</v>
      </c>
      <c r="I34" s="6" t="n"/>
      <c r="J34" s="7">
        <f>IF(OR(G34="",H34=""),"",G34-H34)</f>
        <v/>
      </c>
      <c r="K34" s="7">
        <f>IF(OR(G34="",I34=""),"",G34-I34)</f>
        <v/>
      </c>
      <c r="L34" s="2" t="inlineStr">
        <is>
          <t>1076481</t>
        </is>
      </c>
      <c r="M34" s="2" t="inlineStr">
        <is>
          <t>2025-12-30</t>
        </is>
      </c>
      <c r="N34" s="2" t="inlineStr">
        <is>
          <t>89</t>
        </is>
      </c>
      <c r="O34" s="4" t="inlineStr">
        <is>
          <t>FundosNet/B3; documento 1076481; referência 2025-12-30; p. 89</t>
        </is>
      </c>
      <c r="P34" s="4" t="inlineStr">
        <is>
          <t>revisto — mínimo júnior localizado</t>
        </is>
      </c>
    </row>
    <row r="35">
      <c r="A35" s="2" t="n">
        <v>88</v>
      </c>
      <c r="B35" s="3" t="inlineStr">
        <is>
          <t>58152340000118</t>
        </is>
      </c>
      <c r="C35" s="4" t="inlineStr">
        <is>
          <t>MONEE II FUNDO DE INVESTIMENTO EM DIREITOS CREDITÓRIOS SEGMENTO FINANCEIRO - RESP. LIMITADA</t>
        </is>
      </c>
      <c r="D35" s="4" t="inlineStr">
        <is>
          <t>Financeiro</t>
        </is>
      </c>
      <c r="E35" s="4" t="inlineStr">
        <is>
          <t>Crédito Pessoal</t>
        </is>
      </c>
      <c r="F35" s="5" t="n">
        <v>442.2</v>
      </c>
      <c r="G35" s="6" t="n">
        <v>40.59</v>
      </c>
      <c r="H35" s="6" t="n">
        <v>30</v>
      </c>
      <c r="I35" s="6" t="n">
        <v>30</v>
      </c>
      <c r="J35" s="7">
        <f>IF(OR(G35="",H35=""),"",G35-H35)</f>
        <v/>
      </c>
      <c r="K35" s="7">
        <f>IF(OR(G35="",I35=""),"",G35-I35)</f>
        <v/>
      </c>
      <c r="L35" s="2" t="inlineStr">
        <is>
          <t>1191019</t>
        </is>
      </c>
      <c r="M35" s="2" t="inlineStr">
        <is>
          <t>2026-05-14</t>
        </is>
      </c>
      <c r="N35" s="2" t="inlineStr">
        <is>
          <t>105</t>
        </is>
      </c>
      <c r="O35" s="4" t="inlineStr">
        <is>
          <t>FundosNet/B3; documento 1191019; referência 2026-05-14; p. 105</t>
        </is>
      </c>
      <c r="P35" s="4" t="inlineStr">
        <is>
          <t>revisto — mínimo júnior localizado</t>
        </is>
      </c>
    </row>
    <row r="36">
      <c r="A36" s="2" t="n">
        <v>83</v>
      </c>
      <c r="B36" s="3" t="inlineStr">
        <is>
          <t>57028406000108</t>
        </is>
      </c>
      <c r="C36" s="4" t="inlineStr">
        <is>
          <t>IS GREEN SOLFÁCIL VI FUNDO DE INVESTIMENTO EM DIREITOS CREDITÓRIOS RESPONSABILIDADE LIMITADA</t>
        </is>
      </c>
      <c r="D36" s="4" t="inlineStr">
        <is>
          <t>Financeiro</t>
        </is>
      </c>
      <c r="E36" s="4" t="inlineStr">
        <is>
          <t>Crédito Pessoal</t>
        </is>
      </c>
      <c r="F36" s="5" t="n">
        <v>437.4</v>
      </c>
      <c r="G36" s="6" t="n">
        <v>26.61</v>
      </c>
      <c r="H36" s="6" t="n">
        <v>2</v>
      </c>
      <c r="I36" s="6" t="n"/>
      <c r="J36" s="7">
        <f>IF(OR(G36="",H36=""),"",G36-H36)</f>
        <v/>
      </c>
      <c r="K36" s="7">
        <f>IF(OR(G36="",I36=""),"",G36-I36)</f>
        <v/>
      </c>
      <c r="L36" s="2" t="inlineStr">
        <is>
          <t>1202319</t>
        </is>
      </c>
      <c r="M36" s="2" t="inlineStr">
        <is>
          <t>2026-05-21</t>
        </is>
      </c>
      <c r="N36" s="2" t="inlineStr">
        <is>
          <t>112</t>
        </is>
      </c>
      <c r="O36" s="4" t="inlineStr">
        <is>
          <t>FundosNet/B3; documento 1202319; referência 2026-05-21; p. 112</t>
        </is>
      </c>
      <c r="P36" s="4" t="inlineStr">
        <is>
          <t>revisto — mínimo júnior localizado</t>
        </is>
      </c>
    </row>
    <row r="37">
      <c r="A37" s="2" t="n">
        <v>87</v>
      </c>
      <c r="B37" s="3" t="inlineStr">
        <is>
          <t>43193260000133</t>
        </is>
      </c>
      <c r="C37" s="4" t="inlineStr">
        <is>
          <t>RESIDENCE CLUB FUNDO DE INVESTIMENTO EM DIREITOS CREDITÓRIOS</t>
        </is>
      </c>
      <c r="D37" s="4" t="inlineStr">
        <is>
          <t>Financeiro</t>
        </is>
      </c>
      <c r="E37" s="4" t="inlineStr">
        <is>
          <t>Crédito Imobiliário</t>
        </is>
      </c>
      <c r="F37" s="5" t="n">
        <v>403.4</v>
      </c>
      <c r="G37" s="6" t="n">
        <v>69.06999999999999</v>
      </c>
      <c r="H37" s="6" t="n">
        <v>15</v>
      </c>
      <c r="I37" s="6" t="n">
        <v>50</v>
      </c>
      <c r="J37" s="7">
        <f>IF(OR(G37="",H37=""),"",G37-H37)</f>
        <v/>
      </c>
      <c r="K37" s="7">
        <f>IF(OR(G37="",I37=""),"",G37-I37)</f>
        <v/>
      </c>
      <c r="L37" s="2" t="inlineStr">
        <is>
          <t>1044387</t>
        </is>
      </c>
      <c r="M37" s="2" t="inlineStr">
        <is>
          <t>2025-11-17</t>
        </is>
      </c>
      <c r="N37" s="2" t="inlineStr">
        <is>
          <t>26</t>
        </is>
      </c>
      <c r="O37" s="4" t="inlineStr">
        <is>
          <t>FundosNet/B3; documento 1044387; referência 2025-11-17; p. 26</t>
        </is>
      </c>
      <c r="P37" s="4" t="inlineStr">
        <is>
          <t>revisto — mínimo júnior localizado</t>
        </is>
      </c>
    </row>
    <row r="38">
      <c r="A38" s="2" t="n">
        <v>80</v>
      </c>
      <c r="B38" s="3" t="inlineStr">
        <is>
          <t>26749095000134</t>
        </is>
      </c>
      <c r="C38" s="4" t="inlineStr">
        <is>
          <t>PRAVALER CRÉDITO UNIVERSITÁRIO II FUNDO DE INVESTIMENTO EM DIREITOS CREDITÓRIOS - RESP LIMITADAL</t>
        </is>
      </c>
      <c r="D38" s="4" t="inlineStr">
        <is>
          <t>Financeiro</t>
        </is>
      </c>
      <c r="E38" s="4" t="inlineStr">
        <is>
          <t>Crédito Pessoal</t>
        </is>
      </c>
      <c r="F38" s="5" t="n">
        <v>392.9</v>
      </c>
      <c r="G38" s="6" t="n">
        <v>25.69</v>
      </c>
      <c r="H38" s="6" t="n">
        <v>10</v>
      </c>
      <c r="I38" s="6" t="n"/>
      <c r="J38" s="7">
        <f>IF(OR(G38="",H38=""),"",G38-H38)</f>
        <v/>
      </c>
      <c r="K38" s="7">
        <f>IF(OR(G38="",I38=""),"",G38-I38)</f>
        <v/>
      </c>
      <c r="L38" s="2" t="inlineStr">
        <is>
          <t>1061833</t>
        </is>
      </c>
      <c r="M38" s="2" t="inlineStr">
        <is>
          <t>2025-11-19</t>
        </is>
      </c>
      <c r="N38" s="2" t="inlineStr">
        <is>
          <t>152</t>
        </is>
      </c>
      <c r="O38" s="4" t="inlineStr">
        <is>
          <t>FundosNet/B3; documento 1061833; referência 2025-11-19; p. 152</t>
        </is>
      </c>
      <c r="P38" s="4" t="inlineStr">
        <is>
          <t>revisto — mínimo júnior localizado</t>
        </is>
      </c>
    </row>
    <row r="39">
      <c r="A39" s="2" t="n">
        <v>82</v>
      </c>
      <c r="B39" s="3" t="inlineStr">
        <is>
          <t>47640584000123</t>
        </is>
      </c>
      <c r="C39" s="4" t="inlineStr">
        <is>
          <t>SOL AGORA GREEN ESG FIDC IS SEGMENTO FINANCEIRO DE RESPONSABILIDADE LIMITADA</t>
        </is>
      </c>
      <c r="D39" s="4" t="inlineStr">
        <is>
          <t>Financeiro</t>
        </is>
      </c>
      <c r="E39" s="4" t="inlineStr">
        <is>
          <t>Crédito Pessoal</t>
        </is>
      </c>
      <c r="F39" s="5" t="n">
        <v>285.1</v>
      </c>
      <c r="G39" s="6" t="n">
        <v>30.43</v>
      </c>
      <c r="H39" s="6" t="n">
        <v>10</v>
      </c>
      <c r="I39" s="6" t="n"/>
      <c r="J39" s="7">
        <f>IF(OR(G39="",H39=""),"",G39-H39)</f>
        <v/>
      </c>
      <c r="K39" s="7">
        <f>IF(OR(G39="",I39=""),"",G39-I39)</f>
        <v/>
      </c>
      <c r="L39" s="2" t="inlineStr">
        <is>
          <t>930974</t>
        </is>
      </c>
      <c r="M39" s="2" t="inlineStr">
        <is>
          <t>2025-06-13</t>
        </is>
      </c>
      <c r="N39" s="2" t="inlineStr">
        <is>
          <t>91</t>
        </is>
      </c>
      <c r="O39" s="4" t="inlineStr">
        <is>
          <t>FundosNet/B3; documento 930974; referência 2025-06-13; p. 91</t>
        </is>
      </c>
      <c r="P39" s="4" t="inlineStr">
        <is>
          <t>revisto — mínimo júnior localizado</t>
        </is>
      </c>
    </row>
    <row r="40">
      <c r="A40" s="2" t="n">
        <v>7</v>
      </c>
      <c r="B40" s="3" t="inlineStr">
        <is>
          <t>53577135000180</t>
        </is>
      </c>
      <c r="C40" s="4" t="inlineStr">
        <is>
          <t>ANGÁ FGTS II FUNDO DE INVESTIMENTO EM DIREITOS CREDITÓRIOS - RESPONSABILIDADE LIMITADA</t>
        </is>
      </c>
      <c r="D40" s="4" t="inlineStr">
        <is>
          <t>Financeiro</t>
        </is>
      </c>
      <c r="E40" s="4" t="inlineStr">
        <is>
          <t>Crédito Pessoal</t>
        </is>
      </c>
      <c r="F40" s="5" t="n">
        <v>249.7</v>
      </c>
      <c r="G40" s="6" t="n">
        <v>22</v>
      </c>
      <c r="H40" s="6" t="n">
        <v>15</v>
      </c>
      <c r="I40" s="6" t="n"/>
      <c r="J40" s="7">
        <f>IF(OR(G40="",H40=""),"",G40-H40)</f>
        <v/>
      </c>
      <c r="K40" s="7">
        <f>IF(OR(G40="",I40=""),"",G40-I40)</f>
        <v/>
      </c>
      <c r="L40" s="2" t="inlineStr">
        <is>
          <t>1224059</t>
        </is>
      </c>
      <c r="M40" s="2" t="inlineStr">
        <is>
          <t>2026-06-18</t>
        </is>
      </c>
      <c r="N40" s="2" t="inlineStr">
        <is>
          <t>17</t>
        </is>
      </c>
      <c r="O40" s="4" t="inlineStr">
        <is>
          <t>FundosNet/B3; documento 1224059; referência 2026-06-18; p. 17</t>
        </is>
      </c>
      <c r="P40" s="4" t="inlineStr">
        <is>
          <t>revisto — mínimo júnior localizado</t>
        </is>
      </c>
    </row>
    <row r="41">
      <c r="A41" s="2" t="n">
        <v>44</v>
      </c>
      <c r="B41" s="3" t="inlineStr">
        <is>
          <t>55401645000128</t>
        </is>
      </c>
      <c r="C41" s="4" t="inlineStr">
        <is>
          <t>QUATÁ FDC FGTS FUNDO DE INVESTIMENTO EM DIREITOS CREDITÓRIOS</t>
        </is>
      </c>
      <c r="D41" s="4" t="inlineStr">
        <is>
          <t>Financeiro</t>
        </is>
      </c>
      <c r="E41" s="4" t="inlineStr">
        <is>
          <t>Crédito Pessoal</t>
        </is>
      </c>
      <c r="F41" s="5" t="n">
        <v>225</v>
      </c>
      <c r="G41" s="6" t="n">
        <v>17.33</v>
      </c>
      <c r="H41" s="6" t="n">
        <v>3</v>
      </c>
      <c r="I41" s="6" t="n"/>
      <c r="J41" s="7">
        <f>IF(OR(G41="",H41=""),"",G41-H41)</f>
        <v/>
      </c>
      <c r="K41" s="7">
        <f>IF(OR(G41="",I41=""),"",G41-I41)</f>
        <v/>
      </c>
      <c r="L41" s="2" t="inlineStr">
        <is>
          <t>1051890</t>
        </is>
      </c>
      <c r="M41" s="2" t="inlineStr">
        <is>
          <t>2025-12-01</t>
        </is>
      </c>
      <c r="N41" s="2" t="inlineStr">
        <is>
          <t>17</t>
        </is>
      </c>
      <c r="O41" s="4" t="inlineStr">
        <is>
          <t>FundosNet/B3; documento 1051890; referência 2025-12-01; p. 17</t>
        </is>
      </c>
      <c r="P41" s="4" t="inlineStr">
        <is>
          <t>revisto — mínimo júnior localizado</t>
        </is>
      </c>
    </row>
    <row r="42">
      <c r="A42" s="2" t="n">
        <v>15</v>
      </c>
      <c r="B42" s="3" t="inlineStr">
        <is>
          <t>54252144000164</t>
        </is>
      </c>
      <c r="C42" s="4" t="inlineStr">
        <is>
          <t>J17 FGTS FUNDO DE INVESTIMENTO EM DIREITOS CREDITÓRIOS FINANCEIRO - RESPONSABILIDADE LIMITADA</t>
        </is>
      </c>
      <c r="D42" s="4" t="inlineStr">
        <is>
          <t>Financeiro</t>
        </is>
      </c>
      <c r="E42" s="4" t="inlineStr">
        <is>
          <t>Crédito Pessoal</t>
        </is>
      </c>
      <c r="F42" s="5" t="n">
        <v>213.6</v>
      </c>
      <c r="G42" s="6" t="n">
        <v>15.03</v>
      </c>
      <c r="H42" s="6" t="n">
        <v>5</v>
      </c>
      <c r="I42" s="6" t="n"/>
      <c r="J42" s="7">
        <f>IF(OR(G42="",H42=""),"",G42-H42)</f>
        <v/>
      </c>
      <c r="K42" s="7">
        <f>IF(OR(G42="",I42=""),"",G42-I42)</f>
        <v/>
      </c>
      <c r="L42" s="2" t="inlineStr">
        <is>
          <t>1223382</t>
        </is>
      </c>
      <c r="M42" s="2" t="inlineStr">
        <is>
          <t>2026-06-08</t>
        </is>
      </c>
      <c r="N42" s="2" t="inlineStr">
        <is>
          <t>109</t>
        </is>
      </c>
      <c r="O42" s="4" t="inlineStr">
        <is>
          <t>FundosNet/B3; documento 1223382; referência 2026-06-08; p. 109</t>
        </is>
      </c>
      <c r="P42" s="4" t="inlineStr">
        <is>
          <t>revisto — mínimo júnior localizado</t>
        </is>
      </c>
    </row>
    <row r="43">
      <c r="A43" s="2" t="n">
        <v>94</v>
      </c>
      <c r="B43" s="3" t="inlineStr">
        <is>
          <t>30035329000159</t>
        </is>
      </c>
      <c r="C43" s="4" t="inlineStr">
        <is>
          <t>VIA INVEST II FUNDO DE INVESTIMENTO EM DIREITOS CREDITÓRIOS RESPONSABILIDADE LIMITADA</t>
        </is>
      </c>
      <c r="D43" s="4" t="inlineStr">
        <is>
          <t>Financeiro</t>
        </is>
      </c>
      <c r="E43" s="4" t="inlineStr">
        <is>
          <t>Crédito Consignado</t>
        </is>
      </c>
      <c r="F43" s="5" t="n">
        <v>202.9</v>
      </c>
      <c r="G43" s="6" t="n">
        <v>47.42</v>
      </c>
      <c r="H43" s="6" t="n">
        <v>15</v>
      </c>
      <c r="I43" s="6" t="n"/>
      <c r="J43" s="7">
        <f>IF(OR(G43="",H43=""),"",G43-H43)</f>
        <v/>
      </c>
      <c r="K43" s="7">
        <f>IF(OR(G43="",I43=""),"",G43-I43)</f>
        <v/>
      </c>
      <c r="L43" s="2" t="inlineStr">
        <is>
          <t>998769</t>
        </is>
      </c>
      <c r="M43" s="2" t="inlineStr">
        <is>
          <t>2025-09-22</t>
        </is>
      </c>
      <c r="N43" s="2" t="inlineStr">
        <is>
          <t>44; 64</t>
        </is>
      </c>
      <c r="O43" s="4" t="inlineStr">
        <is>
          <t>FundosNet/B3; documento 998769; referência 2025-09-22; p. 44; 64</t>
        </is>
      </c>
      <c r="P43" s="4" t="inlineStr">
        <is>
          <t>revisto — mínimo júnior localizado</t>
        </is>
      </c>
    </row>
    <row r="44">
      <c r="A44" s="2" t="n">
        <v>63</v>
      </c>
      <c r="B44" s="3" t="inlineStr">
        <is>
          <t>50988212000105</t>
        </is>
      </c>
      <c r="C44" s="4" t="inlineStr">
        <is>
          <t>CARTÃO DE COMPRA SUPPLIER FUNDO DE INVESTIMENTO EM DIREITOS CREDITÓRIOS II-RESPONSABILIDADE LIMITADA</t>
        </is>
      </c>
      <c r="D44" s="4" t="inlineStr">
        <is>
          <t>Financeiro</t>
        </is>
      </c>
      <c r="E44" s="4" t="inlineStr">
        <is>
          <t>Crédito Pessoal</t>
        </is>
      </c>
      <c r="F44" s="5" t="n">
        <v>193.6</v>
      </c>
      <c r="G44" s="6" t="n">
        <v>7.03</v>
      </c>
      <c r="H44" s="6" t="n">
        <v>4.5</v>
      </c>
      <c r="I44" s="6" t="n"/>
      <c r="J44" s="7">
        <f>IF(OR(G44="",H44=""),"",G44-H44)</f>
        <v/>
      </c>
      <c r="K44" s="7">
        <f>IF(OR(G44="",I44=""),"",G44-I44)</f>
        <v/>
      </c>
      <c r="L44" s="2" t="inlineStr">
        <is>
          <t>1013021</t>
        </is>
      </c>
      <c r="M44" s="2" t="inlineStr">
        <is>
          <t>2024-11-14</t>
        </is>
      </c>
      <c r="N44" s="2" t="inlineStr">
        <is>
          <t>29; 62</t>
        </is>
      </c>
      <c r="O44" s="4" t="inlineStr">
        <is>
          <t>FundosNet/B3; documento 1013021; referência 2024-11-14; p. 29; 62</t>
        </is>
      </c>
      <c r="P44" s="4" t="inlineStr">
        <is>
          <t>revisto — mínimo júnior localizado</t>
        </is>
      </c>
    </row>
    <row r="45">
      <c r="A45" s="2" t="n">
        <v>101</v>
      </c>
      <c r="B45" s="3" t="inlineStr">
        <is>
          <t>49113994000141</t>
        </is>
      </c>
      <c r="C45" s="4" t="inlineStr">
        <is>
          <t>FUNDO DE INVESTIMENTO EM DIREITOS CREDITÓRIOS CAP - RESPONSABILIDADE LIMITADA</t>
        </is>
      </c>
      <c r="D45" s="4" t="inlineStr">
        <is>
          <t>Financeiro</t>
        </is>
      </c>
      <c r="E45" s="4" t="inlineStr">
        <is>
          <t>Crédito Pessoal</t>
        </is>
      </c>
      <c r="F45" s="5" t="n">
        <v>99.3</v>
      </c>
      <c r="G45" s="6" t="n">
        <v>44.09</v>
      </c>
      <c r="H45" s="6" t="n">
        <v>14</v>
      </c>
      <c r="I45" s="6" t="n"/>
      <c r="J45" s="7">
        <f>IF(OR(G45="",H45=""),"",G45-H45)</f>
        <v/>
      </c>
      <c r="K45" s="7">
        <f>IF(OR(G45="",I45=""),"",G45-I45)</f>
        <v/>
      </c>
      <c r="L45" s="2" t="inlineStr">
        <is>
          <t>788104</t>
        </is>
      </c>
      <c r="M45" s="2" t="inlineStr">
        <is>
          <t>2024-11-22</t>
        </is>
      </c>
      <c r="N45" s="2" t="inlineStr">
        <is>
          <t>53</t>
        </is>
      </c>
      <c r="O45" s="4" t="inlineStr">
        <is>
          <t>FundosNet/B3; documento 788104; referência 2024-11-22; p. 53</t>
        </is>
      </c>
      <c r="P45" s="4" t="inlineStr">
        <is>
          <t>revisto — mínimo júnior localizado</t>
        </is>
      </c>
    </row>
    <row r="46">
      <c r="A46" s="2" t="n">
        <v>66</v>
      </c>
      <c r="B46" s="3" t="inlineStr">
        <is>
          <t>54559035000194</t>
        </is>
      </c>
      <c r="C46" s="4" t="inlineStr">
        <is>
          <t>ESTRATÉGIA VINCULADA I FUNDO DE INVESTIMENTO EM DIREITOS CREDITÓRIOS - RESPONSABILIDADE LIMITADA</t>
        </is>
      </c>
      <c r="D46" s="4" t="inlineStr">
        <is>
          <t>Financeiro</t>
        </is>
      </c>
      <c r="E46" s="4" t="inlineStr">
        <is>
          <t>Multicarteira Financeiro</t>
        </is>
      </c>
      <c r="F46" s="5" t="n">
        <v>98</v>
      </c>
      <c r="G46" s="6" t="n">
        <v>12.78</v>
      </c>
      <c r="H46" s="6" t="n">
        <v>10</v>
      </c>
      <c r="I46" s="6" t="n">
        <v>10</v>
      </c>
      <c r="J46" s="7">
        <f>IF(OR(G46="",H46=""),"",G46-H46)</f>
        <v/>
      </c>
      <c r="K46" s="7">
        <f>IF(OR(G46="",I46=""),"",G46-I46)</f>
        <v/>
      </c>
      <c r="L46" s="2" t="inlineStr">
        <is>
          <t>634463</t>
        </is>
      </c>
      <c r="M46" s="2" t="inlineStr">
        <is>
          <t>2024-04-05</t>
        </is>
      </c>
      <c r="N46" s="2" t="inlineStr">
        <is>
          <t>50</t>
        </is>
      </c>
      <c r="O46" s="4" t="inlineStr">
        <is>
          <t>FundosNet/B3; documento 634463; referência 2024-04-05; p. 50</t>
        </is>
      </c>
      <c r="P46" s="4" t="inlineStr">
        <is>
          <t>revisto — mínimo júnior localizado</t>
        </is>
      </c>
    </row>
    <row r="47">
      <c r="A47" s="2" t="n">
        <v>1</v>
      </c>
      <c r="B47" s="3" t="inlineStr">
        <is>
          <t>42462306000100</t>
        </is>
      </c>
      <c r="C47" s="4" t="inlineStr">
        <is>
          <t>IS GREEN SOLFÁCIL II FUNDO DE INVESTIMENTO EM DIREITOS CREDITÓRIOS DE RESPONSABILIDADE LIMITADA</t>
        </is>
      </c>
      <c r="D47" s="4" t="inlineStr">
        <is>
          <t>Financeiro</t>
        </is>
      </c>
      <c r="E47" s="4" t="inlineStr">
        <is>
          <t>Crédito Pessoal</t>
        </is>
      </c>
      <c r="F47" s="5" t="n">
        <v>96.09999999999999</v>
      </c>
      <c r="G47" s="6" t="n">
        <v>24.74</v>
      </c>
      <c r="H47" s="6" t="n">
        <v>4.5</v>
      </c>
      <c r="I47" s="6" t="n"/>
      <c r="J47" s="7">
        <f>IF(OR(G47="",H47=""),"",G47-H47)</f>
        <v/>
      </c>
      <c r="K47" s="7">
        <f>IF(OR(G47="",I47=""),"",G47-I47)</f>
        <v/>
      </c>
      <c r="L47" s="2" t="inlineStr">
        <is>
          <t>896879</t>
        </is>
      </c>
      <c r="M47" s="2" t="inlineStr">
        <is>
          <t>2025-05-05</t>
        </is>
      </c>
      <c r="N47" s="2" t="inlineStr">
        <is>
          <t>12</t>
        </is>
      </c>
      <c r="O47" s="4" t="inlineStr">
        <is>
          <t>FundosNet/B3; documento 896879; referência 2025-05-05; p. 12</t>
        </is>
      </c>
      <c r="P47" s="4" t="inlineStr">
        <is>
          <t>revisto — mínimo júnior localizado</t>
        </is>
      </c>
    </row>
    <row r="48">
      <c r="A48" s="2" t="n">
        <v>3</v>
      </c>
      <c r="B48" s="3" t="inlineStr">
        <is>
          <t>53270983000142</t>
        </is>
      </c>
      <c r="C48" s="4" t="inlineStr">
        <is>
          <t>ANGÁ FGTS +AG FUNDO DE INVESTIMENTO EM DIREITOS CREDITÓRIOS - RESPONSABILIDADE LIMITADA</t>
        </is>
      </c>
      <c r="D48" s="4" t="inlineStr">
        <is>
          <t>Financeiro</t>
        </is>
      </c>
      <c r="E48" s="4" t="inlineStr">
        <is>
          <t>Crédito Pessoal</t>
        </is>
      </c>
      <c r="F48" s="5" t="n">
        <v>71.09999999999999</v>
      </c>
      <c r="G48" s="6" t="n">
        <v>20.21</v>
      </c>
      <c r="H48" s="6" t="n">
        <v>8</v>
      </c>
      <c r="I48" s="6" t="n"/>
      <c r="J48" s="7">
        <f>IF(OR(G48="",H48=""),"",G48-H48)</f>
        <v/>
      </c>
      <c r="K48" s="7">
        <f>IF(OR(G48="",I48=""),"",G48-I48)</f>
        <v/>
      </c>
      <c r="L48" s="2" t="inlineStr">
        <is>
          <t>881263</t>
        </is>
      </c>
      <c r="M48" s="2" t="inlineStr">
        <is>
          <t>2025-04-03</t>
        </is>
      </c>
      <c r="N48" s="2" t="inlineStr">
        <is>
          <t>14</t>
        </is>
      </c>
      <c r="O48" s="4" t="inlineStr">
        <is>
          <t>FundosNet/B3; documento 881263; referência 2025-04-03; p. 14</t>
        </is>
      </c>
      <c r="P48" s="4" t="inlineStr">
        <is>
          <t>revisto — mínimo júnior localizado</t>
        </is>
      </c>
    </row>
    <row r="49">
      <c r="A49" s="2" t="n">
        <v>14</v>
      </c>
      <c r="B49" s="3" t="inlineStr">
        <is>
          <t>44173467000109</t>
        </is>
      </c>
      <c r="C49" s="4" t="inlineStr">
        <is>
          <t>MT INSS RECEIVABLES III FUNDO DE INVESTIMENTO EM DIREITOS CREDITÓRIOS RESPONSABILIDADE</t>
        </is>
      </c>
      <c r="D49" s="4" t="inlineStr">
        <is>
          <t>Financeiro</t>
        </is>
      </c>
      <c r="E49" s="4" t="inlineStr">
        <is>
          <t>Crédito Consignado</t>
        </is>
      </c>
      <c r="F49" s="5" t="n">
        <v>33.3</v>
      </c>
      <c r="G49" s="6" t="n">
        <v>11.13</v>
      </c>
      <c r="H49" s="6" t="n">
        <v>1</v>
      </c>
      <c r="I49" s="6" t="n">
        <v>10</v>
      </c>
      <c r="J49" s="7">
        <f>IF(OR(G49="",H49=""),"",G49-H49)</f>
        <v/>
      </c>
      <c r="K49" s="7">
        <f>IF(OR(G49="",I49=""),"",G49-I49)</f>
        <v/>
      </c>
      <c r="L49" s="2" t="inlineStr">
        <is>
          <t>791513</t>
        </is>
      </c>
      <c r="M49" s="2" t="inlineStr">
        <is>
          <t>2024-11-28</t>
        </is>
      </c>
      <c r="N49" s="2" t="inlineStr">
        <is>
          <t>19</t>
        </is>
      </c>
      <c r="O49" s="4" t="inlineStr">
        <is>
          <t>FundosNet/B3; documento 791513; referência 2024-11-28; p. 19</t>
        </is>
      </c>
      <c r="P49" s="4" t="inlineStr">
        <is>
          <t>revisto — mínimo júnior localizado</t>
        </is>
      </c>
    </row>
    <row r="50">
      <c r="A50" s="2" t="n">
        <v>81</v>
      </c>
      <c r="B50" s="3" t="inlineStr">
        <is>
          <t>62393829000159</t>
        </is>
      </c>
      <c r="C50" s="4" t="inlineStr">
        <is>
          <t>FUNDO DE INVESTIMENTO EM DIREITOS CREDITÓRIOS COMERCIAIS MEDICI I - RESPONSABILIDADE LIMITADA</t>
        </is>
      </c>
      <c r="D50" s="4" t="inlineStr">
        <is>
          <t>Fomento Mercantil</t>
        </is>
      </c>
      <c r="E50" s="4" t="inlineStr">
        <is>
          <t>Fomento Mercantil</t>
        </is>
      </c>
      <c r="F50" s="5" t="n">
        <v>3091.7</v>
      </c>
      <c r="G50" s="6" t="n">
        <v>5.46</v>
      </c>
      <c r="H50" s="6" t="n">
        <v>5</v>
      </c>
      <c r="I50" s="6" t="n">
        <v>5</v>
      </c>
      <c r="J50" s="7">
        <f>IF(OR(G50="",H50=""),"",G50-H50)</f>
        <v/>
      </c>
      <c r="K50" s="7">
        <f>IF(OR(G50="",I50=""),"",G50-I50)</f>
        <v/>
      </c>
      <c r="L50" s="2" t="inlineStr">
        <is>
          <t>1242436</t>
        </is>
      </c>
      <c r="M50" s="2" t="inlineStr">
        <is>
          <t>2026-07-08</t>
        </is>
      </c>
      <c r="N50" s="2" t="inlineStr">
        <is>
          <t>40–41</t>
        </is>
      </c>
      <c r="O50" s="4" t="inlineStr">
        <is>
          <t>FundosNet/B3; documento 1242436; referência 2026-07-08; p. 40–41</t>
        </is>
      </c>
      <c r="P50" s="4" t="inlineStr">
        <is>
          <t>revisto — mínimo júnior localizado</t>
        </is>
      </c>
    </row>
    <row r="51">
      <c r="A51" s="2" t="n">
        <v>86</v>
      </c>
      <c r="B51" s="3" t="inlineStr">
        <is>
          <t>11468186000124</t>
        </is>
      </c>
      <c r="C51" s="4" t="inlineStr">
        <is>
          <t>ATLANTA FUNDO DE INVESTIMENTO EM DIREITOS CREDITÓRIOS DE RESPONSABILIDADE LIMITADA</t>
        </is>
      </c>
      <c r="D51" s="4" t="inlineStr">
        <is>
          <t>Fomento Mercantil</t>
        </is>
      </c>
      <c r="E51" s="4" t="inlineStr">
        <is>
          <t>Fomento Mercantil</t>
        </is>
      </c>
      <c r="F51" s="5" t="n">
        <v>3090.3</v>
      </c>
      <c r="G51" s="6" t="n">
        <v>79.75</v>
      </c>
      <c r="H51" s="6" t="n">
        <v>50</v>
      </c>
      <c r="I51" s="6" t="n"/>
      <c r="J51" s="7">
        <f>IF(OR(G51="",H51=""),"",G51-H51)</f>
        <v/>
      </c>
      <c r="K51" s="7">
        <f>IF(OR(G51="",I51=""),"",G51-I51)</f>
        <v/>
      </c>
      <c r="L51" s="2" t="inlineStr">
        <is>
          <t>1130308</t>
        </is>
      </c>
      <c r="M51" s="2" t="inlineStr">
        <is>
          <t>2026-03-06</t>
        </is>
      </c>
      <c r="N51" s="2" t="inlineStr">
        <is>
          <t>47</t>
        </is>
      </c>
      <c r="O51" s="4" t="inlineStr">
        <is>
          <t>FundosNet/B3; documento 1130308; referência 2026-03-06; p. 47</t>
        </is>
      </c>
      <c r="P51" s="4" t="inlineStr">
        <is>
          <t>revisto — mínimo júnior localizado</t>
        </is>
      </c>
    </row>
    <row r="52">
      <c r="A52" s="2" t="n">
        <v>53</v>
      </c>
      <c r="B52" s="3" t="inlineStr">
        <is>
          <t>42154687000160</t>
        </is>
      </c>
      <c r="C52" s="4" t="inlineStr">
        <is>
          <t>MULTIPLIKE PLUS FUNDO DE INVESTIMENTO EM DIREITOS CREDITÓRIOS</t>
        </is>
      </c>
      <c r="D52" s="4" t="inlineStr">
        <is>
          <t>Fomento Mercantil</t>
        </is>
      </c>
      <c r="E52" s="4" t="inlineStr">
        <is>
          <t>Fomento Mercantil</t>
        </is>
      </c>
      <c r="F52" s="5" t="n">
        <v>2118.1</v>
      </c>
      <c r="G52" s="6" t="n">
        <v>42.26</v>
      </c>
      <c r="H52" s="6" t="n">
        <v>20</v>
      </c>
      <c r="I52" s="6" t="n"/>
      <c r="J52" s="7">
        <f>IF(OR(G52="",H52=""),"",G52-H52)</f>
        <v/>
      </c>
      <c r="K52" s="7">
        <f>IF(OR(G52="",I52=""),"",G52-I52)</f>
        <v/>
      </c>
      <c r="L52" s="2" t="inlineStr">
        <is>
          <t>1223029</t>
        </is>
      </c>
      <c r="M52" s="2" t="inlineStr">
        <is>
          <t>2026-06-08</t>
        </is>
      </c>
      <c r="N52" s="2" t="inlineStr">
        <is>
          <t>54</t>
        </is>
      </c>
      <c r="O52" s="4" t="inlineStr">
        <is>
          <t>FundosNet/B3; documento 1223029; referência 2026-06-08; p. 54</t>
        </is>
      </c>
      <c r="P52" s="4" t="inlineStr">
        <is>
          <t>revisto — mínimo júnior calculado de cláusulas contratuais</t>
        </is>
      </c>
    </row>
    <row r="53">
      <c r="A53" s="2" t="n">
        <v>100</v>
      </c>
      <c r="B53" s="3" t="inlineStr">
        <is>
          <t>18185812000114</t>
        </is>
      </c>
      <c r="C53" s="4" t="inlineStr">
        <is>
          <t>GAVEA SUL FUNDO DE INVESTIMENTO EM DIREITOS CREDITÓRIOS MULTISSETORIAL LP</t>
        </is>
      </c>
      <c r="D53" s="4" t="inlineStr">
        <is>
          <t>Fomento Mercantil</t>
        </is>
      </c>
      <c r="E53" s="4" t="inlineStr">
        <is>
          <t>Fomento Mercantil</t>
        </is>
      </c>
      <c r="F53" s="5" t="n">
        <v>562</v>
      </c>
      <c r="G53" s="6" t="n">
        <v>45.78</v>
      </c>
      <c r="H53" s="6" t="n">
        <v>22</v>
      </c>
      <c r="I53" s="6" t="n"/>
      <c r="J53" s="7">
        <f>IF(OR(G53="",H53=""),"",G53-H53)</f>
        <v/>
      </c>
      <c r="K53" s="7">
        <f>IF(OR(G53="",I53=""),"",G53-I53)</f>
        <v/>
      </c>
      <c r="L53" s="2" t="inlineStr">
        <is>
          <t>1011996</t>
        </is>
      </c>
      <c r="M53" s="2" t="inlineStr">
        <is>
          <t>2025-10-13</t>
        </is>
      </c>
      <c r="N53" s="2" t="inlineStr">
        <is>
          <t>53</t>
        </is>
      </c>
      <c r="O53" s="4" t="inlineStr">
        <is>
          <t>FundosNet/B3; documento 1011996; referência 2025-10-13; p. 53</t>
        </is>
      </c>
      <c r="P53" s="4" t="inlineStr">
        <is>
          <t>revisto — mínimo júnior localizado</t>
        </is>
      </c>
    </row>
    <row r="54">
      <c r="A54" s="2" t="n">
        <v>77</v>
      </c>
      <c r="B54" s="3" t="inlineStr">
        <is>
          <t>17468142000180</t>
        </is>
      </c>
      <c r="C54" s="4" t="inlineStr">
        <is>
          <t>VALOREM FUNDO DE INVESTIMENTO EM DIREITOS CREDITÓRIOS MULTISETORIAL RESPONSABILIDADE LIMITADA</t>
        </is>
      </c>
      <c r="D54" s="4" t="inlineStr">
        <is>
          <t>Fomento Mercantil</t>
        </is>
      </c>
      <c r="E54" s="4" t="inlineStr">
        <is>
          <t>Fomento Mercantil</t>
        </is>
      </c>
      <c r="F54" s="5" t="n">
        <v>511.8</v>
      </c>
      <c r="G54" s="6" t="n">
        <v>47.12</v>
      </c>
      <c r="H54" s="6" t="n">
        <v>15</v>
      </c>
      <c r="I54" s="6" t="n"/>
      <c r="J54" s="7">
        <f>IF(OR(G54="",H54=""),"",G54-H54)</f>
        <v/>
      </c>
      <c r="K54" s="7">
        <f>IF(OR(G54="",I54=""),"",G54-I54)</f>
        <v/>
      </c>
      <c r="L54" s="2" t="inlineStr">
        <is>
          <t>1157934</t>
        </is>
      </c>
      <c r="M54" s="2" t="inlineStr">
        <is>
          <t>2026-04-09</t>
        </is>
      </c>
      <c r="N54" s="2" t="inlineStr">
        <is>
          <t>102</t>
        </is>
      </c>
      <c r="O54" s="4" t="inlineStr">
        <is>
          <t>FundosNet/B3; documento 1157934; referência 2026-04-09; p. 102</t>
        </is>
      </c>
      <c r="P54" s="4" t="inlineStr">
        <is>
          <t>revisto — mínimo júnior localizado</t>
        </is>
      </c>
    </row>
    <row r="55">
      <c r="A55" s="2" t="n">
        <v>58</v>
      </c>
      <c r="B55" s="3" t="inlineStr">
        <is>
          <t>65976848000104</t>
        </is>
      </c>
      <c r="C55" s="4" t="inlineStr">
        <is>
          <t>FUNDO DE INVESTIMENTO EM DIREITOS CREDITÓRIOS AGIBANK II RESPONSABILIDADE LIMITADA</t>
        </is>
      </c>
      <c r="D55" s="4" t="inlineStr">
        <is>
          <t>Não classificado</t>
        </is>
      </c>
      <c r="E55" s="4" t="inlineStr"/>
      <c r="F55" s="5" t="n">
        <v>2967.2</v>
      </c>
      <c r="G55" s="6" t="n">
        <v>15.22</v>
      </c>
      <c r="H55" s="6" t="n">
        <v>5</v>
      </c>
      <c r="I55" s="6" t="n"/>
      <c r="J55" s="7">
        <f>IF(OR(G55="",H55=""),"",G55-H55)</f>
        <v/>
      </c>
      <c r="K55" s="7">
        <f>IF(OR(G55="",I55=""),"",G55-I55)</f>
        <v/>
      </c>
      <c r="L55" s="2" t="inlineStr">
        <is>
          <t>1239452</t>
        </is>
      </c>
      <c r="M55" s="2" t="inlineStr">
        <is>
          <t>2026-06-22</t>
        </is>
      </c>
      <c r="N55" s="2" t="inlineStr">
        <is>
          <t>35</t>
        </is>
      </c>
      <c r="O55" s="4" t="inlineStr">
        <is>
          <t>FundosNet/B3; documento 1239452; referência 2026-06-22; p. 35</t>
        </is>
      </c>
      <c r="P55" s="4" t="inlineStr">
        <is>
          <t>revisto — mínimo júnior localizado</t>
        </is>
      </c>
    </row>
    <row r="56">
      <c r="A56" s="2" t="n">
        <v>47</v>
      </c>
      <c r="B56" s="3" t="inlineStr">
        <is>
          <t>62838025000116</t>
        </is>
      </c>
      <c r="C56" s="4" t="inlineStr">
        <is>
          <t>ENDURANCE FUNDO DE INVESTIMENTO EM DIREITOS CREDITÓRIOS RESPONSABILIDADE LIMITADA</t>
        </is>
      </c>
      <c r="D56" s="4" t="inlineStr">
        <is>
          <t>Não classificado</t>
        </is>
      </c>
      <c r="E56" s="4" t="inlineStr"/>
      <c r="F56" s="5" t="n">
        <v>2004.5</v>
      </c>
      <c r="G56" s="6" t="n">
        <v>9.449999999999999</v>
      </c>
      <c r="H56" s="6" t="n">
        <v>10</v>
      </c>
      <c r="I56" s="6" t="n"/>
      <c r="J56" s="7">
        <f>IF(OR(G56="",H56=""),"",G56-H56)</f>
        <v/>
      </c>
      <c r="K56" s="7">
        <f>IF(OR(G56="",I56=""),"",G56-I56)</f>
        <v/>
      </c>
      <c r="L56" s="2" t="inlineStr">
        <is>
          <t>1058234</t>
        </is>
      </c>
      <c r="M56" s="2" t="inlineStr">
        <is>
          <t>2025-12-10</t>
        </is>
      </c>
      <c r="N56" s="2" t="inlineStr">
        <is>
          <t>39</t>
        </is>
      </c>
      <c r="O56" s="4" t="inlineStr">
        <is>
          <t>FundosNet/B3; documento 1058234; referência 2025-12-10; p. 39</t>
        </is>
      </c>
      <c r="P56" s="4" t="inlineStr">
        <is>
          <t>revisto — mínimo júnior localizado</t>
        </is>
      </c>
    </row>
    <row r="57">
      <c r="A57" s="2" t="n">
        <v>90</v>
      </c>
      <c r="B57" s="3" t="inlineStr">
        <is>
          <t>63546406000194</t>
        </is>
      </c>
      <c r="C57" s="4" t="inlineStr">
        <is>
          <t>PINE INSS III FUNDO DE INVESTIMENTO EM DIREITOS CREDITÓRIOS RESPONSABILIDADE LIMITADA</t>
        </is>
      </c>
      <c r="D57" s="4" t="inlineStr">
        <is>
          <t>Não classificado</t>
        </is>
      </c>
      <c r="E57" s="4" t="inlineStr"/>
      <c r="F57" s="5" t="n">
        <v>1153.8</v>
      </c>
      <c r="G57" s="6" t="n">
        <v>14.93</v>
      </c>
      <c r="H57" s="6" t="n">
        <v>1.5</v>
      </c>
      <c r="I57" s="6" t="n"/>
      <c r="J57" s="7">
        <f>IF(OR(G57="",H57=""),"",G57-H57)</f>
        <v/>
      </c>
      <c r="K57" s="7">
        <f>IF(OR(G57="",I57=""),"",G57-I57)</f>
        <v/>
      </c>
      <c r="L57" s="2" t="inlineStr">
        <is>
          <t>1130481</t>
        </is>
      </c>
      <c r="M57" s="2" t="inlineStr">
        <is>
          <t>2026-03-05</t>
        </is>
      </c>
      <c r="N57" s="2" t="inlineStr">
        <is>
          <t>142</t>
        </is>
      </c>
      <c r="O57" s="4" t="inlineStr">
        <is>
          <t>FundosNet/B3; documento 1130481; referência 2026-03-05; p. 142</t>
        </is>
      </c>
      <c r="P57" s="4" t="inlineStr">
        <is>
          <t>revisto — mínimo júnior localizado</t>
        </is>
      </c>
    </row>
    <row r="58">
      <c r="A58" s="2" t="n">
        <v>99</v>
      </c>
      <c r="B58" s="3" t="inlineStr">
        <is>
          <t>65347578000164</t>
        </is>
      </c>
      <c r="C58" s="4" t="inlineStr">
        <is>
          <t>ICRED INSS III FUNDO DE INVESTIMENTO EM DIREITOS CREDITÓRIOS RESPONSABILIDADE LIMITADA</t>
        </is>
      </c>
      <c r="D58" s="4" t="inlineStr">
        <is>
          <t>Não classificado</t>
        </is>
      </c>
      <c r="E58" s="4" t="inlineStr"/>
      <c r="F58" s="5" t="n">
        <v>664.8</v>
      </c>
      <c r="G58" s="6" t="n">
        <v>13.52</v>
      </c>
      <c r="H58" s="6" t="n">
        <v>2.5</v>
      </c>
      <c r="I58" s="6" t="n"/>
      <c r="J58" s="7">
        <f>IF(OR(G58="",H58=""),"",G58-H58)</f>
        <v/>
      </c>
      <c r="K58" s="7">
        <f>IF(OR(G58="",I58=""),"",G58-I58)</f>
        <v/>
      </c>
      <c r="L58" s="2" t="inlineStr">
        <is>
          <t>1211821</t>
        </is>
      </c>
      <c r="M58" s="2" t="inlineStr">
        <is>
          <t>2026-05-25</t>
        </is>
      </c>
      <c r="N58" s="2" t="inlineStr">
        <is>
          <t>186</t>
        </is>
      </c>
      <c r="O58" s="4" t="inlineStr">
        <is>
          <t>FundosNet/B3; documento 1211821; referência 2026-05-25; p. 186</t>
        </is>
      </c>
      <c r="P58" s="4" t="inlineStr">
        <is>
          <t>revisto — mínimo júnior localizado</t>
        </is>
      </c>
    </row>
    <row r="59">
      <c r="A59" s="2" t="n">
        <v>45</v>
      </c>
      <c r="B59" s="3" t="inlineStr">
        <is>
          <t>63622842000103</t>
        </is>
      </c>
      <c r="C59" s="4" t="inlineStr">
        <is>
          <t>DESBRAVA UNO ARTIGOS ESPORTIVOS FUNDO DE INVESTIMENTO EM DIREITOS CREDITÓRIOS RESP LIMITADA</t>
        </is>
      </c>
      <c r="D59" s="4" t="inlineStr">
        <is>
          <t>Não classificado</t>
        </is>
      </c>
      <c r="E59" s="4" t="inlineStr"/>
      <c r="F59" s="5" t="n">
        <v>343.6</v>
      </c>
      <c r="G59" s="6" t="n">
        <v>50.39</v>
      </c>
      <c r="H59" s="6" t="n">
        <v>50</v>
      </c>
      <c r="I59" s="6" t="n">
        <v>50</v>
      </c>
      <c r="J59" s="7">
        <f>IF(OR(G59="",H59=""),"",G59-H59)</f>
        <v/>
      </c>
      <c r="K59" s="7">
        <f>IF(OR(G59="",I59=""),"",G59-I59)</f>
        <v/>
      </c>
      <c r="L59" s="2" t="inlineStr">
        <is>
          <t>1051646</t>
        </is>
      </c>
      <c r="M59" s="2" t="inlineStr">
        <is>
          <t>2025-12-01</t>
        </is>
      </c>
      <c r="N59" s="2" t="inlineStr">
        <is>
          <t>69</t>
        </is>
      </c>
      <c r="O59" s="4" t="inlineStr">
        <is>
          <t>FundosNet/B3; documento 1051646; referência 2025-12-01; p. 69</t>
        </is>
      </c>
      <c r="P59" s="4" t="inlineStr">
        <is>
          <t>revisto — mínimo júnior localizado</t>
        </is>
      </c>
    </row>
    <row r="60">
      <c r="A60" s="2" t="n">
        <v>95</v>
      </c>
      <c r="B60" s="3" t="inlineStr">
        <is>
          <t>63657457000193</t>
        </is>
      </c>
      <c r="C60" s="4" t="inlineStr">
        <is>
          <t>MSV3 FUNDO DE INVESTIMENTO EM DIREITOS CREDITÓRIOS RECEBÍVEIS COMERCIAIS RESPONSABILIDADE LIMITADA</t>
        </is>
      </c>
      <c r="D60" s="4" t="inlineStr">
        <is>
          <t>Não classificado</t>
        </is>
      </c>
      <c r="E60" s="4" t="inlineStr"/>
      <c r="F60" s="5" t="n">
        <v>311.5</v>
      </c>
      <c r="G60" s="6" t="n">
        <v>36.32</v>
      </c>
      <c r="H60" s="6" t="n">
        <v>25</v>
      </c>
      <c r="I60" s="6" t="n"/>
      <c r="J60" s="7">
        <f>IF(OR(G60="",H60=""),"",G60-H60)</f>
        <v/>
      </c>
      <c r="K60" s="7">
        <f>IF(OR(G60="",I60=""),"",G60-I60)</f>
        <v/>
      </c>
      <c r="L60" s="2" t="inlineStr">
        <is>
          <t>1205333</t>
        </is>
      </c>
      <c r="M60" s="2" t="inlineStr">
        <is>
          <t>2026-05-27</t>
        </is>
      </c>
      <c r="N60" s="2" t="inlineStr">
        <is>
          <t>28</t>
        </is>
      </c>
      <c r="O60" s="4" t="inlineStr">
        <is>
          <t>FundosNet/B3; documento 1205333; referência 2026-05-27; p. 28</t>
        </is>
      </c>
      <c r="P60" s="4" t="inlineStr">
        <is>
          <t>revisto — mínimo júnior localizado</t>
        </is>
      </c>
    </row>
    <row r="61">
      <c r="A61" s="2" t="n">
        <v>98</v>
      </c>
      <c r="B61" s="3" t="inlineStr">
        <is>
          <t>65873297000145</t>
        </is>
      </c>
      <c r="C61" s="4" t="inlineStr">
        <is>
          <t>ARCELORMITTAL VÉRTICE FUNDO DE INVESTIMENTO EM DIREITOS CREDITÓRIOS COMERCIAIS - RESP LIMITADA</t>
        </is>
      </c>
      <c r="D61" s="4" t="inlineStr">
        <is>
          <t>Não classificado</t>
        </is>
      </c>
      <c r="E61" s="4" t="inlineStr"/>
      <c r="F61" s="5" t="n">
        <v>162.6</v>
      </c>
      <c r="G61" s="6" t="n">
        <v>18.63</v>
      </c>
      <c r="H61" s="6" t="n">
        <v>12</v>
      </c>
      <c r="I61" s="6" t="n">
        <v>12</v>
      </c>
      <c r="J61" s="7">
        <f>IF(OR(G61="",H61=""),"",G61-H61)</f>
        <v/>
      </c>
      <c r="K61" s="7">
        <f>IF(OR(G61="",I61=""),"",G61-I61)</f>
        <v/>
      </c>
      <c r="L61" s="2" t="inlineStr">
        <is>
          <t>1226438</t>
        </is>
      </c>
      <c r="M61" s="2" t="inlineStr">
        <is>
          <t>2026-05-20</t>
        </is>
      </c>
      <c r="N61" s="2" t="inlineStr">
        <is>
          <t>34</t>
        </is>
      </c>
      <c r="O61" s="4" t="inlineStr">
        <is>
          <t>FundosNet/B3; documento 1226438; referência 2026-05-20; p. 34</t>
        </is>
      </c>
      <c r="P61" s="4" t="inlineStr">
        <is>
          <t>revisto — mínimo júnior localizado</t>
        </is>
      </c>
    </row>
    <row r="62">
      <c r="A62" s="2" t="n">
        <v>96</v>
      </c>
      <c r="B62" s="3" t="inlineStr">
        <is>
          <t>63066147000102</t>
        </is>
      </c>
      <c r="C62" s="4" t="inlineStr">
        <is>
          <t>FUNDO DE INVESTIMENTO EM DIREITOS CREDITÓRIOS INCLUSÃO CREDIÁRIA RESPONSABILIDADE LIMITADA</t>
        </is>
      </c>
      <c r="D62" s="4" t="inlineStr">
        <is>
          <t>Não classificado</t>
        </is>
      </c>
      <c r="E62" s="4" t="inlineStr"/>
      <c r="F62" s="5" t="n">
        <v>156.4</v>
      </c>
      <c r="G62" s="6" t="n">
        <v>51.96</v>
      </c>
      <c r="H62" s="6" t="n">
        <v>12.5</v>
      </c>
      <c r="I62" s="6" t="n"/>
      <c r="J62" s="7">
        <f>IF(OR(G62="",H62=""),"",G62-H62)</f>
        <v/>
      </c>
      <c r="K62" s="7">
        <f>IF(OR(G62="",I62=""),"",G62-I62)</f>
        <v/>
      </c>
      <c r="L62" s="2" t="inlineStr">
        <is>
          <t>1085946</t>
        </is>
      </c>
      <c r="M62" s="2" t="inlineStr">
        <is>
          <t>2026-01-15</t>
        </is>
      </c>
      <c r="N62" s="2" t="inlineStr">
        <is>
          <t>12</t>
        </is>
      </c>
      <c r="O62" s="4" t="inlineStr">
        <is>
          <t>FundosNet/B3; documento 1085946; referência 2026-01-15; p. 12</t>
        </is>
      </c>
      <c r="P62" s="4" t="inlineStr">
        <is>
          <t>revisto — mínimo júnior localizado</t>
        </is>
      </c>
    </row>
    <row r="63">
      <c r="A63" s="2" t="n">
        <v>52</v>
      </c>
      <c r="B63" s="3" t="inlineStr">
        <is>
          <t>63679792000192</t>
        </is>
      </c>
      <c r="C63" s="4" t="inlineStr">
        <is>
          <t>BLUE HEALTH FIDC RECEBÍVEIS COMERCIAIS DE RESPONSABILIDADE LIMITADA</t>
        </is>
      </c>
      <c r="D63" s="4" t="inlineStr">
        <is>
          <t>Não classificado</t>
        </is>
      </c>
      <c r="E63" s="4" t="inlineStr"/>
      <c r="F63" s="5" t="n">
        <v>142.2</v>
      </c>
      <c r="G63" s="6" t="n">
        <v>19.29</v>
      </c>
      <c r="H63" s="6" t="n">
        <v>20</v>
      </c>
      <c r="I63" s="6" t="n"/>
      <c r="J63" s="7">
        <f>IF(OR(G63="",H63=""),"",G63-H63)</f>
        <v/>
      </c>
      <c r="K63" s="7">
        <f>IF(OR(G63="",I63=""),"",G63-I63)</f>
        <v/>
      </c>
      <c r="L63" s="2" t="inlineStr">
        <is>
          <t>1101558</t>
        </is>
      </c>
      <c r="M63" s="2" t="inlineStr">
        <is>
          <t>2026-01-26</t>
        </is>
      </c>
      <c r="N63" s="2" t="inlineStr">
        <is>
          <t>92</t>
        </is>
      </c>
      <c r="O63" s="4" t="inlineStr">
        <is>
          <t>FundosNet/B3; documento 1101558; referência 2026-01-26; p. 92</t>
        </is>
      </c>
      <c r="P63" s="4" t="inlineStr">
        <is>
          <t>revisto — mínimo júnior localizado</t>
        </is>
      </c>
    </row>
    <row r="64">
      <c r="A64" s="2" t="n">
        <v>38</v>
      </c>
      <c r="B64" s="3" t="inlineStr">
        <is>
          <t>28169275000172</t>
        </is>
      </c>
      <c r="C64" s="4" t="inlineStr">
        <is>
          <t>FUNDO DE INVESTIMENTO EM DIREITOS CREDITÓRIOS PAGSEGURO I</t>
        </is>
      </c>
      <c r="D64" s="4" t="inlineStr">
        <is>
          <t>Outros</t>
        </is>
      </c>
      <c r="E64" s="4" t="inlineStr">
        <is>
          <t>Multicarteira Outros</t>
        </is>
      </c>
      <c r="F64" s="5" t="n">
        <v>6234.7</v>
      </c>
      <c r="G64" s="6" t="n">
        <v>63.25</v>
      </c>
      <c r="H64" s="6" t="n">
        <v>50</v>
      </c>
      <c r="I64" s="6" t="n"/>
      <c r="J64" s="7">
        <f>IF(OR(G64="",H64=""),"",G64-H64)</f>
        <v/>
      </c>
      <c r="K64" s="7">
        <f>IF(OR(G64="",I64=""),"",G64-I64)</f>
        <v/>
      </c>
      <c r="L64" s="2" t="inlineStr">
        <is>
          <t>1149521</t>
        </is>
      </c>
      <c r="M64" s="2" t="inlineStr">
        <is>
          <t>2026-03-25</t>
        </is>
      </c>
      <c r="N64" s="2" t="inlineStr">
        <is>
          <t>44</t>
        </is>
      </c>
      <c r="O64" s="4" t="inlineStr">
        <is>
          <t>FundosNet/B3; documento 1149521; referência 2026-03-25; p. 44</t>
        </is>
      </c>
      <c r="P64" s="4" t="inlineStr">
        <is>
          <t>revisto — mínimo júnior localizado</t>
        </is>
      </c>
    </row>
    <row r="65">
      <c r="A65" s="2" t="n">
        <v>8</v>
      </c>
      <c r="B65" s="3" t="inlineStr">
        <is>
          <t>62626887000185</t>
        </is>
      </c>
      <c r="C65" s="4" t="inlineStr">
        <is>
          <t>SUMUP SMART IV FIDC SEGMENTO MEIOS DE PAGAMENTO DE RESPONSABILIDADE LIMITADA</t>
        </is>
      </c>
      <c r="D65" s="4" t="inlineStr">
        <is>
          <t>Outros</t>
        </is>
      </c>
      <c r="E65" s="4" t="inlineStr">
        <is>
          <t>Multicarteira Outros</t>
        </is>
      </c>
      <c r="F65" s="5" t="n">
        <v>356.8</v>
      </c>
      <c r="G65" s="6" t="n">
        <v>3.97</v>
      </c>
      <c r="H65" s="6" t="n">
        <v>2.9</v>
      </c>
      <c r="I65" s="6" t="n"/>
      <c r="J65" s="7">
        <f>IF(OR(G65="",H65=""),"",G65-H65)</f>
        <v/>
      </c>
      <c r="K65" s="7">
        <f>IF(OR(G65="",I65=""),"",G65-I65)</f>
        <v/>
      </c>
      <c r="L65" s="2" t="inlineStr">
        <is>
          <t>1152823</t>
        </is>
      </c>
      <c r="M65" s="2" t="inlineStr">
        <is>
          <t>2026-03-31</t>
        </is>
      </c>
      <c r="N65" s="2" t="inlineStr">
        <is>
          <t>96</t>
        </is>
      </c>
      <c r="O65" s="4" t="inlineStr">
        <is>
          <t>FundosNet/B3; documento 1152823; referência 2026-03-31; p. 96</t>
        </is>
      </c>
      <c r="P65" s="4" t="inlineStr">
        <is>
          <t>revisto — mínimo júnior localizado</t>
        </is>
      </c>
    </row>
    <row r="66">
      <c r="A66" s="2" t="n">
        <v>18</v>
      </c>
      <c r="B66" s="3" t="inlineStr">
        <is>
          <t>45523699000102</t>
        </is>
      </c>
      <c r="C66" s="4" t="inlineStr">
        <is>
          <t>VIXTRA FUNDO DE INVESTIMENTO EM DIREITOS CREDITÓRIOS RESPONSABILIDADE LIMITADA</t>
        </is>
      </c>
      <c r="D66" s="4" t="inlineStr">
        <is>
          <t>Outros</t>
        </is>
      </c>
      <c r="E66" s="4" t="inlineStr">
        <is>
          <t>Multicarteira Outros</t>
        </is>
      </c>
      <c r="F66" s="5" t="n">
        <v>233.6</v>
      </c>
      <c r="G66" s="6" t="n">
        <v>38.22</v>
      </c>
      <c r="H66" s="6" t="n">
        <v>10</v>
      </c>
      <c r="I66" s="6" t="n"/>
      <c r="J66" s="7">
        <f>IF(OR(G66="",H66=""),"",G66-H66)</f>
        <v/>
      </c>
      <c r="K66" s="7">
        <f>IF(OR(G66="",I66=""),"",G66-I66)</f>
        <v/>
      </c>
      <c r="L66" s="2" t="inlineStr">
        <is>
          <t>1024756</t>
        </is>
      </c>
      <c r="M66" s="2" t="inlineStr">
        <is>
          <t>2025-10-30</t>
        </is>
      </c>
      <c r="N66" s="2" t="inlineStr">
        <is>
          <t>26</t>
        </is>
      </c>
      <c r="O66" s="4" t="inlineStr">
        <is>
          <t>FundosNet/B3; documento 1024756; referência 2025-10-30; p. 26</t>
        </is>
      </c>
      <c r="P66" s="4" t="inlineStr">
        <is>
          <t>revisto — mínimo júnior localizado</t>
        </is>
      </c>
    </row>
    <row r="67">
      <c r="A67" s="2" t="n">
        <v>75</v>
      </c>
      <c r="B67" s="3" t="inlineStr">
        <is>
          <t>47425750000179</t>
        </is>
      </c>
      <c r="C67" s="4" t="inlineStr">
        <is>
          <t>CEREALIS FUNDO DE INVESTIMENTO EM DIREITOS CREDITÓRIOS</t>
        </is>
      </c>
      <c r="D67" s="4" t="inlineStr">
        <is>
          <t>Outros</t>
        </is>
      </c>
      <c r="E67" s="4" t="inlineStr">
        <is>
          <t>Multicarteira Outros</t>
        </is>
      </c>
      <c r="F67" s="5" t="n">
        <v>215.3</v>
      </c>
      <c r="G67" s="6" t="n">
        <v>53.05</v>
      </c>
      <c r="H67" s="6" t="n">
        <v>25</v>
      </c>
      <c r="I67" s="6" t="n"/>
      <c r="J67" s="7">
        <f>IF(OR(G67="",H67=""),"",G67-H67)</f>
        <v/>
      </c>
      <c r="K67" s="7">
        <f>IF(OR(G67="",I67=""),"",G67-I67)</f>
        <v/>
      </c>
      <c r="L67" s="2" t="inlineStr">
        <is>
          <t>1237988</t>
        </is>
      </c>
      <c r="M67" s="2" t="inlineStr">
        <is>
          <t>2026-07-02</t>
        </is>
      </c>
      <c r="N67" s="2" t="inlineStr">
        <is>
          <t>30</t>
        </is>
      </c>
      <c r="O67" s="4" t="inlineStr">
        <is>
          <t>FundosNet/B3; documento 1237988; referência 2026-07-02; p. 30</t>
        </is>
      </c>
      <c r="P67" s="4" t="inlineStr">
        <is>
          <t>revisto — mínimo júnior calculado de cláusulas contratuais</t>
        </is>
      </c>
    </row>
    <row r="68">
      <c r="A68" s="2" t="n">
        <v>39</v>
      </c>
      <c r="B68" s="3" t="inlineStr">
        <is>
          <t>38658727000133</t>
        </is>
      </c>
      <c r="C68" s="4" t="inlineStr">
        <is>
          <t>FUNDO DE INVESTIMENTO EM DIREITOS CREDITÓRIOS FORNECEDORES MADEIRA MADEIRA I</t>
        </is>
      </c>
      <c r="D68" s="4" t="inlineStr">
        <is>
          <t>Outros</t>
        </is>
      </c>
      <c r="E68" s="4" t="inlineStr">
        <is>
          <t>Multicarteira Outros</t>
        </is>
      </c>
      <c r="F68" s="5" t="n">
        <v>196.7</v>
      </c>
      <c r="G68" s="6" t="n">
        <v>46.92</v>
      </c>
      <c r="H68" s="6" t="n">
        <v>26.66</v>
      </c>
      <c r="I68" s="6" t="n">
        <v>26.66</v>
      </c>
      <c r="J68" s="7">
        <f>IF(OR(G68="",H68=""),"",G68-H68)</f>
        <v/>
      </c>
      <c r="K68" s="7">
        <f>IF(OR(G68="",I68=""),"",G68-I68)</f>
        <v/>
      </c>
      <c r="L68" s="2" t="inlineStr">
        <is>
          <t>1216296</t>
        </is>
      </c>
      <c r="M68" s="2" t="inlineStr">
        <is>
          <t>2026-06-05</t>
        </is>
      </c>
      <c r="N68" s="2" t="inlineStr">
        <is>
          <t>62</t>
        </is>
      </c>
      <c r="O68" s="4" t="inlineStr">
        <is>
          <t>FundosNet/B3; documento 1216296; referência 2026-06-05; p. 62</t>
        </is>
      </c>
      <c r="P68" s="4" t="inlineStr">
        <is>
          <t>revisto — mínimo júnior localizado</t>
        </is>
      </c>
    </row>
    <row r="69">
      <c r="A69" s="2" t="n">
        <v>89</v>
      </c>
      <c r="B69" s="3" t="inlineStr">
        <is>
          <t>52340225000190</t>
        </is>
      </c>
      <c r="C69" s="4" t="inlineStr">
        <is>
          <t>INOVA CREDTECH III FIDC SEGMENTO MULTICARTEIRA DE RESPONSABILIDADE LIMITADA</t>
        </is>
      </c>
      <c r="D69" s="4" t="inlineStr">
        <is>
          <t>Outros</t>
        </is>
      </c>
      <c r="E69" s="4" t="inlineStr">
        <is>
          <t>Multicarteira Outros</t>
        </is>
      </c>
      <c r="F69" s="5" t="n">
        <v>86.09999999999999</v>
      </c>
      <c r="G69" s="6" t="n">
        <v>22.15</v>
      </c>
      <c r="H69" s="6" t="n">
        <v>7.5</v>
      </c>
      <c r="I69" s="6" t="n"/>
      <c r="J69" s="7">
        <f>IF(OR(G69="",H69=""),"",G69-H69)</f>
        <v/>
      </c>
      <c r="K69" s="7">
        <f>IF(OR(G69="",I69=""),"",G69-I69)</f>
        <v/>
      </c>
      <c r="L69" s="2" t="inlineStr">
        <is>
          <t>1171206</t>
        </is>
      </c>
      <c r="M69" s="2" t="inlineStr">
        <is>
          <t>2026-03-25</t>
        </is>
      </c>
      <c r="N69" s="2" t="inlineStr">
        <is>
          <t>77</t>
        </is>
      </c>
      <c r="O69" s="4" t="inlineStr">
        <is>
          <t>FundosNet/B3; documento 1171206; referência 2026-03-25; p. 77</t>
        </is>
      </c>
      <c r="P69" s="4" t="inlineStr">
        <is>
          <t>revisto — mínimo júnior localizado</t>
        </is>
      </c>
    </row>
    <row r="70">
      <c r="A70" s="2" t="n">
        <v>27</v>
      </c>
      <c r="B70" s="3" t="inlineStr">
        <is>
          <t>44574361000117</t>
        </is>
      </c>
      <c r="C70" s="4" t="inlineStr">
        <is>
          <t>FUNDO DE INVESTIMENTO EM DIREITOS CREDITORIOS UPL 02 - RESPONSABILIDADE LIMITADA</t>
        </is>
      </c>
      <c r="D70" s="4" t="inlineStr">
        <is>
          <t>Agro, Indústria e Comércio</t>
        </is>
      </c>
      <c r="E70" s="4" t="inlineStr">
        <is>
          <t>Multicarteira Agro, Indústria e Comércio</t>
        </is>
      </c>
      <c r="F70" s="5" t="n">
        <v>482.9</v>
      </c>
      <c r="G70" s="6" t="n">
        <v>13.02</v>
      </c>
      <c r="H70" s="6" t="n"/>
      <c r="I70" s="6" t="n">
        <v>15</v>
      </c>
      <c r="J70" s="7">
        <f>IF(OR(G70="",H70=""),"",G70-H70)</f>
        <v/>
      </c>
      <c r="K70" s="7">
        <f>IF(OR(G70="",I70=""),"",G70-I70)</f>
        <v/>
      </c>
      <c r="L70" s="2" t="inlineStr">
        <is>
          <t>928360</t>
        </is>
      </c>
      <c r="M70" s="2" t="inlineStr">
        <is>
          <t>2025-06-12</t>
        </is>
      </c>
      <c r="N70" s="2" t="inlineStr">
        <is>
          <t>133</t>
        </is>
      </c>
      <c r="O70" s="4" t="inlineStr">
        <is>
          <t>FundosNet/B3; documento 928360; referência 2025-06-12; p. 133</t>
        </is>
      </c>
      <c r="P70" s="4" t="inlineStr">
        <is>
          <t>revisto — suporte estrutural total localizado</t>
        </is>
      </c>
    </row>
    <row r="71">
      <c r="A71" s="2" t="n">
        <v>73</v>
      </c>
      <c r="B71" s="3" t="inlineStr">
        <is>
          <t>51554551000138</t>
        </is>
      </c>
      <c r="C71" s="4" t="inlineStr">
        <is>
          <t>CLASSE ÚNICA DO FIDC CRÉDITO NITRO AGRO - RESPONSABILIDADE LIMITADA</t>
        </is>
      </c>
      <c r="D71" s="4" t="inlineStr">
        <is>
          <t>Agro, Indústria e Comércio</t>
        </is>
      </c>
      <c r="E71" s="4" t="inlineStr">
        <is>
          <t>Agronegócio</t>
        </is>
      </c>
      <c r="F71" s="5" t="n">
        <v>64.5</v>
      </c>
      <c r="G71" s="6" t="n">
        <v>100</v>
      </c>
      <c r="H71" s="6" t="n"/>
      <c r="I71" s="6" t="n">
        <v>25</v>
      </c>
      <c r="J71" s="7">
        <f>IF(OR(G71="",H71=""),"",G71-H71)</f>
        <v/>
      </c>
      <c r="K71" s="7">
        <f>IF(OR(G71="",I71=""),"",G71-I71)</f>
        <v/>
      </c>
      <c r="L71" s="2" t="inlineStr">
        <is>
          <t>1261911</t>
        </is>
      </c>
      <c r="M71" s="2" t="inlineStr">
        <is>
          <t>2026-06-18</t>
        </is>
      </c>
      <c r="N71" s="2" t="inlineStr">
        <is>
          <t>71</t>
        </is>
      </c>
      <c r="O71" s="4" t="inlineStr">
        <is>
          <t>FundosNet/B3; documento 1261911; referência 2026-06-18; p. 71</t>
        </is>
      </c>
      <c r="P71" s="4" t="inlineStr">
        <is>
          <t>revisto — suporte estrutural total localizado</t>
        </is>
      </c>
    </row>
    <row r="72">
      <c r="A72" s="2" t="n">
        <v>23</v>
      </c>
      <c r="B72" s="3" t="inlineStr">
        <is>
          <t>47151680000108</t>
        </is>
      </c>
      <c r="C72" s="4" t="inlineStr">
        <is>
          <t>FARM TECH IBBA I FUNDO DE INVESTIMENTO EM DIREITOS CREDITÓRIOS RESPONSABILIDADE LIMITADA</t>
        </is>
      </c>
      <c r="D72" s="4" t="inlineStr">
        <is>
          <t>Agro, Indústria e Comércio</t>
        </is>
      </c>
      <c r="E72" s="4" t="inlineStr">
        <is>
          <t>Recebíveis Comerciais</t>
        </is>
      </c>
      <c r="F72" s="5" t="n">
        <v>9.4</v>
      </c>
      <c r="G72" s="6" t="n">
        <v>100</v>
      </c>
      <c r="H72" s="6" t="n"/>
      <c r="I72" s="6" t="n">
        <v>20</v>
      </c>
      <c r="J72" s="7">
        <f>IF(OR(G72="",H72=""),"",G72-H72)</f>
        <v/>
      </c>
      <c r="K72" s="7">
        <f>IF(OR(G72="",I72=""),"",G72-I72)</f>
        <v/>
      </c>
      <c r="L72" s="2" t="inlineStr">
        <is>
          <t>993922</t>
        </is>
      </c>
      <c r="M72" s="2" t="inlineStr">
        <is>
          <t>2025-07-22</t>
        </is>
      </c>
      <c r="N72" s="2" t="inlineStr">
        <is>
          <t>6</t>
        </is>
      </c>
      <c r="O72" s="4" t="inlineStr">
        <is>
          <t>FundosNet/B3; documento 993922; referência 2025-07-22; p. 6</t>
        </is>
      </c>
      <c r="P72" s="4" t="inlineStr">
        <is>
          <t>revisto — suporte estrutural total localizado</t>
        </is>
      </c>
    </row>
    <row r="73">
      <c r="A73" s="2" t="n">
        <v>25</v>
      </c>
      <c r="B73" s="3" t="inlineStr">
        <is>
          <t>43616659000180</t>
        </is>
      </c>
      <c r="C73" s="4" t="inlineStr">
        <is>
          <t>TALÓ 1 FUNDO DE INVESTIMENTO EM DIREITOS CREDITÓRIOS RESPONSABILIDADE LIMITADA</t>
        </is>
      </c>
      <c r="D73" s="4" t="inlineStr">
        <is>
          <t>Agro, Indústria e Comércio</t>
        </is>
      </c>
      <c r="E73" s="4" t="inlineStr">
        <is>
          <t>Agronegócio</t>
        </is>
      </c>
      <c r="F73" s="5" t="n">
        <v>7</v>
      </c>
      <c r="G73" s="6" t="n">
        <v>100</v>
      </c>
      <c r="H73" s="6" t="n"/>
      <c r="I73" s="6" t="n">
        <v>25</v>
      </c>
      <c r="J73" s="7">
        <f>IF(OR(G73="",H73=""),"",G73-H73)</f>
        <v/>
      </c>
      <c r="K73" s="7">
        <f>IF(OR(G73="",I73=""),"",G73-I73)</f>
        <v/>
      </c>
      <c r="L73" s="2" t="inlineStr">
        <is>
          <t>791844</t>
        </is>
      </c>
      <c r="M73" s="2" t="inlineStr">
        <is>
          <t>2024-11-28</t>
        </is>
      </c>
      <c r="N73" s="2" t="inlineStr">
        <is>
          <t>7</t>
        </is>
      </c>
      <c r="O73" s="4" t="inlineStr">
        <is>
          <t>FundosNet/B3; documento 791844; referência 2024-11-28; p. 7</t>
        </is>
      </c>
      <c r="P73" s="4" t="inlineStr">
        <is>
          <t>revisto — suporte estrutural total localizado</t>
        </is>
      </c>
    </row>
    <row r="74">
      <c r="A74" s="2" t="n">
        <v>16</v>
      </c>
      <c r="B74" s="3" t="inlineStr">
        <is>
          <t>48313595000161</t>
        </is>
      </c>
      <c r="C74" s="4" t="inlineStr">
        <is>
          <t>IBBA AGRO BR FUNDO DE INVESTIMENTO EM DIREITOS CREDITÓRIOS</t>
        </is>
      </c>
      <c r="D74" s="4" t="inlineStr">
        <is>
          <t>Agro, Indústria e Comércio</t>
        </is>
      </c>
      <c r="E74" s="4" t="inlineStr">
        <is>
          <t>Agronegócio</t>
        </is>
      </c>
      <c r="F74" s="5" t="n">
        <v>0.6</v>
      </c>
      <c r="G74" s="6" t="n">
        <v>100</v>
      </c>
      <c r="H74" s="6" t="n"/>
      <c r="I74" s="6" t="n"/>
      <c r="J74" s="7">
        <f>IF(OR(G74="",H74=""),"",G74-H74)</f>
        <v/>
      </c>
      <c r="K74" s="7">
        <f>IF(OR(G74="",I74=""),"",G74-I74)</f>
        <v/>
      </c>
      <c r="L74" s="2" t="inlineStr">
        <is>
          <t>976737</t>
        </is>
      </c>
      <c r="M74" s="2" t="inlineStr">
        <is>
          <t>2025-08-22</t>
        </is>
      </c>
      <c r="N74" s="2" t="inlineStr">
        <is>
          <t>42</t>
        </is>
      </c>
      <c r="O74" s="4" t="inlineStr">
        <is>
          <t>FundosNet/B3; documento 976737; referência 2025-08-22; p. 42</t>
        </is>
      </c>
      <c r="P74" s="4" t="inlineStr">
        <is>
          <t>revisto — regulamento sem índice percentual isolável</t>
        </is>
      </c>
    </row>
    <row r="75">
      <c r="A75" s="2" t="n">
        <v>9</v>
      </c>
      <c r="B75" s="3" t="inlineStr">
        <is>
          <t>50098465000103</t>
        </is>
      </c>
      <c r="C75" s="4" t="inlineStr">
        <is>
          <t>CHEMICAL XIII FUNDO DE INVESTIMENTO EM DIREITOS</t>
        </is>
      </c>
      <c r="D75" s="4" t="inlineStr">
        <is>
          <t>Agro, Indústria e Comércio</t>
        </is>
      </c>
      <c r="E75" s="4" t="n"/>
      <c r="F75" s="5" t="n"/>
      <c r="G75" s="6" t="n"/>
      <c r="H75" s="6" t="n"/>
      <c r="I75" s="6" t="n">
        <v>9.199999999999999</v>
      </c>
      <c r="J75" s="7">
        <f>IF(OR(G75="",H75=""),"",G75-H75)</f>
        <v/>
      </c>
      <c r="K75" s="7">
        <f>IF(OR(G75="",I75=""),"",G75-I75)</f>
        <v/>
      </c>
      <c r="L75" s="2" t="inlineStr">
        <is>
          <t>690567</t>
        </is>
      </c>
      <c r="M75" s="2" t="inlineStr">
        <is>
          <t>2024-07-01</t>
        </is>
      </c>
      <c r="N75" s="2" t="inlineStr">
        <is>
          <t>15</t>
        </is>
      </c>
      <c r="O75" s="4" t="inlineStr">
        <is>
          <t>FundosNet/B3; documento 690567; referência 2024-07-01; p. 15</t>
        </is>
      </c>
      <c r="P75" s="4" t="inlineStr">
        <is>
          <t>revisto — suporte estrutural total localizado</t>
        </is>
      </c>
    </row>
    <row r="76">
      <c r="A76" s="2" t="n">
        <v>11</v>
      </c>
      <c r="B76" s="3" t="inlineStr">
        <is>
          <t>37645417000111</t>
        </is>
      </c>
      <c r="C76" s="4" t="inlineStr">
        <is>
          <t>UBYFOL AGRO FIDC III</t>
        </is>
      </c>
      <c r="D76" s="4" t="inlineStr">
        <is>
          <t>Agro, Indústria e Comércio</t>
        </is>
      </c>
      <c r="E76" s="4" t="inlineStr">
        <is>
          <t>Multicarteira Agro, Indústria e Comércio</t>
        </is>
      </c>
      <c r="F76" s="5" t="n"/>
      <c r="G76" s="6" t="n"/>
      <c r="H76" s="6" t="n">
        <v>10</v>
      </c>
      <c r="I76" s="6" t="n"/>
      <c r="J76" s="7">
        <f>IF(OR(G76="",H76=""),"",G76-H76)</f>
        <v/>
      </c>
      <c r="K76" s="7">
        <f>IF(OR(G76="",I76=""),"",G76-I76)</f>
        <v/>
      </c>
      <c r="L76" s="2" t="inlineStr">
        <is>
          <t>1016909</t>
        </is>
      </c>
      <c r="M76" s="2" t="inlineStr">
        <is>
          <t>2025-10-16</t>
        </is>
      </c>
      <c r="N76" s="2" t="inlineStr">
        <is>
          <t>12</t>
        </is>
      </c>
      <c r="O76" s="4" t="inlineStr">
        <is>
          <t>FundosNet/B3; documento 1016909; referência 2025-10-16; p. 12</t>
        </is>
      </c>
      <c r="P76" s="4" t="inlineStr">
        <is>
          <t>revisto — mínimo júnior localizado</t>
        </is>
      </c>
    </row>
    <row r="77">
      <c r="A77" s="2" t="n">
        <v>12</v>
      </c>
      <c r="B77" s="3" t="inlineStr">
        <is>
          <t>50832746000130</t>
        </is>
      </c>
      <c r="C77" s="4" t="inlineStr">
        <is>
          <t>BOASAFRA FIDC DO AGRONEGOCIO</t>
        </is>
      </c>
      <c r="D77" s="4" t="inlineStr">
        <is>
          <t>Agro, Indústria e Comércio</t>
        </is>
      </c>
      <c r="E77" s="4" t="n"/>
      <c r="F77" s="5" t="n"/>
      <c r="G77" s="6" t="n"/>
      <c r="H77" s="6" t="n">
        <v>20</v>
      </c>
      <c r="I77" s="6" t="n">
        <v>30</v>
      </c>
      <c r="J77" s="7">
        <f>IF(OR(G77="",H77=""),"",G77-H77)</f>
        <v/>
      </c>
      <c r="K77" s="7">
        <f>IF(OR(G77="",I77=""),"",G77-I77)</f>
        <v/>
      </c>
      <c r="L77" s="2" t="inlineStr">
        <is>
          <t>791780</t>
        </is>
      </c>
      <c r="M77" s="2" t="inlineStr">
        <is>
          <t>2024-11-28</t>
        </is>
      </c>
      <c r="N77" s="2" t="inlineStr">
        <is>
          <t>44</t>
        </is>
      </c>
      <c r="O77" s="4" t="inlineStr">
        <is>
          <t>FundosNet/B3; documento 791780; referência 2024-11-28; p. 44</t>
        </is>
      </c>
      <c r="P77" s="4" t="inlineStr">
        <is>
          <t>revisto — mínimo júnior localizado</t>
        </is>
      </c>
    </row>
    <row r="78">
      <c r="A78" s="2" t="n">
        <v>21</v>
      </c>
      <c r="B78" s="3" t="inlineStr">
        <is>
          <t>50089559000108</t>
        </is>
      </c>
      <c r="C78" s="4" t="inlineStr">
        <is>
          <t>AGRICONNECTION FIAGRO DIREITOS CREDITORIOS</t>
        </is>
      </c>
      <c r="D78" s="4" t="inlineStr">
        <is>
          <t>Agro, Indústria e Comércio</t>
        </is>
      </c>
      <c r="E78" s="4" t="inlineStr">
        <is>
          <t>Agronegócio</t>
        </is>
      </c>
      <c r="F78" s="5" t="n"/>
      <c r="G78" s="6" t="n"/>
      <c r="H78" s="6" t="n">
        <v>15</v>
      </c>
      <c r="I78" s="6" t="n"/>
      <c r="J78" s="7">
        <f>IF(OR(G78="",H78=""),"",G78-H78)</f>
        <v/>
      </c>
      <c r="K78" s="7">
        <f>IF(OR(G78="",I78=""),"",G78-I78)</f>
        <v/>
      </c>
      <c r="L78" s="2" t="inlineStr">
        <is>
          <t>999633</t>
        </is>
      </c>
      <c r="M78" s="2" t="inlineStr">
        <is>
          <t>2025-09-26</t>
        </is>
      </c>
      <c r="N78" s="2" t="inlineStr">
        <is>
          <t>52</t>
        </is>
      </c>
      <c r="O78" s="4" t="inlineStr">
        <is>
          <t>FundosNet/B3; documento 999633; referência 2025-09-26; p. 52</t>
        </is>
      </c>
      <c r="P78" s="4" t="inlineStr">
        <is>
          <t>revisto — mínimo júnior localizado</t>
        </is>
      </c>
    </row>
    <row r="79">
      <c r="A79" s="2" t="n">
        <v>24</v>
      </c>
      <c r="B79" s="3" t="inlineStr">
        <is>
          <t>43309233000183</t>
        </is>
      </c>
      <c r="C79" s="4" t="inlineStr">
        <is>
          <t>FUNDO DE INVESTIMENTO EM DIREITOS CREDITORIOS LIVERPOOL</t>
        </is>
      </c>
      <c r="D79" s="4" t="inlineStr">
        <is>
          <t>Agro, Indústria e Comércio</t>
        </is>
      </c>
      <c r="E79" s="4" t="inlineStr">
        <is>
          <t>Agronegócio</t>
        </is>
      </c>
      <c r="F79" s="5" t="n"/>
      <c r="G79" s="6" t="n"/>
      <c r="H79" s="6" t="n"/>
      <c r="I79" s="6" t="n">
        <v>15</v>
      </c>
      <c r="J79" s="7">
        <f>IF(OR(G79="",H79=""),"",G79-H79)</f>
        <v/>
      </c>
      <c r="K79" s="7">
        <f>IF(OR(G79="",I79=""),"",G79-I79)</f>
        <v/>
      </c>
      <c r="L79" s="2" t="inlineStr">
        <is>
          <t>943032</t>
        </is>
      </c>
      <c r="M79" s="2" t="inlineStr">
        <is>
          <t>2025-07-09</t>
        </is>
      </c>
      <c r="N79" s="2" t="inlineStr">
        <is>
          <t>30</t>
        </is>
      </c>
      <c r="O79" s="4" t="inlineStr">
        <is>
          <t>FundosNet/B3; documento 943032; referência 2025-07-09; p. 30</t>
        </is>
      </c>
      <c r="P79" s="4" t="inlineStr">
        <is>
          <t>revisto — suporte estrutural total localizado</t>
        </is>
      </c>
    </row>
    <row r="80">
      <c r="A80" s="2" t="n">
        <v>26</v>
      </c>
      <c r="B80" s="3" t="inlineStr">
        <is>
          <t>52343195000176</t>
        </is>
      </c>
      <c r="C80" s="4" t="inlineStr">
        <is>
          <t>FARMTECH SYNGENTA FUNDO DE INVESTIMENTO EM DIREITO</t>
        </is>
      </c>
      <c r="D80" s="4" t="inlineStr">
        <is>
          <t>Agro, Indústria e Comércio</t>
        </is>
      </c>
      <c r="E80" s="4" t="n"/>
      <c r="F80" s="5" t="n"/>
      <c r="G80" s="6" t="n"/>
      <c r="H80" s="6" t="n"/>
      <c r="I80" s="6" t="n">
        <v>15</v>
      </c>
      <c r="J80" s="7">
        <f>IF(OR(G80="",H80=""),"",G80-H80)</f>
        <v/>
      </c>
      <c r="K80" s="7">
        <f>IF(OR(G80="",I80=""),"",G80-I80)</f>
        <v/>
      </c>
      <c r="L80" s="2" t="inlineStr">
        <is>
          <t>791944</t>
        </is>
      </c>
      <c r="M80" s="2" t="inlineStr">
        <is>
          <t>2024-11-27</t>
        </is>
      </c>
      <c r="N80" s="2" t="inlineStr">
        <is>
          <t>7</t>
        </is>
      </c>
      <c r="O80" s="4" t="inlineStr">
        <is>
          <t>FundosNet/B3; documento 791944; referência 2024-11-27; p. 7</t>
        </is>
      </c>
      <c r="P80" s="4" t="inlineStr">
        <is>
          <t>revisto — suporte estrutural total localizado</t>
        </is>
      </c>
    </row>
    <row r="81">
      <c r="A81" s="2" t="n">
        <v>33</v>
      </c>
      <c r="B81" s="3" t="inlineStr">
        <is>
          <t>44124617000194</t>
        </is>
      </c>
      <c r="C81" s="4" t="inlineStr">
        <is>
          <t>CLOUDWALK AKIRA II FUNDO DE INVESTIMENTO EM DIREITO</t>
        </is>
      </c>
      <c r="D81" s="4" t="inlineStr">
        <is>
          <t>Agro, Indústria e Comércio</t>
        </is>
      </c>
      <c r="E81" s="4" t="inlineStr">
        <is>
          <t>Recebíveis Comerciais</t>
        </is>
      </c>
      <c r="F81" s="5" t="n"/>
      <c r="G81" s="6" t="n"/>
      <c r="H81" s="6" t="n">
        <v>5</v>
      </c>
      <c r="I81" s="6" t="n">
        <v>5</v>
      </c>
      <c r="J81" s="7">
        <f>IF(OR(G81="",H81=""),"",G81-H81)</f>
        <v/>
      </c>
      <c r="K81" s="7">
        <f>IF(OR(G81="",I81=""),"",G81-I81)</f>
        <v/>
      </c>
      <c r="L81" s="2" t="inlineStr">
        <is>
          <t>851798</t>
        </is>
      </c>
      <c r="M81" s="2" t="inlineStr">
        <is>
          <t>2025-02-28</t>
        </is>
      </c>
      <c r="N81" s="2" t="inlineStr">
        <is>
          <t>101–102</t>
        </is>
      </c>
      <c r="O81" s="4" t="inlineStr">
        <is>
          <t>FundosNet/B3; documento 851798; referência 2025-02-28; p. 101–102</t>
        </is>
      </c>
      <c r="P81" s="4" t="inlineStr">
        <is>
          <t>revisto — mínimo júnior localizado</t>
        </is>
      </c>
    </row>
    <row r="82">
      <c r="A82" s="2" t="n">
        <v>34</v>
      </c>
      <c r="B82" s="3" t="inlineStr">
        <is>
          <t>42085816000105</t>
        </is>
      </c>
      <c r="C82" s="4" t="inlineStr">
        <is>
          <t>CLOUDWALK KICK ASS I FUNDO DE INVESTIMENTO EM DIRE</t>
        </is>
      </c>
      <c r="D82" s="4" t="inlineStr">
        <is>
          <t>Agro, Indústria e Comércio</t>
        </is>
      </c>
      <c r="E82" s="4" t="inlineStr">
        <is>
          <t>Recebíveis Comerciais</t>
        </is>
      </c>
      <c r="F82" s="5" t="n"/>
      <c r="G82" s="6" t="n"/>
      <c r="H82" s="6" t="n">
        <v>4.8</v>
      </c>
      <c r="I82" s="6" t="n">
        <v>4.8</v>
      </c>
      <c r="J82" s="7">
        <f>IF(OR(G82="",H82=""),"",G82-H82)</f>
        <v/>
      </c>
      <c r="K82" s="7">
        <f>IF(OR(G82="",I82=""),"",G82-I82)</f>
        <v/>
      </c>
      <c r="L82" s="2" t="inlineStr">
        <is>
          <t>733165</t>
        </is>
      </c>
      <c r="M82" s="2" t="inlineStr">
        <is>
          <t>2024-09-05</t>
        </is>
      </c>
      <c r="N82" s="2" t="inlineStr">
        <is>
          <t>98</t>
        </is>
      </c>
      <c r="O82" s="4" t="inlineStr">
        <is>
          <t>FundosNet/B3; documento 733165; referência 2024-09-05; p. 98</t>
        </is>
      </c>
      <c r="P82" s="4" t="inlineStr">
        <is>
          <t>revisto — mínimo júnior localizado</t>
        </is>
      </c>
    </row>
    <row r="83">
      <c r="A83" s="2" t="n">
        <v>35</v>
      </c>
      <c r="B83" s="3" t="inlineStr">
        <is>
          <t>38385876000176</t>
        </is>
      </c>
      <c r="C83" s="4" t="inlineStr">
        <is>
          <t>ESTRATEGIA EDUCACIONAL FIDC</t>
        </is>
      </c>
      <c r="D83" s="4" t="inlineStr">
        <is>
          <t>Agro, Indústria e Comércio</t>
        </is>
      </c>
      <c r="E83" s="4" t="inlineStr">
        <is>
          <t>Recebíveis Comerciais</t>
        </is>
      </c>
      <c r="F83" s="5" t="n"/>
      <c r="G83" s="6" t="n"/>
      <c r="H83" s="6" t="n">
        <v>10</v>
      </c>
      <c r="I83" s="6" t="n"/>
      <c r="J83" s="7">
        <f>IF(OR(G83="",H83=""),"",G83-H83)</f>
        <v/>
      </c>
      <c r="K83" s="7">
        <f>IF(OR(G83="",I83=""),"",G83-I83)</f>
        <v/>
      </c>
      <c r="L83" s="2" t="inlineStr">
        <is>
          <t>719764</t>
        </is>
      </c>
      <c r="M83" s="2" t="inlineStr">
        <is>
          <t>2024-08-14</t>
        </is>
      </c>
      <c r="N83" s="2" t="inlineStr">
        <is>
          <t>11</t>
        </is>
      </c>
      <c r="O83" s="4" t="inlineStr">
        <is>
          <t>FundosNet/B3; documento 719764; referência 2024-08-14; p. 11</t>
        </is>
      </c>
      <c r="P83" s="4" t="inlineStr">
        <is>
          <t>revisto — mínimo júnior localizado</t>
        </is>
      </c>
    </row>
    <row r="84">
      <c r="A84" s="2" t="n">
        <v>37</v>
      </c>
      <c r="B84" s="3" t="inlineStr">
        <is>
          <t>42102603000144</t>
        </is>
      </c>
      <c r="C84" s="4" t="inlineStr">
        <is>
          <t>CLOUDWALK KICK ASS II FUNDO DE INVESTIMENTO EM DIR</t>
        </is>
      </c>
      <c r="D84" s="4" t="inlineStr">
        <is>
          <t>Agro, Indústria e Comércio</t>
        </is>
      </c>
      <c r="E84" s="4" t="inlineStr">
        <is>
          <t>Recebíveis Comerciais</t>
        </is>
      </c>
      <c r="F84" s="5" t="n"/>
      <c r="G84" s="6" t="n"/>
      <c r="H84" s="6" t="n">
        <v>6.8</v>
      </c>
      <c r="I84" s="6" t="n">
        <v>6.8</v>
      </c>
      <c r="J84" s="7">
        <f>IF(OR(G84="",H84=""),"",G84-H84)</f>
        <v/>
      </c>
      <c r="K84" s="7">
        <f>IF(OR(G84="",I84=""),"",G84-I84)</f>
        <v/>
      </c>
      <c r="L84" s="2" t="inlineStr">
        <is>
          <t>733239</t>
        </is>
      </c>
      <c r="M84" s="2" t="inlineStr">
        <is>
          <t>2024-09-05</t>
        </is>
      </c>
      <c r="N84" s="2" t="inlineStr">
        <is>
          <t>99</t>
        </is>
      </c>
      <c r="O84" s="4" t="inlineStr">
        <is>
          <t>FundosNet/B3; documento 733239; referência 2024-09-05; p. 99</t>
        </is>
      </c>
      <c r="P84" s="4" t="inlineStr">
        <is>
          <t>revisto — mínimo júnior localizado</t>
        </is>
      </c>
    </row>
    <row r="85">
      <c r="A85" s="2" t="n">
        <v>43</v>
      </c>
      <c r="B85" s="3" t="inlineStr">
        <is>
          <t>44124465000120</t>
        </is>
      </c>
      <c r="C85" s="4" t="inlineStr">
        <is>
          <t>TMAQ21 FUNDO I E D CREDITORIOS</t>
        </is>
      </c>
      <c r="D85" s="4" t="inlineStr">
        <is>
          <t>Agro, Indústria e Comércio</t>
        </is>
      </c>
      <c r="E85" s="4" t="inlineStr">
        <is>
          <t>Recebíveis Comerciais</t>
        </is>
      </c>
      <c r="F85" s="5" t="n"/>
      <c r="G85" s="6" t="n"/>
      <c r="H85" s="6" t="n">
        <v>3</v>
      </c>
      <c r="I85" s="6" t="n"/>
      <c r="J85" s="7">
        <f>IF(OR(G85="",H85=""),"",G85-H85)</f>
        <v/>
      </c>
      <c r="K85" s="7">
        <f>IF(OR(G85="",I85=""),"",G85-I85)</f>
        <v/>
      </c>
      <c r="L85" s="2" t="inlineStr">
        <is>
          <t>951239</t>
        </is>
      </c>
      <c r="M85" s="2" t="inlineStr">
        <is>
          <t>2025-07-08</t>
        </is>
      </c>
      <c r="N85" s="2" t="inlineStr">
        <is>
          <t>85</t>
        </is>
      </c>
      <c r="O85" s="4" t="inlineStr">
        <is>
          <t>FundosNet/B3; documento 951239; referência 2025-07-08; p. 85</t>
        </is>
      </c>
      <c r="P85" s="4" t="inlineStr">
        <is>
          <t>revisto — mínimo júnior localizado</t>
        </is>
      </c>
    </row>
    <row r="86">
      <c r="A86" s="2" t="n">
        <v>46</v>
      </c>
      <c r="B86" s="3" t="inlineStr">
        <is>
          <t>44272584000120</t>
        </is>
      </c>
      <c r="C86" s="4" t="inlineStr">
        <is>
          <t>LAVORO AGRO FIDC DAS CADEIAS PRODUTIVAS AGROINDUST</t>
        </is>
      </c>
      <c r="D86" s="4" t="inlineStr">
        <is>
          <t>Agro, Indústria e Comércio</t>
        </is>
      </c>
      <c r="E86" s="4" t="inlineStr">
        <is>
          <t>Recebíveis Comerciais</t>
        </is>
      </c>
      <c r="F86" s="5" t="n"/>
      <c r="G86" s="6" t="n"/>
      <c r="H86" s="6" t="n">
        <v>5</v>
      </c>
      <c r="I86" s="6" t="n"/>
      <c r="J86" s="7">
        <f>IF(OR(G86="",H86=""),"",G86-H86)</f>
        <v/>
      </c>
      <c r="K86" s="7">
        <f>IF(OR(G86="",I86=""),"",G86-I86)</f>
        <v/>
      </c>
      <c r="L86" s="2" t="inlineStr">
        <is>
          <t>1003378</t>
        </is>
      </c>
      <c r="M86" s="2" t="inlineStr">
        <is>
          <t>2025-09-30</t>
        </is>
      </c>
      <c r="N86" s="2" t="inlineStr">
        <is>
          <t>133</t>
        </is>
      </c>
      <c r="O86" s="4" t="inlineStr">
        <is>
          <t>FundosNet/B3; documento 1003378; referência 2025-09-30; p. 133</t>
        </is>
      </c>
      <c r="P86" s="4" t="inlineStr">
        <is>
          <t>revisto — mínimo júnior localizado</t>
        </is>
      </c>
    </row>
    <row r="87">
      <c r="A87" s="2" t="n">
        <v>54</v>
      </c>
      <c r="B87" s="3" t="inlineStr">
        <is>
          <t>48946335000123</t>
        </is>
      </c>
      <c r="C87" s="4" t="inlineStr">
        <is>
          <t>NAGRO OIKOS FIAGRO FUNDO DE INVESTIMENTO EM DIREI</t>
        </is>
      </c>
      <c r="D87" s="4" t="inlineStr">
        <is>
          <t>Agro, Indústria e Comércio</t>
        </is>
      </c>
      <c r="E87" s="4" t="inlineStr">
        <is>
          <t>Recebíveis Comerciais</t>
        </is>
      </c>
      <c r="F87" s="5" t="n"/>
      <c r="G87" s="6" t="n"/>
      <c r="H87" s="6" t="n">
        <v>10</v>
      </c>
      <c r="I87" s="6" t="n"/>
      <c r="J87" s="7">
        <f>IF(OR(G87="",H87=""),"",G87-H87)</f>
        <v/>
      </c>
      <c r="K87" s="7">
        <f>IF(OR(G87="",I87=""),"",G87-I87)</f>
        <v/>
      </c>
      <c r="L87" s="2" t="inlineStr">
        <is>
          <t>1000248</t>
        </is>
      </c>
      <c r="M87" s="2" t="inlineStr">
        <is>
          <t>2025-09-29</t>
        </is>
      </c>
      <c r="N87" s="2" t="inlineStr">
        <is>
          <t>57</t>
        </is>
      </c>
      <c r="O87" s="4" t="inlineStr">
        <is>
          <t>FundosNet/B3; documento 1000248; referência 2025-09-29; p. 57</t>
        </is>
      </c>
      <c r="P87" s="4" t="inlineStr">
        <is>
          <t>revisto — mínimo júnior localizado</t>
        </is>
      </c>
    </row>
    <row r="88">
      <c r="A88" s="2" t="n">
        <v>57</v>
      </c>
      <c r="B88" s="3" t="inlineStr">
        <is>
          <t>48953864000154</t>
        </is>
      </c>
      <c r="C88" s="4" t="inlineStr">
        <is>
          <t>FUNDO INVESTIMENTO E D C A II</t>
        </is>
      </c>
      <c r="D88" s="4" t="inlineStr">
        <is>
          <t>Agro, Indústria e Comércio</t>
        </is>
      </c>
      <c r="E88" s="4" t="n"/>
      <c r="F88" s="5" t="n"/>
      <c r="G88" s="6" t="n"/>
      <c r="H88" s="6" t="n">
        <v>15</v>
      </c>
      <c r="I88" s="6" t="n">
        <v>15</v>
      </c>
      <c r="J88" s="7">
        <f>IF(OR(G88="",H88=""),"",G88-H88)</f>
        <v/>
      </c>
      <c r="K88" s="7">
        <f>IF(OR(G88="",I88=""),"",G88-I88)</f>
        <v/>
      </c>
      <c r="L88" s="2" t="inlineStr">
        <is>
          <t>774314</t>
        </is>
      </c>
      <c r="M88" s="2" t="inlineStr">
        <is>
          <t>2024-11-05</t>
        </is>
      </c>
      <c r="N88" s="2" t="inlineStr">
        <is>
          <t>33; 107</t>
        </is>
      </c>
      <c r="O88" s="4" t="inlineStr">
        <is>
          <t>FundosNet/B3; documento 774314; referência 2024-11-05; p. 33; 107</t>
        </is>
      </c>
      <c r="P88" s="4" t="inlineStr">
        <is>
          <t>revisto — mínimo júnior localizado</t>
        </is>
      </c>
    </row>
    <row r="89">
      <c r="A89" s="2" t="n">
        <v>69</v>
      </c>
      <c r="B89" s="3" t="inlineStr">
        <is>
          <t>47936340000192</t>
        </is>
      </c>
      <c r="C89" s="4" t="inlineStr">
        <is>
          <t>FUNDO DE INVESTIMENTO EM DIREITOS CREDITORIOS OPEA</t>
        </is>
      </c>
      <c r="D89" s="4" t="inlineStr">
        <is>
          <t>Agro, Indústria e Comércio</t>
        </is>
      </c>
      <c r="E89" s="4" t="inlineStr">
        <is>
          <t>Recebíveis Comerciais</t>
        </is>
      </c>
      <c r="F89" s="5" t="n"/>
      <c r="G89" s="6" t="n"/>
      <c r="H89" s="6" t="n"/>
      <c r="I89" s="6" t="n">
        <v>25</v>
      </c>
      <c r="J89" s="7">
        <f>IF(OR(G89="",H89=""),"",G89-H89)</f>
        <v/>
      </c>
      <c r="K89" s="7">
        <f>IF(OR(G89="",I89=""),"",G89-I89)</f>
        <v/>
      </c>
      <c r="L89" s="2" t="inlineStr">
        <is>
          <t>801978</t>
        </is>
      </c>
      <c r="M89" s="2" t="inlineStr">
        <is>
          <t>2025-03-11</t>
        </is>
      </c>
      <c r="N89" s="2" t="inlineStr">
        <is>
          <t>4</t>
        </is>
      </c>
      <c r="O89" s="4" t="inlineStr">
        <is>
          <t>FundosNet/B3; documento 801978; referência 2025-03-11; p. 4</t>
        </is>
      </c>
      <c r="P89" s="4" t="inlineStr">
        <is>
          <t>revisto — suporte estrutural total localizado</t>
        </is>
      </c>
    </row>
    <row r="90">
      <c r="A90" s="2" t="n">
        <v>70</v>
      </c>
      <c r="B90" s="3" t="inlineStr">
        <is>
          <t>58291962000127</t>
        </is>
      </c>
      <c r="C90" s="4" t="inlineStr">
        <is>
          <t>HELM FUNDO I E D C RESPONS</t>
        </is>
      </c>
      <c r="D90" s="4" t="inlineStr">
        <is>
          <t>Agro, Indústria e Comércio</t>
        </is>
      </c>
      <c r="E90" s="4" t="inlineStr">
        <is>
          <t>Multicarteira Agro, Indústria e Comércio</t>
        </is>
      </c>
      <c r="F90" s="5" t="n"/>
      <c r="G90" s="6" t="n"/>
      <c r="H90" s="6" t="n"/>
      <c r="I90" s="6" t="n">
        <v>20</v>
      </c>
      <c r="J90" s="7">
        <f>IF(OR(G90="",H90=""),"",G90-H90)</f>
        <v/>
      </c>
      <c r="K90" s="7">
        <f>IF(OR(G90="",I90=""),"",G90-I90)</f>
        <v/>
      </c>
      <c r="L90" s="2" t="inlineStr">
        <is>
          <t>957854</t>
        </is>
      </c>
      <c r="M90" s="2" t="inlineStr">
        <is>
          <t>2025-07-30</t>
        </is>
      </c>
      <c r="N90" s="2" t="inlineStr">
        <is>
          <t>99–100</t>
        </is>
      </c>
      <c r="O90" s="4" t="inlineStr">
        <is>
          <t>FundosNet/B3; documento 957854; referência 2025-07-30; p. 99–100</t>
        </is>
      </c>
      <c r="P90" s="4" t="inlineStr">
        <is>
          <t>revisto — suporte estrutural total localizado</t>
        </is>
      </c>
    </row>
    <row r="91">
      <c r="A91" s="2" t="n">
        <v>91</v>
      </c>
      <c r="B91" s="3" t="inlineStr">
        <is>
          <t>37294759000134</t>
        </is>
      </c>
      <c r="C91" s="4" t="inlineStr">
        <is>
          <t>GALLERIA HOME EQUITY FIDC</t>
        </is>
      </c>
      <c r="D91" s="4" t="inlineStr">
        <is>
          <t>Financeiro</t>
        </is>
      </c>
      <c r="E91" s="4" t="inlineStr">
        <is>
          <t>Multicarteira Financeiro</t>
        </is>
      </c>
      <c r="F91" s="5" t="n">
        <v>513.2</v>
      </c>
      <c r="G91" s="6" t="n">
        <v>31.79</v>
      </c>
      <c r="H91" s="6" t="n"/>
      <c r="I91" s="6" t="n">
        <v>4.76</v>
      </c>
      <c r="J91" s="7">
        <f>IF(OR(G91="",H91=""),"",G91-H91)</f>
        <v/>
      </c>
      <c r="K91" s="7">
        <f>IF(OR(G91="",I91=""),"",G91-I91)</f>
        <v/>
      </c>
      <c r="L91" s="2" t="inlineStr">
        <is>
          <t>927443</t>
        </is>
      </c>
      <c r="M91" s="2" t="inlineStr">
        <is>
          <t>2026-07-10</t>
        </is>
      </c>
      <c r="N91" s="2" t="inlineStr">
        <is>
          <t>110</t>
        </is>
      </c>
      <c r="O91" s="4" t="inlineStr">
        <is>
          <t>FundosNet/B3; documento 927443; referência 2026-07-10; p. 110</t>
        </is>
      </c>
      <c r="P91" s="4" t="inlineStr">
        <is>
          <t>revisto — suporte estrutural total localizado</t>
        </is>
      </c>
    </row>
    <row r="92">
      <c r="A92" s="2" t="n">
        <v>5</v>
      </c>
      <c r="B92" s="3" t="inlineStr">
        <is>
          <t>52100879000147</t>
        </is>
      </c>
      <c r="C92" s="4" t="inlineStr">
        <is>
          <t>SOTREQ FUNDO DE INVESTIMENTO EM DIREITOS CREDITÓRIOS - RESPONSABILIDADE LIMITADA</t>
        </is>
      </c>
      <c r="D92" s="4" t="inlineStr">
        <is>
          <t>Financeiro</t>
        </is>
      </c>
      <c r="E92" s="4" t="inlineStr">
        <is>
          <t>Multicarteira Financeiro</t>
        </is>
      </c>
      <c r="F92" s="5" t="n">
        <v>205.2</v>
      </c>
      <c r="G92" s="6" t="n">
        <v>23.59</v>
      </c>
      <c r="H92" s="6" t="n"/>
      <c r="I92" s="6" t="n">
        <v>25</v>
      </c>
      <c r="J92" s="7">
        <f>IF(OR(G92="",H92=""),"",G92-H92)</f>
        <v/>
      </c>
      <c r="K92" s="7">
        <f>IF(OR(G92="",I92=""),"",G92-I92)</f>
        <v/>
      </c>
      <c r="L92" s="2" t="inlineStr">
        <is>
          <t>1117315</t>
        </is>
      </c>
      <c r="M92" s="2" t="inlineStr">
        <is>
          <t>2026-02-06</t>
        </is>
      </c>
      <c r="N92" s="2" t="inlineStr">
        <is>
          <t>49</t>
        </is>
      </c>
      <c r="O92" s="4" t="inlineStr">
        <is>
          <t>FundosNet/B3; documento 1117315; referência 2026-02-06; p. 49</t>
        </is>
      </c>
      <c r="P92" s="4" t="inlineStr">
        <is>
          <t>revisto — suporte estrutural total localizado</t>
        </is>
      </c>
    </row>
    <row r="93">
      <c r="A93" s="2" t="n">
        <v>4</v>
      </c>
      <c r="B93" s="3" t="inlineStr">
        <is>
          <t>52968533000165</t>
        </is>
      </c>
      <c r="C93" s="4" t="inlineStr">
        <is>
          <t>MCPO FUNDO DE INVESTIMENTO EM DIREITOS CREDITÓRIOS</t>
        </is>
      </c>
      <c r="D93" s="4" t="inlineStr">
        <is>
          <t>Financeiro</t>
        </is>
      </c>
      <c r="E93" s="4" t="inlineStr">
        <is>
          <t>Multicarteira Financeiro</t>
        </is>
      </c>
      <c r="F93" s="5" t="n">
        <v>113.3</v>
      </c>
      <c r="G93" s="6" t="n">
        <v>0</v>
      </c>
      <c r="H93" s="6" t="n"/>
      <c r="I93" s="6" t="n">
        <v>20</v>
      </c>
      <c r="J93" s="7">
        <f>IF(OR(G93="",H93=""),"",G93-H93)</f>
        <v/>
      </c>
      <c r="K93" s="7">
        <f>IF(OR(G93="",I93=""),"",G93-I93)</f>
        <v/>
      </c>
      <c r="L93" s="2" t="inlineStr">
        <is>
          <t>1049185</t>
        </is>
      </c>
      <c r="M93" s="2" t="inlineStr">
        <is>
          <t>2025-10-14</t>
        </is>
      </c>
      <c r="N93" s="2" t="inlineStr">
        <is>
          <t>72</t>
        </is>
      </c>
      <c r="O93" s="4" t="inlineStr">
        <is>
          <t>FundosNet/B3; documento 1049185; referência 2025-10-14; p. 72</t>
        </is>
      </c>
      <c r="P93" s="4" t="inlineStr">
        <is>
          <t>revisto — suporte estrutural total localizado</t>
        </is>
      </c>
    </row>
    <row r="94">
      <c r="A94" s="2" t="n">
        <v>56</v>
      </c>
      <c r="B94" s="3" t="inlineStr">
        <is>
          <t>35868110000154</t>
        </is>
      </c>
      <c r="C94" s="4" t="inlineStr">
        <is>
          <t>FUNDO DE INVESTIMENTO EM DIREITOS CREDITORIOS BV</t>
        </is>
      </c>
      <c r="D94" s="4" t="inlineStr">
        <is>
          <t>Financeiro</t>
        </is>
      </c>
      <c r="E94" s="4" t="n"/>
      <c r="F94" s="5" t="n"/>
      <c r="G94" s="6" t="n"/>
      <c r="H94" s="6" t="n">
        <v>25</v>
      </c>
      <c r="I94" s="6" t="n">
        <v>25</v>
      </c>
      <c r="J94" s="7">
        <f>IF(OR(G94="",H94=""),"",G94-H94)</f>
        <v/>
      </c>
      <c r="K94" s="7">
        <f>IF(OR(G94="",I94=""),"",G94-I94)</f>
        <v/>
      </c>
      <c r="L94" s="2" t="inlineStr">
        <is>
          <t>792021</t>
        </is>
      </c>
      <c r="M94" s="2" t="inlineStr">
        <is>
          <t>2024-11-27</t>
        </is>
      </c>
      <c r="N94" s="2" t="inlineStr">
        <is>
          <t>48</t>
        </is>
      </c>
      <c r="O94" s="4" t="inlineStr">
        <is>
          <t>FundosNet/B3; documento 792021; referência 2024-11-27; p. 48</t>
        </is>
      </c>
      <c r="P94" s="4" t="inlineStr">
        <is>
          <t>revisto — mínimo júnior localizado</t>
        </is>
      </c>
    </row>
    <row r="95">
      <c r="A95" s="2" t="n">
        <v>67</v>
      </c>
      <c r="B95" s="3" t="inlineStr">
        <is>
          <t>55070804000159</t>
        </is>
      </c>
      <c r="C95" s="4" t="inlineStr">
        <is>
          <t>ESTRATEGIA VINCULADA II FUNDO DE INVESTIMENTO EM D</t>
        </is>
      </c>
      <c r="D95" s="4" t="inlineStr">
        <is>
          <t>Financeiro</t>
        </is>
      </c>
      <c r="E95" s="4" t="inlineStr">
        <is>
          <t>Multicarteira Financeiro</t>
        </is>
      </c>
      <c r="F95" s="5" t="n"/>
      <c r="G95" s="6" t="n"/>
      <c r="H95" s="6" t="n">
        <v>10</v>
      </c>
      <c r="I95" s="6" t="n">
        <v>10</v>
      </c>
      <c r="J95" s="7">
        <f>IF(OR(G95="",H95=""),"",G95-H95)</f>
        <v/>
      </c>
      <c r="K95" s="7">
        <f>IF(OR(G95="",I95=""),"",G95-I95)</f>
        <v/>
      </c>
      <c r="L95" s="2" t="inlineStr">
        <is>
          <t>667195</t>
        </is>
      </c>
      <c r="M95" s="2" t="inlineStr">
        <is>
          <t>2024-05-22</t>
        </is>
      </c>
      <c r="N95" s="2" t="inlineStr">
        <is>
          <t>57</t>
        </is>
      </c>
      <c r="O95" s="4" t="inlineStr">
        <is>
          <t>FundosNet/B3; documento 667195; referência 2024-05-22; p. 57</t>
        </is>
      </c>
      <c r="P95" s="4" t="inlineStr">
        <is>
          <t>revisto — mínimo júnior localizado</t>
        </is>
      </c>
    </row>
    <row r="96">
      <c r="A96" s="2" t="n">
        <v>6</v>
      </c>
      <c r="B96" s="3" t="inlineStr">
        <is>
          <t>53662209000187</t>
        </is>
      </c>
      <c r="C96" s="4" t="inlineStr">
        <is>
          <t>PNEUCASH FUNDO DE INVESTIMENTO EM DIREITOS CREDITÓRIOS DE CLASSE ÚNICA FECHADA - RESP LTDA</t>
        </is>
      </c>
      <c r="D96" s="4" t="inlineStr">
        <is>
          <t>Fomento Mercantil</t>
        </is>
      </c>
      <c r="E96" s="4" t="inlineStr">
        <is>
          <t>Fomento Mercantil</t>
        </is>
      </c>
      <c r="F96" s="5" t="n">
        <v>270.3</v>
      </c>
      <c r="G96" s="6" t="n">
        <v>35.44</v>
      </c>
      <c r="H96" s="6" t="n"/>
      <c r="I96" s="6" t="n">
        <v>20</v>
      </c>
      <c r="J96" s="7">
        <f>IF(OR(G96="",H96=""),"",G96-H96)</f>
        <v/>
      </c>
      <c r="K96" s="7">
        <f>IF(OR(G96="",I96=""),"",G96-I96)</f>
        <v/>
      </c>
      <c r="L96" s="2" t="inlineStr">
        <is>
          <t>1239751</t>
        </is>
      </c>
      <c r="M96" s="2" t="inlineStr">
        <is>
          <t>2026-06-30</t>
        </is>
      </c>
      <c r="N96" s="2" t="inlineStr">
        <is>
          <t>49</t>
        </is>
      </c>
      <c r="O96" s="4" t="inlineStr">
        <is>
          <t>FundosNet/B3; documento 1239751; referência 2026-06-30; p. 49</t>
        </is>
      </c>
      <c r="P96" s="4" t="inlineStr">
        <is>
          <t>revisto — suporte estrutural total localizado</t>
        </is>
      </c>
    </row>
    <row r="97">
      <c r="A97" s="2" t="n">
        <v>97</v>
      </c>
      <c r="B97" s="3" t="inlineStr">
        <is>
          <t>65836995000170</t>
        </is>
      </c>
      <c r="C97" s="4" t="inlineStr">
        <is>
          <t>PNEUCASH II FUNDO DE INVESTIMENTO EM DIREITOS CREDITÓRIOS DE CLASSE ÚNICA FECHADA RESP LIMITADA</t>
        </is>
      </c>
      <c r="D97" s="4" t="inlineStr">
        <is>
          <t>Não classificado</t>
        </is>
      </c>
      <c r="E97" s="4" t="inlineStr"/>
      <c r="F97" s="5" t="n">
        <v>154.3</v>
      </c>
      <c r="G97" s="6" t="n">
        <v>20.02</v>
      </c>
      <c r="H97" s="6" t="n"/>
      <c r="I97" s="6" t="n">
        <v>20</v>
      </c>
      <c r="J97" s="7">
        <f>IF(OR(G97="",H97=""),"",G97-H97)</f>
        <v/>
      </c>
      <c r="K97" s="7">
        <f>IF(OR(G97="",I97=""),"",G97-I97)</f>
        <v/>
      </c>
      <c r="L97" s="2" t="inlineStr">
        <is>
          <t>1184847</t>
        </is>
      </c>
      <c r="M97" s="2" t="inlineStr">
        <is>
          <t>2026-05-11</t>
        </is>
      </c>
      <c r="N97" s="2" t="inlineStr">
        <is>
          <t>49–50</t>
        </is>
      </c>
      <c r="O97" s="4" t="inlineStr">
        <is>
          <t>FundosNet/B3; documento 1184847; referência 2026-05-11; p. 49–50</t>
        </is>
      </c>
      <c r="P97" s="4" t="inlineStr">
        <is>
          <t>revisto — suporte estrutural total localizado</t>
        </is>
      </c>
    </row>
    <row r="98">
      <c r="A98" s="2" t="n">
        <v>20</v>
      </c>
      <c r="B98" s="3" t="inlineStr">
        <is>
          <t>56936116000191</t>
        </is>
      </c>
      <c r="C98" s="4" t="inlineStr">
        <is>
          <t>FATOR TARKEN FUNDO DE INVESTIMENTO EM DIREITOS CRE</t>
        </is>
      </c>
      <c r="D98" s="4" t="inlineStr">
        <is>
          <t>Não classificado</t>
        </is>
      </c>
      <c r="E98" s="4" t="inlineStr"/>
      <c r="F98" s="5" t="n"/>
      <c r="G98" s="6" t="n"/>
      <c r="H98" s="6" t="n">
        <v>3</v>
      </c>
      <c r="I98" s="6" t="n"/>
      <c r="J98" s="7">
        <f>IF(OR(G98="",H98=""),"",G98-H98)</f>
        <v/>
      </c>
      <c r="K98" s="7">
        <f>IF(OR(G98="",I98=""),"",G98-I98)</f>
        <v/>
      </c>
      <c r="L98" s="2" t="inlineStr">
        <is>
          <t>1023213</t>
        </is>
      </c>
      <c r="M98" s="2" t="inlineStr">
        <is>
          <t>2025-10-27</t>
        </is>
      </c>
      <c r="N98" s="2" t="inlineStr">
        <is>
          <t>61</t>
        </is>
      </c>
      <c r="O98" s="4" t="inlineStr">
        <is>
          <t>FundosNet/B3; documento 1023213; referência 2025-10-27; p. 61</t>
        </is>
      </c>
      <c r="P98" s="4" t="inlineStr">
        <is>
          <t>revisto — mínimo júnior localizado</t>
        </is>
      </c>
    </row>
    <row r="99">
      <c r="A99" s="2" t="n">
        <v>22</v>
      </c>
      <c r="B99" s="3" t="inlineStr">
        <is>
          <t>57131490000182</t>
        </is>
      </c>
      <c r="C99" s="4" t="inlineStr">
        <is>
          <t>PONTO RURAL FIAGRO FIDC LTDA</t>
        </is>
      </c>
      <c r="D99" s="4" t="inlineStr">
        <is>
          <t>Não classificado</t>
        </is>
      </c>
      <c r="E99" s="4" t="inlineStr"/>
      <c r="F99" s="5" t="n"/>
      <c r="G99" s="6" t="n"/>
      <c r="H99" s="6" t="n"/>
      <c r="I99" s="6" t="n">
        <v>50</v>
      </c>
      <c r="J99" s="7">
        <f>IF(OR(G99="",H99=""),"",G99-H99)</f>
        <v/>
      </c>
      <c r="K99" s="7">
        <f>IF(OR(G99="",I99=""),"",G99-I99)</f>
        <v/>
      </c>
      <c r="L99" s="2" t="inlineStr">
        <is>
          <t>995970</t>
        </is>
      </c>
      <c r="M99" s="2" t="inlineStr">
        <is>
          <t>2025-09-23</t>
        </is>
      </c>
      <c r="N99" s="2" t="inlineStr">
        <is>
          <t>39</t>
        </is>
      </c>
      <c r="O99" s="4" t="inlineStr">
        <is>
          <t>FundosNet/B3; documento 995970; referência 2025-09-23; p. 39</t>
        </is>
      </c>
      <c r="P99" s="4" t="inlineStr">
        <is>
          <t>revisto — suporte estrutural total localizado</t>
        </is>
      </c>
    </row>
    <row r="100">
      <c r="A100" s="2" t="n">
        <v>28</v>
      </c>
      <c r="B100" s="3" t="inlineStr">
        <is>
          <t>45123558000100</t>
        </is>
      </c>
      <c r="C100" s="4" t="inlineStr">
        <is>
          <t>CLASSE I DO CANAA FUNDO DE INVESTIMENTO NAS CADEIAS USINA COCAL</t>
        </is>
      </c>
      <c r="D100" s="4" t="inlineStr">
        <is>
          <t>Não classificado</t>
        </is>
      </c>
      <c r="E100" s="4" t="inlineStr"/>
      <c r="F100" s="5" t="n"/>
      <c r="G100" s="6" t="n"/>
      <c r="H100" s="6" t="n"/>
      <c r="I100" s="6" t="n"/>
      <c r="J100" s="7">
        <f>IF(OR(G100="",H100=""),"",G100-H100)</f>
        <v/>
      </c>
      <c r="K100" s="7">
        <f>IF(OR(G100="",I100=""),"",G100-I100)</f>
        <v/>
      </c>
      <c r="L100" s="2" t="inlineStr">
        <is>
          <t>N/D</t>
        </is>
      </c>
      <c r="M100" s="2" t="inlineStr">
        <is>
          <t>N/D</t>
        </is>
      </c>
      <c r="N100" s="2" t="inlineStr">
        <is>
          <t>N/D</t>
        </is>
      </c>
      <c r="O100" s="4" t="inlineStr">
        <is>
          <t>N/D — documento FIDC não localizado</t>
        </is>
      </c>
      <c r="P100" s="4" t="inlineStr">
        <is>
          <t>fora do perímetro FIDC — regulamento não localizado</t>
        </is>
      </c>
    </row>
    <row r="101">
      <c r="A101" s="2" t="n">
        <v>51</v>
      </c>
      <c r="B101" s="3" t="inlineStr">
        <is>
          <t>55476342000174</t>
        </is>
      </c>
      <c r="C101" s="4" t="inlineStr">
        <is>
          <t>LAVORO AGRO II FUNDO DE INVESTIMENTO EM DIREITOS C</t>
        </is>
      </c>
      <c r="D101" s="4" t="inlineStr">
        <is>
          <t>Não classificado</t>
        </is>
      </c>
      <c r="E101" s="4" t="inlineStr"/>
      <c r="F101" s="5" t="n"/>
      <c r="G101" s="6" t="n"/>
      <c r="H101" s="6" t="n">
        <v>20</v>
      </c>
      <c r="I101" s="6" t="n">
        <v>20</v>
      </c>
      <c r="J101" s="7">
        <f>IF(OR(G101="",H101=""),"",G101-H101)</f>
        <v/>
      </c>
      <c r="K101" s="7">
        <f>IF(OR(G101="",I101=""),"",G101-I101)</f>
        <v/>
      </c>
      <c r="L101" s="2" t="inlineStr">
        <is>
          <t>1003108</t>
        </is>
      </c>
      <c r="M101" s="2" t="inlineStr">
        <is>
          <t>2025-09-30</t>
        </is>
      </c>
      <c r="N101" s="2" t="inlineStr">
        <is>
          <t>107; 122</t>
        </is>
      </c>
      <c r="O101" s="4" t="inlineStr">
        <is>
          <t>FundosNet/B3; documento 1003108; referência 2025-09-30; p. 107; 122</t>
        </is>
      </c>
      <c r="P101" s="4" t="inlineStr">
        <is>
          <t>revisto — mínimo júnior localizado</t>
        </is>
      </c>
    </row>
    <row r="102">
      <c r="A102" s="2" t="n">
        <v>71</v>
      </c>
      <c r="B102" s="3" t="inlineStr">
        <is>
          <t>57259989000170</t>
        </is>
      </c>
      <c r="C102" s="4" t="inlineStr">
        <is>
          <t>TRES TENTOS FUNDO DE INVESTIMENTO EM DIREITOS CRE</t>
        </is>
      </c>
      <c r="D102" s="4" t="inlineStr">
        <is>
          <t>Não classificado</t>
        </is>
      </c>
      <c r="E102" s="4" t="inlineStr"/>
      <c r="F102" s="5" t="n"/>
      <c r="G102" s="6" t="n"/>
      <c r="H102" s="6" t="n"/>
      <c r="I102" s="6" t="n">
        <v>20</v>
      </c>
      <c r="J102" s="7">
        <f>IF(OR(G102="",H102=""),"",G102-H102)</f>
        <v/>
      </c>
      <c r="K102" s="7">
        <f>IF(OR(G102="",I102=""),"",G102-I102)</f>
        <v/>
      </c>
      <c r="L102" s="2" t="inlineStr">
        <is>
          <t>1016583</t>
        </is>
      </c>
      <c r="M102" s="2" t="inlineStr">
        <is>
          <t>2025-10-16</t>
        </is>
      </c>
      <c r="N102" s="2" t="inlineStr">
        <is>
          <t>104</t>
        </is>
      </c>
      <c r="O102" s="4" t="inlineStr">
        <is>
          <t>FundosNet/B3; documento 1016583; referência 2025-10-16; p. 104</t>
        </is>
      </c>
      <c r="P102" s="4" t="inlineStr">
        <is>
          <t>revisto — suporte estrutural total localizado</t>
        </is>
      </c>
    </row>
  </sheetData>
  <autoFilter ref="A1:P102"/>
  <conditionalFormatting sqref="J2:J102">
    <cfRule type="cellIs" priority="1" operator="lessThan" dxfId="0">
      <formula>0</formula>
    </cfRule>
  </conditionalFormatting>
  <conditionalFormatting sqref="K2:K102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showGridLines="0" workbookViewId="0">
      <selection activeCell="A1" sqref="A1"/>
    </sheetView>
  </sheetViews>
  <sheetFormatPr baseColWidth="8" defaultRowHeight="15"/>
  <sheetData>
    <row r="1">
      <c r="A1" s="8" t="inlineStr">
        <is>
          <t>Carteira 101 — subordinação mínima × atual</t>
        </is>
      </c>
    </row>
    <row r="2">
      <c r="A2" s="9" t="inlineStr">
        <is>
          <t>Cada bolha é um FIDC; o tamanho é o PL de jun-26 em R$ mm. Acima da diagonal, a subordinação atual supera a mínima contratual. Os pontos vêm da aba Dados — editar lá redesenha o gráfico.</t>
        </is>
      </c>
    </row>
    <row r="36">
      <c r="A36" s="10" t="inlineStr">
        <is>
          <t>Como validar:</t>
        </is>
      </c>
    </row>
    <row r="37">
      <c r="A37" s="11" t="inlineStr">
        <is>
          <t>1. Corrija os valores na aba Dados — as colunas de folga são fórmulas e o gráfico segue as células.</t>
        </is>
      </c>
    </row>
    <row r="38">
      <c r="A38" s="11" t="inlineStr">
        <is>
          <t>2. Folga negativa fica destacada em vermelho: a subordinação atual está abaixo do mínimo contratual.</t>
        </is>
      </c>
    </row>
    <row r="39">
      <c r="A39" s="11" t="inlineStr">
        <is>
          <t>3. As linhas estão agrupadas por Tipo ANBIMA porque cada série do gráfico lê um intervalo contínuo. Para mover um fundo de tipo, reordene o bloco e ajuste o intervalo da série.</t>
        </is>
      </c>
    </row>
    <row r="40">
      <c r="A40" s="11" t="inlineStr">
        <is>
          <t>4. Fundos sem PL, sem subordinação atual ou sem mínima curada ficam no fim da aba Dados e fora do gráfico.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2026-08-07T01:24:53Z</dcterms:created>
  <dcterms:modified xmlns:dcterms="http://purl.org/dc/terms/" xmlns:xsi="http://www.w3.org/2001/XMLSchema-instance" xsi:type="dcterms:W3CDTF">2026-08-07T01:24:54Z</dcterms:modified>
</cp:coreProperties>
</file>