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issões por categoria" sheetId="1" state="visible" r:id="rId1"/>
    <sheet xmlns:r="http://schemas.openxmlformats.org/officeDocument/2006/relationships" name="Cobertur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00"/>
  </numFmts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sz val="9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164" fontId="1" fillId="0" borderId="0" pivotButton="0" quotePrefix="0" xfId="0"/>
    <xf numFmtId="165" fontId="1" fillId="0" borderId="0" pivotButton="0" quotePrefix="0" xfId="0"/>
    <xf numFmtId="0" fontId="3" fillId="0" borderId="0" pivotButton="0" quotePrefix="0" xfId="0"/>
    <xf numFmtId="4" fontId="2" fillId="0" borderId="0" pivotButton="0" quotePrefix="0" xfId="0"/>
    <xf numFmtId="166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5"/>
  <sheetViews>
    <sheetView workbookViewId="0">
      <selection activeCell="A1" sqref="A1"/>
    </sheetView>
  </sheetViews>
  <sheetFormatPr baseColWidth="8" defaultRowHeight="15"/>
  <cols>
    <col width="3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1" t="inlineStr">
        <is>
          <t>Emissões de FIDCs por categoria ANBIMA — 2023 a jun/26 (R$ bilhões)</t>
        </is>
      </c>
    </row>
    <row r="3">
      <c r="A3" s="1" t="inlineStr">
        <is>
          <t>Categoria</t>
        </is>
      </c>
      <c r="B3" s="1" t="inlineStr">
        <is>
          <t>2023 (R$ bi)</t>
        </is>
      </c>
      <c r="C3" s="1" t="inlineStr">
        <is>
          <t>2023 (%)</t>
        </is>
      </c>
      <c r="D3" s="1" t="inlineStr">
        <is>
          <t>2024 (R$ bi)</t>
        </is>
      </c>
      <c r="E3" s="1" t="inlineStr">
        <is>
          <t>2024 (%)</t>
        </is>
      </c>
      <c r="F3" s="1" t="inlineStr">
        <is>
          <t>Delta 2023→2024 (R$ bi)</t>
        </is>
      </c>
      <c r="G3" s="1" t="inlineStr">
        <is>
          <t>2025 (R$ bi)</t>
        </is>
      </c>
      <c r="H3" s="1" t="inlineStr">
        <is>
          <t>2025 (%)</t>
        </is>
      </c>
      <c r="I3" s="1" t="inlineStr">
        <is>
          <t>Delta 2024→2025 (R$ bi)</t>
        </is>
      </c>
      <c r="J3" s="1" t="inlineStr">
        <is>
          <t>jan–jun/25 (R$ bi)</t>
        </is>
      </c>
      <c r="K3" s="1" t="inlineStr">
        <is>
          <t>jan–jun/25 (%)</t>
        </is>
      </c>
      <c r="L3" s="1" t="inlineStr">
        <is>
          <t>jan–jun/26 (R$ bi)</t>
        </is>
      </c>
      <c r="M3" s="1" t="inlineStr">
        <is>
          <t>jan–jun/26 (%)</t>
        </is>
      </c>
      <c r="N3" s="1" t="inlineStr">
        <is>
          <t>Delta jan–jun/25→jan–jun/26 (R$ bi)</t>
        </is>
      </c>
    </row>
    <row r="4">
      <c r="A4" s="2" t="inlineStr">
        <is>
          <t>Fomento Mercantil</t>
        </is>
      </c>
      <c r="B4" s="3" t="n">
        <v>4.355347460331231</v>
      </c>
      <c r="C4" s="4">
        <f>B4/B$8</f>
        <v>0.10653569583443391</v>
      </c>
      <c r="D4" s="3" t="n">
        <v>9.715143145940001</v>
      </c>
      <c r="E4" s="4">
        <f>D4/D$8</f>
        <v>0.10991646823607587</v>
      </c>
      <c r="F4" s="3" t="n">
        <v>5.35979568560877</v>
      </c>
      <c r="G4" s="3" t="n">
        <v>9.03480114906</v>
      </c>
      <c r="H4" s="4">
        <f>G4/G$8</f>
        <v>0.0848630193444677</v>
      </c>
      <c r="I4" s="3" t="n">
        <v>-0.6803419968800011</v>
      </c>
      <c r="J4" s="3" t="n">
        <v>4.0599598732</v>
      </c>
      <c r="K4" s="4">
        <f>J4/J$8</f>
        <v>0.07740982849218064</v>
      </c>
      <c r="L4" s="3" t="n">
        <v>5.705318924819999</v>
      </c>
      <c r="M4" s="4">
        <f>L4/L$8</f>
        <v>0.09103059663746195</v>
      </c>
      <c r="N4" s="3" t="n">
        <v>1.64535905162</v>
      </c>
    </row>
    <row r="5">
      <c r="A5" s="2" t="inlineStr">
        <is>
          <t>Agro, Indústria e Comércio</t>
        </is>
      </c>
      <c r="B5" s="3" t="n">
        <v>8.725651793954372</v>
      </c>
      <c r="C5" s="4">
        <f>B5/B$8</f>
        <v>0.21343725017227638</v>
      </c>
      <c r="D5" s="3" t="n">
        <v>19.8036035084</v>
      </c>
      <c r="E5" s="4">
        <f>D5/D$8</f>
        <v>0.22405662204787577</v>
      </c>
      <c r="F5" s="3" t="n">
        <v>11.07795171444563</v>
      </c>
      <c r="G5" s="3" t="n">
        <v>28.71965699961</v>
      </c>
      <c r="H5" s="4">
        <f>G5/G$8</f>
        <v>0.2697609794962622</v>
      </c>
      <c r="I5" s="3" t="n">
        <v>8.916053491209999</v>
      </c>
      <c r="J5" s="3" t="n">
        <v>19.39381267632</v>
      </c>
      <c r="K5" s="4">
        <f>J5/J$8</f>
        <v>0.3697750125545281</v>
      </c>
      <c r="L5" s="3" t="n">
        <v>10.78363727233</v>
      </c>
      <c r="M5" s="4">
        <f>L5/L$8</f>
        <v>0.17205715364161575</v>
      </c>
      <c r="N5" s="3" t="n">
        <v>-8.61017540399</v>
      </c>
    </row>
    <row r="6">
      <c r="A6" s="2" t="inlineStr">
        <is>
          <t>Financeiro</t>
        </is>
      </c>
      <c r="B6" s="3" t="n">
        <v>19.33358250441061</v>
      </c>
      <c r="C6" s="4">
        <f>B6/B$8</f>
        <v>0.47291672681452995</v>
      </c>
      <c r="D6" s="3" t="n">
        <v>46.91709152533</v>
      </c>
      <c r="E6" s="4">
        <f>D6/D$8</f>
        <v>0.5308167798359323</v>
      </c>
      <c r="F6" s="3" t="n">
        <v>27.58350902091939</v>
      </c>
      <c r="G6" s="3" t="n">
        <v>52.42676092368</v>
      </c>
      <c r="H6" s="4">
        <f>G6/G$8</f>
        <v>0.4924395294407706</v>
      </c>
      <c r="I6" s="3" t="n">
        <v>5.509669398349999</v>
      </c>
      <c r="J6" s="3" t="n">
        <v>21.60168209032</v>
      </c>
      <c r="K6" s="4">
        <f>J6/J$8</f>
        <v>0.4118716829672241</v>
      </c>
      <c r="L6" s="3" t="n">
        <v>40.39299902597</v>
      </c>
      <c r="M6" s="4">
        <f>L6/L$8</f>
        <v>0.6444861102004874</v>
      </c>
      <c r="N6" s="3" t="n">
        <v>18.79131693565</v>
      </c>
    </row>
    <row r="7">
      <c r="A7" s="2" t="inlineStr">
        <is>
          <t>Outros</t>
        </is>
      </c>
      <c r="B7" s="3" t="n">
        <v>8.466997192079447</v>
      </c>
      <c r="C7" s="4">
        <f>B7/B$8</f>
        <v>0.20711032717875982</v>
      </c>
      <c r="D7" s="3" t="n">
        <v>11.95076395418</v>
      </c>
      <c r="E7" s="4">
        <f>D7/D$8</f>
        <v>0.13521012988011602</v>
      </c>
      <c r="F7" s="3" t="n">
        <v>3.483766762100553</v>
      </c>
      <c r="G7" s="3" t="n">
        <v>16.2821287893</v>
      </c>
      <c r="H7" s="4">
        <f>G7/G$8</f>
        <v>0.1529364717184994</v>
      </c>
      <c r="I7" s="3" t="n">
        <v>4.331364835119999</v>
      </c>
      <c r="J7" s="3" t="n">
        <v>7.392147328559999</v>
      </c>
      <c r="K7" s="4">
        <f>J7/J$8</f>
        <v>0.14094347598606727</v>
      </c>
      <c r="L7" s="3" t="n">
        <v>5.79278421138</v>
      </c>
      <c r="M7" s="4">
        <f>L7/L$8</f>
        <v>0.0924261395204349</v>
      </c>
      <c r="N7" s="3" t="n">
        <v>-1.599363117179999</v>
      </c>
    </row>
    <row r="8">
      <c r="A8" s="1" t="inlineStr">
        <is>
          <t>Total (quatro tipos ANBIMA)</t>
        </is>
      </c>
      <c r="B8" s="5">
        <f>SUM(B4:B7)</f>
        <v>40.88157895077566</v>
      </c>
      <c r="C8" s="6">
        <f>B8/B$8</f>
        <v>1.0</v>
      </c>
      <c r="D8" s="5">
        <f>SUM(D4:D7)</f>
        <v>88.38660213385</v>
      </c>
      <c r="E8" s="6">
        <f>D8/D$8</f>
        <v>1.0</v>
      </c>
      <c r="F8" s="5">
        <f>SUM(F4:F7)</f>
        <v>47.505023183074336</v>
      </c>
      <c r="G8" s="5">
        <f>SUM(G4:G7)</f>
        <v>106.46334786164999</v>
      </c>
      <c r="H8" s="6">
        <f>G8/G$8</f>
        <v>1.0</v>
      </c>
      <c r="I8" s="5">
        <f>SUM(I4:I7)</f>
        <v>18.076745727799995</v>
      </c>
      <c r="J8" s="5">
        <f>SUM(J4:J7)</f>
        <v>52.4476019684</v>
      </c>
      <c r="K8" s="6">
        <f>J8/J$8</f>
        <v>1.0</v>
      </c>
      <c r="L8" s="5">
        <f>SUM(L4:L7)</f>
        <v>62.674739434500005</v>
      </c>
      <c r="M8" s="6">
        <f>L8/L$8</f>
        <v>1.0</v>
      </c>
      <c r="N8" s="5">
        <f>SUM(N4:N7)</f>
        <v>10.227137466100002</v>
      </c>
    </row>
    <row r="9">
      <c r="A9" s="2" t="inlineStr">
        <is>
          <t>FIC-FIDC (fundos de cotas — fora dos quatro tipos)</t>
        </is>
      </c>
      <c r="B9" s="3" t="n">
        <v>2.864561245449307</v>
      </c>
      <c r="C9" s="3" t="n"/>
      <c r="D9" s="3" t="n">
        <v>7.0301239999</v>
      </c>
      <c r="E9" s="3" t="n"/>
      <c r="F9" s="3" t="n"/>
      <c r="G9" s="3" t="n">
        <v>10.45797119312</v>
      </c>
      <c r="H9" s="3" t="n"/>
      <c r="I9" s="3" t="n"/>
      <c r="J9" s="3" t="n">
        <v>4.71110499996</v>
      </c>
      <c r="K9" s="3" t="n"/>
      <c r="L9" s="3" t="n">
        <v>2.81337954906</v>
      </c>
      <c r="M9" s="3" t="n"/>
      <c r="N9" s="3" t="n"/>
    </row>
    <row r="10">
      <c r="A10" s="1" t="inlineStr">
        <is>
          <t>Total emitido (bate com o gráfico)</t>
        </is>
      </c>
      <c r="B10" s="5">
        <f>B8+B9</f>
        <v>43.74614019622497</v>
      </c>
      <c r="C10" s="5" t="n"/>
      <c r="D10" s="5">
        <f>D8+D9</f>
        <v>95.41672613375</v>
      </c>
      <c r="E10" s="5" t="n"/>
      <c r="F10" s="5" t="n"/>
      <c r="G10" s="5">
        <f>G8+G9</f>
        <v>116.92131905477</v>
      </c>
      <c r="H10" s="5" t="n"/>
      <c r="I10" s="5" t="n"/>
      <c r="J10" s="5">
        <f>J8+J9</f>
        <v>57.15870696836</v>
      </c>
      <c r="K10" s="5" t="n"/>
      <c r="L10" s="5">
        <f>L8+L9</f>
        <v>65.48811898356</v>
      </c>
      <c r="M10" s="5" t="n"/>
      <c r="N10" s="5" t="n"/>
    </row>
    <row r="12">
      <c r="A12" s="7" t="inlineStr">
        <is>
          <t>Fonte: CVM/SRE — ofertas públicas primárias encerradas (snapshot 24/jul/26), com a taxonomia ANBIMA sob a reclassificação analítica do projeto (taxonomy_review_actions.csv). Mesma regra da aba Escala e taxonomia.</t>
        </is>
      </c>
    </row>
    <row r="13">
      <c r="A13" s="7" t="inlineStr">
        <is>
          <t>Aberturas pela reclassificação analítica final: fundos sem tipo ANBIMA nomeado entram em Outros, como a aba faz com N/D. FIC-FIDCs ficam fora dos quatro tipos — são fundos de cotas e contá-los somaria o mesmo dinheiro duas vezes.</t>
        </is>
      </c>
    </row>
    <row r="14">
      <c r="A14" s="7" t="inlineStr">
        <is>
          <t>2023 foi o primeiro ano da Resolução CVM 160 e a base granular da CVM observa parte do ano; o não observado é distribuído com a composição do observado. O fator aplicado está na aba Cobertura.</t>
        </is>
      </c>
    </row>
    <row r="15">
      <c r="A15" s="7" t="inlineStr">
        <is>
          <t>jan–jun/26 é comparado a jan–jun/25 porque 2026 ainda não fechou.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</cols>
  <sheetData>
    <row r="1">
      <c r="A1" s="1" t="inlineStr">
        <is>
          <t>Sobre o que a decomposição se apoia, por período</t>
        </is>
      </c>
    </row>
    <row r="3">
      <c r="A3" s="1" t="inlineStr">
        <is>
          <t>Período</t>
        </is>
      </c>
      <c r="B3" s="1" t="inlineStr">
        <is>
          <t>Observado na CVM (R$ bi)</t>
        </is>
      </c>
      <c r="C3" s="1" t="inlineStr">
        <is>
          <t>Fator aplicado</t>
        </is>
      </c>
      <c r="D3" s="1" t="inlineStr">
        <is>
          <t>Total da tabela (R$ bi)</t>
        </is>
      </c>
      <c r="E3" s="1" t="inlineStr">
        <is>
          <t>FIC-FIDC fora dos tipos (R$ bi)</t>
        </is>
      </c>
      <c r="F3" s="1" t="inlineStr">
        <is>
          <t>Outros vindo de N/D (R$ bi)</t>
        </is>
      </c>
      <c r="G3" s="1" t="inlineStr">
        <is>
          <t>N/D sobre o total</t>
        </is>
      </c>
      <c r="H3" s="1" t="inlineStr">
        <is>
          <t>Emissores sem base</t>
        </is>
      </c>
      <c r="I3" s="1" t="inlineStr">
        <is>
          <t>Volume sem base (R$ bi)</t>
        </is>
      </c>
    </row>
    <row r="4">
      <c r="A4" s="2" t="inlineStr">
        <is>
          <t>2023</t>
        </is>
      </c>
      <c r="B4" s="8" t="n">
        <v>26.47628619356</v>
      </c>
      <c r="C4" s="9" t="n">
        <v>1.652276300248848</v>
      </c>
      <c r="D4" s="8" t="n">
        <v>40.88157895077565</v>
      </c>
      <c r="E4" s="8" t="n">
        <v>2.864561245449307</v>
      </c>
      <c r="F4" s="8" t="n">
        <v>0.2511459976378249</v>
      </c>
      <c r="G4" s="4" t="n">
        <v>0.006143255815540359</v>
      </c>
      <c r="H4" s="2" t="n">
        <v>1</v>
      </c>
      <c r="I4" s="8" t="n">
        <v>0.02478414450373272</v>
      </c>
    </row>
    <row r="5">
      <c r="A5" s="2" t="inlineStr">
        <is>
          <t>2024</t>
        </is>
      </c>
      <c r="B5" s="8" t="n">
        <v>95.41672613375</v>
      </c>
      <c r="C5" s="9" t="n">
        <v>1</v>
      </c>
      <c r="D5" s="8" t="n">
        <v>88.38660213385</v>
      </c>
      <c r="E5" s="8" t="n">
        <v>7.0301239999</v>
      </c>
      <c r="F5" s="8" t="n">
        <v>0.418</v>
      </c>
      <c r="G5" s="4" t="n">
        <v>0.004729223546426113</v>
      </c>
      <c r="H5" s="2" t="n">
        <v>6</v>
      </c>
      <c r="I5" s="8" t="n">
        <v>0.176</v>
      </c>
    </row>
    <row r="6">
      <c r="A6" s="2" t="inlineStr">
        <is>
          <t>2025</t>
        </is>
      </c>
      <c r="B6" s="8" t="n">
        <v>116.92131905477</v>
      </c>
      <c r="C6" s="9" t="n">
        <v>1</v>
      </c>
      <c r="D6" s="8" t="n">
        <v>106.46334786165</v>
      </c>
      <c r="E6" s="8" t="n">
        <v>10.45797119312</v>
      </c>
      <c r="F6" s="8" t="n">
        <v>1.577685</v>
      </c>
      <c r="G6" s="4" t="n">
        <v>0.01481904365857642</v>
      </c>
      <c r="H6" s="2" t="n">
        <v>17</v>
      </c>
      <c r="I6" s="8" t="n">
        <v>1.552485</v>
      </c>
    </row>
    <row r="7">
      <c r="A7" s="2" t="inlineStr">
        <is>
          <t>jan–jun/25</t>
        </is>
      </c>
      <c r="B7" s="8" t="n">
        <v>57.15870696836</v>
      </c>
      <c r="C7" s="9" t="n">
        <v>1</v>
      </c>
      <c r="D7" s="8" t="n">
        <v>52.44760196839999</v>
      </c>
      <c r="E7" s="8" t="n">
        <v>4.71110499996</v>
      </c>
      <c r="F7" s="8" t="n">
        <v>1.064385</v>
      </c>
      <c r="G7" s="4" t="n">
        <v>0.02029425483821546</v>
      </c>
      <c r="H7" s="2" t="n">
        <v>10</v>
      </c>
      <c r="I7" s="8" t="n">
        <v>1.064385</v>
      </c>
    </row>
    <row r="8">
      <c r="A8" s="2" t="inlineStr">
        <is>
          <t>jan–jun/26</t>
        </is>
      </c>
      <c r="B8" s="8" t="n">
        <v>65.48811898356</v>
      </c>
      <c r="C8" s="9" t="n">
        <v>1</v>
      </c>
      <c r="D8" s="8" t="n">
        <v>62.6747394345</v>
      </c>
      <c r="E8" s="8" t="n">
        <v>2.81337954906</v>
      </c>
      <c r="F8" s="8" t="n">
        <v>2.082602</v>
      </c>
      <c r="G8" s="4" t="n">
        <v>0.03322873008792453</v>
      </c>
      <c r="H8" s="2" t="n">
        <v>16</v>
      </c>
      <c r="I8" s="8" t="n">
        <v>1.625992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2026-08-04T03:43:28Z</dcterms:created>
  <dcterms:modified xmlns:dcterms="http://purl.org/dc/terms/" xmlns:xsi="http://www.w3.org/2001/XMLSchema-instance" xsi:type="dcterms:W3CDTF">2026-08-04T03:43:28Z</dcterms:modified>
</cp:coreProperties>
</file>