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ões por categoria" sheetId="1" state="visible" r:id="rId1"/>
    <sheet xmlns:r="http://schemas.openxmlformats.org/officeDocument/2006/relationships" name="Cob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Emissões de FIDCs por categoria ANBIMA — 2023 a jun/26 (R$ bilhões)</t>
        </is>
      </c>
    </row>
    <row r="3">
      <c r="A3" s="1" t="inlineStr">
        <is>
          <t>Categoria</t>
        </is>
      </c>
      <c r="B3" s="1" t="inlineStr">
        <is>
          <t>2023 (R$ bi)</t>
        </is>
      </c>
      <c r="C3" s="1" t="inlineStr">
        <is>
          <t>2023 (%)</t>
        </is>
      </c>
      <c r="D3" s="1" t="inlineStr">
        <is>
          <t>2024 (R$ bi)</t>
        </is>
      </c>
      <c r="E3" s="1" t="inlineStr">
        <is>
          <t>2024 (%)</t>
        </is>
      </c>
      <c r="F3" s="1" t="inlineStr">
        <is>
          <t>Delta 2023→2024 (R$ bi)</t>
        </is>
      </c>
      <c r="G3" s="1" t="inlineStr">
        <is>
          <t>2025 (R$ bi)</t>
        </is>
      </c>
      <c r="H3" s="1" t="inlineStr">
        <is>
          <t>2025 (%)</t>
        </is>
      </c>
      <c r="I3" s="1" t="inlineStr">
        <is>
          <t>Delta 2024→2025 (R$ bi)</t>
        </is>
      </c>
      <c r="J3" s="1" t="inlineStr">
        <is>
          <t>jan–jun/25 (R$ bi)</t>
        </is>
      </c>
      <c r="K3" s="1" t="inlineStr">
        <is>
          <t>jan–jun/25 (%)</t>
        </is>
      </c>
      <c r="L3" s="1" t="inlineStr">
        <is>
          <t>jan–jun/26 (R$ bi)</t>
        </is>
      </c>
      <c r="M3" s="1" t="inlineStr">
        <is>
          <t>jan–jun/26 (%)</t>
        </is>
      </c>
      <c r="N3" s="1" t="inlineStr">
        <is>
          <t>Delta jan–jun/25→jan–jun/26 (R$ bi)</t>
        </is>
      </c>
    </row>
    <row r="4">
      <c r="A4" s="2" t="inlineStr">
        <is>
          <t>Fomento Mercantil</t>
        </is>
      </c>
      <c r="B4" s="3" t="n">
        <v>4.751893772390955</v>
      </c>
      <c r="C4" s="4">
        <f>B4/B$8</f>
        <v>0.1162355734379187</v>
      </c>
      <c r="D4" s="3" t="n">
        <v>10.68514314594</v>
      </c>
      <c r="E4" s="4">
        <f>D4/D$8</f>
        <v>0.12089098220744748</v>
      </c>
      <c r="F4" s="3" t="n">
        <v>5.933249373549046</v>
      </c>
      <c r="G4" s="3" t="n">
        <v>10.93480114906</v>
      </c>
      <c r="H4" s="4">
        <f>G4/G$8</f>
        <v>0.1027095368376905</v>
      </c>
      <c r="I4" s="3" t="n">
        <v>0.2496580031199989</v>
      </c>
      <c r="J4" s="3" t="n">
        <v>4.1399598732</v>
      </c>
      <c r="K4" s="4">
        <f>J4/J$8</f>
        <v>0.07893516038529944</v>
      </c>
      <c r="L4" s="3" t="n">
        <v>7.32031892482</v>
      </c>
      <c r="M4" s="4">
        <f>L4/L$8</f>
        <v>0.11679855378529821</v>
      </c>
      <c r="N4" s="3" t="n">
        <v>3.18035905162</v>
      </c>
    </row>
    <row r="5">
      <c r="A5" s="2" t="inlineStr">
        <is>
          <t>Agro, Indústria e Comércio</t>
        </is>
      </c>
      <c r="B5" s="3" t="n">
        <v>10.43299846329051</v>
      </c>
      <c r="C5" s="4">
        <f>B5/B$8</f>
        <v>0.2552004773556469</v>
      </c>
      <c r="D5" s="3" t="n">
        <v>21.4846035084</v>
      </c>
      <c r="E5" s="4">
        <f>D5/D$8</f>
        <v>0.24307534162094346</v>
      </c>
      <c r="F5" s="3" t="n">
        <v>11.05160504510949</v>
      </c>
      <c r="G5" s="3" t="n">
        <v>28.71965699961</v>
      </c>
      <c r="H5" s="4">
        <f>G5/G$8</f>
        <v>0.2697609794962622</v>
      </c>
      <c r="I5" s="3" t="n">
        <v>7.23505349121</v>
      </c>
      <c r="J5" s="3" t="n">
        <v>19.39381267632</v>
      </c>
      <c r="K5" s="4">
        <f>J5/J$8</f>
        <v>0.3697750125545281</v>
      </c>
      <c r="L5" s="3" t="n">
        <v>9.783637272329999</v>
      </c>
      <c r="M5" s="4">
        <f>L5/L$8</f>
        <v>0.15610176221880692</v>
      </c>
      <c r="N5" s="3" t="n">
        <v>-9.61017540399</v>
      </c>
    </row>
    <row r="6">
      <c r="A6" s="2" t="inlineStr">
        <is>
          <t>Financeiro</t>
        </is>
      </c>
      <c r="B6" s="3" t="n">
        <v>17.13055294499981</v>
      </c>
      <c r="C6" s="4">
        <f>B6/B$8</f>
        <v>0.41902865262680344</v>
      </c>
      <c r="D6" s="3" t="n">
        <v>44.66609152533</v>
      </c>
      <c r="E6" s="4">
        <f>D6/D$8</f>
        <v>0.5053491190631926</v>
      </c>
      <c r="F6" s="3" t="n">
        <v>27.53553858033019</v>
      </c>
      <c r="G6" s="3" t="n">
        <v>51.12676092368</v>
      </c>
      <c r="H6" s="4">
        <f>G6/G$8</f>
        <v>0.48022875431382867</v>
      </c>
      <c r="I6" s="3" t="n">
        <v>6.460669398349999</v>
      </c>
      <c r="J6" s="3" t="n">
        <v>21.12168209032</v>
      </c>
      <c r="K6" s="4">
        <f>J6/J$8</f>
        <v>0.4027196916085114</v>
      </c>
      <c r="L6" s="3" t="n">
        <v>39.32799902597</v>
      </c>
      <c r="M6" s="4">
        <f>L6/L$8</f>
        <v>0.627493618335196</v>
      </c>
      <c r="N6" s="3" t="n">
        <v>18.20631693565</v>
      </c>
    </row>
    <row r="7">
      <c r="A7" s="2" t="inlineStr">
        <is>
          <t>Outros</t>
        </is>
      </c>
      <c r="B7" s="3" t="n">
        <v>8.566133770094378</v>
      </c>
      <c r="C7" s="4">
        <f>B7/B$8</f>
        <v>0.209535296579631</v>
      </c>
      <c r="D7" s="3" t="n">
        <v>11.55076395418</v>
      </c>
      <c r="E7" s="4">
        <f>D7/D$8</f>
        <v>0.1306845571084164</v>
      </c>
      <c r="F7" s="3" t="n">
        <v>2.984630184085623</v>
      </c>
      <c r="G7" s="3" t="n">
        <v>15.6821287893</v>
      </c>
      <c r="H7" s="4">
        <f>G7/G$8</f>
        <v>0.14730072935221852</v>
      </c>
      <c r="I7" s="3" t="n">
        <v>4.131364835119999</v>
      </c>
      <c r="J7" s="3" t="n">
        <v>7.79214732856</v>
      </c>
      <c r="K7" s="4">
        <f>J7/J$8</f>
        <v>0.1485701354516612</v>
      </c>
      <c r="L7" s="3" t="n">
        <v>6.24278421138</v>
      </c>
      <c r="M7" s="4">
        <f>L7/L$8</f>
        <v>0.09960606566069888</v>
      </c>
      <c r="N7" s="3" t="n">
        <v>-1.549363117179999</v>
      </c>
    </row>
    <row r="8">
      <c r="A8" s="1" t="inlineStr">
        <is>
          <t>Total (quatro tipos ANBIMA)</t>
        </is>
      </c>
      <c r="B8" s="5">
        <f>SUM(B4:B7)</f>
        <v>40.88157895077566</v>
      </c>
      <c r="C8" s="6">
        <f>B8/B$8</f>
        <v>1.0</v>
      </c>
      <c r="D8" s="5">
        <f>SUM(D4:D7)</f>
        <v>88.38660213385</v>
      </c>
      <c r="E8" s="6">
        <f>D8/D$8</f>
        <v>1.0</v>
      </c>
      <c r="F8" s="5">
        <f>SUM(F4:F7)</f>
        <v>47.50502318307435</v>
      </c>
      <c r="G8" s="5">
        <f>SUM(G4:G7)</f>
        <v>106.46334786165</v>
      </c>
      <c r="H8" s="6">
        <f>G8/G$8</f>
        <v>1.0</v>
      </c>
      <c r="I8" s="5">
        <f>SUM(I4:I7)</f>
        <v>18.076745727799995</v>
      </c>
      <c r="J8" s="5">
        <f>SUM(J4:J7)</f>
        <v>52.4476019684</v>
      </c>
      <c r="K8" s="6">
        <f>J8/J$8</f>
        <v>1.0</v>
      </c>
      <c r="L8" s="5">
        <f>SUM(L4:L7)</f>
        <v>62.6747394345</v>
      </c>
      <c r="M8" s="6">
        <f>L8/L$8</f>
        <v>1.0</v>
      </c>
      <c r="N8" s="5">
        <f>SUM(N4:N7)</f>
        <v>10.227137466100002</v>
      </c>
    </row>
    <row r="9">
      <c r="A9" s="2" t="inlineStr">
        <is>
          <t>FIC-FIDC (fundos de cotas — fora dos quatro tipos)</t>
        </is>
      </c>
      <c r="B9" s="3" t="n">
        <v>2.864561245449307</v>
      </c>
      <c r="C9" s="3" t="n"/>
      <c r="D9" s="3" t="n">
        <v>7.0301239999</v>
      </c>
      <c r="E9" s="3" t="n"/>
      <c r="F9" s="3" t="n"/>
      <c r="G9" s="3" t="n">
        <v>10.45797119312</v>
      </c>
      <c r="H9" s="3" t="n"/>
      <c r="I9" s="3" t="n"/>
      <c r="J9" s="3" t="n">
        <v>4.71110499996</v>
      </c>
      <c r="K9" s="3" t="n"/>
      <c r="L9" s="3" t="n">
        <v>2.81337954906</v>
      </c>
      <c r="M9" s="3" t="n"/>
      <c r="N9" s="3" t="n"/>
    </row>
    <row r="10">
      <c r="A10" s="1" t="inlineStr">
        <is>
          <t>Total emitido (bate com o gráfico)</t>
        </is>
      </c>
      <c r="B10" s="5">
        <f>B8+B9</f>
        <v>43.74614019622497</v>
      </c>
      <c r="C10" s="5" t="n"/>
      <c r="D10" s="5">
        <f>D8+D9</f>
        <v>95.41672613375</v>
      </c>
      <c r="E10" s="5" t="n"/>
      <c r="F10" s="5" t="n"/>
      <c r="G10" s="5">
        <f>G8+G9</f>
        <v>116.92131905477001</v>
      </c>
      <c r="H10" s="5" t="n"/>
      <c r="I10" s="5" t="n"/>
      <c r="J10" s="5">
        <f>J8+J9</f>
        <v>57.15870696836</v>
      </c>
      <c r="K10" s="5" t="n"/>
      <c r="L10" s="5">
        <f>L8+L9</f>
        <v>65.48811898356</v>
      </c>
      <c r="M10" s="5" t="n"/>
      <c r="N10" s="5" t="n"/>
    </row>
    <row r="12">
      <c r="A12" s="7" t="inlineStr">
        <is>
          <t>Fonte: CVM/SRE — ofertas públicas primárias encerradas (snapshot 24/jul/26), com a taxonomia ANBIMA sob a reclassificação analítica do projeto (taxonomy_review_actions.csv). Mesma regra da aba Escala e taxonomia.</t>
        </is>
      </c>
    </row>
    <row r="13">
      <c r="A13" s="7" t="inlineStr">
        <is>
          <t>Aberturas pela reclassificação analítica final: fundos sem tipo ANBIMA nomeado entram em Outros, como a aba faz com N/D. FIC-FIDCs ficam fora dos quatro tipos — são fundos de cotas e contá-los somaria o mesmo dinheiro duas vezes.</t>
        </is>
      </c>
    </row>
    <row r="14">
      <c r="A14" s="7" t="inlineStr">
        <is>
          <t>2023 foi o primeiro ano da Resolução CVM 160 e a base granular da CVM observa parte do ano; o não observado é distribuído com a composição do observado. O fator aplicado está na aba Cobertura.</t>
        </is>
      </c>
    </row>
    <row r="15">
      <c r="A15" s="7" t="inlineStr">
        <is>
          <t>jan–jun/26 é comparado a jan–jun/25 porque 2026 ainda não fechou.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Sobre o que a decomposição se apoia, por período</t>
        </is>
      </c>
    </row>
    <row r="3">
      <c r="A3" s="1" t="inlineStr">
        <is>
          <t>Período</t>
        </is>
      </c>
      <c r="B3" s="1" t="inlineStr">
        <is>
          <t>Observado na CVM (R$ bi)</t>
        </is>
      </c>
      <c r="C3" s="1" t="inlineStr">
        <is>
          <t>Fator aplicado</t>
        </is>
      </c>
      <c r="D3" s="1" t="inlineStr">
        <is>
          <t>Total da tabela (R$ bi)</t>
        </is>
      </c>
      <c r="E3" s="1" t="inlineStr">
        <is>
          <t>FIC-FIDC fora dos tipos (R$ bi)</t>
        </is>
      </c>
      <c r="F3" s="1" t="inlineStr">
        <is>
          <t>Outros vindo de N/D (R$ bi)</t>
        </is>
      </c>
      <c r="G3" s="1" t="inlineStr">
        <is>
          <t>N/D sobre o total</t>
        </is>
      </c>
      <c r="H3" s="1" t="inlineStr">
        <is>
          <t>Emissores sem base</t>
        </is>
      </c>
      <c r="I3" s="1" t="inlineStr">
        <is>
          <t>Volume sem base (R$ bi)</t>
        </is>
      </c>
    </row>
    <row r="4">
      <c r="A4" s="2" t="inlineStr">
        <is>
          <t>2023</t>
        </is>
      </c>
      <c r="B4" s="8" t="n">
        <v>26.47628619356</v>
      </c>
      <c r="C4" s="9" t="n">
        <v>1.652276300248848</v>
      </c>
      <c r="D4" s="8" t="n">
        <v>40.88157895077565</v>
      </c>
      <c r="E4" s="8" t="n">
        <v>2.864561245449307</v>
      </c>
      <c r="F4" s="8" t="n">
        <v>0.2511459976378249</v>
      </c>
      <c r="G4" s="4" t="n">
        <v>0.006143255815540359</v>
      </c>
      <c r="H4" s="2" t="n">
        <v>1</v>
      </c>
      <c r="I4" s="8" t="n">
        <v>0.02478414450373272</v>
      </c>
    </row>
    <row r="5">
      <c r="A5" s="2" t="inlineStr">
        <is>
          <t>2024</t>
        </is>
      </c>
      <c r="B5" s="8" t="n">
        <v>95.41672613375</v>
      </c>
      <c r="C5" s="9" t="n">
        <v>1</v>
      </c>
      <c r="D5" s="8" t="n">
        <v>88.38660213385</v>
      </c>
      <c r="E5" s="8" t="n">
        <v>7.0301239999</v>
      </c>
      <c r="F5" s="8" t="n">
        <v>0.418</v>
      </c>
      <c r="G5" s="4" t="n">
        <v>0.004729223546426113</v>
      </c>
      <c r="H5" s="2" t="n">
        <v>6</v>
      </c>
      <c r="I5" s="8" t="n">
        <v>0.176</v>
      </c>
    </row>
    <row r="6">
      <c r="A6" s="2" t="inlineStr">
        <is>
          <t>2025</t>
        </is>
      </c>
      <c r="B6" s="8" t="n">
        <v>116.92131905477</v>
      </c>
      <c r="C6" s="9" t="n">
        <v>1</v>
      </c>
      <c r="D6" s="8" t="n">
        <v>106.46334786165</v>
      </c>
      <c r="E6" s="8" t="n">
        <v>10.45797119312</v>
      </c>
      <c r="F6" s="8" t="n">
        <v>1.577685</v>
      </c>
      <c r="G6" s="4" t="n">
        <v>0.01481904365857642</v>
      </c>
      <c r="H6" s="2" t="n">
        <v>17</v>
      </c>
      <c r="I6" s="8" t="n">
        <v>1.552485</v>
      </c>
    </row>
    <row r="7">
      <c r="A7" s="2" t="inlineStr">
        <is>
          <t>jan–jun/25</t>
        </is>
      </c>
      <c r="B7" s="8" t="n">
        <v>57.15870696836</v>
      </c>
      <c r="C7" s="9" t="n">
        <v>1</v>
      </c>
      <c r="D7" s="8" t="n">
        <v>52.44760196839999</v>
      </c>
      <c r="E7" s="8" t="n">
        <v>4.71110499996</v>
      </c>
      <c r="F7" s="8" t="n">
        <v>1.064385</v>
      </c>
      <c r="G7" s="4" t="n">
        <v>0.02029425483821546</v>
      </c>
      <c r="H7" s="2" t="n">
        <v>10</v>
      </c>
      <c r="I7" s="8" t="n">
        <v>1.064385</v>
      </c>
    </row>
    <row r="8">
      <c r="A8" s="2" t="inlineStr">
        <is>
          <t>jan–jun/26</t>
        </is>
      </c>
      <c r="B8" s="8" t="n">
        <v>65.48811898356</v>
      </c>
      <c r="C8" s="9" t="n">
        <v>1</v>
      </c>
      <c r="D8" s="8" t="n">
        <v>62.6747394345</v>
      </c>
      <c r="E8" s="8" t="n">
        <v>2.81337954906</v>
      </c>
      <c r="F8" s="8" t="n">
        <v>2.082602</v>
      </c>
      <c r="G8" s="4" t="n">
        <v>0.03322873008792453</v>
      </c>
      <c r="H8" s="2" t="n">
        <v>16</v>
      </c>
      <c r="I8" s="8" t="n">
        <v>1.625992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2026-07-31T00:51:21Z</dcterms:created>
  <dcterms:modified xmlns:dcterms="http://purl.org/dc/terms/" xmlns:xsi="http://www.w3.org/2001/XMLSchema-instance" xsi:type="dcterms:W3CDTF">2026-07-31T00:51:21Z</dcterms:modified>
</cp:coreProperties>
</file>