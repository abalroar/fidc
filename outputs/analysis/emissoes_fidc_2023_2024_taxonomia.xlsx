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ões por categoria" sheetId="1" state="visible" r:id="rId1"/>
    <sheet xmlns:r="http://schemas.openxmlformats.org/officeDocument/2006/relationships" name="Detalhe por fo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Emissões de FIDCs por categoria — 2023 vs 2024 (R$ bilhões)</t>
        </is>
      </c>
    </row>
    <row r="3">
      <c r="A3" s="1" t="inlineStr">
        <is>
          <t>Categoria</t>
        </is>
      </c>
      <c r="B3" s="1" t="inlineStr">
        <is>
          <t>2023 (R$ bi)</t>
        </is>
      </c>
      <c r="C3" s="1" t="inlineStr">
        <is>
          <t>2023 (%)</t>
        </is>
      </c>
      <c r="D3" s="1" t="inlineStr">
        <is>
          <t>2024 (R$ bi)</t>
        </is>
      </c>
      <c r="E3" s="1" t="inlineStr">
        <is>
          <t>2024 (%)</t>
        </is>
      </c>
      <c r="F3" s="1" t="inlineStr">
        <is>
          <t>Delta (R$ bi)</t>
        </is>
      </c>
    </row>
    <row r="4">
      <c r="A4" s="2" t="inlineStr">
        <is>
          <t>Financeiro</t>
        </is>
      </c>
      <c r="B4" s="3" t="n">
        <v>10.36785006383</v>
      </c>
      <c r="C4" s="4">
        <f>B4/B$11</f>
        <v>0.23700033916877272</v>
      </c>
      <c r="D4" s="3" t="n">
        <v>44.66609152533</v>
      </c>
      <c r="E4" s="4">
        <f>D4/D$11</f>
        <v>0.468115951313604</v>
      </c>
      <c r="F4" s="3">
        <f>D4-B4</f>
        <v>34.298241461500005</v>
      </c>
    </row>
    <row r="5">
      <c r="A5" s="2" t="inlineStr">
        <is>
          <t>Agro, Indústria e Comércio</t>
        </is>
      </c>
      <c r="B5" s="3" t="n">
        <v>6.3143182903</v>
      </c>
      <c r="C5" s="4">
        <f>B5/B$11</f>
        <v>0.1443400094723074</v>
      </c>
      <c r="D5" s="3" t="n">
        <v>21.4846035084</v>
      </c>
      <c r="E5" s="4">
        <f>D5/D$11</f>
        <v>0.22516600997485545</v>
      </c>
      <c r="F5" s="3">
        <f>D5-B5</f>
        <v>15.170285218100002</v>
      </c>
    </row>
    <row r="6">
      <c r="A6" s="2" t="inlineStr">
        <is>
          <t>Outros</t>
        </is>
      </c>
      <c r="B6" s="3" t="n">
        <v>5.03244389041</v>
      </c>
      <c r="C6" s="4">
        <f>B6/B$11</f>
        <v>0.1150374379965131</v>
      </c>
      <c r="D6" s="3" t="n">
        <v>11.13176395418</v>
      </c>
      <c r="E6" s="4">
        <f>D6/D$11</f>
        <v>0.1166647023560219</v>
      </c>
      <c r="F6" s="3">
        <f>D6-B6</f>
        <v>6.0993200637700005</v>
      </c>
    </row>
    <row r="7">
      <c r="A7" s="2" t="inlineStr">
        <is>
          <t>Fomento Mercantil</t>
        </is>
      </c>
      <c r="B7" s="3" t="n">
        <v>2.87596800346</v>
      </c>
      <c r="C7" s="4">
        <f>B7/B$11</f>
        <v>0.06574221155420196</v>
      </c>
      <c r="D7" s="3" t="n">
        <v>10.68514314594</v>
      </c>
      <c r="E7" s="4">
        <f>D7/D$11</f>
        <v>0.11198396317813446</v>
      </c>
      <c r="F7" s="3">
        <f>D7-B7</f>
        <v>7.809175142479999</v>
      </c>
    </row>
    <row r="8">
      <c r="A8" s="2" t="inlineStr">
        <is>
          <t>FIC-FIDC (fundos que investem em cotas de outros FIDCs)</t>
        </is>
      </c>
      <c r="B8" s="3" t="n">
        <v>1.73370594556</v>
      </c>
      <c r="C8" s="4">
        <f>B8/B$11</f>
        <v>0.03963106088407791</v>
      </c>
      <c r="D8" s="3" t="n">
        <v>7.0301239999</v>
      </c>
      <c r="E8" s="4">
        <f>D8/D$11</f>
        <v>0.07367810953863112</v>
      </c>
      <c r="F8" s="3">
        <f>D8-B8</f>
        <v>5.29641805434</v>
      </c>
    </row>
    <row r="9">
      <c r="A9" s="2" t="inlineStr">
        <is>
          <t>Sem classificação (N/D)</t>
        </is>
      </c>
      <c r="B9" s="3" t="n">
        <v>0.152</v>
      </c>
      <c r="C9" s="4">
        <f>B9/B$11</f>
        <v>0.0034745922570128067</v>
      </c>
      <c r="D9" s="3" t="n">
        <v>0.419</v>
      </c>
      <c r="E9" s="4">
        <f>D9/D$11</f>
        <v>0.00439126363875311</v>
      </c>
      <c r="F9" s="3">
        <f>D9-B9</f>
        <v>0.267</v>
      </c>
    </row>
    <row r="10">
      <c r="A10" s="2" t="inlineStr">
        <is>
          <t>Não observado na base CVM em 2023 (gap vs ANBIMA)</t>
        </is>
      </c>
      <c r="B10" s="3" t="n">
        <v>17.26985400266497</v>
      </c>
      <c r="C10" s="4">
        <f>B10/B$11</f>
        <v>0.394774348667114</v>
      </c>
      <c r="D10" s="3" t="n">
        <v>0</v>
      </c>
      <c r="E10" s="4">
        <f>D10/D$11</f>
        <v>0.0</v>
      </c>
      <c r="F10" s="3">
        <f>D10-B10</f>
        <v>-17.269854002664967</v>
      </c>
    </row>
    <row r="11">
      <c r="A11" s="1" t="inlineStr">
        <is>
          <t>Total (igual aos gráficos do painel)</t>
        </is>
      </c>
      <c r="B11" s="5">
        <f>SUM(B4:B10)</f>
        <v>43.74614019622497</v>
      </c>
      <c r="C11" s="6">
        <f>B11/B$11</f>
        <v>1.0</v>
      </c>
      <c r="D11" s="5">
        <f>SUM(D4:D10)</f>
        <v>95.41672613375</v>
      </c>
      <c r="E11" s="6">
        <f>D11/D$11</f>
        <v>1.0</v>
      </c>
      <c r="F11" s="5">
        <f>D11-B11</f>
        <v>51.67058593752503</v>
      </c>
    </row>
    <row r="13">
      <c r="A13" s="7" t="inlineStr">
        <is>
          <t>Fonte: CVM/SRE (ofertas públicas primárias encerradas, snapshot 24/jul/26) com taxonomia ANBIMA sob curadoria documental do projeto (taxonomy_review_actions.csv).</t>
        </is>
      </c>
    </row>
    <row r="14">
      <c r="A14" s="7" t="inlineStr">
        <is>
          <t>2023 foi o primeiro ano da Resolução CVM 160: a base granular da CVM observa R$ 26.5 bi dos R$ 43.7 bi encerrados segundo a ANBIMA (Boletim de Mercado de Capitais, mai/26). A linha 'Não observado' carrega a diferença em vez de distribuí-la por hipótese.</t>
        </is>
      </c>
    </row>
    <row r="15">
      <c r="A15" s="7" t="inlineStr">
        <is>
          <t>A decomposição por categoria usa a parcela observada na CVM; em 2024 a cobertura da CVM é integral. FIC-FIDCs destacados por serem fundos de cotas: o dinheiro captado investe em outros FIDCs.</t>
        </is>
      </c>
    </row>
    <row r="16">
      <c r="A16" s="7" t="inlineStr">
        <is>
          <t>Sensibilidade: se o volume não observado de 2023 tivesse a mesma composição do observado (fator 1.65×), as três categorias que mais cresceram seriam as mesmas — Financeiro, Agro, Indústria e Comércio, Fomento Mercantil. O ranking não depende da hipótese de cobertura.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Emissões por Foco ANBIMA (parcela observada na CVM) — R$ bilhões</t>
        </is>
      </c>
    </row>
    <row r="3">
      <c r="A3" s="1" t="inlineStr">
        <is>
          <t>Foco ANBIMA</t>
        </is>
      </c>
      <c r="B3" s="1" t="inlineStr">
        <is>
          <t>2023 (R$ bi)</t>
        </is>
      </c>
      <c r="C3" s="1" t="inlineStr">
        <is>
          <t>2024 (R$ bi)</t>
        </is>
      </c>
      <c r="D3" s="1" t="inlineStr">
        <is>
          <t>Delta (R$ bi)</t>
        </is>
      </c>
    </row>
    <row r="4">
      <c r="A4" s="2" t="inlineStr">
        <is>
          <t>Crédito Pessoal</t>
        </is>
      </c>
      <c r="B4" s="3" t="n">
        <v>4.14764344816</v>
      </c>
      <c r="C4" s="3" t="n">
        <v>15.81275162061</v>
      </c>
      <c r="D4" s="3">
        <f>C4-B4</f>
        <v>11.665108172450001</v>
      </c>
    </row>
    <row r="5">
      <c r="A5" s="2" t="inlineStr">
        <is>
          <t>Agronegócio</t>
        </is>
      </c>
      <c r="B5" s="3" t="n">
        <v>0.657444</v>
      </c>
      <c r="C5" s="3" t="n">
        <v>10.30928725</v>
      </c>
      <c r="D5" s="3">
        <f>C5-B5</f>
        <v>9.65184325</v>
      </c>
    </row>
    <row r="6">
      <c r="A6" s="2" t="inlineStr">
        <is>
          <t>Multicarteira Financeiro</t>
        </is>
      </c>
      <c r="B6" s="3" t="n">
        <v>0.92897070867</v>
      </c>
      <c r="C6" s="3" t="n">
        <v>8.96535849697</v>
      </c>
      <c r="D6" s="3">
        <f>C6-B6</f>
        <v>8.036387788299999</v>
      </c>
    </row>
    <row r="7">
      <c r="A7" s="2" t="inlineStr">
        <is>
          <t>Fomento Mercantil</t>
        </is>
      </c>
      <c r="B7" s="3" t="n">
        <v>2.86946800346</v>
      </c>
      <c r="C7" s="3" t="n">
        <v>10.63064314594</v>
      </c>
      <c r="D7" s="3">
        <f>C7-B7</f>
        <v>7.761175142480001</v>
      </c>
    </row>
    <row r="8">
      <c r="A8" s="2" t="inlineStr">
        <is>
          <t>Crédito Consignado</t>
        </is>
      </c>
      <c r="B8" s="3" t="n">
        <v>1.851499687</v>
      </c>
      <c r="C8" s="3" t="n">
        <v>9.509738369840001</v>
      </c>
      <c r="D8" s="3">
        <f>C8-B8</f>
        <v>7.65823868284</v>
      </c>
    </row>
    <row r="9">
      <c r="A9" s="2" t="inlineStr">
        <is>
          <t>FIC-FIDC (fundos que investem em cotas de outros FIDCs)</t>
        </is>
      </c>
      <c r="B9" s="3" t="n">
        <v>1.73370594556</v>
      </c>
      <c r="C9" s="3" t="n">
        <v>7.0301239999</v>
      </c>
      <c r="D9" s="3">
        <f>C9-B9</f>
        <v>5.29641805434</v>
      </c>
    </row>
    <row r="10">
      <c r="A10" s="2" t="inlineStr">
        <is>
          <t>Recebíveis Comerciais</t>
        </is>
      </c>
      <c r="B10" s="3" t="n">
        <v>3.32308</v>
      </c>
      <c r="C10" s="3" t="n">
        <v>7.02584987038</v>
      </c>
      <c r="D10" s="3">
        <f>C10-B10</f>
        <v>3.70276987038</v>
      </c>
    </row>
    <row r="11">
      <c r="A11" s="2" t="inlineStr">
        <is>
          <t>Poder Público</t>
        </is>
      </c>
      <c r="B11" s="3" t="n">
        <v>2.98711280839</v>
      </c>
      <c r="C11" s="3" t="n">
        <v>6.63188134537</v>
      </c>
      <c r="D11" s="3">
        <f>C11-B11</f>
        <v>3.64476853698</v>
      </c>
    </row>
    <row r="12">
      <c r="A12" s="2" t="inlineStr">
        <is>
          <t>Adquirência</t>
        </is>
      </c>
      <c r="B12" s="3" t="n">
        <v>1.8</v>
      </c>
      <c r="C12" s="3" t="n">
        <v>4.913163</v>
      </c>
      <c r="D12" s="3">
        <f>C12-B12</f>
        <v>3.113163</v>
      </c>
    </row>
    <row r="13">
      <c r="A13" s="2" t="inlineStr">
        <is>
          <t>Cartão de crédito</t>
        </is>
      </c>
      <c r="B13" s="3" t="n">
        <v>0.005</v>
      </c>
      <c r="C13" s="3" t="n">
        <v>2.78370000945</v>
      </c>
      <c r="D13" s="3">
        <f>C13-B13</f>
        <v>2.77870000945</v>
      </c>
    </row>
    <row r="14">
      <c r="A14" s="2" t="inlineStr">
        <is>
          <t>Crédito Imobiliário</t>
        </is>
      </c>
      <c r="B14" s="3" t="n">
        <v>0.3911</v>
      </c>
      <c r="C14" s="3" t="n">
        <v>1.91309608213</v>
      </c>
      <c r="D14" s="3">
        <f>C14-B14</f>
        <v>1.52199608213</v>
      </c>
    </row>
    <row r="15">
      <c r="A15" s="2" t="inlineStr">
        <is>
          <t>Sem classificação (N/D)</t>
        </is>
      </c>
      <c r="B15" s="3" t="n">
        <v>1.2008947263</v>
      </c>
      <c r="C15" s="3" t="n">
        <v>2.42679994635</v>
      </c>
      <c r="D15" s="3">
        <f>C15-B15</f>
        <v>1.22590522005</v>
      </c>
    </row>
    <row r="16">
      <c r="A16" s="2" t="inlineStr">
        <is>
          <t>Multicarteira Agro, Indústria e Comércio</t>
        </is>
      </c>
      <c r="B16" s="3" t="n">
        <v>0.12</v>
      </c>
      <c r="C16" s="3" t="n">
        <v>1.23016</v>
      </c>
      <c r="D16" s="3">
        <f>C16-B16</f>
        <v>1.11016</v>
      </c>
    </row>
    <row r="17">
      <c r="A17" s="2" t="inlineStr">
        <is>
          <t>Multicarteira Outros</t>
        </is>
      </c>
      <c r="B17" s="3" t="n">
        <v>1.38442257572</v>
      </c>
      <c r="C17" s="3" t="n">
        <v>2.43907160873</v>
      </c>
      <c r="D17" s="3">
        <f>C17-B17</f>
        <v>1.05464903301</v>
      </c>
    </row>
    <row r="18">
      <c r="A18" s="2" t="inlineStr">
        <is>
          <t>Crédito Corporativo</t>
        </is>
      </c>
      <c r="B18" s="3" t="n">
        <v>0.4212399958</v>
      </c>
      <c r="C18" s="3" t="n">
        <v>0.9015</v>
      </c>
      <c r="D18" s="3">
        <f>C18-B18</f>
        <v>0.4802600042</v>
      </c>
    </row>
    <row r="19">
      <c r="A19" s="2" t="inlineStr">
        <is>
          <t>Recuperação</t>
        </is>
      </c>
      <c r="B19" s="3" t="n">
        <v>0.58915</v>
      </c>
      <c r="C19" s="3" t="n">
        <v>1.04371100008</v>
      </c>
      <c r="D19" s="3">
        <f>C19-B19</f>
        <v>0.4545610000799999</v>
      </c>
    </row>
    <row r="20">
      <c r="A20" s="2" t="inlineStr">
        <is>
          <t>Infraestrutura</t>
        </is>
      </c>
      <c r="B20" s="3" t="n">
        <v>1.1655542945</v>
      </c>
      <c r="C20" s="3" t="n">
        <v>1.351806388</v>
      </c>
      <c r="D20" s="3">
        <f>C20-B20</f>
        <v>0.18625209350000005</v>
      </c>
    </row>
    <row r="21">
      <c r="A21" s="2" t="inlineStr">
        <is>
          <t>Financiamento de Veículos</t>
        </is>
      </c>
      <c r="B21" s="3" t="n">
        <v>0.9</v>
      </c>
      <c r="C21" s="3" t="n">
        <v>0.498084</v>
      </c>
      <c r="D21" s="3">
        <f>C21-B21</f>
        <v>-0.401916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2026-07-31T00:08:40Z</dcterms:created>
  <dcterms:modified xmlns:dcterms="http://purl.org/dc/terms/" xmlns:xsi="http://www.w3.org/2001/XMLSchema-instance" xsi:type="dcterms:W3CDTF">2026-07-31T00:08:40Z</dcterms:modified>
</cp:coreProperties>
</file>