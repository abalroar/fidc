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18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23.xml" ContentType="application/vnd.openxmlformats-officedocument.drawingml.chart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drawings/charts/chart24.xml" ContentType="application/vnd.openxmlformats-officedocument.drawingml.chart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drawings/charts/chart27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5ae83a6bc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9ede949da7964408"/>
    <x:sheet xmlns:r="http://schemas.openxmlformats.org/officeDocument/2006/relationships" name="Painel" sheetId="2" r:id="Ra8ded8e1b7894fc0"/>
    <x:sheet xmlns:r="http://schemas.openxmlformats.org/officeDocument/2006/relationships" name="Evolucao PL" sheetId="3" r:id="R47edefd4fc3e4479"/>
    <x:sheet xmlns:r="http://schemas.openxmlformats.org/officeDocument/2006/relationships" name="PL por Classe" sheetId="4" r:id="Rc720bac6537b4bc3"/>
    <x:sheet xmlns:r="http://schemas.openxmlformats.org/officeDocument/2006/relationships" name="Emissoes" sheetId="5" r:id="R5a324df162314677"/>
    <x:sheet xmlns:r="http://schemas.openxmlformats.org/officeDocument/2006/relationships" name="Classif Gestoras" sheetId="6" r:id="Rd526743b679c40b5"/>
    <x:sheet xmlns:r="http://schemas.openxmlformats.org/officeDocument/2006/relationships" name="Ranking Gestoras" sheetId="7" r:id="R022fac3ad93f462c"/>
    <x:sheet xmlns:r="http://schemas.openxmlformats.org/officeDocument/2006/relationships" name="Gestoras por Tipo" sheetId="8" r:id="R89b48bfa5e254d0f"/>
    <x:sheet xmlns:r="http://schemas.openxmlformats.org/officeDocument/2006/relationships" name="Ranking Admins" sheetId="9" r:id="R9e3d20e94b4b49cc"/>
    <x:sheet xmlns:r="http://schemas.openxmlformats.org/officeDocument/2006/relationships" name="Admins por Tipo" sheetId="10" r:id="R7c7568fdd20d4a35"/>
    <x:sheet xmlns:r="http://schemas.openxmlformats.org/officeDocument/2006/relationships" name="Ranking Custodia" sheetId="11" r:id="Rb843cd8ac3954da5"/>
    <x:sheet xmlns:r="http://schemas.openxmlformats.org/officeDocument/2006/relationships" name="Ranking Fundos" sheetId="12" r:id="R2770a30cda5848ff"/>
    <x:sheet xmlns:r="http://schemas.openxmlformats.org/officeDocument/2006/relationships" name="Cotistas" sheetId="13" r:id="R28321429971140f5"/>
    <x:sheet xmlns:r="http://schemas.openxmlformats.org/officeDocument/2006/relationships" name="Multicarteira" sheetId="14" r:id="R1502784651f44491"/>
    <x:sheet xmlns:r="http://schemas.openxmlformats.org/officeDocument/2006/relationships" name="Base Admins" sheetId="15" r:id="R0e3479fa2d6a4471"/>
    <x:sheet xmlns:r="http://schemas.openxmlformats.org/officeDocument/2006/relationships" name="Base Fundos" sheetId="16" r:id="R7545d02f21ae4f92"/>
    <x:sheet xmlns:r="http://schemas.openxmlformats.org/officeDocument/2006/relationships" name="Checks" sheetId="17" r:id="Rcedc8c01ea0f4dcd"/>
    <x:sheet xmlns:r="http://schemas.openxmlformats.org/officeDocument/2006/relationships" name="Fontes" sheetId="18" r:id="R30833634504f46a6"/>
  </x:sheets>
</x:workbook>
</file>

<file path=xl/comments1.xml><?xml version="1.0" encoding="utf-8"?>
<x:comments xmlns:x="http://schemas.openxmlformats.org/spreadsheetml/2006/main">
  <x:authors>
    <x:author>tc={AD668F8C-8EEA-93B9-D28A-79145C2B6D29}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Histórico 2013–2023: Imagens de referência fornecidas pelo usuário (histórico 2013–2023). 2024–2025: https://data.anbima.com.br/publicacoes/fundos-de-investimento/dashboard-de-fidcs</x:t>
        </x:r>
      </x:text>
    </x:comment>
  </x:commentList>
</x:comments>
</file>

<file path=xl/comments2.xml><?xml version="1.0" encoding="utf-8"?>
<x:comments xmlns:x="http://schemas.openxmlformats.org/spreadsheetml/2006/main">
  <x:authors>
    <x:author>tc={0299AB09-9901-39B8-3E5B-C356581C5445}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https://data.anbima.com.br/publicacoes/fundos-de-investimento/dashboard-de-fidcs. Consulta agregada por tipo ANBIMA e mês.</x:t>
        </x:r>
      </x:text>
    </x:comment>
  </x:commentList>
</x:comments>
</file>

<file path=xl/comments3.xml><?xml version="1.0" encoding="utf-8"?>
<x:comments xmlns:x="http://schemas.openxmlformats.org/spreadsheetml/2006/main">
  <x:authors>
    <x:author>tc={B1FEF441-EFAE-FD60-10E8-E76CF2AA92F2}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https://data.anbima.com.br/publicacoes/fundos-de-investimento/dashboard-de-fidcs. Volume encerrado/captado exibido pelo dashboard.</x:t>
        </x:r>
      </x:text>
    </x:comment>
  </x:commentList>
</x:comments>
</file>

<file path=xl/comments4.xml><?xml version="1.0" encoding="utf-8"?>
<x:comments xmlns:x="http://schemas.openxmlformats.org/spreadsheetml/2006/main">
  <x:authors>
    <x:author>tc={0D67E585-32DA-AFFC-FD55-9516C73309B7}</x:author>
  </x:authors>
  <x:commentList>
    <x:comment ref="H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Input do usuário. Alterações recalculam Ranking Gestoras e os gráficos banco × independente.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"/>
    <x:numFmt numFmtId="201" formatCode="#,##0"/>
    <x:numFmt numFmtId="202" formatCode="0.0%"/>
    <x:numFmt numFmtId="203" formatCode="R$ #,##0"/>
    <x:numFmt numFmtId="204" formatCode="R$ #,##0.0,,,&quot; bi&quot;"/>
    <x:numFmt numFmtId="205" formatCode="@"/>
    <x:numFmt numFmtId="206" formatCode="#,##0.00"/>
  </x:numFmts>
  <x:fonts count="19">
    <x:font>
      <x:sz val="11"/>
      <x:name val="Carlito"/>
    </x:font>
    <x:font>
      <x:b/>
      <x:sz val="17"/>
      <x:color rgb="FFFFFFFF"/>
      <x:name val="Aptos"/>
    </x:font>
    <x:font>
      <x:sz val="11"/>
      <x:color rgb="FF6670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242A3A"/>
      <x:name val="Aptos"/>
    </x:font>
    <x:font>
      <x:b/>
      <x:sz val="13"/>
      <x:color rgb="FFFFFFFF"/>
      <x:name val="Aptos"/>
    </x:font>
    <x:font>
      <x:b/>
      <x:sz val="10"/>
      <x:color rgb="FF171D36"/>
      <x:name val="Aptos"/>
    </x:font>
    <x:font>
      <x:i/>
      <x:sz val="8"/>
      <x:color rgb="FF667085"/>
      <x:name val="Aptos"/>
    </x:font>
    <x:font>
      <x:sz val="10"/>
      <x:color rgb="FF667085"/>
      <x:name val="Aptos"/>
    </x:font>
    <x:font>
      <x:b/>
      <x:sz val="23"/>
      <x:color rgb="FF171D36"/>
      <x:name val="Aptos"/>
    </x:font>
    <x:font>
      <x:sz val="9"/>
      <x:color rgb="FF242A3A"/>
      <x:name val="Aptos"/>
    </x:font>
    <x:font>
      <x:b/>
      <x:sz val="10"/>
      <x:color rgb="FF0000FF"/>
      <x:name val="Aptos"/>
    </x:font>
    <x:font>
      <x:b/>
      <x:sz val="9"/>
      <x:color rgb="FF0000FF"/>
      <x:name val="Aptos"/>
    </x:font>
    <x:font>
      <x:sz val="9"/>
      <x:color rgb="FFF36A2E"/>
      <x:name val="Aptos"/>
    </x:font>
    <x:font>
      <x:sz val="8"/>
      <x:color rgb="FF242A3A"/>
      <x:name val="Aptos"/>
    </x:font>
    <x:font>
      <x:b/>
      <x:sz val="11"/>
      <x:color rgb="FF0000FF"/>
      <x:name val="Aptos"/>
    </x:font>
    <x:font>
      <x:sz val="8"/>
      <x:color rgb="FF0000FF"/>
      <x:name val="Aptos"/>
    </x:font>
    <x:font>
      <x:sz val="11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1D36"/>
      </x:patternFill>
    </x:fill>
    <x:fill>
      <x:patternFill patternType="solid">
        <x:fgColor rgb="FF24304F"/>
      </x:patternFill>
    </x:fill>
    <x:fill>
      <x:patternFill patternType="solid">
        <x:fgColor rgb="FFFF5A4F"/>
      </x:patternFill>
    </x:fill>
    <x:fill>
      <x:patternFill patternType="solid">
        <x:fgColor rgb="FFF4F6FA"/>
      </x:patternFill>
    </x:fill>
    <x:fill>
      <x:patternFill patternType="solid">
        <x:fgColor rgb="FFFFF2CC"/>
      </x:patternFill>
    </x:fill>
    <x:fill>
      <x:patternFill patternType="solid">
        <x:fgColor rgb="FFFFF3E5"/>
      </x:patternFill>
    </x:fill>
    <x:fill>
      <x:patternFill patternType="solid">
        <x:fgColor rgb="FF53B6B2"/>
      </x:patternFill>
    </x:fill>
    <x:fill>
      <x:patternFill patternType="solid">
        <x:fgColor rgb="FF2F5BFF"/>
      </x:patternFill>
    </x:fill>
    <x:fill>
      <x:patternFill patternType="solid">
        <x:fgColor rgb="FFE9B949"/>
      </x:patternFill>
    </x:fill>
    <x:fill>
      <x:patternFill patternType="solid">
        <x:fgColor rgb="FFF36A2E"/>
      </x:patternFill>
    </x:fill>
  </x:fills>
  <x:borders count="15">
    <x:border/>
    <x:border>
      <x:left style="thin">
        <x:color rgb="FF24304F"/>
      </x:left>
      <x:top style="thin">
        <x:color rgb="FF24304F"/>
      </x:top>
      <x:bottom style="thin">
        <x:color rgb="FF24304F"/>
      </x:bottom>
    </x:border>
    <x:border>
      <x:top style="thin">
        <x:color rgb="FF24304F"/>
      </x:top>
      <x:bottom style="thin">
        <x:color rgb="FF24304F"/>
      </x:bottom>
    </x:border>
    <x:border>
      <x:right style="thin">
        <x:color rgb="FF24304F"/>
      </x:right>
      <x:top style="thin">
        <x:color rgb="FF24304F"/>
      </x:top>
      <x:bottom style="thin">
        <x:color rgb="FF24304F"/>
      </x:bottom>
    </x:border>
    <x:border>
      <x:bottom style="thin">
        <x:color rgb="FFE8EBF2"/>
      </x:bottom>
    </x:border>
    <x:border>
      <x:top style="thin">
        <x:color rgb="FFE8EBF2"/>
      </x:top>
      <x:bottom style="thin">
        <x:color rgb="FFE8EBF2"/>
      </x:bottom>
    </x:border>
    <x:border>
      <x:top style="thin">
        <x:color rgb="FFE8EBF2"/>
      </x:top>
    </x:border>
    <x:border>
      <x:left style="thin">
        <x:color rgb="FFD9DEE8"/>
      </x:left>
      <x:top style="thin">
        <x:color rgb="FFD9DEE8"/>
      </x:top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</x:border>
    <x:border>
      <x:right style="thin">
        <x:color rgb="FFD9DEE8"/>
      </x:right>
    </x:border>
    <x:border>
      <x:left style="thin">
        <x:color rgb="FFD9DEE8"/>
      </x:left>
      <x:bottom style="thin">
        <x:color rgb="FFD9DEE8"/>
      </x:bottom>
    </x:border>
    <x:border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4" borderId="4" xfId="0" applyNumberFormat="1" applyFont="1" applyFill="1" applyBorder="1" applyAlignment="1">
      <x:alignment vertical="top"/>
    </x:xf>
    <x:xf numFmtId="0" fontId="5" fillId="4" borderId="5" xfId="0" applyNumberFormat="1" applyFont="1" applyFill="1" applyBorder="1" applyAlignment="1">
      <x:alignment vertical="top"/>
    </x:xf>
    <x:xf numFmtId="0" fontId="5" fillId="4" borderId="6" xfId="0" applyNumberFormat="1" applyFont="1" applyFill="1" applyBorder="1" applyAlignment="1">
      <x:alignment vertical="top"/>
    </x:xf>
    <x:xf numFmtId="0" fontId="6" fillId="4" borderId="4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vertical="top"/>
    </x:xf>
    <x:xf numFmtId="0" fontId="6" fillId="4" borderId="4" xfId="0" applyNumberFormat="1" applyFont="1" applyFill="1" applyBorder="1" applyAlignment="1">
      <x:alignment horizontal="center" vertical="top"/>
    </x:xf>
    <x:xf numFmtId="0" fontId="6" fillId="4" borderId="5" xfId="0" applyNumberFormat="1" applyFont="1" applyFill="1" applyBorder="1" applyAlignment="1">
      <x:alignment horizontal="center" vertical="top"/>
    </x:xf>
    <x:xf numFmtId="0" fontId="6" fillId="4" borderId="6" xfId="0" applyNumberFormat="1" applyFont="1" applyFill="1" applyBorder="1" applyAlignment="1">
      <x:alignment horizontal="center" vertical="top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1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0" fontId="10" fillId="5" borderId="11" xfId="0" applyNumberFormat="1" applyFont="1" applyFill="1" applyBorder="1" applyAlignment="1">
      <x:alignment horizontal="center"/>
    </x:xf>
    <x:xf numFmtId="0" fontId="10" fillId="5" borderId="12" xfId="0" applyNumberFormat="1" applyFont="1" applyFill="1" applyBorder="1" applyAlignment="1">
      <x:alignment horizontal="center"/>
    </x:xf>
    <x:xf numFmtId="0" fontId="10" fillId="5" borderId="13" xfId="0" applyNumberFormat="1" applyFont="1" applyFill="1" applyBorder="1" applyAlignment="1">
      <x:alignment horizontal="center"/>
    </x:xf>
    <x:xf numFmtId="0" fontId="10" fillId="5" borderId="14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5" borderId="1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10" fillId="5" borderId="11" xfId="0" applyNumberFormat="1" applyFont="1" applyFill="1" applyBorder="1" applyAlignment="1">
      <x:alignment horizontal="center" vertical="center"/>
    </x:xf>
    <x:xf numFmtId="0" fontId="10" fillId="5" borderId="12" xfId="0" applyNumberFormat="1" applyFont="1" applyFill="1" applyBorder="1" applyAlignment="1">
      <x:alignment horizontal="center" vertical="center"/>
    </x:xf>
    <x:xf numFmtId="0" fontId="10" fillId="5" borderId="13" xfId="0" applyNumberFormat="1" applyFont="1" applyFill="1" applyBorder="1" applyAlignment="1">
      <x:alignment horizontal="center" vertical="center"/>
    </x:xf>
    <x:xf numFmtId="0" fontId="10" fillId="5" borderId="14" xfId="0" applyNumberFormat="1" applyFont="1" applyFill="1" applyBorder="1" applyAlignment="1">
      <x:alignment horizontal="center" vertical="center"/>
    </x:xf>
    <x:xf numFmtId="200" fontId="10" fillId="5" borderId="7" xfId="0" applyNumberFormat="1" applyFont="1" applyFill="1" applyBorder="1" applyAlignment="1">
      <x:alignment horizontal="center" vertical="center"/>
    </x:xf>
    <x:xf numFmtId="200" fontId="10" fillId="5" borderId="8" xfId="0" applyNumberFormat="1" applyFont="1" applyFill="1" applyBorder="1" applyAlignment="1">
      <x:alignment horizontal="center" vertical="center"/>
    </x:xf>
    <x:xf numFmtId="200" fontId="10" fillId="5" borderId="9" xfId="0" applyNumberFormat="1" applyFont="1" applyFill="1" applyBorder="1" applyAlignment="1">
      <x:alignment horizontal="center" vertical="center"/>
    </x:xf>
    <x:xf numFmtId="200" fontId="10" fillId="5" borderId="10" xfId="0" applyNumberFormat="1" applyFont="1" applyFill="1" applyBorder="1" applyAlignment="1">
      <x:alignment horizontal="center" vertical="center"/>
    </x:xf>
    <x:xf numFmtId="200" fontId="10" fillId="5" borderId="0" xfId="0" applyNumberFormat="1" applyFont="1" applyFill="1" applyBorder="1" applyAlignment="1">
      <x:alignment horizontal="center" vertical="center"/>
    </x:xf>
    <x:xf numFmtId="200" fontId="10" fillId="5" borderId="11" xfId="0" applyNumberFormat="1" applyFont="1" applyFill="1" applyBorder="1" applyAlignment="1">
      <x:alignment horizontal="center" vertical="center"/>
    </x:xf>
    <x:xf numFmtId="200" fontId="10" fillId="5" borderId="12" xfId="0" applyNumberFormat="1" applyFont="1" applyFill="1" applyBorder="1" applyAlignment="1">
      <x:alignment horizontal="center" vertical="center"/>
    </x:xf>
    <x:xf numFmtId="200" fontId="10" fillId="5" borderId="13" xfId="0" applyNumberFormat="1" applyFont="1" applyFill="1" applyBorder="1" applyAlignment="1">
      <x:alignment horizontal="center" vertical="center"/>
    </x:xf>
    <x:xf numFmtId="200" fontId="10" fillId="5" borderId="14" xfId="0" applyNumberFormat="1" applyFont="1" applyFill="1" applyBorder="1" applyAlignment="1">
      <x:alignment horizontal="center" vertical="center"/>
    </x:xf>
    <x:xf numFmtId="201" fontId="10" fillId="5" borderId="7" xfId="0" applyNumberFormat="1" applyFont="1" applyFill="1" applyBorder="1" applyAlignment="1">
      <x:alignment horizontal="center" vertical="center"/>
    </x:xf>
    <x:xf numFmtId="201" fontId="10" fillId="5" borderId="8" xfId="0" applyNumberFormat="1" applyFont="1" applyFill="1" applyBorder="1" applyAlignment="1">
      <x:alignment horizontal="center" vertical="center"/>
    </x:xf>
    <x:xf numFmtId="201" fontId="10" fillId="5" borderId="9" xfId="0" applyNumberFormat="1" applyFont="1" applyFill="1" applyBorder="1" applyAlignment="1">
      <x:alignment horizontal="center" vertical="center"/>
    </x:xf>
    <x:xf numFmtId="201" fontId="10" fillId="5" borderId="10" xfId="0" applyNumberFormat="1" applyFont="1" applyFill="1" applyBorder="1" applyAlignment="1">
      <x:alignment horizontal="center" vertical="center"/>
    </x:xf>
    <x:xf numFmtId="201" fontId="10" fillId="5" borderId="0" xfId="0" applyNumberFormat="1" applyFont="1" applyFill="1" applyBorder="1" applyAlignment="1">
      <x:alignment horizontal="center" vertical="center"/>
    </x:xf>
    <x:xf numFmtId="201" fontId="10" fillId="5" borderId="11" xfId="0" applyNumberFormat="1" applyFont="1" applyFill="1" applyBorder="1" applyAlignment="1">
      <x:alignment horizontal="center" vertical="center"/>
    </x:xf>
    <x:xf numFmtId="201" fontId="10" fillId="5" borderId="12" xfId="0" applyNumberFormat="1" applyFont="1" applyFill="1" applyBorder="1" applyAlignment="1">
      <x:alignment horizontal="center" vertical="center"/>
    </x:xf>
    <x:xf numFmtId="201" fontId="10" fillId="5" borderId="13" xfId="0" applyNumberFormat="1" applyFont="1" applyFill="1" applyBorder="1" applyAlignment="1">
      <x:alignment horizontal="center" vertical="center"/>
    </x:xf>
    <x:xf numFmtId="201" fontId="10" fillId="5" borderId="14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1" fillId="0" borderId="6" xfId="0" applyNumberFormat="1" applyFont="1" applyFill="1" applyBorder="1" applyAlignment="1">
      <x:alignment vertical="top"/>
    </x:xf>
    <x:xf numFmtId="201" fontId="11" fillId="0" borderId="4" xfId="0" applyNumberFormat="1" applyFont="1" applyFill="1" applyBorder="1" applyAlignment="1">
      <x:alignment vertical="top"/>
    </x:xf>
    <x:xf numFmtId="201" fontId="11" fillId="0" borderId="5" xfId="0" applyNumberFormat="1" applyFont="1" applyFill="1" applyBorder="1" applyAlignment="1">
      <x:alignment vertical="top"/>
    </x:xf>
    <x:xf numFmtId="201" fontId="11" fillId="0" borderId="6" xfId="0" applyNumberFormat="1" applyFont="1" applyFill="1" applyBorder="1" applyAlignment="1">
      <x:alignment vertical="top"/>
    </x:xf>
    <x:xf numFmtId="202" fontId="11" fillId="0" borderId="4" xfId="0" applyNumberFormat="1" applyFont="1" applyFill="1" applyBorder="1" applyAlignment="1">
      <x:alignment vertical="top"/>
    </x:xf>
    <x:xf numFmtId="202" fontId="11" fillId="0" borderId="5" xfId="0" applyNumberFormat="1" applyFont="1" applyFill="1" applyBorder="1" applyAlignment="1">
      <x:alignment vertical="top"/>
    </x:xf>
    <x:xf numFmtId="202" fontId="11" fillId="0" borderId="6" xfId="0" applyNumberFormat="1" applyFont="1" applyFill="1" applyBorder="1" applyAlignment="1">
      <x:alignment vertical="top"/>
    </x:xf>
    <x:xf numFmtId="200" fontId="11" fillId="0" borderId="4" xfId="0" applyNumberFormat="1" applyFont="1" applyFill="1" applyBorder="1" applyAlignment="1">
      <x:alignment vertical="top"/>
    </x:xf>
    <x:xf numFmtId="200" fontId="11" fillId="0" borderId="6" xfId="0" applyNumberFormat="1" applyFont="1" applyFill="1" applyBorder="1" applyAlignment="1">
      <x:alignment vertical="top"/>
    </x:xf>
    <x:xf numFmtId="203" fontId="11" fillId="0" borderId="4" xfId="0" applyNumberFormat="1" applyFont="1" applyFill="1" applyBorder="1" applyAlignment="1">
      <x:alignment vertical="top"/>
    </x:xf>
    <x:xf numFmtId="203" fontId="11" fillId="0" borderId="5" xfId="0" applyNumberFormat="1" applyFont="1" applyFill="1" applyBorder="1" applyAlignment="1">
      <x:alignment vertical="top"/>
    </x:xf>
    <x:xf numFmtId="203" fontId="11" fillId="0" borderId="6" xfId="0" applyNumberFormat="1" applyFont="1" applyFill="1" applyBorder="1" applyAlignment="1">
      <x:alignment vertical="top"/>
    </x:xf>
    <x:xf numFmtId="200" fontId="11" fillId="0" borderId="5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200" fontId="11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vertical="center"/>
    </x:xf>
    <x:xf numFmtId="204" fontId="11" fillId="0" borderId="4" xfId="0" applyNumberFormat="1" applyFont="1" applyFill="1" applyBorder="1" applyAlignment="1">
      <x:alignment vertical="top"/>
    </x:xf>
    <x:xf numFmtId="204" fontId="11" fillId="0" borderId="5" xfId="0" applyNumberFormat="1" applyFont="1" applyFill="1" applyBorder="1" applyAlignment="1">
      <x:alignment vertical="top"/>
    </x:xf>
    <x:xf numFmtId="204" fontId="11" fillId="0" borderId="6" xfId="0" applyNumberFormat="1" applyFont="1" applyFill="1" applyBorder="1" applyAlignment="1">
      <x:alignment vertical="top"/>
    </x:xf>
    <x:xf numFmtId="0" fontId="11" fillId="6" borderId="4" xfId="0" applyNumberFormat="1" applyFont="1" applyFill="1" applyBorder="1" applyAlignment="1">
      <x:alignment vertical="top"/>
    </x:xf>
    <x:xf numFmtId="0" fontId="11" fillId="6" borderId="5" xfId="0" applyNumberFormat="1" applyFont="1" applyFill="1" applyBorder="1" applyAlignment="1">
      <x:alignment vertical="top"/>
    </x:xf>
    <x:xf numFmtId="0" fontId="11" fillId="6" borderId="6" xfId="0" applyNumberFormat="1" applyFont="1" applyFill="1" applyBorder="1" applyAlignment="1">
      <x:alignment vertical="top"/>
    </x:xf>
    <x:xf numFmtId="0" fontId="13" fillId="6" borderId="4" xfId="0" applyNumberFormat="1" applyFont="1" applyFill="1" applyBorder="1" applyAlignment="1">
      <x:alignment vertical="top"/>
    </x:xf>
    <x:xf numFmtId="0" fontId="13" fillId="6" borderId="5" xfId="0" applyNumberFormat="1" applyFont="1" applyFill="1" applyBorder="1" applyAlignment="1">
      <x:alignment vertical="top"/>
    </x:xf>
    <x:xf numFmtId="0" fontId="13" fillId="6" borderId="6" xfId="0" applyNumberFormat="1" applyFont="1" applyFill="1" applyBorder="1" applyAlignment="1">
      <x:alignment vertical="top"/>
    </x:xf>
    <x:xf numFmtId="0" fontId="13" fillId="6" borderId="4" xfId="0" applyNumberFormat="1" applyFont="1" applyFill="1" applyBorder="1" applyAlignment="1">
      <x:alignment horizontal="center" vertical="top"/>
    </x:xf>
    <x:xf numFmtId="0" fontId="13" fillId="6" borderId="5" xfId="0" applyNumberFormat="1" applyFont="1" applyFill="1" applyBorder="1" applyAlignment="1">
      <x:alignment horizontal="center" vertical="top"/>
    </x:xf>
    <x:xf numFmtId="0" fontId="13" fillId="6" borderId="6" xfId="0" applyNumberFormat="1" applyFont="1" applyFill="1" applyBorder="1" applyAlignment="1">
      <x:alignment horizontal="center" vertical="top"/>
    </x:xf>
    <x:xf numFmtId="0" fontId="11" fillId="7" borderId="4" xfId="0" applyNumberFormat="1" applyFont="1" applyFill="1" applyBorder="1" applyAlignment="1">
      <x:alignment vertical="top"/>
    </x:xf>
    <x:xf numFmtId="0" fontId="11" fillId="7" borderId="5" xfId="0" applyNumberFormat="1" applyFont="1" applyFill="1" applyBorder="1" applyAlignment="1">
      <x:alignment vertical="top"/>
    </x:xf>
    <x:xf numFmtId="0" fontId="11" fillId="7" borderId="6" xfId="0" applyNumberFormat="1" applyFont="1" applyFill="1" applyBorder="1" applyAlignment="1">
      <x:alignment vertical="top"/>
    </x:xf>
    <x:xf numFmtId="0" fontId="14" fillId="7" borderId="4" xfId="0" applyNumberFormat="1" applyFont="1" applyFill="1" applyBorder="1" applyAlignment="1">
      <x:alignment vertical="top"/>
    </x:xf>
    <x:xf numFmtId="0" fontId="14" fillId="7" borderId="5" xfId="0" applyNumberFormat="1" applyFont="1" applyFill="1" applyBorder="1" applyAlignment="1">
      <x:alignment vertical="top"/>
    </x:xf>
    <x:xf numFmtId="0" fontId="14" fillId="7" borderId="6" xfId="0" applyNumberFormat="1" applyFont="1" applyFill="1" applyBorder="1" applyAlignment="1">
      <x:alignment vertical="top"/>
    </x:xf>
    <x:xf numFmtId="0" fontId="14" fillId="7" borderId="4" xfId="0" applyNumberFormat="1" applyFont="1" applyFill="1" applyBorder="1" applyAlignment="1">
      <x:alignment horizontal="center" vertical="top"/>
    </x:xf>
    <x:xf numFmtId="0" fontId="14" fillId="7" borderId="5" xfId="0" applyNumberFormat="1" applyFont="1" applyFill="1" applyBorder="1" applyAlignment="1">
      <x:alignment horizontal="center" vertical="top"/>
    </x:xf>
    <x:xf numFmtId="0" fontId="14" fillId="7" borderId="6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4" xfId="0" applyNumberFormat="1" applyFont="1" applyFill="1" applyBorder="1"/>
    <x:xf numFmtId="0" fontId="15" fillId="0" borderId="5" xfId="0" applyNumberFormat="1" applyFont="1" applyFill="1" applyBorder="1"/>
    <x:xf numFmtId="0" fontId="15" fillId="0" borderId="6" xfId="0" applyNumberFormat="1" applyFont="1" applyFill="1" applyBorder="1"/>
    <x:xf numFmtId="0" fontId="15" fillId="0" borderId="4" xfId="0" applyNumberFormat="1" applyFont="1" applyFill="1" applyBorder="1" applyAlignment="1">
      <x:alignment vertical="top"/>
    </x:xf>
    <x:xf numFmtId="0" fontId="15" fillId="0" borderId="5" xfId="0" applyNumberFormat="1" applyFont="1" applyFill="1" applyBorder="1" applyAlignment="1">
      <x:alignment vertical="top"/>
    </x:xf>
    <x:xf numFmtId="0" fontId="15" fillId="0" borderId="6" xfId="0" applyNumberFormat="1" applyFont="1" applyFill="1" applyBorder="1" applyAlignment="1">
      <x:alignment vertical="top"/>
    </x:xf>
    <x:xf numFmtId="200" fontId="15" fillId="0" borderId="4" xfId="0" applyNumberFormat="1" applyFont="1" applyFill="1" applyBorder="1" applyAlignment="1">
      <x:alignment vertical="top"/>
    </x:xf>
    <x:xf numFmtId="200" fontId="15" fillId="0" borderId="5" xfId="0" applyNumberFormat="1" applyFont="1" applyFill="1" applyBorder="1" applyAlignment="1">
      <x:alignment vertical="top"/>
    </x:xf>
    <x:xf numFmtId="200" fontId="15" fillId="0" borderId="6" xfId="0" applyNumberFormat="1" applyFont="1" applyFill="1" applyBorder="1" applyAlignment="1">
      <x:alignment vertical="top"/>
    </x:xf>
    <x:xf numFmtId="201" fontId="15" fillId="0" borderId="4" xfId="0" applyNumberFormat="1" applyFont="1" applyFill="1" applyBorder="1" applyAlignment="1">
      <x:alignment vertical="top"/>
    </x:xf>
    <x:xf numFmtId="201" fontId="15" fillId="0" borderId="5" xfId="0" applyNumberFormat="1" applyFont="1" applyFill="1" applyBorder="1" applyAlignment="1">
      <x:alignment vertical="top"/>
    </x:xf>
    <x:xf numFmtId="201" fontId="15" fillId="0" borderId="6" xfId="0" applyNumberFormat="1" applyFont="1" applyFill="1" applyBorder="1" applyAlignment="1">
      <x:alignment vertical="top"/>
    </x:xf>
    <x:xf numFmtId="205" fontId="15" fillId="0" borderId="4" xfId="0" applyNumberFormat="1" applyFont="1" applyFill="1" applyBorder="1" applyAlignment="1">
      <x:alignment vertical="top"/>
    </x:xf>
    <x:xf numFmtId="205" fontId="15" fillId="0" borderId="5" xfId="0" applyNumberFormat="1" applyFont="1" applyFill="1" applyBorder="1" applyAlignment="1">
      <x:alignment vertical="top"/>
    </x:xf>
    <x:xf numFmtId="205" fontId="15" fillId="0" borderId="6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16" fillId="6" borderId="0" xfId="0" applyNumberFormat="1" applyFont="1" applyFill="1" applyBorder="1"/>
    <x:xf numFmtId="201" fontId="16" fillId="6" borderId="0" xfId="0" applyNumberFormat="1" applyFont="1" applyFill="1" applyBorder="1"/>
    <x:xf numFmtId="0" fontId="13" fillId="6" borderId="0" xfId="0" applyNumberFormat="1" applyFont="1" applyFill="1" applyBorder="1"/>
    <x:xf numFmtId="0" fontId="15" fillId="6" borderId="4" xfId="0" applyNumberFormat="1" applyFont="1" applyFill="1" applyBorder="1" applyAlignment="1">
      <x:alignment vertical="top"/>
    </x:xf>
    <x:xf numFmtId="0" fontId="15" fillId="6" borderId="5" xfId="0" applyNumberFormat="1" applyFont="1" applyFill="1" applyBorder="1" applyAlignment="1">
      <x:alignment vertical="top"/>
    </x:xf>
    <x:xf numFmtId="0" fontId="15" fillId="6" borderId="6" xfId="0" applyNumberFormat="1" applyFont="1" applyFill="1" applyBorder="1" applyAlignment="1">
      <x:alignment vertical="top"/>
    </x:xf>
    <x:xf numFmtId="0" fontId="17" fillId="6" borderId="4" xfId="0" applyNumberFormat="1" applyFont="1" applyFill="1" applyBorder="1" applyAlignment="1">
      <x:alignment vertical="top"/>
    </x:xf>
    <x:xf numFmtId="0" fontId="17" fillId="6" borderId="5" xfId="0" applyNumberFormat="1" applyFont="1" applyFill="1" applyBorder="1" applyAlignment="1">
      <x:alignment vertical="top"/>
    </x:xf>
    <x:xf numFmtId="0" fontId="17" fillId="6" borderId="6" xfId="0" applyNumberFormat="1" applyFont="1" applyFill="1" applyBorder="1" applyAlignment="1">
      <x:alignment vertical="top"/>
    </x:xf>
    <x:xf numFmtId="203" fontId="15" fillId="0" borderId="4" xfId="0" applyNumberFormat="1" applyFont="1" applyFill="1" applyBorder="1" applyAlignment="1">
      <x:alignment vertical="top"/>
    </x:xf>
    <x:xf numFmtId="203" fontId="15" fillId="0" borderId="5" xfId="0" applyNumberFormat="1" applyFont="1" applyFill="1" applyBorder="1" applyAlignment="1">
      <x:alignment vertical="top"/>
    </x:xf>
    <x:xf numFmtId="203" fontId="15" fillId="0" borderId="6" xfId="0" applyNumberFormat="1" applyFont="1" applyFill="1" applyBorder="1" applyAlignment="1">
      <x:alignment vertical="top"/>
    </x:xf>
    <x:xf numFmtId="206" fontId="11" fillId="0" borderId="4" xfId="0" applyNumberFormat="1" applyFont="1" applyFill="1" applyBorder="1" applyAlignment="1">
      <x:alignment vertical="top"/>
    </x:xf>
    <x:xf numFmtId="206" fontId="11" fillId="0" borderId="5" xfId="0" applyNumberFormat="1" applyFont="1" applyFill="1" applyBorder="1" applyAlignment="1">
      <x:alignment vertical="top"/>
    </x:xf>
    <x:xf numFmtId="206" fontId="11" fillId="0" borderId="6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8A50"/>
      </x:font>
      <x:fill>
        <x:patternFill patternType="solid">
          <x:bgColor rgb="FFDDF4E7"/>
        </x:patternFill>
      </x:fill>
    </x:dxf>
    <x:dxf>
      <x:font>
        <x:b/>
        <x:color rgb="FFC93C37"/>
      </x:font>
      <x:fill>
        <x:patternFill patternType="solid">
          <x:bgColor rgb="FFFE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1c9f0a391493d" /><Relationship Type="http://schemas.openxmlformats.org/officeDocument/2006/relationships/theme" Target="/xl/theme/theme1.xml" Id="R4c6b456768624ae0" /><Relationship Type="http://schemas.openxmlformats.org/officeDocument/2006/relationships/sharedStrings" Target="/xl/sharedStrings.xml" Id="Rf3db043bae9e4af1" /><Relationship Type="http://schemas.openxmlformats.org/officeDocument/2006/relationships/worksheet" Target="/xl/worksheets/sheet1.xml" Id="R9ede949da7964408" /><Relationship Type="http://schemas.openxmlformats.org/officeDocument/2006/relationships/worksheet" Target="/xl/worksheets/sheet2.xml" Id="Ra8ded8e1b7894fc0" /><Relationship Type="http://schemas.openxmlformats.org/officeDocument/2006/relationships/worksheet" Target="/xl/worksheets/sheet3.xml" Id="R47edefd4fc3e4479" /><Relationship Type="http://schemas.openxmlformats.org/officeDocument/2006/relationships/worksheet" Target="/xl/worksheets/sheet4.xml" Id="Rc720bac6537b4bc3" /><Relationship Type="http://schemas.openxmlformats.org/officeDocument/2006/relationships/worksheet" Target="/xl/worksheets/sheet5.xml" Id="R5a324df162314677" /><Relationship Type="http://schemas.openxmlformats.org/officeDocument/2006/relationships/worksheet" Target="/xl/worksheets/sheet6.xml" Id="Rd526743b679c40b5" /><Relationship Type="http://schemas.openxmlformats.org/officeDocument/2006/relationships/worksheet" Target="/xl/worksheets/sheet7.xml" Id="R022fac3ad93f462c" /><Relationship Type="http://schemas.openxmlformats.org/officeDocument/2006/relationships/worksheet" Target="/xl/worksheets/sheet8.xml" Id="R89b48bfa5e254d0f" /><Relationship Type="http://schemas.openxmlformats.org/officeDocument/2006/relationships/worksheet" Target="/xl/worksheets/sheet9.xml" Id="R9e3d20e94b4b49cc" /><Relationship Type="http://schemas.openxmlformats.org/officeDocument/2006/relationships/worksheet" Target="/xl/worksheets/sheet10.xml" Id="R7c7568fdd20d4a35" /><Relationship Type="http://schemas.openxmlformats.org/officeDocument/2006/relationships/worksheet" Target="/xl/worksheets/sheet11.xml" Id="Rb843cd8ac3954da5" /><Relationship Type="http://schemas.openxmlformats.org/officeDocument/2006/relationships/worksheet" Target="/xl/worksheets/sheet12.xml" Id="R2770a30cda5848ff" /><Relationship Type="http://schemas.openxmlformats.org/officeDocument/2006/relationships/worksheet" Target="/xl/worksheets/sheet13.xml" Id="R28321429971140f5" /><Relationship Type="http://schemas.openxmlformats.org/officeDocument/2006/relationships/worksheet" Target="/xl/worksheets/sheet14.xml" Id="R1502784651f44491" /><Relationship Type="http://schemas.openxmlformats.org/officeDocument/2006/relationships/worksheet" Target="/xl/worksheets/sheet15.xml" Id="R0e3479fa2d6a4471" /><Relationship Type="http://schemas.openxmlformats.org/officeDocument/2006/relationships/worksheet" Target="/xl/worksheets/sheet16.xml" Id="R7545d02f21ae4f92" /><Relationship Type="http://schemas.openxmlformats.org/officeDocument/2006/relationships/worksheet" Target="/xl/worksheets/sheet17.xml" Id="Rcedc8c01ea0f4dcd" /><Relationship Type="http://schemas.openxmlformats.org/officeDocument/2006/relationships/worksheet" Target="/xl/worksheets/sheet18.xml" Id="R30833634504f46a6" /><Relationship Type="http://schemas.microsoft.com/office/2017/10/relationships/person" Target="/xl/persons/person.xml" Id="R65bd7bd4052a4f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3b52ceac004c10" /><Relationship Type="http://schemas.openxmlformats.org/officeDocument/2006/relationships/chart" Target="/xl/drawings/charts/chart2.xml" Id="R1489ccf62e5a47cf" /><Relationship Type="http://schemas.openxmlformats.org/officeDocument/2006/relationships/chart" Target="/xl/drawings/charts/chart3.xml" Id="R09f3554a0c154549" /><Relationship Type="http://schemas.openxmlformats.org/officeDocument/2006/relationships/chart" Target="/xl/drawings/charts/chart4.xml" Id="R69b0c6741d50487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e21a7c5162f4f33" /><Relationship Type="http://schemas.openxmlformats.org/officeDocument/2006/relationships/chart" Target="/xl/drawings/charts/chart6.xml" Id="R2e4286a7fe4c409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2d4fed0b3f0e4ab0" /><Relationship Type="http://schemas.openxmlformats.org/officeDocument/2006/relationships/chart" Target="/xl/drawings/charts/chart8.xml" Id="R51ef0335d04848a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d2c374e87b5c4a09" /><Relationship Type="http://schemas.openxmlformats.org/officeDocument/2006/relationships/chart" Target="/xl/drawings/charts/chart10.xml" Id="Ra66257f1f0444e2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4fc3d2ce497a4e4f" /><Relationship Type="http://schemas.openxmlformats.org/officeDocument/2006/relationships/chart" Target="/xl/drawings/charts/chart12.xml" Id="R7ab4dbc254fd487e" /><Relationship Type="http://schemas.openxmlformats.org/officeDocument/2006/relationships/chart" Target="/xl/drawings/charts/chart13.xml" Id="R53a037f66e354c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e0ab757e7dc24caa" /><Relationship Type="http://schemas.openxmlformats.org/officeDocument/2006/relationships/chart" Target="/xl/drawings/charts/chart15.xml" Id="R12d99ed69c674b0a" /><Relationship Type="http://schemas.openxmlformats.org/officeDocument/2006/relationships/chart" Target="/xl/drawings/charts/chart16.xml" Id="R805acaf937bb4ffd" /><Relationship Type="http://schemas.openxmlformats.org/officeDocument/2006/relationships/chart" Target="/xl/drawings/charts/chart17.xml" Id="R6f3c04b2330d45e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9a82ad0830e24cad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dfabf28d0f6940f5" /><Relationship Type="http://schemas.openxmlformats.org/officeDocument/2006/relationships/chart" Target="/xl/drawings/charts/chart20.xml" Id="R0b9581830d9f406c" /><Relationship Type="http://schemas.openxmlformats.org/officeDocument/2006/relationships/chart" Target="/xl/drawings/charts/chart21.xml" Id="R6fd250acdaf749fc" /><Relationship Type="http://schemas.openxmlformats.org/officeDocument/2006/relationships/chart" Target="/xl/drawings/charts/chart22.xml" Id="R741e9d340e2c49c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6211c22eef1b421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283323786fb7412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e13869d7c7d74b29" /><Relationship Type="http://schemas.openxmlformats.org/officeDocument/2006/relationships/chart" Target="/xl/drawings/charts/chart26.xml" Id="R2acae3d3b1f3473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27.xml" Id="R1b24e70896e449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da indústria 2013–2025 (R$ mm)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'Evolucao PL'!$A$5:$A$17</c:f>
              <c:strCache>
                <c:ptCount val="0"/>
              </c:strCache>
            </c:strRef>
          </c:cat>
          <c:val>
            <c:numRef>
              <c:f>'Evolucao PL'!$B$5:$B$17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Composição do PL — Mai/26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2F5BFF"/>
            </a:solidFill>
          </c:spPr>
          <c:cat>
            <c:strRef>
              <c:f>'PL por Classe'!$L$5:$L$8</c:f>
              <c:strCache>
                <c:ptCount val="0"/>
              </c:strCache>
            </c:strRef>
          </c:cat>
          <c:val>
            <c:numRef>
              <c:f>'PL por Classe'!$M$5:$M$8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gestoras independentes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'Ranking Gestoras'!$B$15:$B$34</c:f>
              <c:strCache>
                <c:ptCount val="0"/>
              </c:strCache>
            </c:strRef>
          </c:cat>
          <c:val>
            <c:numRef>
              <c:f>'Ranking Gestoras'!$C$15:$C$34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Fundos por número de cotistas | PL &gt; R$ 200 mm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Fundos</c:v>
          </c:tx>
          <c:spPr>
            <a:solidFill xmlns:a="http://schemas.openxmlformats.org/drawingml/2006/main">
              <a:srgbClr val="E9B949"/>
            </a:solidFill>
          </c:spPr>
          <c:cat>
            <c:strRef>
              <c:f>'Cotistas'!$A$7:$A$10</c:f>
              <c:strCache>
                <c:ptCount val="0"/>
              </c:strCache>
            </c:strRef>
          </c:cat>
          <c:val>
            <c:numRef>
              <c:f>'Cotistas'!$B$7:$B$10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da indústria — R$ milhões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'Evolucao PL'!$A$5:$A$17</c:f>
              <c:strCache>
                <c:ptCount val="0"/>
              </c:strCache>
            </c:strRef>
          </c:cat>
          <c:val>
            <c:numRef>
              <c:f>'Evolucao PL'!$B$5:$B$17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mensal — Out/24 a Mai/26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PL</c:v>
          </c:tx>
          <c:spPr>
            <a:solidFill xmlns:a="http://schemas.openxmlformats.org/drawingml/2006/main">
              <a:srgbClr val="2F5BFF"/>
            </a:solidFill>
          </c:spPr>
          <c:marker>
            <c:symbol val="none"/>
          </c:marker>
          <c:cat>
            <c:strRef>
              <c:f>'Evolucao PL'!$A$22:$A$41</c:f>
              <c:strCache>
                <c:ptCount val="0"/>
              </c:strCache>
            </c:strRef>
          </c:cat>
          <c:val>
            <c:numRef>
              <c:f>'Evolucao PL'!$C$22:$C$41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Evolução mensal do PL por classe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Agro, Indústria e Comércio</c:v>
          </c:tx>
          <c:spPr>
            <a:solidFill xmlns:a="http://schemas.openxmlformats.org/drawingml/2006/main">
              <a:srgbClr val="53B6B2"/>
            </a:solidFill>
          </c:spPr>
          <c:marker>
            <c:symbol val="none"/>
          </c:marker>
          <c:cat>
            <c:strRef>
              <c:f>'PL por Classe'!$A$5:$A$24</c:f>
              <c:strCache>
                <c:ptCount val="0"/>
              </c:strCache>
            </c:strRef>
          </c:cat>
          <c:val>
            <c:numRef>
              <c:f>'PL por Classe'!$B$5:$B$24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Financeiro</c:v>
          </c:tx>
          <c:spPr>
            <a:solidFill xmlns:a="http://schemas.openxmlformats.org/drawingml/2006/main">
              <a:srgbClr val="2F5BFF"/>
            </a:solidFill>
          </c:spPr>
          <c:marker>
            <c:symbol val="none"/>
          </c:marker>
          <c:cat>
            <c:strRef>
              <c:f>'PL por Classe'!$A$5:$A$24</c:f>
              <c:strCache>
                <c:ptCount val="0"/>
              </c:strCache>
            </c:strRef>
          </c:cat>
          <c:val>
            <c:numRef>
              <c:f>'PL por Classe'!$C$5:$C$24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Fomento Mercantil</c:v>
          </c:tx>
          <c:spPr>
            <a:solidFill xmlns:a="http://schemas.openxmlformats.org/drawingml/2006/main">
              <a:srgbClr val="E9B949"/>
            </a:solidFill>
          </c:spPr>
          <c:marker>
            <c:symbol val="none"/>
          </c:marker>
          <c:cat>
            <c:strRef>
              <c:f>'PL por Classe'!$A$5:$A$24</c:f>
              <c:strCache>
                <c:ptCount val="0"/>
              </c:strCache>
            </c:strRef>
          </c:cat>
          <c:val>
            <c:numRef>
              <c:f>'PL por Classe'!$D$5:$D$24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Outros</c:v>
          </c:tx>
          <c:spPr>
            <a:solidFill xmlns:a="http://schemas.openxmlformats.org/drawingml/2006/main">
              <a:srgbClr val="F36A2E"/>
            </a:solidFill>
          </c:spPr>
          <c:marker>
            <c:symbol val="none"/>
          </c:marker>
          <c:cat>
            <c:strRef>
              <c:f>'PL por Classe'!$A$5:$A$24</c:f>
              <c:strCache>
                <c:ptCount val="0"/>
              </c:strCache>
            </c:strRef>
          </c:cat>
          <c:val>
            <c:numRef>
              <c:f>'PL por Classe'!$E$5:$E$24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Composição atual — Mai/26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'PL por Classe'!$L$5:$L$8</c:f>
              <c:strCache>
                <c:ptCount val="0"/>
              </c:strCache>
            </c:strRef>
          </c:cat>
          <c:val>
            <c:numRef>
              <c:f>'PL por Classe'!$M$5:$M$8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Volume mensal encerrado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Volume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'Emissoes'!$A$5:$A$24</c:f>
              <c:strCache>
                <c:ptCount val="0"/>
              </c:strCache>
            </c:strRef>
          </c:cat>
          <c:val>
            <c:numRef>
              <c:f>'Emissoes'!$C$5:$C$24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Volume anual observado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Volume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'Emissoes'!$F$5:$F$7</c:f>
              <c:strCache>
                <c:ptCount val="0"/>
              </c:strCache>
            </c:strRef>
          </c:cat>
          <c:val>
            <c:numRef>
              <c:f>'Emissoes'!$G$5:$G$7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por classe e grupo de gestora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Independente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'Ranking Gestoras'!$A$5:$A$8</c:f>
              <c:strCache>
                <c:ptCount val="0"/>
              </c:strCache>
            </c:strRef>
          </c:cat>
          <c:val>
            <c:numRef>
              <c:f>'Ranking Gestoras'!$B$5:$B$8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Ligada a banco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'Ranking Gestoras'!$A$5:$A$8</c:f>
              <c:strCache>
                <c:ptCount val="0"/>
              </c:strCache>
            </c:strRef>
          </c:cat>
          <c:val>
            <c:numRef>
              <c:f>'Ranking Gestoras'!$C$5:$C$8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independentes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'Ranking Gestoras'!$B$13:$B$32</c:f>
              <c:strCache>
                <c:ptCount val="0"/>
              </c:strCache>
            </c:strRef>
          </c:cat>
          <c:val>
            <c:numRef>
              <c:f>'Ranking Gestoras'!$C$13:$C$32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total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'Ranking Gestoras'!$F$13:$F$32</c:f>
              <c:strCache>
                <c:ptCount val="0"/>
              </c:strCache>
            </c:strRef>
          </c:cat>
          <c:val>
            <c:numRef>
              <c:f>'Ranking Gestoras'!$G$13:$G$32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Agro, Indústria e Comércio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53B6B2"/>
            </a:solidFill>
          </c:spPr>
          <c:cat>
            <c:strRef>
              <c:f>'Gestoras por Tipo'!$B$6:$B$20</c:f>
              <c:strCache>
                <c:ptCount val="0"/>
              </c:strCache>
            </c:strRef>
          </c:cat>
          <c:val>
            <c:numRef>
              <c:f>'Gestoras por Tipo'!$C$6:$C$20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Financeiro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2F5BFF"/>
            </a:solidFill>
          </c:spPr>
          <c:cat>
            <c:strRef>
              <c:f>'Gestoras por Tipo'!$B$27:$B$41</c:f>
              <c:strCache>
                <c:ptCount val="0"/>
              </c:strCache>
            </c:strRef>
          </c:cat>
          <c:val>
            <c:numRef>
              <c:f>'Gestoras por Tipo'!$C$27:$C$41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Fomento Mercantil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E9B949"/>
            </a:solidFill>
          </c:spPr>
          <c:cat>
            <c:strRef>
              <c:f>'Gestoras por Tipo'!$B$48:$B$62</c:f>
              <c:strCache>
                <c:ptCount val="0"/>
              </c:strCache>
            </c:strRef>
          </c:cat>
          <c:val>
            <c:numRef>
              <c:f>'Gestoras por Tipo'!$C$48:$C$62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Outros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36A2E"/>
            </a:solidFill>
          </c:spPr>
          <c:cat>
            <c:strRef>
              <c:f>'Gestoras por Tipo'!$B$69:$B$83</c:f>
              <c:strCache>
                <c:ptCount val="0"/>
              </c:strCache>
            </c:strRef>
          </c:cat>
          <c:val>
            <c:numRef>
              <c:f>'Gestoras por Tipo'!$C$69:$C$83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administradores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'Ranking Admins'!$B$5:$B$24</c:f>
              <c:strCache>
                <c:ptCount val="0"/>
              </c:strCache>
            </c:strRef>
          </c:cat>
          <c:val>
            <c:numRef>
              <c:f>'Ranking Admins'!$C$5:$C$24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Agro, Indústria e Comércio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53B6B2"/>
            </a:solidFill>
          </c:spPr>
          <c:cat>
            <c:strRef>
              <c:f>'Admins por Tipo'!$B$6:$B$20</c:f>
              <c:strCache>
                <c:ptCount val="0"/>
              </c:strCache>
            </c:strRef>
          </c:cat>
          <c:val>
            <c:numRef>
              <c:f>'Admins por Tipo'!$C$6:$C$20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Financeiro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2F5BFF"/>
            </a:solidFill>
          </c:spPr>
          <c:cat>
            <c:strRef>
              <c:f>'Admins por Tipo'!$B$27:$B$41</c:f>
              <c:strCache>
                <c:ptCount val="0"/>
              </c:strCache>
            </c:strRef>
          </c:cat>
          <c:val>
            <c:numRef>
              <c:f>'Admins por Tipo'!$C$27:$C$41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Fomento Mercantil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E9B949"/>
            </a:solidFill>
          </c:spPr>
          <c:cat>
            <c:strRef>
              <c:f>'Admins por Tipo'!$B$48:$B$62</c:f>
              <c:strCache>
                <c:ptCount val="0"/>
              </c:strCache>
            </c:strRef>
          </c:cat>
          <c:val>
            <c:numRef>
              <c:f>'Admins por Tipo'!$C$48:$C$62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15 — Outros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36A2E"/>
            </a:solidFill>
          </c:spPr>
          <c:cat>
            <c:strRef>
              <c:f>'Admins por Tipo'!$B$69:$B$83</c:f>
              <c:strCache>
                <c:ptCount val="0"/>
              </c:strCache>
            </c:strRef>
          </c:cat>
          <c:val>
            <c:numRef>
              <c:f>'Admins por Tipo'!$C$69:$C$83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custodiantes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'Ranking Custodia'!$B$5:$B$24</c:f>
              <c:strCache>
                <c:ptCount val="0"/>
              </c:strCache>
            </c:strRef>
          </c:cat>
          <c:val>
            <c:numRef>
              <c:f>'Ranking Custodia'!$C$5:$C$24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FIDCs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171D36"/>
            </a:solidFill>
          </c:spPr>
          <c:cat>
            <c:strRef>
              <c:f>'Ranking Fundos'!$B$5:$B$24</c:f>
              <c:strCache>
                <c:ptCount val="0"/>
              </c:strCache>
            </c:strRef>
          </c:cat>
          <c:val>
            <c:numRef>
              <c:f>'Ranking Fundos'!$C$5:$C$24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4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Número de fundos por faixa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Fundos</c:v>
          </c:tx>
          <c:spPr>
            <a:solidFill xmlns:a="http://schemas.openxmlformats.org/drawingml/2006/main">
              <a:srgbClr val="E9B949"/>
            </a:solidFill>
          </c:spPr>
          <c:cat>
            <c:strRef>
              <c:f>'Cotistas'!$A$7:$A$10</c:f>
              <c:strCache>
                <c:ptCount val="0"/>
              </c:strCache>
            </c:strRef>
          </c:cat>
          <c:val>
            <c:numRef>
              <c:f>'Cotistas'!$B$7:$B$10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por faixa de cotistas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'Cotistas'!$A$7:$A$10</c:f>
              <c:strCache>
                <c:ptCount val="0"/>
              </c:strCache>
            </c:strRef>
          </c:cat>
          <c:val>
            <c:numRef>
              <c:f>'Cotistas'!$C$7:$C$10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20 gestoras no proxy — R$ bi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53B6B2"/>
            </a:solidFill>
          </c:spPr>
          <c:cat>
            <c:strRef>
              <c:f>'Multicarteira'!$B$8:$B$27</c:f>
              <c:strCache>
                <c:ptCount val="0"/>
              </c:strCache>
            </c:strRef>
          </c:cat>
          <c:val>
            <c:numRef>
              <c:f>'Multicarteira'!$C$8:$C$27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3b52ceac004c10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89ccf62e5a47cf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3554a0c154549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b0c6741d50487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21a7c5162f4f33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286a7fe4c409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14</xdr:col>
      <xdr:colOff>0</xdr:colOff>
      <xdr:row>3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4fed0b3f0e4ab0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23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ef0335d04848a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374e87b5c4a09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6257f1f0444e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c3d2ce497a4e4f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0</xdr:colOff>
      <xdr:row>61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b4dbc254fd487e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a037f66e354c3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ab757e7dc24caa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d99ed69c674b0a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5acaf937bb4ffd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14</xdr:col>
      <xdr:colOff>0</xdr:colOff>
      <xdr:row>85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c04b2330d45e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82ad0830e24cad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abf28d0f6940f5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9581830d9f406c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14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d250acdaf749fc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14</xdr:col>
      <xdr:colOff>0</xdr:colOff>
      <xdr:row>85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1e9d340e2c49c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11c22eef1b42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3323786fb74127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3869d7c7d74b29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cae3d3b1f3473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24e70896e449f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E11997D5-94BF-4CAE-9111-E40D525E4F0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10T17:58:00.848" personId="{E11997D5-94BF-4CAE-9111-E40D525E4F08}" id="{AD668F8C-8EEA-93B9-D28A-79145C2B6D29}">
    <xltc:text>Histórico 2013–2023: Imagens de referência fornecidas pelo usuário (histórico 2013–2023). 2024–2025: https://data.anbima.com.br/publicacoes/fundos-de-investimento/dashboard-de-fidcs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07-10T17:58:00.857" personId="{E11997D5-94BF-4CAE-9111-E40D525E4F08}" id="{0299AB09-9901-39B8-3E5B-C356581C5445}">
    <xltc:text>Fonte: https://data.anbima.com.br/publicacoes/fundos-de-investimento/dashboard-de-fidcs. Consulta agregada por tipo ANBIMA e mês.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7-10T17:58:00.861" personId="{E11997D5-94BF-4CAE-9111-E40D525E4F08}" id="{B1FEF441-EFAE-FD60-10E8-E76CF2AA92F2}">
    <xltc:text>Fonte: https://data.anbima.com.br/publicacoes/fundos-de-investimento/dashboard-de-fidcs. Volume encerrado/captado exibido pelo dashboard.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H5" dT="2026-07-10T17:58:01.414" personId="{E11997D5-94BF-4CAE-9111-E40D525E4F08}" id="{0D67E585-32DA-AFFC-FD55-9516C73309B7}">
    <xltc:text>Input do usuário. Alterações recalculam Ranking Gestoras e os gráficos banco × independente.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7f31405ab8e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99a9ac816fae4edc" /><Relationship Type="http://schemas.openxmlformats.org/officeDocument/2006/relationships/vmlDrawing" Target="/xl/drawings/vmldrawing.vml" Id="R0bc0b5a3192a4024" /><Relationship Type="http://schemas.microsoft.com/office/2017/10/relationships/threadedComment" Target="/xl/threadedcomments/threadedcomment.xml" Id="Rb93080f67a55449a" /><Relationship Type="http://schemas.openxmlformats.org/officeDocument/2006/relationships/drawing" Target="/xl/drawings/drawing2.xml" Id="R5d330d8e853242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d39b7f45801d455c" /><Relationship Type="http://schemas.openxmlformats.org/officeDocument/2006/relationships/vmlDrawing" Target="/xl/drawings/vmldrawing2.vml" Id="R05388c7ee49a4878" /><Relationship Type="http://schemas.microsoft.com/office/2017/10/relationships/threadedComment" Target="/xl/threadedcomments/threadedcomment2.xml" Id="R47d9d941dd844835" /><Relationship Type="http://schemas.openxmlformats.org/officeDocument/2006/relationships/drawing" Target="/xl/drawings/drawing3.xml" Id="R2a4bcad7c60f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474ab8af6abd4889" /><Relationship Type="http://schemas.openxmlformats.org/officeDocument/2006/relationships/vmlDrawing" Target="/xl/drawings/vmldrawing3.vml" Id="Rbc2ad298d18b48dd" /><Relationship Type="http://schemas.microsoft.com/office/2017/10/relationships/threadedComment" Target="/xl/threadedcomments/threadedcomment3.xml" Id="Ra345d17c75fc479d" /><Relationship Type="http://schemas.openxmlformats.org/officeDocument/2006/relationships/drawing" Target="/xl/drawings/drawing4.xml" Id="Rf0e029b891f6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52e91a769d5241b6" /><Relationship Type="http://schemas.openxmlformats.org/officeDocument/2006/relationships/vmlDrawing" Target="/xl/drawings/vmldrawing4.vml" Id="R05cd854c1edb4dc7" /><Relationship Type="http://schemas.microsoft.com/office/2017/10/relationships/threadedComment" Target="/xl/threadedcomments/threadedcomment4.xml" Id="R9c6353dd2d4c48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807b178f34764e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eb0d8e5f5b5049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4d40e5df3f3c43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af925b1a55d345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d1bc2d6ed39547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0.xml" Id="R46f75dac819444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1.xml" Id="R238cc62e0a334b6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2.xml" Id="Ree7bdf99bdb14a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0" customHeight="1">
      <x:c r="A1" s="4" t="str">
        <x:v>FIDCs | base atualizável de mercado e rankings</x:v>
      </x:c>
      <x:c r="B1" s="4" t="str">
        <x:v>FIDCs | base atualizável de mercado e rankings</x:v>
      </x:c>
      <x:c r="C1" s="4" t="str">
        <x:v>FIDCs | base atualizável de mercado e rankings</x:v>
      </x:c>
      <x:c r="D1" s="4" t="str">
        <x:v>FIDCs | base atualizável de mercado e rankings</x:v>
      </x:c>
      <x:c r="E1" s="4" t="str">
        <x:v>FIDCs | base atualizável de mercado e rankings</x:v>
      </x:c>
      <x:c r="F1" s="4" t="str">
        <x:v>FIDCs | base atualizável de mercado e rankings</x:v>
      </x:c>
      <x:c r="G1" s="4" t="str">
        <x:v>FIDCs | base atualizável de mercado e rankings</x:v>
      </x:c>
      <x:c r="H1" s="4" t="str">
        <x:v>FIDCs | base atualizável de mercado e rankings</x:v>
      </x:c>
      <x:c r="I1" s="4" t="str">
        <x:v>FIDCs | base atualizável de mercado e rankings</x:v>
      </x:c>
      <x:c r="J1" s="4" t="str">
        <x:v>FIDCs | base atualizável de mercado e rankings</x:v>
      </x:c>
    </x:row>
    <x:row r="2" ht="30" customHeight="1">
      <x:c r="A2" s="4" t="str">
        <x:v>FIDCs | base atualizável de mercado e rankings</x:v>
      </x:c>
      <x:c r="B2" s="4" t="str">
        <x:v>FIDCs | base atualizável de mercado e rankings</x:v>
      </x:c>
      <x:c r="C2" s="4" t="str">
        <x:v>FIDCs | base atualizável de mercado e rankings</x:v>
      </x:c>
      <x:c r="D2" s="4" t="str">
        <x:v>FIDCs | base atualizável de mercado e rankings</x:v>
      </x:c>
      <x:c r="E2" s="4" t="str">
        <x:v>FIDCs | base atualizável de mercado e rankings</x:v>
      </x:c>
      <x:c r="F2" s="4" t="str">
        <x:v>FIDCs | base atualizável de mercado e rankings</x:v>
      </x:c>
      <x:c r="G2" s="4" t="str">
        <x:v>FIDCs | base atualizável de mercado e rankings</x:v>
      </x:c>
      <x:c r="H2" s="4" t="str">
        <x:v>FIDCs | base atualizável de mercado e rankings</x:v>
      </x:c>
      <x:c r="I2" s="4" t="str">
        <x:v>FIDCs | base atualizável de mercado e rankings</x:v>
      </x:c>
      <x:c r="J2" s="4" t="str">
        <x:v>FIDCs | base atualizável de mercado e rankings</x:v>
      </x:c>
    </x:row>
    <x:row r="3">
      <x:c r="A3" s="6" t="str">
        <x:v>Workbook de origem dos gráficos do PowerPoint | referência de mercado: maio/2026</x:v>
      </x:c>
      <x:c r="B3" s="6" t="str">
        <x:v>Workbook de origem dos gráficos do PowerPoint | referência de mercado: maio/2026</x:v>
      </x:c>
      <x:c r="C3" s="6" t="str">
        <x:v>Workbook de origem dos gráficos do PowerPoint | referência de mercado: maio/2026</x:v>
      </x:c>
      <x:c r="D3" s="6" t="str">
        <x:v>Workbook de origem dos gráficos do PowerPoint | referência de mercado: maio/2026</x:v>
      </x:c>
      <x:c r="E3" s="6" t="str">
        <x:v>Workbook de origem dos gráficos do PowerPoint | referência de mercado: maio/2026</x:v>
      </x:c>
      <x:c r="F3" s="6" t="str">
        <x:v>Workbook de origem dos gráficos do PowerPoint | referência de mercado: maio/2026</x:v>
      </x:c>
      <x:c r="G3" s="6" t="str">
        <x:v>Workbook de origem dos gráficos do PowerPoint | referência de mercado: maio/2026</x:v>
      </x:c>
      <x:c r="H3" s="6" t="str">
        <x:v>Workbook de origem dos gráficos do PowerPoint | referência de mercado: maio/2026</x:v>
      </x:c>
      <x:c r="I3" s="6" t="str">
        <x:v>Workbook de origem dos gráficos do PowerPoint | referência de mercado: maio/2026</x:v>
      </x:c>
      <x:c r="J3" s="6" t="str">
        <x:v>Workbook de origem dos gráficos do PowerPoint | referência de mercado: maio/2026</x:v>
      </x:c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</x:row>
    <x:row r="5" ht="23" customHeight="1">
      <x:c r="A5" s="8" t="str">
        <x:v>Como usar</x:v>
      </x:c>
      <x:c r="B5" s="8" t="str">
        <x:v>Como usar</x:v>
      </x:c>
      <x:c r="C5" s="8" t="str">
        <x:v>Como usar</x:v>
      </x:c>
      <x:c r="D5" s="8" t="str">
        <x:v>Como usar</x:v>
      </x:c>
      <x:c r="E5" s="8" t="str">
        <x:v>Como usar</x:v>
      </x:c>
      <x:c r="F5" s="8" t="str">
        <x:v>Como usar</x:v>
      </x:c>
      <x:c r="G5" s="8" t="str">
        <x:v>Como usar</x:v>
      </x:c>
      <x:c r="H5" s="8" t="str">
        <x:v>Como usar</x:v>
      </x:c>
      <x:c r="I5" s="8" t="str">
        <x:v>Como usar</x:v>
      </x:c>
      <x:c r="J5" s="8" t="str">
        <x:v>Como usar</x:v>
      </x:c>
    </x:row>
    <x:row r="6" ht="28" customHeight="1">
      <x:c r="A6" s="20" t="str">
        <x:v>Passo</x:v>
      </x:c>
      <x:c r="B6" s="21" t="str">
        <x:v>Onde</x:v>
      </x:c>
      <x:c r="C6" s="21" t="str">
        <x:v>Ação</x:v>
      </x:c>
      <x:c r="D6" s="21" t="str"/>
      <x:c r="E6" s="21" t="str"/>
      <x:c r="F6" s="21" t="str"/>
      <x:c r="G6" s="21" t="str"/>
      <x:c r="H6" s="21" t="str"/>
      <x:c r="I6" s="21" t="str"/>
      <x:c r="J6" s="22" t="str"/>
    </x:row>
    <x:row r="7">
      <x:c r="A7" s="39" t="str">
        <x:v>1</x:v>
      </x:c>
      <x:c r="B7" s="27" t="str">
        <x:v>Revise Classif Gestoras!H:H</x:v>
      </x:c>
      <x:c r="C7" s="27" t="str">
        <x:v>Células amarelas e fonte azul são inputs. Selecione Ligada a banco ou Independente.</x:v>
      </x:c>
      <x:c r="D7" s="27" t="str"/>
      <x:c r="E7" s="27" t="str"/>
      <x:c r="F7" s="27" t="str"/>
      <x:c r="G7" s="27" t="str"/>
      <x:c r="H7" s="27" t="str"/>
      <x:c r="I7" s="27" t="str"/>
      <x:c r="J7" s="27" t="str"/>
    </x:row>
    <x:row r="8">
      <x:c r="A8" s="40" t="str">
        <x:v>2</x:v>
      </x:c>
      <x:c r="B8" s="28" t="str">
        <x:v>Revise Base Fundos!L:L</x:v>
      </x:c>
      <x:c r="C8" s="28" t="str">
        <x:v>Opcional: classifique multicedente/multissacado ou monocedente/monossacado.</x:v>
      </x:c>
      <x:c r="D8" s="28" t="str"/>
      <x:c r="E8" s="28" t="str"/>
      <x:c r="F8" s="28" t="str"/>
      <x:c r="G8" s="28" t="str"/>
      <x:c r="H8" s="28" t="str"/>
      <x:c r="I8" s="28" t="str"/>
      <x:c r="J8" s="28" t="str"/>
    </x:row>
    <x:row r="9">
      <x:c r="A9" s="40" t="str">
        <x:v>3</x:v>
      </x:c>
      <x:c r="B9" s="28" t="str">
        <x:v>Confira os dashboards</x:v>
      </x:c>
      <x:c r="C9" s="28" t="str">
        <x:v>Os somatórios banco × independente e o ranking de independentes recalculam no Excel.</x:v>
      </x:c>
      <x:c r="D9" s="28" t="str"/>
      <x:c r="E9" s="28" t="str"/>
      <x:c r="F9" s="28" t="str"/>
      <x:c r="G9" s="28" t="str"/>
      <x:c r="H9" s="28" t="str"/>
      <x:c r="I9" s="28" t="str"/>
      <x:c r="J9" s="28" t="str"/>
    </x:row>
    <x:row r="10">
      <x:c r="A10" s="41" t="str">
        <x:v>4</x:v>
      </x:c>
      <x:c r="B10" s="29" t="str">
        <x:v>Atualize o PowerPoint</x:v>
      </x:c>
      <x:c r="C10" s="29" t="str">
        <x:v>Copie o gráfico nativo do Excel e use Colar Especial no slide correspondente.</x:v>
      </x:c>
      <x:c r="D10" s="29" t="str"/>
      <x:c r="E10" s="29" t="str"/>
      <x:c r="F10" s="29" t="str"/>
      <x:c r="G10" s="29" t="str"/>
      <x:c r="H10" s="29" t="str"/>
      <x:c r="I10" s="29" t="str"/>
      <x:c r="J10" s="29" t="str"/>
    </x:row>
    <x:row r="11">
      <x:c r="A11" s="198"/>
      <x:c r="B11" s="198"/>
      <x:c r="C11" s="198"/>
      <x:c r="D11" s="198"/>
      <x:c r="E11" s="198"/>
      <x:c r="F11" s="198"/>
      <x:c r="G11" s="198"/>
      <x:c r="H11" s="198"/>
      <x:c r="I11" s="198"/>
      <x:c r="J11" s="198"/>
    </x:row>
    <x:row r="12" ht="23" customHeight="1">
      <x:c r="A12" s="8" t="str">
        <x:v>Escopo entregue</x:v>
      </x:c>
      <x:c r="B12" s="8" t="str">
        <x:v>Escopo entregue</x:v>
      </x:c>
      <x:c r="C12" s="8" t="str">
        <x:v>Escopo entregue</x:v>
      </x:c>
      <x:c r="D12" s="8" t="str">
        <x:v>Escopo entregue</x:v>
      </x:c>
      <x:c r="E12" s="8" t="str">
        <x:v>Escopo entregue</x:v>
      </x:c>
      <x:c r="F12" s="8" t="str">
        <x:v>Escopo entregue</x:v>
      </x:c>
      <x:c r="G12" s="8" t="str">
        <x:v>Escopo entregue</x:v>
      </x:c>
      <x:c r="H12" s="8" t="str">
        <x:v>Escopo entregue</x:v>
      </x:c>
      <x:c r="I12" s="8" t="str">
        <x:v>Escopo entregue</x:v>
      </x:c>
      <x:c r="J12" s="8" t="str">
        <x:v>Escopo entregue</x:v>
      </x:c>
    </x:row>
    <x:row r="13">
      <x:c r="A13" s="44" t="str">
        <x:v>Evolução do PL</x:v>
      </x:c>
      <x:c r="B13" s="46" t="str">
        <x:v>2013–2025 em R$ mm; CAGR 2013–18, 2019–23 e crescimento 2024–25</x:v>
      </x:c>
      <x:c r="C13" s="46" t="str"/>
      <x:c r="D13" s="46" t="str"/>
      <x:c r="E13" s="46" t="str"/>
      <x:c r="F13" s="46" t="str"/>
      <x:c r="G13" s="46" t="str"/>
      <x:c r="H13" s="46" t="str"/>
      <x:c r="I13" s="46" t="str"/>
      <x:c r="J13" s="46" t="str"/>
    </x:row>
    <x:row r="14">
      <x:c r="A14" s="44" t="str">
        <x:v>Classes ANBIMA</x:v>
      </x:c>
      <x:c r="B14" s="46" t="str">
        <x:v>Agro/Indústria/Comércio, Financeiro, Fomento Mercantil e Outros</x:v>
      </x:c>
      <x:c r="C14" s="46" t="str"/>
      <x:c r="D14" s="46" t="str"/>
      <x:c r="E14" s="46" t="str"/>
      <x:c r="F14" s="46" t="str"/>
      <x:c r="G14" s="46" t="str"/>
      <x:c r="H14" s="46" t="str"/>
      <x:c r="I14" s="46" t="str"/>
      <x:c r="J14" s="46" t="str"/>
    </x:row>
    <x:row r="15">
      <x:c r="A15" s="44" t="str">
        <x:v>Emissões</x:v>
      </x:c>
      <x:c r="B15" s="46" t="str">
        <x:v>Mensal e anual; série pública observada desde out/2024</x:v>
      </x:c>
      <x:c r="C15" s="46" t="str"/>
      <x:c r="D15" s="46" t="str"/>
      <x:c r="E15" s="46" t="str"/>
      <x:c r="F15" s="46" t="str"/>
      <x:c r="G15" s="46" t="str"/>
      <x:c r="H15" s="46" t="str"/>
      <x:c r="I15" s="46" t="str"/>
      <x:c r="J15" s="46" t="str"/>
    </x:row>
    <x:row r="16">
      <x:c r="A16" s="44" t="str">
        <x:v>Prestadores</x:v>
      </x:c>
      <x:c r="B16" s="46" t="str">
        <x:v>Top gestores, independentes, administradores e custodiantes</x:v>
      </x:c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/>
    </x:row>
    <x:row r="17">
      <x:c r="A17" s="44" t="str">
        <x:v>Fundos</x:v>
      </x:c>
      <x:c r="B17" s="46" t="str">
        <x:v>Top 25 FIDCs, histograma de cotistas e proxy multicarteira</x:v>
      </x:c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</x:row>
    <x:row r="18">
      <x:c r="A18" s="44" t="str">
        <x:v>Classificação</x:v>
      </x:c>
      <x:c r="B18" s="46" t="str">
        <x:v>457 gestoras com classificação sugerida e coluna final editável</x:v>
      </x:c>
      <x:c r="C18" s="46" t="str"/>
      <x:c r="D18" s="46" t="str"/>
      <x:c r="E18" s="46" t="str"/>
      <x:c r="F18" s="46" t="str"/>
      <x:c r="G18" s="46" t="str"/>
      <x:c r="H18" s="46" t="str"/>
      <x:c r="I18" s="46" t="str"/>
      <x:c r="J18" s="46" t="str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</x:row>
    <x:row r="20" ht="23" customHeight="1">
      <x:c r="A20" s="49" t="str">
        <x:v>Leitura correta das fontes</x:v>
      </x:c>
      <x:c r="B20" s="49" t="str">
        <x:v>Leitura correta das fontes</x:v>
      </x:c>
      <x:c r="C20" s="49" t="str">
        <x:v>Leitura correta das fontes</x:v>
      </x:c>
      <x:c r="D20" s="49" t="str">
        <x:v>Leitura correta das fontes</x:v>
      </x:c>
      <x:c r="E20" s="49" t="str">
        <x:v>Leitura correta das fontes</x:v>
      </x:c>
      <x:c r="F20" s="49" t="str">
        <x:v>Leitura correta das fontes</x:v>
      </x:c>
      <x:c r="G20" s="49" t="str">
        <x:v>Leitura correta das fontes</x:v>
      </x:c>
      <x:c r="H20" s="49" t="str">
        <x:v>Leitura correta das fontes</x:v>
      </x:c>
      <x:c r="I20" s="49" t="str">
        <x:v>Leitura correta das fontes</x:v>
      </x:c>
      <x:c r="J20" s="49" t="str">
        <x:v>Leitura correta das fontes</x:v>
      </x:c>
    </x:row>
    <x:row r="21">
      <x:c r="A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B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C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D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E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F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G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H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I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J21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</x:row>
    <x:row r="22">
      <x:c r="A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B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C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D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E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F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G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H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I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J22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</x:row>
    <x:row r="23">
      <x:c r="A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B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C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D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E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F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G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H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I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J23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</x:row>
    <x:row r="24">
      <x:c r="A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B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C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D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E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F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G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H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I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J24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</x:row>
    <x:row r="25">
      <x:c r="A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B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C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D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E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F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G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H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I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  <x:c r="J25" s="52" t="str">
        <x:v>2013–2023: valores transcritos do gráfico de referência fornecido. 2024–2026: dashboard ANBIMA público. Rankings de gestores/administradores e PL dos fundos: Power BI ANBIMA em maio/2026. Nomes de fundos, cotistas e custodiantes: cadastro/informe mensal CVM conciliado por CNPJ; cobertura de nomes 92,5% e de custódia 97,5% do PL. Existe uma quebra de fonte/metodologia entre 2023 e 2024, mantida visível para não sugerir uma série homogênea inexistente.</x:v>
      </x:c>
    </x:row>
  </x:sheetData>
  <x:mergeCells>
    <x:mergeCell ref="A1:J2"/>
    <x:mergeCell ref="A3:J3"/>
    <x:mergeCell ref="A5:J5"/>
    <x:mergeCell ref="C7:J7"/>
    <x:mergeCell ref="C8:J8"/>
    <x:mergeCell ref="C9:J9"/>
    <x:mergeCell ref="C10:J10"/>
    <x:mergeCell ref="A12:J12"/>
    <x:mergeCell ref="B13:J13"/>
    <x:mergeCell ref="B14:J14"/>
    <x:mergeCell ref="B15:J15"/>
    <x:mergeCell ref="B16:J16"/>
    <x:mergeCell ref="B17:J17"/>
    <x:mergeCell ref="B18:J18"/>
    <x:mergeCell ref="A20:J20"/>
    <x:mergeCell ref="A21:J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4" t="str">
        <x:v>Mercado de FIDCs | visão executiva atualizada</x:v>
      </x:c>
      <x:c r="B1" s="4" t="str">
        <x:v>Mercado de FIDCs | visão executiva atualizada</x:v>
      </x:c>
      <x:c r="C1" s="4" t="str">
        <x:v>Mercado de FIDCs | visão executiva atualizada</x:v>
      </x:c>
      <x:c r="D1" s="4" t="str">
        <x:v>Mercado de FIDCs | visão executiva atualizada</x:v>
      </x:c>
      <x:c r="E1" s="4" t="str">
        <x:v>Mercado de FIDCs | visão executiva atualizada</x:v>
      </x:c>
      <x:c r="F1" s="4" t="str">
        <x:v>Mercado de FIDCs | visão executiva atualizada</x:v>
      </x:c>
      <x:c r="G1" s="4" t="str">
        <x:v>Mercado de FIDCs | visão executiva atualizada</x:v>
      </x:c>
      <x:c r="H1" s="4" t="str">
        <x:v>Mercado de FIDCs | visão executiva atualizada</x:v>
      </x:c>
      <x:c r="I1" s="4" t="str">
        <x:v>Mercado de FIDCs | visão executiva atualizada</x:v>
      </x:c>
      <x:c r="J1" s="4" t="str">
        <x:v>Mercado de FIDCs | visão executiva atualizada</x:v>
      </x:c>
      <x:c r="K1" s="4" t="str">
        <x:v>Mercado de FIDCs | visão executiva atualizada</x:v>
      </x:c>
      <x:c r="L1" s="4" t="str">
        <x:v>Mercado de FIDCs | visão executiva atualizada</x:v>
      </x:c>
      <x:c r="M1" s="4" t="str">
        <x:v>Mercado de FIDCs | visão executiva atualizada</x:v>
      </x:c>
      <x:c r="N1" s="4" t="str">
        <x:v>Mercado de FIDCs | visão executiva atualizada</x:v>
      </x:c>
    </x:row>
    <x:row r="2" ht="30" customHeight="1">
      <x:c r="A2" s="4" t="str">
        <x:v>Mercado de FIDCs | visão executiva atualizada</x:v>
      </x:c>
      <x:c r="B2" s="4" t="str">
        <x:v>Mercado de FIDCs | visão executiva atualizada</x:v>
      </x:c>
      <x:c r="C2" s="4" t="str">
        <x:v>Mercado de FIDCs | visão executiva atualizada</x:v>
      </x:c>
      <x:c r="D2" s="4" t="str">
        <x:v>Mercado de FIDCs | visão executiva atualizada</x:v>
      </x:c>
      <x:c r="E2" s="4" t="str">
        <x:v>Mercado de FIDCs | visão executiva atualizada</x:v>
      </x:c>
      <x:c r="F2" s="4" t="str">
        <x:v>Mercado de FIDCs | visão executiva atualizada</x:v>
      </x:c>
      <x:c r="G2" s="4" t="str">
        <x:v>Mercado de FIDCs | visão executiva atualizada</x:v>
      </x:c>
      <x:c r="H2" s="4" t="str">
        <x:v>Mercado de FIDCs | visão executiva atualizada</x:v>
      </x:c>
      <x:c r="I2" s="4" t="str">
        <x:v>Mercado de FIDCs | visão executiva atualizada</x:v>
      </x:c>
      <x:c r="J2" s="4" t="str">
        <x:v>Mercado de FIDCs | visão executiva atualizada</x:v>
      </x:c>
      <x:c r="K2" s="4" t="str">
        <x:v>Mercado de FIDCs | visão executiva atualizada</x:v>
      </x:c>
      <x:c r="L2" s="4" t="str">
        <x:v>Mercado de FIDCs | visão executiva atualizada</x:v>
      </x:c>
      <x:c r="M2" s="4" t="str">
        <x:v>Mercado de FIDCs | visão executiva atualizada</x:v>
      </x:c>
      <x:c r="N2" s="4" t="str">
        <x:v>Mercado de FIDCs | visão executiva atualizada</x:v>
      </x:c>
    </x:row>
    <x:row r="3">
      <x:c r="A3" s="53" t="str">
        <x:v>Todos os gráficos abaixo são nativos do Excel e alimentados pelas abas de base</x:v>
      </x:c>
      <x:c r="B3" s="53" t="str">
        <x:v>Todos os gráficos abaixo são nativos do Excel e alimentados pelas abas de base</x:v>
      </x:c>
      <x:c r="C3" s="53" t="str">
        <x:v>Todos os gráficos abaixo são nativos do Excel e alimentados pelas abas de base</x:v>
      </x:c>
      <x:c r="D3" s="53" t="str">
        <x:v>Todos os gráficos abaixo são nativos do Excel e alimentados pelas abas de base</x:v>
      </x:c>
      <x:c r="E3" s="53" t="str">
        <x:v>Todos os gráficos abaixo são nativos do Excel e alimentados pelas abas de base</x:v>
      </x:c>
      <x:c r="F3" s="53" t="str">
        <x:v>Todos os gráficos abaixo são nativos do Excel e alimentados pelas abas de base</x:v>
      </x:c>
      <x:c r="G3" s="53" t="str">
        <x:v>Todos os gráficos abaixo são nativos do Excel e alimentados pelas abas de base</x:v>
      </x:c>
      <x:c r="H3" s="53" t="str">
        <x:v>Todos os gráficos abaixo são nativos do Excel e alimentados pelas abas de base</x:v>
      </x:c>
      <x:c r="I3" s="53" t="str">
        <x:v>Todos os gráficos abaixo são nativos do Excel e alimentados pelas abas de base</x:v>
      </x:c>
      <x:c r="J3" s="53" t="str">
        <x:v>Todos os gráficos abaixo são nativos do Excel e alimentados pelas abas de base</x:v>
      </x:c>
      <x:c r="K3" s="53" t="str">
        <x:v>Todos os gráficos abaixo são nativos do Excel e alimentados pelas abas de base</x:v>
      </x:c>
      <x:c r="L3" s="53" t="str">
        <x:v>Todos os gráficos abaixo são nativos do Excel e alimentados pelas abas de base</x:v>
      </x:c>
      <x:c r="M3" s="53" t="str">
        <x:v>Todos os gráficos abaixo são nativos do Excel e alimentados pelas abas de base</x:v>
      </x:c>
      <x:c r="N3" s="53" t="str">
        <x:v>Todos os gráficos abaixo são nativos do Excel e alimentados pelas abas de base</x:v>
      </x:c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</x:row>
    <x:row r="5">
      <x:c r="A5" s="56" t="str">
        <x:v>PL atual (R$ bi)</x:v>
      </x:c>
      <x:c r="B5" s="56" t="str">
        <x:v>PL atual (R$ bi)</x:v>
      </x:c>
      <x:c r="C5" s="56" t="str">
        <x:v>PL atual (R$ bi)</x:v>
      </x:c>
      <x:c r="D5" s="56" t="str">
        <x:v>PL 2025 (R$ bi)</x:v>
      </x:c>
      <x:c r="E5" s="56" t="str">
        <x:v>PL 2025 (R$ bi)</x:v>
      </x:c>
      <x:c r="F5" s="56" t="str">
        <x:v>PL 2025 (R$ bi)</x:v>
      </x:c>
      <x:c r="G5" s="56" t="str">
        <x:v>Emissões 2025 (R$ bi)</x:v>
      </x:c>
      <x:c r="H5" s="56" t="str">
        <x:v>Emissões 2025 (R$ bi)</x:v>
      </x:c>
      <x:c r="I5" s="56" t="str">
        <x:v>Emissões 2025 (R$ bi)</x:v>
      </x:c>
      <x:c r="J5" s="56" t="str">
        <x:v>Fundos &gt; R$ 200 mm</x:v>
      </x:c>
      <x:c r="K5" s="56" t="str">
        <x:v>Fundos &gt; R$ 200 mm</x:v>
      </x:c>
      <x:c r="L5" s="56" t="str">
        <x:v>Fundos &gt; R$ 200 mm</x:v>
      </x:c>
      <x:c r="M5" s="105" t="str">
        <x:v>MAI/26
457 gestoras
58 administradores</x:v>
      </x:c>
      <x:c r="N5" s="105" t="str">
        <x:v>MAI/26
457 gestoras
58 administradores</x:v>
      </x:c>
    </x:row>
    <x:row r="6">
      <x:c r="A6" s="84" t="n">
        <x:f>'Evolucao PL'!$J$5</x:f>
        <x:v>751.0884551581736</x:v>
      </x:c>
      <x:c r="B6" s="85"/>
      <x:c r="C6" s="86"/>
      <x:c r="D6" s="84" t="n">
        <x:f>'Evolucao PL'!$J$6</x:f>
        <x:v>745.2873420566174</x:v>
      </x:c>
      <x:c r="E6" s="85"/>
      <x:c r="F6" s="86"/>
      <x:c r="G6" s="84" t="n">
        <x:f>'Emissoes'!$J$5</x:f>
        <x:v>90.98510609270312</x:v>
      </x:c>
      <x:c r="H6" s="85"/>
      <x:c r="I6" s="86"/>
      <x:c r="J6" s="93" t="n">
        <x:f>'Cotistas'!$J$5</x:f>
        <x:v>667</x:v>
      </x:c>
      <x:c r="K6" s="94"/>
      <x:c r="L6" s="95"/>
      <x:c r="M6" s="105" t="str">
        <x:v>MAI/26
457 gestoras
58 administradores</x:v>
      </x:c>
      <x:c r="N6" s="105" t="str">
        <x:v>MAI/26
457 gestoras
58 administradores</x:v>
      </x:c>
    </x:row>
    <x:row r="7">
      <x:c r="A7" s="87"/>
      <x:c r="B7" s="88"/>
      <x:c r="C7" s="89"/>
      <x:c r="D7" s="87"/>
      <x:c r="E7" s="88"/>
      <x:c r="F7" s="89"/>
      <x:c r="G7" s="87"/>
      <x:c r="H7" s="88"/>
      <x:c r="I7" s="89"/>
      <x:c r="J7" s="96"/>
      <x:c r="K7" s="97"/>
      <x:c r="L7" s="98"/>
      <x:c r="M7" s="105" t="str">
        <x:v>MAI/26
457 gestoras
58 administradores</x:v>
      </x:c>
      <x:c r="N7" s="105" t="str">
        <x:v>MAI/26
457 gestoras
58 administradores</x:v>
      </x:c>
    </x:row>
    <x:row r="8">
      <x:c r="A8" s="90"/>
      <x:c r="B8" s="91"/>
      <x:c r="C8" s="92"/>
      <x:c r="D8" s="90"/>
      <x:c r="E8" s="91"/>
      <x:c r="F8" s="92"/>
      <x:c r="G8" s="90"/>
      <x:c r="H8" s="91"/>
      <x:c r="I8" s="92"/>
      <x:c r="J8" s="99"/>
      <x:c r="K8" s="100"/>
      <x:c r="L8" s="101"/>
      <x:c r="M8" s="105" t="str">
        <x:v>MAI/26
457 gestoras
58 administradores</x:v>
      </x:c>
      <x:c r="N8" s="105" t="str">
        <x:v>MAI/26
457 gestoras
58 administradores</x:v>
      </x:c>
    </x:row>
    <x:row r="9">
      <x:c r="A9" s="198"/>
      <x:c r="B9" s="198"/>
      <x:c r="C9" s="198"/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98"/>
      <x:c r="B10" s="198"/>
      <x:c r="C10" s="198"/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98"/>
      <x:c r="B11" s="198"/>
      <x:c r="C11" s="198"/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98"/>
      <x:c r="B12" s="198"/>
      <x:c r="C12" s="198"/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98"/>
      <x:c r="B13" s="198"/>
      <x:c r="C13" s="198"/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98"/>
      <x:c r="B14" s="198"/>
      <x:c r="C14" s="198"/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98"/>
      <x:c r="B15" s="198"/>
      <x:c r="C15" s="198"/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98"/>
      <x:c r="B16" s="198"/>
      <x:c r="C16" s="198"/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98"/>
      <x:c r="B17" s="198"/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98"/>
      <x:c r="B20" s="198"/>
      <x:c r="C20" s="198"/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98"/>
      <x:c r="B27" s="198"/>
      <x:c r="C27" s="198"/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98"/>
      <x:c r="B28" s="198"/>
      <x:c r="C28" s="198"/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98"/>
      <x:c r="B29" s="198"/>
      <x:c r="C29" s="198"/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198"/>
      <x:c r="B32" s="198"/>
      <x:c r="C32" s="198"/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</x:row>
    <x:row r="33">
      <x:c r="A33" s="198"/>
      <x:c r="B33" s="198"/>
      <x:c r="C33" s="198"/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</x:row>
    <x:row r="34">
      <x:c r="A34" s="198"/>
      <x:c r="B34" s="198"/>
      <x:c r="C34" s="198"/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</x:row>
    <x:row r="35">
      <x:c r="A35" s="198"/>
      <x:c r="B35" s="198"/>
      <x:c r="C35" s="198"/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</x:row>
    <x:row r="36">
      <x:c r="A36" s="198"/>
      <x:c r="B36" s="198"/>
      <x:c r="C36" s="198"/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</x:row>
    <x:row r="37">
      <x:c r="A37" s="198"/>
      <x:c r="B37" s="198"/>
      <x:c r="C37" s="198"/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</x:row>
    <x:row r="54">
      <x:c r="A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B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C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D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E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F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G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H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I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J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K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L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M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N54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</x:row>
    <x:row r="55">
      <x:c r="A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B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C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D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E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F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G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H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I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J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K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L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M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N55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</x:row>
    <x:row r="56">
      <x:c r="A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B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C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D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E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F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G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H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I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J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K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L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M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  <x:c r="N56" s="52" t="str">
        <x:v>Fontes: https://data.anbima.com.br/publicacoes/fundos-de-investimento/dashboard-de-fidcs | https://dados.cvm.gov.br/dados/FIDC/DOC/INF_MENSAL/DADOS/. Classificação banco × independente é input editável em Classif Gestoras.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8"/>
    <x:mergeCell ref="A54:N56"/>
  </x:mergeCells>
  <x:pageMargins left="0.7" right="0.7" top="0.75" bottom="0.75" header="0.3" footer="0.3"/>
  <x:drawing xmlns:r="http://schemas.openxmlformats.org/officeDocument/2006/relationships" r:id="R37f31405ab8e45c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43" hidden="0" customWidth="1"/>
    <x:col min="6" max="6" width="18" hidden="0" customWidth="1"/>
    <x:col min="7" max="7" width="20" hidden="0" customWidth="1"/>
    <x:col min="9" max="9" width="22" hidden="0" customWidth="1"/>
    <x:col min="10" max="10" width="16" hidden="0" customWidth="1"/>
  </x:cols>
  <x:sheetData>
    <x:row r="1" ht="30" customHeight="1">
      <x:c r="A1" s="4" t="str">
        <x:v>A indústria atingiu R$ 745,3 bi em 2025, alta de 27% no ano</x:v>
      </x:c>
      <x:c r="B1" s="4" t="str">
        <x:v>A indústria atingiu R$ 745,3 bi em 2025, alta de 27% no ano</x:v>
      </x:c>
      <x:c r="C1" s="4" t="str">
        <x:v>A indústria atingiu R$ 745,3 bi em 2025, alta de 27% no ano</x:v>
      </x:c>
      <x:c r="D1" s="4" t="str">
        <x:v>A indústria atingiu R$ 745,3 bi em 2025, alta de 27% no ano</x:v>
      </x:c>
      <x:c r="E1" s="4" t="str">
        <x:v>A indústria atingiu R$ 745,3 bi em 2025, alta de 27% no ano</x:v>
      </x:c>
      <x:c r="F1" s="4" t="str">
        <x:v>A indústria atingiu R$ 745,3 bi em 2025, alta de 27% no ano</x:v>
      </x:c>
      <x:c r="G1" s="4" t="str">
        <x:v>A indústria atingiu R$ 745,3 bi em 2025, alta de 27% no ano</x:v>
      </x:c>
      <x:c r="H1" s="4" t="str">
        <x:v>A indústria atingiu R$ 745,3 bi em 2025, alta de 27% no ano</x:v>
      </x:c>
      <x:c r="I1" s="4" t="str">
        <x:v>A indústria atingiu R$ 745,3 bi em 2025, alta de 27% no ano</x:v>
      </x:c>
      <x:c r="J1" s="4" t="str">
        <x:v>A indústria atingiu R$ 745,3 bi em 2025, alta de 27% no ano</x:v>
      </x:c>
      <x:c r="K1" s="4" t="str">
        <x:v>A indústria atingiu R$ 745,3 bi em 2025, alta de 27% no ano</x:v>
      </x:c>
      <x:c r="L1" s="4" t="str">
        <x:v>A indústria atingiu R$ 745,3 bi em 2025, alta de 27% no ano</x:v>
      </x:c>
      <x:c r="M1" s="4" t="str">
        <x:v>A indústria atingiu R$ 745,3 bi em 2025, alta de 27% no ano</x:v>
      </x:c>
      <x:c r="N1" s="4" t="str">
        <x:v>A indústria atingiu R$ 745,3 bi em 2025, alta de 27% no ano</x:v>
      </x:c>
    </x:row>
    <x:row r="2" ht="30" customHeight="1">
      <x:c r="A2" s="4" t="str">
        <x:v>A indústria atingiu R$ 745,3 bi em 2025, alta de 27% no ano</x:v>
      </x:c>
      <x:c r="B2" s="4" t="str">
        <x:v>A indústria atingiu R$ 745,3 bi em 2025, alta de 27% no ano</x:v>
      </x:c>
      <x:c r="C2" s="4" t="str">
        <x:v>A indústria atingiu R$ 745,3 bi em 2025, alta de 27% no ano</x:v>
      </x:c>
      <x:c r="D2" s="4" t="str">
        <x:v>A indústria atingiu R$ 745,3 bi em 2025, alta de 27% no ano</x:v>
      </x:c>
      <x:c r="E2" s="4" t="str">
        <x:v>A indústria atingiu R$ 745,3 bi em 2025, alta de 27% no ano</x:v>
      </x:c>
      <x:c r="F2" s="4" t="str">
        <x:v>A indústria atingiu R$ 745,3 bi em 2025, alta de 27% no ano</x:v>
      </x:c>
      <x:c r="G2" s="4" t="str">
        <x:v>A indústria atingiu R$ 745,3 bi em 2025, alta de 27% no ano</x:v>
      </x:c>
      <x:c r="H2" s="4" t="str">
        <x:v>A indústria atingiu R$ 745,3 bi em 2025, alta de 27% no ano</x:v>
      </x:c>
      <x:c r="I2" s="4" t="str">
        <x:v>A indústria atingiu R$ 745,3 bi em 2025, alta de 27% no ano</x:v>
      </x:c>
      <x:c r="J2" s="4" t="str">
        <x:v>A indústria atingiu R$ 745,3 bi em 2025, alta de 27% no ano</x:v>
      </x:c>
      <x:c r="K2" s="4" t="str">
        <x:v>A indústria atingiu R$ 745,3 bi em 2025, alta de 27% no ano</x:v>
      </x:c>
      <x:c r="L2" s="4" t="str">
        <x:v>A indústria atingiu R$ 745,3 bi em 2025, alta de 27% no ano</x:v>
      </x:c>
      <x:c r="M2" s="4" t="str">
        <x:v>A indústria atingiu R$ 745,3 bi em 2025, alta de 27% no ano</x:v>
      </x:c>
      <x:c r="N2" s="4" t="str">
        <x:v>A indústria atingiu R$ 745,3 bi em 2025, alta de 27% no ano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Ano</x:v>
      </x:c>
      <x:c r="B4" s="21" t="str">
        <x:v>PL (R$ mm)</x:v>
      </x:c>
      <x:c r="C4" s="21" t="str">
        <x:v>Cresc. a/a</x:v>
      </x:c>
      <x:c r="D4" s="22" t="str">
        <x:v>Fonte</x:v>
      </x:c>
      <x:c r="E4" s="198"/>
      <x:c r="F4" s="20" t="str">
        <x:v>Período</x:v>
      </x:c>
      <x:c r="G4" s="22" t="str">
        <x:v>CAGR / crescimento</x:v>
      </x:c>
      <x:c r="H4" s="198"/>
      <x:c r="I4" s="20" t="str">
        <x:v>Indicador</x:v>
      </x:c>
      <x:c r="J4" s="22" t="str">
        <x:v>Valor</x:v>
      </x:c>
      <x:c r="K4" s="198"/>
      <x:c r="L4" s="198"/>
      <x:c r="M4" s="198"/>
      <x:c r="N4" s="198"/>
    </x:row>
    <x:row r="5">
      <x:c r="A5" s="110" t="n">
        <x:v>2013</x:v>
      </x:c>
      <x:c r="B5" s="113" t="n">
        <x:v>77000</x:v>
      </x:c>
      <x:c r="C5" s="116"/>
      <x:c r="D5" s="110" t="str">
        <x:v>Referência fornecida (histórico 2013–2023)</x:v>
      </x:c>
      <x:c r="E5" s="198"/>
      <x:c r="F5" s="110" t="str">
        <x:v>2013–2018</x:v>
      </x:c>
      <x:c r="G5" s="116" t="n">
        <x:f>(B10/B5)^(1/5)-1</x:f>
        <x:v>0.0964121033683023</x:v>
      </x:c>
      <x:c r="H5" s="198"/>
      <x:c r="I5" s="110" t="str">
        <x:v>PL atual (R$ bi)</x:v>
      </x:c>
      <x:c r="J5" s="119" t="n">
        <x:v>751.0884551581736</x:v>
      </x:c>
      <x:c r="K5" s="198"/>
      <x:c r="L5" s="198"/>
      <x:c r="M5" s="198"/>
      <x:c r="N5" s="198"/>
    </x:row>
    <x:row r="6">
      <x:c r="A6" s="111" t="n">
        <x:v>2014</x:v>
      </x:c>
      <x:c r="B6" s="114" t="n">
        <x:v>67000</x:v>
      </x:c>
      <x:c r="C6" s="117" t="n">
        <x:f>IFERROR(B6/B5-1,"")</x:f>
        <x:v>-0.1298701298701299</x:v>
      </x:c>
      <x:c r="D6" s="111" t="str">
        <x:v>Referência fornecida (histórico 2013–2023)</x:v>
      </x:c>
      <x:c r="E6" s="198"/>
      <x:c r="F6" s="111" t="str">
        <x:v>2019–2023</x:v>
      </x:c>
      <x:c r="G6" s="117" t="n">
        <x:f>(B15/B11)^(1/4)-1</x:f>
        <x:v>0.20211179359434683</x:v>
      </x:c>
      <x:c r="H6" s="198"/>
      <x:c r="I6" s="112" t="str">
        <x:v>PL 2025 (R$ bi)</x:v>
      </x:c>
      <x:c r="J6" s="120" t="n">
        <x:v>745.2873420566174</x:v>
      </x:c>
      <x:c r="K6" s="198"/>
      <x:c r="L6" s="198"/>
      <x:c r="M6" s="198"/>
      <x:c r="N6" s="198"/>
    </x:row>
    <x:row r="7">
      <x:c r="A7" s="111" t="n">
        <x:v>2015</x:v>
      </x:c>
      <x:c r="B7" s="114" t="n">
        <x:v>75000</x:v>
      </x:c>
      <x:c r="C7" s="117" t="n">
        <x:f>IFERROR(B7/B6-1,"")</x:f>
        <x:v>0.11940298507462677</x:v>
      </x:c>
      <x:c r="D7" s="111" t="str">
        <x:v>Referência fornecida (histórico 2013–2023)</x:v>
      </x:c>
      <x:c r="E7" s="198"/>
      <x:c r="F7" s="112" t="str">
        <x:v>2024–2025</x:v>
      </x:c>
      <x:c r="G7" s="118" t="n">
        <x:f>B17/B16-1</x:f>
        <x:v>0.2694705987574908</x:v>
      </x:c>
      <x:c r="H7" s="198"/>
      <x:c r="I7" s="198"/>
      <x:c r="J7" s="198"/>
      <x:c r="K7" s="198"/>
      <x:c r="L7" s="198"/>
      <x:c r="M7" s="198"/>
      <x:c r="N7" s="198"/>
    </x:row>
    <x:row r="8">
      <x:c r="A8" s="111" t="n">
        <x:v>2016</x:v>
      </x:c>
      <x:c r="B8" s="114" t="n">
        <x:v>87000</x:v>
      </x:c>
      <x:c r="C8" s="117" t="n">
        <x:f>IFERROR(B8/B7-1,"")</x:f>
        <x:v>0.15999999999999992</x:v>
      </x:c>
      <x:c r="D8" s="111" t="str">
        <x:v>Referência fornecida (histórico 2013–2023)</x:v>
      </x:c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n">
        <x:v>2017</x:v>
      </x:c>
      <x:c r="B9" s="114" t="n">
        <x:v>105000</x:v>
      </x:c>
      <x:c r="C9" s="117" t="n">
        <x:f>IFERROR(B9/B8-1,"")</x:f>
        <x:v>0.2068965517241379</x:v>
      </x:c>
      <x:c r="D9" s="111" t="str">
        <x:v>Referência fornecida (histórico 2013–2023)</x:v>
      </x:c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n">
        <x:v>2018</x:v>
      </x:c>
      <x:c r="B10" s="114" t="n">
        <x:v>122000</x:v>
      </x:c>
      <x:c r="C10" s="117" t="n">
        <x:f>IFERROR(B10/B9-1,"")</x:f>
        <x:v>0.161904761904762</x:v>
      </x:c>
      <x:c r="D10" s="111" t="str">
        <x:v>Referência fornecida (histórico 2013–2023)</x:v>
      </x:c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n">
        <x:v>2019</x:v>
      </x:c>
      <x:c r="B11" s="114" t="n">
        <x:v>204000</x:v>
      </x:c>
      <x:c r="C11" s="117" t="n">
        <x:f>IFERROR(B11/B10-1,"")</x:f>
        <x:v>0.6721311475409837</x:v>
      </x:c>
      <x:c r="D11" s="111" t="str">
        <x:v>Referência fornecida (histórico 2013–2023)</x:v>
      </x:c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n">
        <x:v>2020</x:v>
      </x:c>
      <x:c r="B12" s="114" t="n">
        <x:v>162000</x:v>
      </x:c>
      <x:c r="C12" s="117" t="n">
        <x:f>IFERROR(B12/B11-1,"")</x:f>
        <x:v>-0.20588235294117652</x:v>
      </x:c>
      <x:c r="D12" s="111" t="str">
        <x:v>Referência fornecida (histórico 2013–2023)</x:v>
      </x:c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n">
        <x:v>2021</x:v>
      </x:c>
      <x:c r="B13" s="114" t="n">
        <x:v>286000</x:v>
      </x:c>
      <x:c r="C13" s="117" t="n">
        <x:f>IFERROR(B13/B12-1,"")</x:f>
        <x:v>0.7654320987654322</x:v>
      </x:c>
      <x:c r="D13" s="111" t="str">
        <x:v>Referência fornecida (histórico 2013–2023)</x:v>
      </x:c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n">
        <x:v>2022</x:v>
      </x:c>
      <x:c r="B14" s="114" t="n">
        <x:v>338000</x:v>
      </x:c>
      <x:c r="C14" s="117" t="n">
        <x:f>IFERROR(B14/B13-1,"")</x:f>
        <x:v>0.18181818181818188</x:v>
      </x:c>
      <x:c r="D14" s="111" t="str">
        <x:v>Referência fornecida (histórico 2013–2023)</x:v>
      </x:c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n">
        <x:v>2023</x:v>
      </x:c>
      <x:c r="B15" s="114" t="n">
        <x:v>426000</x:v>
      </x:c>
      <x:c r="C15" s="117" t="n">
        <x:f>IFERROR(B15/B14-1,"")</x:f>
        <x:v>0.2603550295857988</x:v>
      </x:c>
      <x:c r="D15" s="111" t="str">
        <x:v>Referência fornecida (histórico 2013–2023)</x:v>
      </x:c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n">
        <x:v>2024</x:v>
      </x:c>
      <x:c r="B16" s="114" t="n">
        <x:v>587085.1540682203</x:v>
      </x:c>
      <x:c r="C16" s="117" t="n">
        <x:f>IFERROR(B16/B15-1,"")</x:f>
        <x:v>0.3781341644793903</x:v>
      </x:c>
      <x:c r="D16" s="111" t="str">
        <x:v>ANBIMA Power BI — fechamento de dezembro</x:v>
      </x:c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2" t="n">
        <x:v>2025</x:v>
      </x:c>
      <x:c r="B17" s="115" t="n">
        <x:v>745287.3420566174</x:v>
      </x:c>
      <x:c r="C17" s="118" t="n">
        <x:f>IFERROR(B17/B16-1,"")</x:f>
        <x:v>0.2694705987574908</x:v>
      </x:c>
      <x:c r="D17" s="112" t="str">
        <x:v>ANBIMA Power BI — fechamento de dezembro</x:v>
      </x:c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98"/>
      <x:c r="B18" s="198"/>
      <x:c r="C18" s="198"/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98"/>
      <x:c r="B19" s="198"/>
      <x:c r="C19" s="198"/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 ht="23" customHeight="1">
      <x:c r="A20" s="8" t="str">
        <x:v>Série mensal do dashboard ANBIMA</x:v>
      </x:c>
      <x:c r="B20" s="8" t="str">
        <x:v>Série mensal do dashboard ANBIMA</x:v>
      </x:c>
      <x:c r="C20" s="8" t="str">
        <x:v>Série mensal do dashboard ANBIMA</x:v>
      </x:c>
      <x:c r="D20" s="8" t="str">
        <x:v>Série mensal do dashboard ANBIMA</x:v>
      </x:c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 ht="28" customHeight="1">
      <x:c r="A21" s="20" t="str">
        <x:v>Mês</x:v>
      </x:c>
      <x:c r="B21" s="21" t="str">
        <x:v>PL (R$)</x:v>
      </x:c>
      <x:c r="C21" s="22" t="str">
        <x:v>PL (R$ bi)</x:v>
      </x:c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10" t="str">
        <x:v>2024-10</x:v>
      </x:c>
      <x:c r="B22" s="121" t="n">
        <x:v>538750041110.75183</x:v>
      </x:c>
      <x:c r="C22" s="119" t="n">
        <x:v>538.7500411108</x:v>
      </x:c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11" t="str">
        <x:v>2024-11</x:v>
      </x:c>
      <x:c r="B23" s="122" t="n">
        <x:v>552587163414.5247</x:v>
      </x:c>
      <x:c r="C23" s="124" t="n">
        <x:v>552.5871634145</x:v>
      </x:c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11" t="str">
        <x:v>2024-12</x:v>
      </x:c>
      <x:c r="B24" s="122" t="n">
        <x:v>587085154068.2203</x:v>
      </x:c>
      <x:c r="C24" s="124" t="n">
        <x:v>587.0851540682</x:v>
      </x:c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11" t="str">
        <x:v>2025-01</x:v>
      </x:c>
      <x:c r="B25" s="122" t="n">
        <x:v>595444144615.3127</x:v>
      </x:c>
      <x:c r="C25" s="124" t="n">
        <x:v>595.4441446153</x:v>
      </x:c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11" t="str">
        <x:v>2025-02</x:v>
      </x:c>
      <x:c r="B26" s="122" t="n">
        <x:v>607748394458.358</x:v>
      </x:c>
      <x:c r="C26" s="124" t="n">
        <x:v>607.7483944584</x:v>
      </x:c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11" t="str">
        <x:v>2025-03</x:v>
      </x:c>
      <x:c r="B27" s="122" t="n">
        <x:v>613679812294.8997</x:v>
      </x:c>
      <x:c r="C27" s="124" t="n">
        <x:v>613.6798122949</x:v>
      </x:c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11" t="str">
        <x:v>2025-04</x:v>
      </x:c>
      <x:c r="B28" s="122" t="n">
        <x:v>625495304424.5089</x:v>
      </x:c>
      <x:c r="C28" s="124" t="n">
        <x:v>625.4953044245</x:v>
      </x:c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11" t="str">
        <x:v>2025-05</x:v>
      </x:c>
      <x:c r="B29" s="122" t="n">
        <x:v>644893562315.4531</x:v>
      </x:c>
      <x:c r="C29" s="124" t="n">
        <x:v>644.8935623155</x:v>
      </x:c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11" t="str">
        <x:v>2025-06</x:v>
      </x:c>
      <x:c r="B30" s="122" t="n">
        <x:v>690237751042.8779</x:v>
      </x:c>
      <x:c r="C30" s="124" t="n">
        <x:v>690.2377510429</x:v>
      </x:c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11" t="str">
        <x:v>2025-07</x:v>
      </x:c>
      <x:c r="B31" s="122" t="n">
        <x:v>700744698499.6625</x:v>
      </x:c>
      <x:c r="C31" s="124" t="n">
        <x:v>700.7446984997</x:v>
      </x:c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111" t="str">
        <x:v>2025-08</x:v>
      </x:c>
      <x:c r="B32" s="122" t="n">
        <x:v>699173687654.9021</x:v>
      </x:c>
      <x:c r="C32" s="124" t="n">
        <x:v>699.1736876549</x:v>
      </x:c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</x:row>
    <x:row r="33">
      <x:c r="A33" s="111" t="str">
        <x:v>2025-09</x:v>
      </x:c>
      <x:c r="B33" s="122" t="n">
        <x:v>710613995959.0562</x:v>
      </x:c>
      <x:c r="C33" s="124" t="n">
        <x:v>710.6139959591</x:v>
      </x:c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</x:row>
    <x:row r="34">
      <x:c r="A34" s="111" t="str">
        <x:v>2025-10</x:v>
      </x:c>
      <x:c r="B34" s="122" t="n">
        <x:v>731705954817.8989</x:v>
      </x:c>
      <x:c r="C34" s="124" t="n">
        <x:v>731.7059548179</x:v>
      </x:c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</x:row>
    <x:row r="35">
      <x:c r="A35" s="111" t="str">
        <x:v>2025-11</x:v>
      </x:c>
      <x:c r="B35" s="122" t="n">
        <x:v>729237233859.0532</x:v>
      </x:c>
      <x:c r="C35" s="124" t="n">
        <x:v>729.2372338591</x:v>
      </x:c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</x:row>
    <x:row r="36">
      <x:c r="A36" s="111" t="str">
        <x:v>2025-12</x:v>
      </x:c>
      <x:c r="B36" s="122" t="n">
        <x:v>745287342056.6174</x:v>
      </x:c>
      <x:c r="C36" s="124" t="n">
        <x:v>745.2873420566</x:v>
      </x:c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</x:row>
    <x:row r="37">
      <x:c r="A37" s="111" t="str">
        <x:v>2026-01</x:v>
      </x:c>
      <x:c r="B37" s="122" t="n">
        <x:v>716560544997.9691</x:v>
      </x:c>
      <x:c r="C37" s="124" t="n">
        <x:v>716.560544998</x:v>
      </x:c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</x:row>
    <x:row r="38">
      <x:c r="A38" s="111" t="str">
        <x:v>2026-02</x:v>
      </x:c>
      <x:c r="B38" s="122" t="n">
        <x:v>716840823512.756</x:v>
      </x:c>
      <x:c r="C38" s="124" t="n">
        <x:v>716.8408235128</x:v>
      </x:c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</x:row>
    <x:row r="39">
      <x:c r="A39" s="111" t="str">
        <x:v>2026-03</x:v>
      </x:c>
      <x:c r="B39" s="122" t="n">
        <x:v>737382867819.4515</x:v>
      </x:c>
      <x:c r="C39" s="124" t="n">
        <x:v>737.3828678195</x:v>
      </x:c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</x:row>
    <x:row r="40">
      <x:c r="A40" s="111" t="str">
        <x:v>2026-04</x:v>
      </x:c>
      <x:c r="B40" s="122" t="n">
        <x:v>742879534412.514</x:v>
      </x:c>
      <x:c r="C40" s="124" t="n">
        <x:v>742.8795344125</x:v>
      </x:c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</x:row>
    <x:row r="41">
      <x:c r="A41" s="112" t="str">
        <x:v>2026-05</x:v>
      </x:c>
      <x:c r="B41" s="123" t="n">
        <x:v>751088455158.1736</x:v>
      </x:c>
      <x:c r="C41" s="120" t="n">
        <x:v>751.0884551582</x:v>
      </x:c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</x:row>
    <x:row r="43">
      <x:c r="A43" s="52" t="str">
        <x:v>A série anual preserva 2013–2023 conforme a referência fornecida e adiciona 2024/2025 pelo dashboard ANBIMA. A quebra de fonte/metodologia é intencionalmente explicitada; não foi aplicado ajuste retroativo.</x:v>
      </x:c>
      <x:c r="B43" s="52" t="str">
        <x:v>A série anual preserva 2013–2023 conforme a referência fornecida e adiciona 2024/2025 pelo dashboard ANBIMA. A quebra de fonte/metodologia é intencionalmente explicitada; não foi aplicado ajuste retroativo.</x:v>
      </x:c>
      <x:c r="C43" s="52" t="str">
        <x:v>A série anual preserva 2013–2023 conforme a referência fornecida e adiciona 2024/2025 pelo dashboard ANBIMA. A quebra de fonte/metodologia é intencionalmente explicitada; não foi aplicado ajuste retroativo.</x:v>
      </x:c>
      <x:c r="D43" s="52" t="str">
        <x:v>A série anual preserva 2013–2023 conforme a referência fornecida e adiciona 2024/2025 pelo dashboard ANBIMA. A quebra de fonte/metodologia é intencionalmente explicitada; não foi aplicado ajuste retroativo.</x:v>
      </x:c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</x:row>
    <x:row r="44">
      <x:c r="A44" s="52" t="str">
        <x:v>A série anual preserva 2013–2023 conforme a referência fornecida e adiciona 2024/2025 pelo dashboard ANBIMA. A quebra de fonte/metodologia é intencionalmente explicitada; não foi aplicado ajuste retroativo.</x:v>
      </x:c>
      <x:c r="B44" s="52" t="str">
        <x:v>A série anual preserva 2013–2023 conforme a referência fornecida e adiciona 2024/2025 pelo dashboard ANBIMA. A quebra de fonte/metodologia é intencionalmente explicitada; não foi aplicado ajuste retroativo.</x:v>
      </x:c>
      <x:c r="C44" s="52" t="str">
        <x:v>A série anual preserva 2013–2023 conforme a referência fornecida e adiciona 2024/2025 pelo dashboard ANBIMA. A quebra de fonte/metodologia é intencionalmente explicitada; não foi aplicado ajuste retroativo.</x:v>
      </x:c>
      <x:c r="D44" s="52" t="str">
        <x:v>A série anual preserva 2013–2023 conforme a referência fornecida e adiciona 2024/2025 pelo dashboard ANBIMA. A quebra de fonte/metodologia é intencionalmente explicitada; não foi aplicado ajuste retroativo.</x:v>
      </x:c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</x:row>
    <x:row r="45">
      <x:c r="A45" s="52" t="str">
        <x:v>A série anual preserva 2013–2023 conforme a referência fornecida e adiciona 2024/2025 pelo dashboard ANBIMA. A quebra de fonte/metodologia é intencionalmente explicitada; não foi aplicado ajuste retroativo.</x:v>
      </x:c>
      <x:c r="B45" s="52" t="str">
        <x:v>A série anual preserva 2013–2023 conforme a referência fornecida e adiciona 2024/2025 pelo dashboard ANBIMA. A quebra de fonte/metodologia é intencionalmente explicitada; não foi aplicado ajuste retroativo.</x:v>
      </x:c>
      <x:c r="C45" s="52" t="str">
        <x:v>A série anual preserva 2013–2023 conforme a referência fornecida e adiciona 2024/2025 pelo dashboard ANBIMA. A quebra de fonte/metodologia é intencionalmente explicitada; não foi aplicado ajuste retroativo.</x:v>
      </x:c>
      <x:c r="D45" s="52" t="str">
        <x:v>A série anual preserva 2013–2023 conforme a referência fornecida e adiciona 2024/2025 pelo dashboard ANBIMA. A quebra de fonte/metodologia é intencionalmente explicitada; não foi aplicado ajuste retroativo.</x:v>
      </x:c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</x:row>
    <x:row r="46">
      <x:c r="A46" s="52" t="str">
        <x:v>A série anual preserva 2013–2023 conforme a referência fornecida e adiciona 2024/2025 pelo dashboard ANBIMA. A quebra de fonte/metodologia é intencionalmente explicitada; não foi aplicado ajuste retroativo.</x:v>
      </x:c>
      <x:c r="B46" s="52" t="str">
        <x:v>A série anual preserva 2013–2023 conforme a referência fornecida e adiciona 2024/2025 pelo dashboard ANBIMA. A quebra de fonte/metodologia é intencionalmente explicitada; não foi aplicado ajuste retroativo.</x:v>
      </x:c>
      <x:c r="C46" s="52" t="str">
        <x:v>A série anual preserva 2013–2023 conforme a referência fornecida e adiciona 2024/2025 pelo dashboard ANBIMA. A quebra de fonte/metodologia é intencionalmente explicitada; não foi aplicado ajuste retroativo.</x:v>
      </x:c>
      <x:c r="D46" s="52" t="str">
        <x:v>A série anual preserva 2013–2023 conforme a referência fornecida e adiciona 2024/2025 pelo dashboard ANBIMA. A quebra de fonte/metodologia é intencionalmente explicitada; não foi aplicado ajuste retroativo.</x:v>
      </x:c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</x:row>
    <x:row r="47">
      <x:c r="A47" s="52" t="str">
        <x:v>A série anual preserva 2013–2023 conforme a referência fornecida e adiciona 2024/2025 pelo dashboard ANBIMA. A quebra de fonte/metodologia é intencionalmente explicitada; não foi aplicado ajuste retroativo.</x:v>
      </x:c>
      <x:c r="B47" s="52" t="str">
        <x:v>A série anual preserva 2013–2023 conforme a referência fornecida e adiciona 2024/2025 pelo dashboard ANBIMA. A quebra de fonte/metodologia é intencionalmente explicitada; não foi aplicado ajuste retroativo.</x:v>
      </x:c>
      <x:c r="C47" s="52" t="str">
        <x:v>A série anual preserva 2013–2023 conforme a referência fornecida e adiciona 2024/2025 pelo dashboard ANBIMA. A quebra de fonte/metodologia é intencionalmente explicitada; não foi aplicado ajuste retroativo.</x:v>
      </x:c>
      <x:c r="D47" s="52" t="str">
        <x:v>A série anual preserva 2013–2023 conforme a referência fornecida e adiciona 2024/2025 pelo dashboard ANBIMA. A quebra de fonte/metodologia é intencionalmente explicitada; não foi aplicado ajuste retroativo.</x:v>
      </x:c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</x:row>
  </x:sheetData>
  <x:mergeCells>
    <x:mergeCell ref="A1:N2"/>
    <x:mergeCell ref="A20:D20"/>
    <x:mergeCell ref="A43:D47"/>
  </x:mergeCells>
  <x:pageMargins left="0.7" right="0.7" top="0.75" bottom="0.75" header="0.3" footer="0.3"/>
  <x:drawing xmlns:r="http://schemas.openxmlformats.org/officeDocument/2006/relationships" r:id="R5d330d8e853242e5"/>
  <x:legacyDrawing xmlns:r="http://schemas.openxmlformats.org/officeDocument/2006/relationships" r:id="R0bc0b5a3192a402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</x:cols>
  <x:sheetData>
    <x:row r="1" ht="30" customHeight="1">
      <x:c r="A1" s="4" t="str">
        <x:v>Outros representa 40% do PL; Financeiro é a segunda maior classe</x:v>
      </x:c>
      <x:c r="B1" s="4" t="str">
        <x:v>Outros representa 40% do PL; Financeiro é a segunda maior classe</x:v>
      </x:c>
      <x:c r="C1" s="4" t="str">
        <x:v>Outros representa 40% do PL; Financeiro é a segunda maior classe</x:v>
      </x:c>
      <x:c r="D1" s="4" t="str">
        <x:v>Outros representa 40% do PL; Financeiro é a segunda maior classe</x:v>
      </x:c>
      <x:c r="E1" s="4" t="str">
        <x:v>Outros representa 40% do PL; Financeiro é a segunda maior classe</x:v>
      </x:c>
      <x:c r="F1" s="4" t="str">
        <x:v>Outros representa 40% do PL; Financeiro é a segunda maior classe</x:v>
      </x:c>
      <x:c r="G1" s="4" t="str">
        <x:v>Outros representa 40% do PL; Financeiro é a segunda maior classe</x:v>
      </x:c>
      <x:c r="H1" s="4" t="str">
        <x:v>Outros representa 40% do PL; Financeiro é a segunda maior classe</x:v>
      </x:c>
      <x:c r="I1" s="4" t="str">
        <x:v>Outros representa 40% do PL; Financeiro é a segunda maior classe</x:v>
      </x:c>
      <x:c r="J1" s="4" t="str">
        <x:v>Outros representa 40% do PL; Financeiro é a segunda maior classe</x:v>
      </x:c>
      <x:c r="K1" s="4" t="str">
        <x:v>Outros representa 40% do PL; Financeiro é a segunda maior classe</x:v>
      </x:c>
      <x:c r="L1" s="4" t="str">
        <x:v>Outros representa 40% do PL; Financeiro é a segunda maior classe</x:v>
      </x:c>
      <x:c r="M1" s="4" t="str">
        <x:v>Outros representa 40% do PL; Financeiro é a segunda maior classe</x:v>
      </x:c>
      <x:c r="N1" s="4" t="str">
        <x:v>Outros representa 40% do PL; Financeiro é a segunda maior classe</x:v>
      </x:c>
    </x:row>
    <x:row r="2" ht="30" customHeight="1">
      <x:c r="A2" s="4" t="str">
        <x:v>Outros representa 40% do PL; Financeiro é a segunda maior classe</x:v>
      </x:c>
      <x:c r="B2" s="4" t="str">
        <x:v>Outros representa 40% do PL; Financeiro é a segunda maior classe</x:v>
      </x:c>
      <x:c r="C2" s="4" t="str">
        <x:v>Outros representa 40% do PL; Financeiro é a segunda maior classe</x:v>
      </x:c>
      <x:c r="D2" s="4" t="str">
        <x:v>Outros representa 40% do PL; Financeiro é a segunda maior classe</x:v>
      </x:c>
      <x:c r="E2" s="4" t="str">
        <x:v>Outros representa 40% do PL; Financeiro é a segunda maior classe</x:v>
      </x:c>
      <x:c r="F2" s="4" t="str">
        <x:v>Outros representa 40% do PL; Financeiro é a segunda maior classe</x:v>
      </x:c>
      <x:c r="G2" s="4" t="str">
        <x:v>Outros representa 40% do PL; Financeiro é a segunda maior classe</x:v>
      </x:c>
      <x:c r="H2" s="4" t="str">
        <x:v>Outros representa 40% do PL; Financeiro é a segunda maior classe</x:v>
      </x:c>
      <x:c r="I2" s="4" t="str">
        <x:v>Outros representa 40% do PL; Financeiro é a segunda maior classe</x:v>
      </x:c>
      <x:c r="J2" s="4" t="str">
        <x:v>Outros representa 40% do PL; Financeiro é a segunda maior classe</x:v>
      </x:c>
      <x:c r="K2" s="4" t="str">
        <x:v>Outros representa 40% do PL; Financeiro é a segunda maior classe</x:v>
      </x:c>
      <x:c r="L2" s="4" t="str">
        <x:v>Outros representa 40% do PL; Financeiro é a segunda maior classe</x:v>
      </x:c>
      <x:c r="M2" s="4" t="str">
        <x:v>Outros representa 40% do PL; Financeiro é a segunda maior classe</x:v>
      </x:c>
      <x:c r="N2" s="4" t="str">
        <x:v>Outros representa 40% do PL; Financeiro é a segunda maior classe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Mês</x:v>
      </x:c>
      <x:c r="B4" s="21" t="str">
        <x:v>Agro, Indústria e Comércio (R$ bi)</x:v>
      </x:c>
      <x:c r="C4" s="21" t="str">
        <x:v>Financeiro (R$ bi)</x:v>
      </x:c>
      <x:c r="D4" s="21" t="str">
        <x:v>Fomento Mercantil (R$ bi)</x:v>
      </x:c>
      <x:c r="E4" s="21" t="str">
        <x:v>Outros (R$ bi)</x:v>
      </x:c>
      <x:c r="F4" s="21" t="str">
        <x:v>Total (R$ bi)</x:v>
      </x:c>
      <x:c r="G4" s="21" t="str">
        <x:v>Agro, Indústria e Comércio %</x:v>
      </x:c>
      <x:c r="H4" s="21" t="str">
        <x:v>Financeiro %</x:v>
      </x:c>
      <x:c r="I4" s="21" t="str">
        <x:v>Fomento Mercantil %</x:v>
      </x:c>
      <x:c r="J4" s="22" t="str">
        <x:v>Outros %</x:v>
      </x:c>
      <x:c r="K4" s="198"/>
      <x:c r="L4" s="20" t="str">
        <x:v>Tipo ANBIMA</x:v>
      </x:c>
      <x:c r="M4" s="22" t="str">
        <x:v>PL atual (R$ bi)</x:v>
      </x:c>
      <x:c r="N4" s="198"/>
    </x:row>
    <x:row r="5">
      <x:c r="A5" s="110" t="str">
        <x:v>2024-10</x:v>
      </x:c>
      <x:c r="B5" s="119" t="n">
        <x:v>155.6040984638513</x:v>
      </x:c>
      <x:c r="C5" s="119" t="n">
        <x:v>134.50835833037047</x:v>
      </x:c>
      <x:c r="D5" s="119" t="n">
        <x:v>51.82888023025991</x:v>
      </x:c>
      <x:c r="E5" s="119" t="n">
        <x:v>196.80870408626998</x:v>
      </x:c>
      <x:c r="F5" s="119" t="n">
        <x:v>538.7500411107517</x:v>
      </x:c>
      <x:c r="G5" s="116" t="n">
        <x:v>0.2888242907</x:v>
      </x:c>
      <x:c r="H5" s="116" t="n">
        <x:v>0.2496674674</x:v>
      </x:c>
      <x:c r="I5" s="116" t="n">
        <x:v>0.0962020905</x:v>
      </x:c>
      <x:c r="J5" s="116" t="n">
        <x:v>0.3653061514</x:v>
      </x:c>
      <x:c r="K5" s="198"/>
      <x:c r="L5" s="110" t="str">
        <x:v>Agro, Indústria e Comércio</x:v>
      </x:c>
      <x:c r="M5" s="119" t="n">
        <x:v>154.07011941794488</x:v>
      </x:c>
      <x:c r="N5" s="198"/>
    </x:row>
    <x:row r="6">
      <x:c r="A6" s="111" t="str">
        <x:v>2024-11</x:v>
      </x:c>
      <x:c r="B6" s="124" t="n">
        <x:v>160.10550614959988</x:v>
      </x:c>
      <x:c r="C6" s="124" t="n">
        <x:v>136.04906735558035</x:v>
      </x:c>
      <x:c r="D6" s="124" t="n">
        <x:v>55.79851946319985</x:v>
      </x:c>
      <x:c r="E6" s="124" t="n">
        <x:v>200.63407044614254</x:v>
      </x:c>
      <x:c r="F6" s="124" t="n">
        <x:v>552.5871634145226</x:v>
      </x:c>
      <x:c r="G6" s="117" t="n">
        <x:v>0.2897380119</x:v>
      </x:c>
      <x:c r="H6" s="117" t="n">
        <x:v>0.2462038143</x:v>
      </x:c>
      <x:c r="I6" s="117" t="n">
        <x:v>0.1009768651</x:v>
      </x:c>
      <x:c r="J6" s="117" t="n">
        <x:v>0.3630813087</x:v>
      </x:c>
      <x:c r="K6" s="198"/>
      <x:c r="L6" s="111" t="str">
        <x:v>Financeiro</x:v>
      </x:c>
      <x:c r="M6" s="124" t="n">
        <x:v>213.1804462764401</x:v>
      </x:c>
      <x:c r="N6" s="198"/>
    </x:row>
    <x:row r="7">
      <x:c r="A7" s="111" t="str">
        <x:v>2024-12</x:v>
      </x:c>
      <x:c r="B7" s="124" t="n">
        <x:v>162.16900923815007</x:v>
      </x:c>
      <x:c r="C7" s="124" t="n">
        <x:v>140.23221949494996</x:v>
      </x:c>
      <x:c r="D7" s="124" t="n">
        <x:v>56.80392369954011</x:v>
      </x:c>
      <x:c r="E7" s="124" t="n">
        <x:v>227.88000163558007</x:v>
      </x:c>
      <x:c r="F7" s="124" t="n">
        <x:v>587.0851540682202</x:v>
      </x:c>
      <x:c r="G7" s="117" t="n">
        <x:v>0.276227406</x:v>
      </x:c>
      <x:c r="H7" s="117" t="n">
        <x:v>0.2388618048</x:v>
      </x:c>
      <x:c r="I7" s="117" t="n">
        <x:v>0.096755851</x:v>
      </x:c>
      <x:c r="J7" s="117" t="n">
        <x:v>0.3881549381</x:v>
      </x:c>
      <x:c r="K7" s="198"/>
      <x:c r="L7" s="111" t="str">
        <x:v>Fomento Mercantil</x:v>
      </x:c>
      <x:c r="M7" s="124" t="n">
        <x:v>85.75464670265465</x:v>
      </x:c>
      <x:c r="N7" s="198"/>
    </x:row>
    <x:row r="8">
      <x:c r="A8" s="111" t="str">
        <x:v>2025-01</x:v>
      </x:c>
      <x:c r="B8" s="124" t="n">
        <x:v>157.34180019444085</x:v>
      </x:c>
      <x:c r="C8" s="124" t="n">
        <x:v>142.49817409951996</x:v>
      </x:c>
      <x:c r="D8" s="124" t="n">
        <x:v>59.96591247716001</x:v>
      </x:c>
      <x:c r="E8" s="124" t="n">
        <x:v>235.63825784419018</x:v>
      </x:c>
      <x:c r="F8" s="124" t="n">
        <x:v>595.4441446153111</x:v>
      </x:c>
      <x:c r="G8" s="117" t="n">
        <x:v>0.2642427533</x:v>
      </x:c>
      <x:c r="H8" s="117" t="n">
        <x:v>0.2393140908</x:v>
      </x:c>
      <x:c r="I8" s="117" t="n">
        <x:v>0.1007078716</x:v>
      </x:c>
      <x:c r="J8" s="117" t="n">
        <x:v>0.3957352843</x:v>
      </x:c>
      <x:c r="K8" s="198"/>
      <x:c r="L8" s="112" t="str">
        <x:v>Outros</x:v>
      </x:c>
      <x:c r="M8" s="120" t="n">
        <x:v>298.08324276113404</x:v>
      </x:c>
      <x:c r="N8" s="198"/>
    </x:row>
    <x:row r="9">
      <x:c r="A9" s="111" t="str">
        <x:v>2025-02</x:v>
      </x:c>
      <x:c r="B9" s="124" t="n">
        <x:v>159.46068664033</x:v>
      </x:c>
      <x:c r="C9" s="124" t="n">
        <x:v>146.52016386811005</x:v>
      </x:c>
      <x:c r="D9" s="124" t="n">
        <x:v>61.35039578369005</x:v>
      </x:c>
      <x:c r="E9" s="124" t="n">
        <x:v>240.41714816622684</x:v>
      </x:c>
      <x:c r="F9" s="124" t="n">
        <x:v>607.748394458357</x:v>
      </x:c>
      <x:c r="G9" s="117" t="n">
        <x:v>0.2623794453</x:v>
      </x:c>
      <x:c r="H9" s="117" t="n">
        <x:v>0.2410868794</x:v>
      </x:c>
      <x:c r="I9" s="117" t="n">
        <x:v>0.1009470306</x:v>
      </x:c>
      <x:c r="J9" s="117" t="n">
        <x:v>0.3955866447</x:v>
      </x:c>
      <x:c r="K9" s="198"/>
      <x:c r="L9" s="198"/>
      <x:c r="M9" s="198"/>
      <x:c r="N9" s="198"/>
    </x:row>
    <x:row r="10">
      <x:c r="A10" s="111" t="str">
        <x:v>2025-03</x:v>
      </x:c>
      <x:c r="B10" s="124" t="n">
        <x:v>157.18219879398987</x:v>
      </x:c>
      <x:c r="C10" s="124" t="n">
        <x:v>149.64943589671023</x:v>
      </x:c>
      <x:c r="D10" s="124" t="n">
        <x:v>64.11130285666</x:v>
      </x:c>
      <x:c r="E10" s="124" t="n">
        <x:v>242.7368747475377</x:v>
      </x:c>
      <x:c r="F10" s="124" t="n">
        <x:v>613.6798122948978</x:v>
      </x:c>
      <x:c r="G10" s="117" t="n">
        <x:v>0.256130633</x:v>
      </x:c>
      <x:c r="H10" s="117" t="n">
        <x:v>0.2438558885</x:v>
      </x:c>
      <x:c r="I10" s="117" t="n">
        <x:v>0.1044702817</x:v>
      </x:c>
      <x:c r="J10" s="117" t="n">
        <x:v>0.3955431968</x:v>
      </x:c>
      <x:c r="K10" s="198"/>
      <x:c r="L10" s="198"/>
      <x:c r="M10" s="198"/>
      <x:c r="N10" s="198"/>
    </x:row>
    <x:row r="11">
      <x:c r="A11" s="111" t="str">
        <x:v>2025-04</x:v>
      </x:c>
      <x:c r="B11" s="124" t="n">
        <x:v>155.0852578669602</x:v>
      </x:c>
      <x:c r="C11" s="124" t="n">
        <x:v>152.83044498047036</x:v>
      </x:c>
      <x:c r="D11" s="124" t="n">
        <x:v>65.83362260501985</x:v>
      </x:c>
      <x:c r="E11" s="124" t="n">
        <x:v>251.7459789720576</x:v>
      </x:c>
      <x:c r="F11" s="124" t="n">
        <x:v>625.4953044245079</x:v>
      </x:c>
      <x:c r="G11" s="117" t="n">
        <x:v>0.2479399234</x:v>
      </x:c>
      <x:c r="H11" s="117" t="n">
        <x:v>0.2443350796</x:v>
      </x:c>
      <x:c r="I11" s="117" t="n">
        <x:v>0.1052503866</x:v>
      </x:c>
      <x:c r="J11" s="117" t="n">
        <x:v>0.4024746104</x:v>
      </x:c>
      <x:c r="K11" s="198"/>
      <x:c r="L11" s="198"/>
      <x:c r="M11" s="198"/>
      <x:c r="N11" s="198"/>
    </x:row>
    <x:row r="12">
      <x:c r="A12" s="111" t="str">
        <x:v>2025-05</x:v>
      </x:c>
      <x:c r="B12" s="124" t="n">
        <x:v>158.10476426364997</x:v>
      </x:c>
      <x:c r="C12" s="124" t="n">
        <x:v>155.25607855680002</x:v>
      </x:c>
      <x:c r="D12" s="124" t="n">
        <x:v>67.18291038829011</x:v>
      </x:c>
      <x:c r="E12" s="124" t="n">
        <x:v>264.3498091067133</x:v>
      </x:c>
      <x:c r="F12" s="124" t="n">
        <x:v>644.8935623154533</x:v>
      </x:c>
      <x:c r="G12" s="117" t="n">
        <x:v>0.2451641224</x:v>
      </x:c>
      <x:c r="H12" s="117" t="n">
        <x:v>0.2407468265</x:v>
      </x:c>
      <x:c r="I12" s="117" t="n">
        <x:v>0.1041767422</x:v>
      </x:c>
      <x:c r="J12" s="117" t="n">
        <x:v>0.4099123089</x:v>
      </x:c>
      <x:c r="K12" s="198"/>
      <x:c r="L12" s="198"/>
      <x:c r="M12" s="198"/>
      <x:c r="N12" s="198"/>
    </x:row>
    <x:row r="13">
      <x:c r="A13" s="111" t="str">
        <x:v>2025-06</x:v>
      </x:c>
      <x:c r="B13" s="124" t="n">
        <x:v>162.94570799349998</x:v>
      </x:c>
      <x:c r="C13" s="124" t="n">
        <x:v>163.72973352157265</x:v>
      </x:c>
      <x:c r="D13" s="124" t="n">
        <x:v>70.62200363896001</x:v>
      </x:c>
      <x:c r="E13" s="124" t="n">
        <x:v>292.94030588884203</x:v>
      </x:c>
      <x:c r="F13" s="124" t="n">
        <x:v>690.2377510428747</x:v>
      </x:c>
      <x:c r="G13" s="117" t="n">
        <x:v>0.2360718575</x:v>
      </x:c>
      <x:c r="H13" s="117" t="n">
        <x:v>0.237207735</x:v>
      </x:c>
      <x:c r="I13" s="117" t="n">
        <x:v>0.1023154754</x:v>
      </x:c>
      <x:c r="J13" s="117" t="n">
        <x:v>0.4244049321</x:v>
      </x:c>
      <x:c r="K13" s="198"/>
      <x:c r="L13" s="198"/>
      <x:c r="M13" s="198"/>
      <x:c r="N13" s="198"/>
    </x:row>
    <x:row r="14">
      <x:c r="A14" s="111" t="str">
        <x:v>2025-07</x:v>
      </x:c>
      <x:c r="B14" s="124" t="n">
        <x:v>160.54936640609662</x:v>
      </x:c>
      <x:c r="C14" s="124" t="n">
        <x:v>167.52010247930002</x:v>
      </x:c>
      <x:c r="D14" s="124" t="n">
        <x:v>71.72945542851996</x:v>
      </x:c>
      <x:c r="E14" s="124" t="n">
        <x:v>300.94577418574755</x:v>
      </x:c>
      <x:c r="F14" s="124" t="n">
        <x:v>700.7446984996641</x:v>
      </x:c>
      <x:c r="G14" s="117" t="n">
        <x:v>0.2291124952</x:v>
      </x:c>
      <x:c r="H14" s="117" t="n">
        <x:v>0.2390601068</x:v>
      </x:c>
      <x:c r="I14" s="117" t="n">
        <x:v>0.1023617525</x:v>
      </x:c>
      <x:c r="J14" s="117" t="n">
        <x:v>0.4294656454</x:v>
      </x:c>
      <x:c r="K14" s="198"/>
      <x:c r="L14" s="198"/>
      <x:c r="M14" s="198"/>
      <x:c r="N14" s="198"/>
    </x:row>
    <x:row r="15">
      <x:c r="A15" s="111" t="str">
        <x:v>2025-08</x:v>
      </x:c>
      <x:c r="B15" s="124" t="n">
        <x:v>157.15174401005763</x:v>
      </x:c>
      <x:c r="C15" s="124" t="n">
        <x:v>171.60019414590028</x:v>
      </x:c>
      <x:c r="D15" s="124" t="n">
        <x:v>73.0732541764199</x:v>
      </x:c>
      <x:c r="E15" s="124" t="n">
        <x:v>297.34849532252747</x:v>
      </x:c>
      <x:c r="F15" s="124" t="n">
        <x:v>699.1736876549053</x:v>
      </x:c>
      <x:c r="G15" s="117" t="n">
        <x:v>0.2247678178</x:v>
      </x:c>
      <x:c r="H15" s="117" t="n">
        <x:v>0.2454328548</x:v>
      </x:c>
      <x:c r="I15" s="117" t="n">
        <x:v>0.104513736</x:v>
      </x:c>
      <x:c r="J15" s="117" t="n">
        <x:v>0.4252855915</x:v>
      </x:c>
      <x:c r="K15" s="198"/>
      <x:c r="L15" s="198"/>
      <x:c r="M15" s="198"/>
      <x:c r="N15" s="198"/>
    </x:row>
    <x:row r="16">
      <x:c r="A16" s="111" t="str">
        <x:v>2025-09</x:v>
      </x:c>
      <x:c r="B16" s="124" t="n">
        <x:v>151.23659319636457</x:v>
      </x:c>
      <x:c r="C16" s="124" t="n">
        <x:v>176.95245368139993</x:v>
      </x:c>
      <x:c r="D16" s="124" t="n">
        <x:v>75.77669100386629</x:v>
      </x:c>
      <x:c r="E16" s="124" t="n">
        <x:v>306.6482580774246</x:v>
      </x:c>
      <x:c r="F16" s="124" t="n">
        <x:v>710.6139959590554</x:v>
      </x:c>
      <x:c r="G16" s="117" t="n">
        <x:v>0.2128252385</x:v>
      </x:c>
      <x:c r="H16" s="117" t="n">
        <x:v>0.2490134654</x:v>
      </x:c>
      <x:c r="I16" s="117" t="n">
        <x:v>0.1066355172</x:v>
      </x:c>
      <x:c r="J16" s="117" t="n">
        <x:v>0.4315257789</x:v>
      </x:c>
      <x:c r="K16" s="198"/>
      <x:c r="L16" s="198"/>
      <x:c r="M16" s="198"/>
      <x:c r="N16" s="198"/>
    </x:row>
    <x:row r="17">
      <x:c r="A17" s="111" t="str">
        <x:v>2025-10</x:v>
      </x:c>
      <x:c r="B17" s="124" t="n">
        <x:v>150.6148825404602</x:v>
      </x:c>
      <x:c r="C17" s="124" t="n">
        <x:v>180.191270999493</x:v>
      </x:c>
      <x:c r="D17" s="124" t="n">
        <x:v>77.91361501651491</x:v>
      </x:c>
      <x:c r="E17" s="124" t="n">
        <x:v>322.98618626142934</x:v>
      </x:c>
      <x:c r="F17" s="124" t="n">
        <x:v>731.7059548178975</x:v>
      </x:c>
      <x:c r="G17" s="117" t="n">
        <x:v>0.2058407227</x:v>
      </x:c>
      <x:c r="H17" s="117" t="n">
        <x:v>0.2462618622</x:v>
      </x:c>
      <x:c r="I17" s="117" t="n">
        <x:v>0.1064821388</x:v>
      </x:c>
      <x:c r="J17" s="117" t="n">
        <x:v>0.4414152764</x:v>
      </x:c>
      <x:c r="K17" s="198"/>
      <x:c r="L17" s="198"/>
      <x:c r="M17" s="198"/>
      <x:c r="N17" s="198"/>
    </x:row>
    <x:row r="18">
      <x:c r="A18" s="111" t="str">
        <x:v>2025-11</x:v>
      </x:c>
      <x:c r="B18" s="124" t="n">
        <x:v>148.80311805655273</x:v>
      </x:c>
      <x:c r="C18" s="124" t="n">
        <x:v>183.73454097031635</x:v>
      </x:c>
      <x:c r="D18" s="124" t="n">
        <x:v>79.69317226176477</x:v>
      </x:c>
      <x:c r="E18" s="124" t="n">
        <x:v>317.00640257041493</x:v>
      </x:c>
      <x:c r="F18" s="124" t="n">
        <x:v>729.2372338590488</x:v>
      </x:c>
      <x:c r="G18" s="117" t="n">
        <x:v>0.2040530998</x:v>
      </x:c>
      <x:c r="H18" s="117" t="n">
        <x:v>0.2519544154</x:v>
      </x:c>
      <x:c r="I18" s="117" t="n">
        <x:v>0.1092829172</x:v>
      </x:c>
      <x:c r="J18" s="117" t="n">
        <x:v>0.4347095675</x:v>
      </x:c>
      <x:c r="K18" s="198"/>
      <x:c r="L18" s="198"/>
      <x:c r="M18" s="198"/>
      <x:c r="N18" s="198"/>
    </x:row>
    <x:row r="19">
      <x:c r="A19" s="111" t="str">
        <x:v>2025-12</x:v>
      </x:c>
      <x:c r="B19" s="124" t="n">
        <x:v>150.73962840911219</x:v>
      </x:c>
      <x:c r="C19" s="124" t="n">
        <x:v>190.91711469775493</x:v>
      </x:c>
      <x:c r="D19" s="124" t="n">
        <x:v>80.24733069728981</x:v>
      </x:c>
      <x:c r="E19" s="124" t="n">
        <x:v>323.3832682524593</x:v>
      </x:c>
      <x:c r="F19" s="124" t="n">
        <x:v>745.2873420566162</x:v>
      </x:c>
      <x:c r="G19" s="117" t="n">
        <x:v>0.2022570623</x:v>
      </x:c>
      <x:c r="H19" s="117" t="n">
        <x:v>0.2561657819</x:v>
      </x:c>
      <x:c r="I19" s="117" t="n">
        <x:v>0.107673009</x:v>
      </x:c>
      <x:c r="J19" s="117" t="n">
        <x:v>0.4339041468</x:v>
      </x:c>
      <x:c r="K19" s="198"/>
      <x:c r="L19" s="198"/>
      <x:c r="M19" s="198"/>
      <x:c r="N19" s="198"/>
    </x:row>
    <x:row r="20">
      <x:c r="A20" s="111" t="str">
        <x:v>2026-01</x:v>
      </x:c>
      <x:c r="B20" s="124" t="n">
        <x:v>152.1834188669374</x:v>
      </x:c>
      <x:c r="C20" s="124" t="n">
        <x:v>194.09011463143528</x:v>
      </x:c>
      <x:c r="D20" s="124" t="n">
        <x:v>78.99423318878854</x:v>
      </x:c>
      <x:c r="E20" s="124" t="n">
        <x:v>291.29277831080697</x:v>
      </x:c>
      <x:c r="F20" s="124" t="n">
        <x:v>716.5605449979682</x:v>
      </x:c>
      <x:c r="G20" s="117" t="n">
        <x:v>0.2123804052</x:v>
      </x:c>
      <x:c r="H20" s="117" t="n">
        <x:v>0.2708635244</x:v>
      </x:c>
      <x:c r="I20" s="117" t="n">
        <x:v>0.1102408355</x:v>
      </x:c>
      <x:c r="J20" s="117" t="n">
        <x:v>0.406515235</x:v>
      </x:c>
      <x:c r="K20" s="198"/>
      <x:c r="L20" s="198"/>
      <x:c r="M20" s="198"/>
      <x:c r="N20" s="198"/>
    </x:row>
    <x:row r="21">
      <x:c r="A21" s="111" t="str">
        <x:v>2026-02</x:v>
      </x:c>
      <x:c r="B21" s="124" t="n">
        <x:v>153.86965029486376</x:v>
      </x:c>
      <x:c r="C21" s="124" t="n">
        <x:v>194.81762809041493</x:v>
      </x:c>
      <x:c r="D21" s="124" t="n">
        <x:v>80.3182855966815</x:v>
      </x:c>
      <x:c r="E21" s="124" t="n">
        <x:v>287.83525953079555</x:v>
      </x:c>
      <x:c r="F21" s="124" t="n">
        <x:v>716.8408235127557</x:v>
      </x:c>
      <x:c r="G21" s="117" t="n">
        <x:v>0.2146496757</x:v>
      </x:c>
      <x:c r="H21" s="117" t="n">
        <x:v>0.2717725075</x:v>
      </x:c>
      <x:c r="I21" s="117" t="n">
        <x:v>0.1120447985</x:v>
      </x:c>
      <x:c r="J21" s="117" t="n">
        <x:v>0.4015330183</x:v>
      </x:c>
      <x:c r="K21" s="198"/>
      <x:c r="L21" s="198"/>
      <x:c r="M21" s="198"/>
      <x:c r="N21" s="198"/>
    </x:row>
    <x:row r="22">
      <x:c r="A22" s="111" t="str">
        <x:v>2026-03</x:v>
      </x:c>
      <x:c r="B22" s="124" t="n">
        <x:v>155.08611199535986</x:v>
      </x:c>
      <x:c r="C22" s="124" t="n">
        <x:v>200.35968271177492</x:v>
      </x:c>
      <x:c r="D22" s="124" t="n">
        <x:v>82.8950327705702</x:v>
      </x:c>
      <x:c r="E22" s="124" t="n">
        <x:v>299.0420403417491</x:v>
      </x:c>
      <x:c r="F22" s="124" t="n">
        <x:v>737.3828678194541</x:v>
      </x:c>
      <x:c r="G22" s="117" t="n">
        <x:v>0.2103196572</x:v>
      </x:c>
      <x:c r="H22" s="117" t="n">
        <x:v>0.2717173011</x:v>
      </x:c>
      <x:c r="I22" s="117" t="n">
        <x:v>0.112417899</x:v>
      </x:c>
      <x:c r="J22" s="117" t="n">
        <x:v>0.4055451427</x:v>
      </x:c>
      <x:c r="K22" s="198"/>
      <x:c r="L22" s="198"/>
      <x:c r="M22" s="198"/>
      <x:c r="N22" s="198"/>
    </x:row>
    <x:row r="23">
      <x:c r="A23" s="111" t="str">
        <x:v>2026-04</x:v>
      </x:c>
      <x:c r="B23" s="124" t="n">
        <x:v>155.39569297542323</x:v>
      </x:c>
      <x:c r="C23" s="124" t="n">
        <x:v>207.71495009925601</x:v>
      </x:c>
      <x:c r="D23" s="124" t="n">
        <x:v>84.30229800836622</x:v>
      </x:c>
      <x:c r="E23" s="124" t="n">
        <x:v>295.4665933294663</x:v>
      </x:c>
      <x:c r="F23" s="124" t="n">
        <x:v>742.8795344125117</x:v>
      </x:c>
      <x:c r="G23" s="117" t="n">
        <x:v>0.2091802046</x:v>
      </x:c>
      <x:c r="H23" s="117" t="n">
        <x:v>0.2796078509</x:v>
      </x:c>
      <x:c r="I23" s="117" t="n">
        <x:v>0.1134804421</x:v>
      </x:c>
      <x:c r="J23" s="117" t="n">
        <x:v>0.3977315024</x:v>
      </x:c>
      <x:c r="K23" s="198"/>
      <x:c r="L23" s="198"/>
      <x:c r="M23" s="198"/>
      <x:c r="N23" s="198"/>
    </x:row>
    <x:row r="24">
      <x:c r="A24" s="112" t="str">
        <x:v>2026-05</x:v>
      </x:c>
      <x:c r="B24" s="120" t="n">
        <x:v>154.07011941794488</x:v>
      </x:c>
      <x:c r="C24" s="120" t="n">
        <x:v>213.1804462764401</x:v>
      </x:c>
      <x:c r="D24" s="120" t="n">
        <x:v>85.75464670265465</x:v>
      </x:c>
      <x:c r="E24" s="120" t="n">
        <x:v>298.08324276113404</x:v>
      </x:c>
      <x:c r="F24" s="120" t="n">
        <x:v>751.0884551581737</x:v>
      </x:c>
      <x:c r="G24" s="118" t="n">
        <x:v>0.2051291274</x:v>
      </x:c>
      <x:c r="H24" s="118" t="n">
        <x:v>0.283828682</x:v>
      </x:c>
      <x:c r="I24" s="118" t="n">
        <x:v>0.1141738315</x:v>
      </x:c>
      <x:c r="J24" s="118" t="n">
        <x:v>0.3968683591</x:v>
      </x:c>
      <x:c r="K24" s="198"/>
      <x:c r="L24" s="198"/>
      <x:c r="M24" s="198"/>
      <x:c r="N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52" t="str">
        <x:v>Série observada no Power BI ANBIMA: out/2024 a mai/2026. Os quatro tipos somam R$ 751.1 bi em mai/2026.</x:v>
      </x:c>
      <x:c r="B27" s="52" t="str">
        <x:v>Série observada no Power BI ANBIMA: out/2024 a mai/2026. Os quatro tipos somam R$ 751.1 bi em mai/2026.</x:v>
      </x:c>
      <x:c r="C27" s="52" t="str">
        <x:v>Série observada no Power BI ANBIMA: out/2024 a mai/2026. Os quatro tipos somam R$ 751.1 bi em mai/2026.</x:v>
      </x:c>
      <x:c r="D27" s="52" t="str">
        <x:v>Série observada no Power BI ANBIMA: out/2024 a mai/2026. Os quatro tipos somam R$ 751.1 bi em mai/2026.</x:v>
      </x:c>
      <x:c r="E27" s="52" t="str">
        <x:v>Série observada no Power BI ANBIMA: out/2024 a mai/2026. Os quatro tipos somam R$ 751.1 bi em mai/2026.</x:v>
      </x:c>
      <x:c r="F27" s="52" t="str">
        <x:v>Série observada no Power BI ANBIMA: out/2024 a mai/2026. Os quatro tipos somam R$ 751.1 bi em mai/2026.</x:v>
      </x:c>
      <x:c r="G27" s="52" t="str">
        <x:v>Série observada no Power BI ANBIMA: out/2024 a mai/2026. Os quatro tipos somam R$ 751.1 bi em mai/2026.</x:v>
      </x:c>
      <x:c r="H27" s="52" t="str">
        <x:v>Série observada no Power BI ANBIMA: out/2024 a mai/2026. Os quatro tipos somam R$ 751.1 bi em mai/2026.</x:v>
      </x:c>
      <x:c r="I27" s="52" t="str">
        <x:v>Série observada no Power BI ANBIMA: out/2024 a mai/2026. Os quatro tipos somam R$ 751.1 bi em mai/2026.</x:v>
      </x:c>
      <x:c r="J27" s="52" t="str">
        <x:v>Série observada no Power BI ANBIMA: out/2024 a mai/2026. Os quatro tipos somam R$ 751.1 bi em mai/2026.</x:v>
      </x:c>
      <x:c r="K27" s="198"/>
      <x:c r="L27" s="198"/>
      <x:c r="M27" s="198"/>
      <x:c r="N27" s="198"/>
    </x:row>
    <x:row r="28">
      <x:c r="A28" s="52" t="str">
        <x:v>Série observada no Power BI ANBIMA: out/2024 a mai/2026. Os quatro tipos somam R$ 751.1 bi em mai/2026.</x:v>
      </x:c>
      <x:c r="B28" s="52" t="str">
        <x:v>Série observada no Power BI ANBIMA: out/2024 a mai/2026. Os quatro tipos somam R$ 751.1 bi em mai/2026.</x:v>
      </x:c>
      <x:c r="C28" s="52" t="str">
        <x:v>Série observada no Power BI ANBIMA: out/2024 a mai/2026. Os quatro tipos somam R$ 751.1 bi em mai/2026.</x:v>
      </x:c>
      <x:c r="D28" s="52" t="str">
        <x:v>Série observada no Power BI ANBIMA: out/2024 a mai/2026. Os quatro tipos somam R$ 751.1 bi em mai/2026.</x:v>
      </x:c>
      <x:c r="E28" s="52" t="str">
        <x:v>Série observada no Power BI ANBIMA: out/2024 a mai/2026. Os quatro tipos somam R$ 751.1 bi em mai/2026.</x:v>
      </x:c>
      <x:c r="F28" s="52" t="str">
        <x:v>Série observada no Power BI ANBIMA: out/2024 a mai/2026. Os quatro tipos somam R$ 751.1 bi em mai/2026.</x:v>
      </x:c>
      <x:c r="G28" s="52" t="str">
        <x:v>Série observada no Power BI ANBIMA: out/2024 a mai/2026. Os quatro tipos somam R$ 751.1 bi em mai/2026.</x:v>
      </x:c>
      <x:c r="H28" s="52" t="str">
        <x:v>Série observada no Power BI ANBIMA: out/2024 a mai/2026. Os quatro tipos somam R$ 751.1 bi em mai/2026.</x:v>
      </x:c>
      <x:c r="I28" s="52" t="str">
        <x:v>Série observada no Power BI ANBIMA: out/2024 a mai/2026. Os quatro tipos somam R$ 751.1 bi em mai/2026.</x:v>
      </x:c>
      <x:c r="J28" s="52" t="str">
        <x:v>Série observada no Power BI ANBIMA: out/2024 a mai/2026. Os quatro tipos somam R$ 751.1 bi em mai/2026.</x:v>
      </x:c>
      <x:c r="K28" s="198"/>
      <x:c r="L28" s="198"/>
      <x:c r="M28" s="198"/>
      <x:c r="N28" s="198"/>
    </x:row>
    <x:row r="29">
      <x:c r="A29" s="52" t="str">
        <x:v>Série observada no Power BI ANBIMA: out/2024 a mai/2026. Os quatro tipos somam R$ 751.1 bi em mai/2026.</x:v>
      </x:c>
      <x:c r="B29" s="52" t="str">
        <x:v>Série observada no Power BI ANBIMA: out/2024 a mai/2026. Os quatro tipos somam R$ 751.1 bi em mai/2026.</x:v>
      </x:c>
      <x:c r="C29" s="52" t="str">
        <x:v>Série observada no Power BI ANBIMA: out/2024 a mai/2026. Os quatro tipos somam R$ 751.1 bi em mai/2026.</x:v>
      </x:c>
      <x:c r="D29" s="52" t="str">
        <x:v>Série observada no Power BI ANBIMA: out/2024 a mai/2026. Os quatro tipos somam R$ 751.1 bi em mai/2026.</x:v>
      </x:c>
      <x:c r="E29" s="52" t="str">
        <x:v>Série observada no Power BI ANBIMA: out/2024 a mai/2026. Os quatro tipos somam R$ 751.1 bi em mai/2026.</x:v>
      </x:c>
      <x:c r="F29" s="52" t="str">
        <x:v>Série observada no Power BI ANBIMA: out/2024 a mai/2026. Os quatro tipos somam R$ 751.1 bi em mai/2026.</x:v>
      </x:c>
      <x:c r="G29" s="52" t="str">
        <x:v>Série observada no Power BI ANBIMA: out/2024 a mai/2026. Os quatro tipos somam R$ 751.1 bi em mai/2026.</x:v>
      </x:c>
      <x:c r="H29" s="52" t="str">
        <x:v>Série observada no Power BI ANBIMA: out/2024 a mai/2026. Os quatro tipos somam R$ 751.1 bi em mai/2026.</x:v>
      </x:c>
      <x:c r="I29" s="52" t="str">
        <x:v>Série observada no Power BI ANBIMA: out/2024 a mai/2026. Os quatro tipos somam R$ 751.1 bi em mai/2026.</x:v>
      </x:c>
      <x:c r="J29" s="52" t="str">
        <x:v>Série observada no Power BI ANBIMA: out/2024 a mai/2026. Os quatro tipos somam R$ 751.1 bi em mai/2026.</x:v>
      </x:c>
      <x:c r="K29" s="198"/>
      <x:c r="L29" s="198"/>
      <x:c r="M29" s="198"/>
      <x:c r="N29" s="198"/>
    </x:row>
    <x:row r="30">
      <x:c r="A30" s="52" t="str">
        <x:v>Série observada no Power BI ANBIMA: out/2024 a mai/2026. Os quatro tipos somam R$ 751.1 bi em mai/2026.</x:v>
      </x:c>
      <x:c r="B30" s="52" t="str">
        <x:v>Série observada no Power BI ANBIMA: out/2024 a mai/2026. Os quatro tipos somam R$ 751.1 bi em mai/2026.</x:v>
      </x:c>
      <x:c r="C30" s="52" t="str">
        <x:v>Série observada no Power BI ANBIMA: out/2024 a mai/2026. Os quatro tipos somam R$ 751.1 bi em mai/2026.</x:v>
      </x:c>
      <x:c r="D30" s="52" t="str">
        <x:v>Série observada no Power BI ANBIMA: out/2024 a mai/2026. Os quatro tipos somam R$ 751.1 bi em mai/2026.</x:v>
      </x:c>
      <x:c r="E30" s="52" t="str">
        <x:v>Série observada no Power BI ANBIMA: out/2024 a mai/2026. Os quatro tipos somam R$ 751.1 bi em mai/2026.</x:v>
      </x:c>
      <x:c r="F30" s="52" t="str">
        <x:v>Série observada no Power BI ANBIMA: out/2024 a mai/2026. Os quatro tipos somam R$ 751.1 bi em mai/2026.</x:v>
      </x:c>
      <x:c r="G30" s="52" t="str">
        <x:v>Série observada no Power BI ANBIMA: out/2024 a mai/2026. Os quatro tipos somam R$ 751.1 bi em mai/2026.</x:v>
      </x:c>
      <x:c r="H30" s="52" t="str">
        <x:v>Série observada no Power BI ANBIMA: out/2024 a mai/2026. Os quatro tipos somam R$ 751.1 bi em mai/2026.</x:v>
      </x:c>
      <x:c r="I30" s="52" t="str">
        <x:v>Série observada no Power BI ANBIMA: out/2024 a mai/2026. Os quatro tipos somam R$ 751.1 bi em mai/2026.</x:v>
      </x:c>
      <x:c r="J30" s="52" t="str">
        <x:v>Série observada no Power BI ANBIMA: out/2024 a mai/2026. Os quatro tipos somam R$ 751.1 bi em mai/2026.</x:v>
      </x:c>
      <x:c r="K30" s="198"/>
      <x:c r="L30" s="198"/>
      <x:c r="M30" s="198"/>
      <x:c r="N30" s="198"/>
    </x:row>
  </x:sheetData>
  <x:mergeCells>
    <x:mergeCell ref="A1:N2"/>
    <x:mergeCell ref="A27:J30"/>
  </x:mergeCells>
  <x:pageMargins left="0.7" right="0.7" top="0.75" bottom="0.75" header="0.3" footer="0.3"/>
  <x:drawing xmlns:r="http://schemas.openxmlformats.org/officeDocument/2006/relationships" r:id="R2a4bcad7c60f4a1c"/>
  <x:legacyDrawing xmlns:r="http://schemas.openxmlformats.org/officeDocument/2006/relationships" r:id="R05388c7ee49a487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21" hidden="0" customWidth="1"/>
    <x:col min="4" max="4" width="21" hidden="0" customWidth="1"/>
    <x:col min="6" max="6" width="12" hidden="0" customWidth="1"/>
    <x:col min="7" max="7" width="18" hidden="0" customWidth="1"/>
    <x:col min="8" max="8" width="18" hidden="0" customWidth="1"/>
    <x:col min="9" max="9" width="25" hidden="0" customWidth="1"/>
  </x:cols>
  <x:sheetData>
    <x:row r="1" ht="30" customHeight="1">
      <x:c r="A1" s="4" t="str">
        <x:v>Emissões encerradas somaram R$ 91,0 bi em 2025</x:v>
      </x:c>
      <x:c r="B1" s="4" t="str">
        <x:v>Emissões encerradas somaram R$ 91,0 bi em 2025</x:v>
      </x:c>
      <x:c r="C1" s="4" t="str">
        <x:v>Emissões encerradas somaram R$ 91,0 bi em 2025</x:v>
      </x:c>
      <x:c r="D1" s="4" t="str">
        <x:v>Emissões encerradas somaram R$ 91,0 bi em 2025</x:v>
      </x:c>
      <x:c r="E1" s="4" t="str">
        <x:v>Emissões encerradas somaram R$ 91,0 bi em 2025</x:v>
      </x:c>
      <x:c r="F1" s="4" t="str">
        <x:v>Emissões encerradas somaram R$ 91,0 bi em 2025</x:v>
      </x:c>
      <x:c r="G1" s="4" t="str">
        <x:v>Emissões encerradas somaram R$ 91,0 bi em 2025</x:v>
      </x:c>
      <x:c r="H1" s="4" t="str">
        <x:v>Emissões encerradas somaram R$ 91,0 bi em 2025</x:v>
      </x:c>
      <x:c r="I1" s="4" t="str">
        <x:v>Emissões encerradas somaram R$ 91,0 bi em 2025</x:v>
      </x:c>
      <x:c r="J1" s="4" t="str">
        <x:v>Emissões encerradas somaram R$ 91,0 bi em 2025</x:v>
      </x:c>
      <x:c r="K1" s="4" t="str">
        <x:v>Emissões encerradas somaram R$ 91,0 bi em 2025</x:v>
      </x:c>
      <x:c r="L1" s="4" t="str">
        <x:v>Emissões encerradas somaram R$ 91,0 bi em 2025</x:v>
      </x:c>
      <x:c r="M1" s="4" t="str">
        <x:v>Emissões encerradas somaram R$ 91,0 bi em 2025</x:v>
      </x:c>
      <x:c r="N1" s="4" t="str">
        <x:v>Emissões encerradas somaram R$ 91,0 bi em 2025</x:v>
      </x:c>
    </x:row>
    <x:row r="2" ht="30" customHeight="1">
      <x:c r="A2" s="4" t="str">
        <x:v>Emissões encerradas somaram R$ 91,0 bi em 2025</x:v>
      </x:c>
      <x:c r="B2" s="4" t="str">
        <x:v>Emissões encerradas somaram R$ 91,0 bi em 2025</x:v>
      </x:c>
      <x:c r="C2" s="4" t="str">
        <x:v>Emissões encerradas somaram R$ 91,0 bi em 2025</x:v>
      </x:c>
      <x:c r="D2" s="4" t="str">
        <x:v>Emissões encerradas somaram R$ 91,0 bi em 2025</x:v>
      </x:c>
      <x:c r="E2" s="4" t="str">
        <x:v>Emissões encerradas somaram R$ 91,0 bi em 2025</x:v>
      </x:c>
      <x:c r="F2" s="4" t="str">
        <x:v>Emissões encerradas somaram R$ 91,0 bi em 2025</x:v>
      </x:c>
      <x:c r="G2" s="4" t="str">
        <x:v>Emissões encerradas somaram R$ 91,0 bi em 2025</x:v>
      </x:c>
      <x:c r="H2" s="4" t="str">
        <x:v>Emissões encerradas somaram R$ 91,0 bi em 2025</x:v>
      </x:c>
      <x:c r="I2" s="4" t="str">
        <x:v>Emissões encerradas somaram R$ 91,0 bi em 2025</x:v>
      </x:c>
      <x:c r="J2" s="4" t="str">
        <x:v>Emissões encerradas somaram R$ 91,0 bi em 2025</x:v>
      </x:c>
      <x:c r="K2" s="4" t="str">
        <x:v>Emissões encerradas somaram R$ 91,0 bi em 2025</x:v>
      </x:c>
      <x:c r="L2" s="4" t="str">
        <x:v>Emissões encerradas somaram R$ 91,0 bi em 2025</x:v>
      </x:c>
      <x:c r="M2" s="4" t="str">
        <x:v>Emissões encerradas somaram R$ 91,0 bi em 2025</x:v>
      </x:c>
      <x:c r="N2" s="4" t="str">
        <x:v>Emissões encerradas somaram R$ 91,0 bi em 2025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Mês</x:v>
      </x:c>
      <x:c r="B4" s="21" t="str">
        <x:v>Volume no mês (R$)</x:v>
      </x:c>
      <x:c r="C4" s="21" t="str">
        <x:v>Volume no mês (R$ bi)</x:v>
      </x:c>
      <x:c r="D4" s="22" t="str">
        <x:v>Acumulado (R$ bi)</x:v>
      </x:c>
      <x:c r="E4" s="198"/>
      <x:c r="F4" s="20" t="str">
        <x:v>Ano</x:v>
      </x:c>
      <x:c r="G4" s="21" t="str">
        <x:v>Volume (R$ bi)</x:v>
      </x:c>
      <x:c r="H4" s="22" t="str">
        <x:v>Cobertura</x:v>
      </x:c>
      <x:c r="I4" s="20" t="str">
        <x:v>Indicador</x:v>
      </x:c>
      <x:c r="J4" s="22" t="str">
        <x:v>Valor</x:v>
      </x:c>
      <x:c r="K4" s="198"/>
      <x:c r="L4" s="198"/>
      <x:c r="M4" s="198"/>
      <x:c r="N4" s="198"/>
    </x:row>
    <x:row r="5">
      <x:c r="A5" s="110" t="str">
        <x:v>2024-10</x:v>
      </x:c>
      <x:c r="B5" s="121" t="n">
        <x:v>6884789115.487032</x:v>
      </x:c>
      <x:c r="C5" s="119" t="n">
        <x:v>6.8847891155</x:v>
      </x:c>
      <x:c r="D5" s="119" t="n">
        <x:v>6.8847891155</x:v>
      </x:c>
      <x:c r="E5" s="198"/>
      <x:c r="F5" s="110" t="n">
        <x:v>2024</x:v>
      </x:c>
      <x:c r="G5" s="119" t="n">
        <x:v>30.5241632008</x:v>
      </x:c>
      <x:c r="H5" s="110" t="str">
        <x:v>Out–Dez</x:v>
      </x:c>
      <x:c r="I5" s="125" t="str">
        <x:v>Emissões 2025 (R$ bi)</x:v>
      </x:c>
      <x:c r="J5" s="126" t="n">
        <x:v>90.98510609270312</x:v>
      </x:c>
      <x:c r="K5" s="198"/>
      <x:c r="L5" s="198"/>
      <x:c r="M5" s="198"/>
      <x:c r="N5" s="198"/>
    </x:row>
    <x:row r="6">
      <x:c r="A6" s="111" t="str">
        <x:v>2024-11</x:v>
      </x:c>
      <x:c r="B6" s="122" t="n">
        <x:v>11141631838.367235</x:v>
      </x:c>
      <x:c r="C6" s="124" t="n">
        <x:v>11.1416318384</x:v>
      </x:c>
      <x:c r="D6" s="124" t="n">
        <x:v>18.0264209539</x:v>
      </x:c>
      <x:c r="E6" s="198"/>
      <x:c r="F6" s="111" t="n">
        <x:v>2025</x:v>
      </x:c>
      <x:c r="G6" s="124" t="n">
        <x:v>90.9851060927</x:v>
      </x:c>
      <x:c r="H6" s="111" t="str">
        <x:v>Ano cheio</x:v>
      </x:c>
      <x:c r="I6" s="198"/>
      <x:c r="J6" s="198"/>
      <x:c r="K6" s="198"/>
      <x:c r="L6" s="198"/>
      <x:c r="M6" s="198"/>
      <x:c r="N6" s="198"/>
    </x:row>
    <x:row r="7">
      <x:c r="A7" s="111" t="str">
        <x:v>2024-12</x:v>
      </x:c>
      <x:c r="B7" s="122" t="n">
        <x:v>12497742246.941574</x:v>
      </x:c>
      <x:c r="C7" s="124" t="n">
        <x:v>12.4977422469</x:v>
      </x:c>
      <x:c r="D7" s="124" t="n">
        <x:v>30.5241632008</x:v>
      </x:c>
      <x:c r="E7" s="198"/>
      <x:c r="F7" s="112" t="n">
        <x:v>2026</x:v>
      </x:c>
      <x:c r="G7" s="120" t="n">
        <x:v>41.6481299019</x:v>
      </x:c>
      <x:c r="H7" s="112" t="str">
        <x:v>Jan–Mai</x:v>
      </x:c>
      <x:c r="I7" s="198"/>
      <x:c r="J7" s="198"/>
      <x:c r="K7" s="198"/>
      <x:c r="L7" s="198"/>
      <x:c r="M7" s="198"/>
      <x:c r="N7" s="198"/>
    </x:row>
    <x:row r="8">
      <x:c r="A8" s="111" t="str">
        <x:v>2025-01</x:v>
      </x:c>
      <x:c r="B8" s="122" t="n">
        <x:v>3521326377.5545616</x:v>
      </x:c>
      <x:c r="C8" s="124" t="n">
        <x:v>3.5213263776</x:v>
      </x:c>
      <x:c r="D8" s="124" t="n">
        <x:v>34.0454895784</x:v>
      </x:c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str">
        <x:v>2025-02</x:v>
      </x:c>
      <x:c r="B9" s="122" t="n">
        <x:v>6205690298.177567</x:v>
      </x:c>
      <x:c r="C9" s="124" t="n">
        <x:v>6.2056902982</x:v>
      </x:c>
      <x:c r="D9" s="124" t="n">
        <x:v>40.2511798765</x:v>
      </x:c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str">
        <x:v>2025-03</x:v>
      </x:c>
      <x:c r="B10" s="122" t="n">
        <x:v>5801250002.123291</x:v>
      </x:c>
      <x:c r="C10" s="124" t="n">
        <x:v>5.8012500021</x:v>
      </x:c>
      <x:c r="D10" s="124" t="n">
        <x:v>46.0524298787</x:v>
      </x:c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str">
        <x:v>2025-04</x:v>
      </x:c>
      <x:c r="B11" s="122" t="n">
        <x:v>9104847344.353691</x:v>
      </x:c>
      <x:c r="C11" s="124" t="n">
        <x:v>9.1048473444</x:v>
      </x:c>
      <x:c r="D11" s="124" t="n">
        <x:v>55.157277223</x:v>
      </x:c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str">
        <x:v>2025-05</x:v>
      </x:c>
      <x:c r="B12" s="122" t="n">
        <x:v>5885692946.805611</x:v>
      </x:c>
      <x:c r="C12" s="124" t="n">
        <x:v>5.8856929468</x:v>
      </x:c>
      <x:c r="D12" s="124" t="n">
        <x:v>61.0429701698</x:v>
      </x:c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str">
        <x:v>2025-06</x:v>
      </x:c>
      <x:c r="B13" s="122" t="n">
        <x:v>10482865737.81578</x:v>
      </x:c>
      <x:c r="C13" s="124" t="n">
        <x:v>10.4828657378</x:v>
      </x:c>
      <x:c r="D13" s="124" t="n">
        <x:v>71.5258359076</x:v>
      </x:c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str">
        <x:v>2025-07</x:v>
      </x:c>
      <x:c r="B14" s="122" t="n">
        <x:v>5773641020.750137</x:v>
      </x:c>
      <x:c r="C14" s="124" t="n">
        <x:v>5.7736410208</x:v>
      </x:c>
      <x:c r="D14" s="124" t="n">
        <x:v>77.2994769284</x:v>
      </x:c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str">
        <x:v>2025-08</x:v>
      </x:c>
      <x:c r="B15" s="122" t="n">
        <x:v>5885717642.81749</x:v>
      </x:c>
      <x:c r="C15" s="124" t="n">
        <x:v>5.8857176428</x:v>
      </x:c>
      <x:c r="D15" s="124" t="n">
        <x:v>83.1851945712</x:v>
      </x:c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str">
        <x:v>2025-09</x:v>
      </x:c>
      <x:c r="B16" s="122" t="n">
        <x:v>8824156169.320831</x:v>
      </x:c>
      <x:c r="C16" s="124" t="n">
        <x:v>8.8241561693</x:v>
      </x:c>
      <x:c r="D16" s="124" t="n">
        <x:v>92.0093507405</x:v>
      </x:c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1" t="str">
        <x:v>2025-10</x:v>
      </x:c>
      <x:c r="B17" s="122" t="n">
        <x:v>9709370319.31256</x:v>
      </x:c>
      <x:c r="C17" s="124" t="n">
        <x:v>9.7093703193</x:v>
      </x:c>
      <x:c r="D17" s="124" t="n">
        <x:v>101.7187210598</x:v>
      </x:c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11" t="str">
        <x:v>2025-11</x:v>
      </x:c>
      <x:c r="B18" s="122" t="n">
        <x:v>6732233130.991058</x:v>
      </x:c>
      <x:c r="C18" s="124" t="n">
        <x:v>6.732233131</x:v>
      </x:c>
      <x:c r="D18" s="124" t="n">
        <x:v>108.4509541908</x:v>
      </x:c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11" t="str">
        <x:v>2025-12</x:v>
      </x:c>
      <x:c r="B19" s="122" t="n">
        <x:v>13058315102.680542</x:v>
      </x:c>
      <x:c r="C19" s="124" t="n">
        <x:v>13.0583151027</x:v>
      </x:c>
      <x:c r="D19" s="124" t="n">
        <x:v>121.5092692935</x:v>
      </x:c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11" t="str">
        <x:v>2026-01</x:v>
      </x:c>
      <x:c r="B20" s="122" t="n">
        <x:v>6988776796.085342</x:v>
      </x:c>
      <x:c r="C20" s="124" t="n">
        <x:v>6.9887767961</x:v>
      </x:c>
      <x:c r="D20" s="124" t="n">
        <x:v>128.4980460896</x:v>
      </x:c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11" t="str">
        <x:v>2026-02</x:v>
      </x:c>
      <x:c r="B21" s="122" t="n">
        <x:v>6282277892.906265</x:v>
      </x:c>
      <x:c r="C21" s="124" t="n">
        <x:v>6.2822778929</x:v>
      </x:c>
      <x:c r="D21" s="124" t="n">
        <x:v>134.7803239825</x:v>
      </x:c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11" t="str">
        <x:v>2026-03</x:v>
      </x:c>
      <x:c r="B22" s="122" t="n">
        <x:v>8119285866.292541</x:v>
      </x:c>
      <x:c r="C22" s="124" t="n">
        <x:v>8.1192858663</x:v>
      </x:c>
      <x:c r="D22" s="124" t="n">
        <x:v>142.8996098488</x:v>
      </x:c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11" t="str">
        <x:v>2026-04</x:v>
      </x:c>
      <x:c r="B23" s="122" t="n">
        <x:v>14968701936.646454</x:v>
      </x:c>
      <x:c r="C23" s="124" t="n">
        <x:v>14.9687019366</x:v>
      </x:c>
      <x:c r="D23" s="124" t="n">
        <x:v>157.8683117854</x:v>
      </x:c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12" t="str">
        <x:v>2026-05</x:v>
      </x:c>
      <x:c r="B24" s="123" t="n">
        <x:v>5289087410.0112</x:v>
      </x:c>
      <x:c r="C24" s="120" t="n">
        <x:v>5.28908741</x:v>
      </x:c>
      <x:c r="D24" s="120" t="n">
        <x:v>163.1573991954</x:v>
      </x:c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98"/>
      <x:c r="B25" s="198"/>
      <x:c r="C25" s="198"/>
      <x:c r="D25" s="198"/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98"/>
      <x:c r="B26" s="198"/>
      <x:c r="C26" s="198"/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52" t="str">
        <x:v>A série pública do dashboard começa em out/2024. Portanto, 2024 cobre apenas out–dez; 2025 é ano cheio; 2026 cobre jan–mai. O volume mensal é a variação do acumulado por tipo de subscritor.</x:v>
      </x:c>
      <x:c r="B27" s="52" t="str">
        <x:v>A série pública do dashboard começa em out/2024. Portanto, 2024 cobre apenas out–dez; 2025 é ano cheio; 2026 cobre jan–mai. O volume mensal é a variação do acumulado por tipo de subscritor.</x:v>
      </x:c>
      <x:c r="C27" s="52" t="str">
        <x:v>A série pública do dashboard começa em out/2024. Portanto, 2024 cobre apenas out–dez; 2025 é ano cheio; 2026 cobre jan–mai. O volume mensal é a variação do acumulado por tipo de subscritor.</x:v>
      </x:c>
      <x:c r="D27" s="52" t="str">
        <x:v>A série pública do dashboard começa em out/2024. Portanto, 2024 cobre apenas out–dez; 2025 é ano cheio; 2026 cobre jan–mai. O volume mensal é a variação do acumulado por tipo de subscritor.</x:v>
      </x:c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52" t="str">
        <x:v>A série pública do dashboard começa em out/2024. Portanto, 2024 cobre apenas out–dez; 2025 é ano cheio; 2026 cobre jan–mai. O volume mensal é a variação do acumulado por tipo de subscritor.</x:v>
      </x:c>
      <x:c r="B28" s="52" t="str">
        <x:v>A série pública do dashboard começa em out/2024. Portanto, 2024 cobre apenas out–dez; 2025 é ano cheio; 2026 cobre jan–mai. O volume mensal é a variação do acumulado por tipo de subscritor.</x:v>
      </x:c>
      <x:c r="C28" s="52" t="str">
        <x:v>A série pública do dashboard começa em out/2024. Portanto, 2024 cobre apenas out–dez; 2025 é ano cheio; 2026 cobre jan–mai. O volume mensal é a variação do acumulado por tipo de subscritor.</x:v>
      </x:c>
      <x:c r="D28" s="52" t="str">
        <x:v>A série pública do dashboard começa em out/2024. Portanto, 2024 cobre apenas out–dez; 2025 é ano cheio; 2026 cobre jan–mai. O volume mensal é a variação do acumulado por tipo de subscritor.</x:v>
      </x:c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52" t="str">
        <x:v>A série pública do dashboard começa em out/2024. Portanto, 2024 cobre apenas out–dez; 2025 é ano cheio; 2026 cobre jan–mai. O volume mensal é a variação do acumulado por tipo de subscritor.</x:v>
      </x:c>
      <x:c r="B29" s="52" t="str">
        <x:v>A série pública do dashboard começa em out/2024. Portanto, 2024 cobre apenas out–dez; 2025 é ano cheio; 2026 cobre jan–mai. O volume mensal é a variação do acumulado por tipo de subscritor.</x:v>
      </x:c>
      <x:c r="C29" s="52" t="str">
        <x:v>A série pública do dashboard começa em out/2024. Portanto, 2024 cobre apenas out–dez; 2025 é ano cheio; 2026 cobre jan–mai. O volume mensal é a variação do acumulado por tipo de subscritor.</x:v>
      </x:c>
      <x:c r="D29" s="52" t="str">
        <x:v>A série pública do dashboard começa em out/2024. Portanto, 2024 cobre apenas out–dez; 2025 é ano cheio; 2026 cobre jan–mai. O volume mensal é a variação do acumulado por tipo de subscritor.</x:v>
      </x:c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52" t="str">
        <x:v>A série pública do dashboard começa em out/2024. Portanto, 2024 cobre apenas out–dez; 2025 é ano cheio; 2026 cobre jan–mai. O volume mensal é a variação do acumulado por tipo de subscritor.</x:v>
      </x:c>
      <x:c r="B30" s="52" t="str">
        <x:v>A série pública do dashboard começa em out/2024. Portanto, 2024 cobre apenas out–dez; 2025 é ano cheio; 2026 cobre jan–mai. O volume mensal é a variação do acumulado por tipo de subscritor.</x:v>
      </x:c>
      <x:c r="C30" s="52" t="str">
        <x:v>A série pública do dashboard começa em out/2024. Portanto, 2024 cobre apenas out–dez; 2025 é ano cheio; 2026 cobre jan–mai. O volume mensal é a variação do acumulado por tipo de subscritor.</x:v>
      </x:c>
      <x:c r="D30" s="52" t="str">
        <x:v>A série pública do dashboard começa em out/2024. Portanto, 2024 cobre apenas out–dez; 2025 é ano cheio; 2026 cobre jan–mai. O volume mensal é a variação do acumulado por tipo de subscritor.</x:v>
      </x:c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52" t="str">
        <x:v>A série pública do dashboard começa em out/2024. Portanto, 2024 cobre apenas out–dez; 2025 é ano cheio; 2026 cobre jan–mai. O volume mensal é a variação do acumulado por tipo de subscritor.</x:v>
      </x:c>
      <x:c r="B31" s="52" t="str">
        <x:v>A série pública do dashboard começa em out/2024. Portanto, 2024 cobre apenas out–dez; 2025 é ano cheio; 2026 cobre jan–mai. O volume mensal é a variação do acumulado por tipo de subscritor.</x:v>
      </x:c>
      <x:c r="C31" s="52" t="str">
        <x:v>A série pública do dashboard começa em out/2024. Portanto, 2024 cobre apenas out–dez; 2025 é ano cheio; 2026 cobre jan–mai. O volume mensal é a variação do acumulado por tipo de subscritor.</x:v>
      </x:c>
      <x:c r="D31" s="52" t="str">
        <x:v>A série pública do dashboard começa em out/2024. Portanto, 2024 cobre apenas out–dez; 2025 é ano cheio; 2026 cobre jan–mai. O volume mensal é a variação do acumulado por tipo de subscritor.</x:v>
      </x:c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52" t="str">
        <x:v>A série pública do dashboard começa em out/2024. Portanto, 2024 cobre apenas out–dez; 2025 é ano cheio; 2026 cobre jan–mai. O volume mensal é a variação do acumulado por tipo de subscritor.</x:v>
      </x:c>
      <x:c r="B32" s="52" t="str">
        <x:v>A série pública do dashboard começa em out/2024. Portanto, 2024 cobre apenas out–dez; 2025 é ano cheio; 2026 cobre jan–mai. O volume mensal é a variação do acumulado por tipo de subscritor.</x:v>
      </x:c>
      <x:c r="C32" s="52" t="str">
        <x:v>A série pública do dashboard começa em out/2024. Portanto, 2024 cobre apenas out–dez; 2025 é ano cheio; 2026 cobre jan–mai. O volume mensal é a variação do acumulado por tipo de subscritor.</x:v>
      </x:c>
      <x:c r="D32" s="52" t="str">
        <x:v>A série pública do dashboard começa em out/2024. Portanto, 2024 cobre apenas out–dez; 2025 é ano cheio; 2026 cobre jan–mai. O volume mensal é a variação do acumulado por tipo de subscritor.</x:v>
      </x:c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</x:row>
  </x:sheetData>
  <x:mergeCells>
    <x:mergeCell ref="A1:N2"/>
    <x:mergeCell ref="A27:D32"/>
  </x:mergeCells>
  <x:pageMargins left="0.7" right="0.7" top="0.75" bottom="0.75" header="0.3" footer="0.3"/>
  <x:drawing xmlns:r="http://schemas.openxmlformats.org/officeDocument/2006/relationships" r:id="Rf0e029b891f64254"/>
  <x:legacyDrawing xmlns:r="http://schemas.openxmlformats.org/officeDocument/2006/relationships" r:id="Rbc2ad298d18b48d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3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4" t="str">
        <x:v>Classificação de gestoras | revise a coluna H</x:v>
      </x:c>
      <x:c r="B1" s="4" t="str">
        <x:v>Classificação de gestoras | revise a coluna H</x:v>
      </x:c>
      <x:c r="C1" s="4" t="str">
        <x:v>Classificação de gestoras | revise a coluna H</x:v>
      </x:c>
      <x:c r="D1" s="4" t="str">
        <x:v>Classificação de gestoras | revise a coluna H</x:v>
      </x:c>
      <x:c r="E1" s="4" t="str">
        <x:v>Classificação de gestoras | revise a coluna H</x:v>
      </x:c>
      <x:c r="F1" s="4" t="str">
        <x:v>Classificação de gestoras | revise a coluna H</x:v>
      </x:c>
      <x:c r="G1" s="4" t="str">
        <x:v>Classificação de gestoras | revise a coluna H</x:v>
      </x:c>
      <x:c r="H1" s="4" t="str">
        <x:v>Classificação de gestoras | revise a coluna H</x:v>
      </x:c>
      <x:c r="I1" s="4" t="str">
        <x:v>Classificação de gestoras | revise a coluna H</x:v>
      </x:c>
      <x:c r="J1" s="4" t="str">
        <x:v>Classificação de gestoras | revise a coluna H</x:v>
      </x:c>
      <x:c r="K1" s="4" t="str">
        <x:v>Classificação de gestoras | revise a coluna H</x:v>
      </x:c>
      <x:c r="L1" s="4" t="str">
        <x:v>Classificação de gestoras | revise a coluna H</x:v>
      </x:c>
      <x:c r="M1" s="4" t="str">
        <x:v>Classificação de gestoras | revise a coluna H</x:v>
      </x:c>
      <x:c r="N1" s="4" t="str">
        <x:v>Classificação de gestoras | revise a coluna H</x:v>
      </x:c>
    </x:row>
    <x:row r="2" ht="30" customHeight="1">
      <x:c r="A2" s="4" t="str">
        <x:v>Classificação de gestoras | revise a coluna H</x:v>
      </x:c>
      <x:c r="B2" s="4" t="str">
        <x:v>Classificação de gestoras | revise a coluna H</x:v>
      </x:c>
      <x:c r="C2" s="4" t="str">
        <x:v>Classificação de gestoras | revise a coluna H</x:v>
      </x:c>
      <x:c r="D2" s="4" t="str">
        <x:v>Classificação de gestoras | revise a coluna H</x:v>
      </x:c>
      <x:c r="E2" s="4" t="str">
        <x:v>Classificação de gestoras | revise a coluna H</x:v>
      </x:c>
      <x:c r="F2" s="4" t="str">
        <x:v>Classificação de gestoras | revise a coluna H</x:v>
      </x:c>
      <x:c r="G2" s="4" t="str">
        <x:v>Classificação de gestoras | revise a coluna H</x:v>
      </x:c>
      <x:c r="H2" s="4" t="str">
        <x:v>Classificação de gestoras | revise a coluna H</x:v>
      </x:c>
      <x:c r="I2" s="4" t="str">
        <x:v>Classificação de gestoras | revise a coluna H</x:v>
      </x:c>
      <x:c r="J2" s="4" t="str">
        <x:v>Classificação de gestoras | revise a coluna H</x:v>
      </x:c>
      <x:c r="K2" s="4" t="str">
        <x:v>Classificação de gestoras | revise a coluna H</x:v>
      </x:c>
      <x:c r="L2" s="4" t="str">
        <x:v>Classificação de gestoras | revise a coluna H</x:v>
      </x:c>
      <x:c r="M2" s="4" t="str">
        <x:v>Classificação de gestoras | revise a coluna H</x:v>
      </x:c>
      <x:c r="N2" s="4" t="str">
        <x:v>Classificação de gestoras | revise a coluna H</x:v>
      </x:c>
    </x:row>
    <x:row r="3">
      <x:c r="A3" s="129" t="str">
        <x:v>AMARELO + FONTE AZUL = input. A regra sugerida é nominal; a classificação final alimenta todos os somatórios banco × independente.</x:v>
      </x:c>
      <x:c r="B3" s="129" t="str">
        <x:v>AMARELO + FONTE AZUL = input. A regra sugerida é nominal; a classificação final alimenta todos os somatórios banco × independente.</x:v>
      </x:c>
      <x:c r="C3" s="129" t="str">
        <x:v>AMARELO + FONTE AZUL = input. A regra sugerida é nominal; a classificação final alimenta todos os somatórios banco × independente.</x:v>
      </x:c>
      <x:c r="D3" s="129" t="str">
        <x:v>AMARELO + FONTE AZUL = input. A regra sugerida é nominal; a classificação final alimenta todos os somatórios banco × independente.</x:v>
      </x:c>
      <x:c r="E3" s="129" t="str">
        <x:v>AMARELO + FONTE AZUL = input. A regra sugerida é nominal; a classificação final alimenta todos os somatórios banco × independente.</x:v>
      </x:c>
      <x:c r="F3" s="129" t="str">
        <x:v>AMARELO + FONTE AZUL = input. A regra sugerida é nominal; a classificação final alimenta todos os somatórios banco × independente.</x:v>
      </x:c>
      <x:c r="G3" s="129" t="str">
        <x:v>AMARELO + FONTE AZUL = input. A regra sugerida é nominal; a classificação final alimenta todos os somatórios banco × independente.</x:v>
      </x:c>
      <x:c r="H3" s="129" t="str">
        <x:v>AMARELO + FONTE AZUL = input. A regra sugerida é nominal; a classificação final alimenta todos os somatórios banco × independente.</x:v>
      </x:c>
      <x:c r="I3" s="129" t="str">
        <x:v>AMARELO + FONTE AZUL = input. A regra sugerida é nominal; a classificação final alimenta todos os somatórios banco × independente.</x:v>
      </x:c>
      <x:c r="J3" s="129" t="str">
        <x:v>AMARELO + FONTE AZUL = input. A regra sugerida é nominal; a classificação final alimenta todos os somatórios banco × independente.</x:v>
      </x:c>
      <x:c r="K3" s="129" t="str">
        <x:v>AMARELO + FONTE AZUL = input. A regra sugerida é nominal; a classificação final alimenta todos os somatórios banco × independente.</x:v>
      </x:c>
      <x:c r="L3" s="129" t="str">
        <x:v>AMARELO + FONTE AZUL = input. A regra sugerida é nominal; a classificação final alimenta todos os somatórios banco × independente.</x:v>
      </x:c>
      <x:c r="M3" s="129" t="str">
        <x:v>AMARELO + FONTE AZUL = input. A regra sugerida é nominal; a classificação final alimenta todos os somatórios banco × independente.</x:v>
      </x:c>
      <x:c r="N3" s="129" t="str">
        <x:v>AMARELO + FONTE AZUL = input. A regra sugerida é nominal; a classificação final alimenta todos os somatórios banco × independente.</x:v>
      </x:c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</x:row>
    <x:row r="5" ht="28" customHeight="1">
      <x:c r="A5" s="20" t="str">
        <x:v>Gestora</x:v>
      </x:c>
      <x:c r="B5" s="21" t="str">
        <x:v>PL Agro/Ind./Com.</x:v>
      </x:c>
      <x:c r="C5" s="21" t="str">
        <x:v>PL Financeiro</x:v>
      </x:c>
      <x:c r="D5" s="21" t="str">
        <x:v>PL Fomento</x:v>
      </x:c>
      <x:c r="E5" s="21" t="str">
        <x:v>PL Outros</x:v>
      </x:c>
      <x:c r="F5" s="21" t="str">
        <x:v>PL Total</x:v>
      </x:c>
      <x:c r="G5" s="21" t="str">
        <x:v>Sugestão</x:v>
      </x:c>
      <x:c r="H5" s="21" t="str">
        <x:v>Classificação final</x:v>
      </x:c>
      <x:c r="I5" s="21" t="str">
        <x:v>Critério sugerido</x:v>
      </x:c>
      <x:c r="J5" s="21" t="str">
        <x:v>Revisar</x:v>
      </x:c>
      <x:c r="K5" s="21" t="str">
        <x:v>PL Independente</x:v>
      </x:c>
      <x:c r="L5" s="21" t="str">
        <x:v>PL Ligada</x:v>
      </x:c>
      <x:c r="M5" s="21" t="str">
        <x:v>Rank Indep.</x:v>
      </x:c>
      <x:c r="N5" s="22" t="str">
        <x:v>Rank Ligada</x:v>
      </x:c>
    </x:row>
    <x:row r="6">
      <x:c r="A6" s="110" t="str">
        <x:v>Oliveira Trust Servicer</x:v>
      </x:c>
      <x:c r="B6" s="130" t="n">
        <x:v>3690106095.9</x:v>
      </x:c>
      <x:c r="C6" s="130" t="n">
        <x:v>67009973992.16</x:v>
      </x:c>
      <x:c r="D6" s="130" t="n">
        <x:v>53993586.95</x:v>
      </x:c>
      <x:c r="E6" s="130" t="n">
        <x:v>1671783314.7100005</x:v>
      </x:c>
      <x:c r="F6" s="130" t="n">
        <x:f>SUM(B6:E6)</x:f>
        <x:v>72425856989.72</x:v>
      </x:c>
      <x:c r="G6" s="110" t="str">
        <x:v>Independente</x:v>
      </x:c>
      <x:c r="H6" s="139" t="str">
        <x:v>Independente</x:v>
      </x:c>
      <x:c r="I6" s="110" t="str">
        <x:v>Regra residual — revisar manualmente</x:v>
      </x:c>
      <x:c r="J6" s="148" t="str">
        <x:v>Sim</x:v>
      </x:c>
      <x:c r="K6" s="130" t="n">
        <x:f>IF($H6="Independente",$F6,0)</x:f>
        <x:v>72425856989.72</x:v>
      </x:c>
      <x:c r="L6" s="130" t="n">
        <x:f>IF($H6="Ligada a banco",$F6,0)</x:f>
        <x:v>0</x:v>
      </x:c>
      <x:c r="M6" s="113" t="n">
        <x:f>IF(K6&gt;0,RANK(K6,$K$6:$K$462)+COUNTIF($K$6:K6,K6)-1,9999)</x:f>
        <x:v>1</x:v>
      </x:c>
      <x:c r="N6" s="113" t="n">
        <x:f>IF(L6&gt;0,RANK(L6,$L$6:$L$462)+COUNTIF($L$6:L6,L6)-1,9999)</x:f>
        <x:v>9999</x:v>
      </x:c>
    </x:row>
    <x:row r="7">
      <x:c r="A7" s="111" t="str">
        <x:v>BB Asset Management</x:v>
      </x:c>
      <x:c r="B7" s="131" t="n">
        <x:v>60841973938.88</x:v>
      </x:c>
      <x:c r="C7" s="131" t="n">
        <x:v>0</x:v>
      </x:c>
      <x:c r="D7" s="131" t="n">
        <x:v>0</x:v>
      </x:c>
      <x:c r="E7" s="131" t="n">
        <x:v>50627525.38999999</x:v>
      </x:c>
      <x:c r="F7" s="131" t="n">
        <x:f>SUM(B7:E7)</x:f>
        <x:v>60892601464.27</x:v>
      </x:c>
      <x:c r="G7" s="111" t="str">
        <x:v>Ligada a banco</x:v>
      </x:c>
      <x:c r="H7" s="140" t="str">
        <x:v>Ligada a banco</x:v>
      </x:c>
      <x:c r="I7" s="111" t="str">
        <x:v>Regra nominal: BB ASSET</x:v>
      </x:c>
      <x:c r="J7" s="149" t="str">
        <x:v>Sim</x:v>
      </x:c>
      <x:c r="K7" s="131" t="n">
        <x:f>IF($H7="Independente",$F7,0)</x:f>
        <x:v>0</x:v>
      </x:c>
      <x:c r="L7" s="131" t="n">
        <x:f>IF($H7="Ligada a banco",$F7,0)</x:f>
        <x:v>60892601464.27</x:v>
      </x:c>
      <x:c r="M7" s="114" t="n">
        <x:f>IF(K7&gt;0,RANK(K7,$K$6:$K$462)+COUNTIF($K$6:K7,K7)-1,9999)</x:f>
        <x:v>9999</x:v>
      </x:c>
      <x:c r="N7" s="114" t="n">
        <x:f>IF(L7&gt;0,RANK(L7,$L$6:$L$462)+COUNTIF($L$6:L7,L7)-1,9999)</x:f>
        <x:v>1</x:v>
      </x:c>
    </x:row>
    <x:row r="8">
      <x:c r="A8" s="111" t="str">
        <x:v>Banco Bradesco S/A</x:v>
      </x:c>
      <x:c r="B8" s="131" t="n">
        <x:v>8118753455.3</x:v>
      </x:c>
      <x:c r="C8" s="131" t="n">
        <x:v>15978694236.01</x:v>
      </x:c>
      <x:c r="D8" s="131" t="n">
        <x:v>1923008705.15</x:v>
      </x:c>
      <x:c r="E8" s="131" t="n">
        <x:v>14250661960.71</x:v>
      </x:c>
      <x:c r="F8" s="131" t="n">
        <x:f>SUM(B8:E8)</x:f>
        <x:v>40271118357.17</x:v>
      </x:c>
      <x:c r="G8" s="111" t="str">
        <x:v>Ligada a banco</x:v>
      </x:c>
      <x:c r="H8" s="140" t="str">
        <x:v>Ligada a banco</x:v>
      </x:c>
      <x:c r="I8" s="111" t="str">
        <x:v>Regra nominal: BANCO</x:v>
      </x:c>
      <x:c r="J8" s="149" t="str">
        <x:v>Sim</x:v>
      </x:c>
      <x:c r="K8" s="131" t="n">
        <x:f>IF($H8="Independente",$F8,0)</x:f>
        <x:v>0</x:v>
      </x:c>
      <x:c r="L8" s="131" t="n">
        <x:f>IF($H8="Ligada a banco",$F8,0)</x:f>
        <x:v>40271118357.17</x:v>
      </x:c>
      <x:c r="M8" s="114" t="n">
        <x:f>IF(K8&gt;0,RANK(K8,$K$6:$K$462)+COUNTIF($K$6:K8,K8)-1,9999)</x:f>
        <x:v>9999</x:v>
      </x:c>
      <x:c r="N8" s="114" t="n">
        <x:f>IF(L8&gt;0,RANK(L8,$L$6:$L$462)+COUNTIF($L$6:L8,L8)-1,9999)</x:f>
        <x:v>2</x:v>
      </x:c>
    </x:row>
    <x:row r="9">
      <x:c r="A9" s="111" t="str">
        <x:v>GENIAL GESTÃO LTDA.</x:v>
      </x:c>
      <x:c r="B9" s="131" t="n">
        <x:v>6242345282.32</x:v>
      </x:c>
      <x:c r="C9" s="131" t="n">
        <x:v>13518139233.468908</x:v>
      </x:c>
      <x:c r="D9" s="131" t="n">
        <x:v>0.01</x:v>
      </x:c>
      <x:c r="E9" s="131" t="n">
        <x:v>7142054989.280002</x:v>
      </x:c>
      <x:c r="F9" s="131" t="n">
        <x:f>SUM(B9:E9)</x:f>
        <x:v>26902539505.07891</x:v>
      </x:c>
      <x:c r="G9" s="111" t="str">
        <x:v>Ligada a banco</x:v>
      </x:c>
      <x:c r="H9" s="140" t="str">
        <x:v>Ligada a banco</x:v>
      </x:c>
      <x:c r="I9" s="111" t="str">
        <x:v>Regra nominal: GENIAL</x:v>
      </x:c>
      <x:c r="J9" s="149" t="str">
        <x:v>Sim</x:v>
      </x:c>
      <x:c r="K9" s="131" t="n">
        <x:f>IF($H9="Independente",$F9,0)</x:f>
        <x:v>0</x:v>
      </x:c>
      <x:c r="L9" s="131" t="n">
        <x:f>IF($H9="Ligada a banco",$F9,0)</x:f>
        <x:v>26902539505.07891</x:v>
      </x:c>
      <x:c r="M9" s="114" t="n">
        <x:f>IF(K9&gt;0,RANK(K9,$K$6:$K$462)+COUNTIF($K$6:K9,K9)-1,9999)</x:f>
        <x:v>9999</x:v>
      </x:c>
      <x:c r="N9" s="114" t="n">
        <x:f>IF(L9&gt;0,RANK(L9,$L$6:$L$462)+COUNTIF($L$6:L9,L9)-1,9999)</x:f>
        <x:v>3</x:v>
      </x:c>
    </x:row>
    <x:row r="10">
      <x:c r="A10" s="111" t="str">
        <x:v>BTG Pactual Asset</x:v>
      </x:c>
      <x:c r="B10" s="131" t="n">
        <x:v>556941563.12</x:v>
      </x:c>
      <x:c r="C10" s="131" t="n">
        <x:v>21476655042.890003</x:v>
      </x:c>
      <x:c r="D10" s="131" t="n">
        <x:v>91754372.81</x:v>
      </x:c>
      <x:c r="E10" s="131" t="n">
        <x:v>3295339663.080001</x:v>
      </x:c>
      <x:c r="F10" s="131" t="n">
        <x:f>SUM(B10:E10)</x:f>
        <x:v>25420690641.900005</x:v>
      </x:c>
      <x:c r="G10" s="111" t="str">
        <x:v>Ligada a banco</x:v>
      </x:c>
      <x:c r="H10" s="140" t="str">
        <x:v>Ligada a banco</x:v>
      </x:c>
      <x:c r="I10" s="111" t="str">
        <x:v>Regra nominal: BTG</x:v>
      </x:c>
      <x:c r="J10" s="149" t="str">
        <x:v>Sim</x:v>
      </x:c>
      <x:c r="K10" s="131" t="n">
        <x:f>IF($H10="Independente",$F10,0)</x:f>
        <x:v>0</x:v>
      </x:c>
      <x:c r="L10" s="131" t="n">
        <x:f>IF($H10="Ligada a banco",$F10,0)</x:f>
        <x:v>25420690641.900005</x:v>
      </x:c>
      <x:c r="M10" s="114" t="n">
        <x:f>IF(K10&gt;0,RANK(K10,$K$6:$K$462)+COUNTIF($K$6:K10,K10)-1,9999)</x:f>
        <x:v>9999</x:v>
      </x:c>
      <x:c r="N10" s="114" t="n">
        <x:f>IF(L10&gt;0,RANK(L10,$L$6:$L$462)+COUNTIF($L$6:L10,L10)-1,9999)</x:f>
        <x:v>4</x:v>
      </x:c>
    </x:row>
    <x:row r="11">
      <x:c r="A11" s="111" t="str">
        <x:v>Banco BTG Pactual</x:v>
      </x:c>
      <x:c r="B11" s="131" t="n">
        <x:v>0</x:v>
      </x:c>
      <x:c r="C11" s="131" t="n">
        <x:v>13849322051.42</x:v>
      </x:c>
      <x:c r="D11" s="131" t="n">
        <x:v>0</x:v>
      </x:c>
      <x:c r="E11" s="131" t="n">
        <x:v>11113054095.8457</x:v>
      </x:c>
      <x:c r="F11" s="131" t="n">
        <x:f>SUM(B11:E11)</x:f>
        <x:v>24962376147.2657</x:v>
      </x:c>
      <x:c r="G11" s="111" t="str">
        <x:v>Ligada a banco</x:v>
      </x:c>
      <x:c r="H11" s="140" t="str">
        <x:v>Ligada a banco</x:v>
      </x:c>
      <x:c r="I11" s="111" t="str">
        <x:v>Regra nominal: BANCO</x:v>
      </x:c>
      <x:c r="J11" s="149" t="str">
        <x:v>Sim</x:v>
      </x:c>
      <x:c r="K11" s="131" t="n">
        <x:f>IF($H11="Independente",$F11,0)</x:f>
        <x:v>0</x:v>
      </x:c>
      <x:c r="L11" s="131" t="n">
        <x:f>IF($H11="Ligada a banco",$F11,0)</x:f>
        <x:v>24962376147.2657</x:v>
      </x:c>
      <x:c r="M11" s="114" t="n">
        <x:f>IF(K11&gt;0,RANK(K11,$K$6:$K$462)+COUNTIF($K$6:K11,K11)-1,9999)</x:f>
        <x:v>9999</x:v>
      </x:c>
      <x:c r="N11" s="114" t="n">
        <x:f>IF(L11&gt;0,RANK(L11,$L$6:$L$462)+COUNTIF($L$6:L11,L11)-1,9999)</x:f>
        <x:v>5</x:v>
      </x:c>
    </x:row>
    <x:row r="12">
      <x:c r="A12" s="111" t="str">
        <x:v>TERCON ASSET MANAGEMENT</x:v>
      </x:c>
      <x:c r="B12" s="131" t="n">
        <x:v>166735340.5</x:v>
      </x:c>
      <x:c r="C12" s="131" t="n">
        <x:v>123032081.47</x:v>
      </x:c>
      <x:c r="D12" s="131" t="n">
        <x:v>20391702176.337204</x:v>
      </x:c>
      <x:c r="E12" s="131" t="n">
        <x:v>663674553.9499999</x:v>
      </x:c>
      <x:c r="F12" s="131" t="n">
        <x:f>SUM(B12:E12)</x:f>
        <x:v>21345144152.257206</x:v>
      </x:c>
      <x:c r="G12" s="111" t="str">
        <x:v>Independente</x:v>
      </x:c>
      <x:c r="H12" s="140" t="str">
        <x:v>Independente</x:v>
      </x:c>
      <x:c r="I12" s="111" t="str">
        <x:v>Regra residual — revisar manualmente</x:v>
      </x:c>
      <x:c r="J12" s="149" t="str">
        <x:v>Sim</x:v>
      </x:c>
      <x:c r="K12" s="131" t="n">
        <x:f>IF($H12="Independente",$F12,0)</x:f>
        <x:v>21345144152.257206</x:v>
      </x:c>
      <x:c r="L12" s="131" t="n">
        <x:f>IF($H12="Ligada a banco",$F12,0)</x:f>
        <x:v>0</x:v>
      </x:c>
      <x:c r="M12" s="114" t="n">
        <x:f>IF(K12&gt;0,RANK(K12,$K$6:$K$462)+COUNTIF($K$6:K12,K12)-1,9999)</x:f>
        <x:v>2</x:v>
      </x:c>
      <x:c r="N12" s="114" t="n">
        <x:f>IF(L12&gt;0,RANK(L12,$L$6:$L$462)+COUNTIF($L$6:L12,L12)-1,9999)</x:f>
        <x:v>9999</x:v>
      </x:c>
    </x:row>
    <x:row r="13">
      <x:c r="A13" s="111" t="str">
        <x:v>ITAU ASSET</x:v>
      </x:c>
      <x:c r="B13" s="131" t="n">
        <x:v>1254974847.25</x:v>
      </x:c>
      <x:c r="C13" s="131" t="n">
        <x:v>0</x:v>
      </x:c>
      <x:c r="D13" s="131" t="n">
        <x:v>339242275.28</x:v>
      </x:c>
      <x:c r="E13" s="131" t="n">
        <x:v>13186928642.75001</x:v>
      </x:c>
      <x:c r="F13" s="131" t="n">
        <x:f>SUM(B13:E13)</x:f>
        <x:v>14781145765.28001</x:v>
      </x:c>
      <x:c r="G13" s="111" t="str">
        <x:v>Ligada a banco</x:v>
      </x:c>
      <x:c r="H13" s="140" t="str">
        <x:v>Ligada a banco</x:v>
      </x:c>
      <x:c r="I13" s="111" t="str">
        <x:v>Regra nominal: ITAU</x:v>
      </x:c>
      <x:c r="J13" s="149" t="str">
        <x:v>Sim</x:v>
      </x:c>
      <x:c r="K13" s="131" t="n">
        <x:f>IF($H13="Independente",$F13,0)</x:f>
        <x:v>0</x:v>
      </x:c>
      <x:c r="L13" s="131" t="n">
        <x:f>IF($H13="Ligada a banco",$F13,0)</x:f>
        <x:v>14781145765.28001</x:v>
      </x:c>
      <x:c r="M13" s="114" t="n">
        <x:f>IF(K13&gt;0,RANK(K13,$K$6:$K$462)+COUNTIF($K$6:K13,K13)-1,9999)</x:f>
        <x:v>9999</x:v>
      </x:c>
      <x:c r="N13" s="114" t="n">
        <x:f>IF(L13&gt;0,RANK(L13,$L$6:$L$462)+COUNTIF($L$6:L13,L13)-1,9999)</x:f>
        <x:v>6</x:v>
      </x:c>
    </x:row>
    <x:row r="14">
      <x:c r="A14" s="111" t="str">
        <x:v>Integral Investimentos</x:v>
      </x:c>
      <x:c r="B14" s="131" t="n">
        <x:v>6769969869.110001</x:v>
      </x:c>
      <x:c r="C14" s="131" t="n">
        <x:v>5593742601.710859</x:v>
      </x:c>
      <x:c r="D14" s="131" t="n">
        <x:v>629613376.5600001</x:v>
      </x:c>
      <x:c r="E14" s="131" t="n">
        <x:v>1702427501.9699998</x:v>
      </x:c>
      <x:c r="F14" s="131" t="n">
        <x:f>SUM(B14:E14)</x:f>
        <x:v>14695753349.350859</x:v>
      </x:c>
      <x:c r="G14" s="111" t="str">
        <x:v>Independente</x:v>
      </x:c>
      <x:c r="H14" s="140" t="str">
        <x:v>Independente</x:v>
      </x:c>
      <x:c r="I14" s="111" t="str">
        <x:v>Regra residual — revisar manualmente</x:v>
      </x:c>
      <x:c r="J14" s="149" t="str">
        <x:v>Sim</x:v>
      </x:c>
      <x:c r="K14" s="131" t="n">
        <x:f>IF($H14="Independente",$F14,0)</x:f>
        <x:v>14695753349.350859</x:v>
      </x:c>
      <x:c r="L14" s="131" t="n">
        <x:f>IF($H14="Ligada a banco",$F14,0)</x:f>
        <x:v>0</x:v>
      </x:c>
      <x:c r="M14" s="114" t="n">
        <x:f>IF(K14&gt;0,RANK(K14,$K$6:$K$462)+COUNTIF($K$6:K14,K14)-1,9999)</x:f>
        <x:v>3</x:v>
      </x:c>
      <x:c r="N14" s="114" t="n">
        <x:f>IF(L14&gt;0,RANK(L14,$L$6:$L$462)+COUNTIF($L$6:L14,L14)-1,9999)</x:f>
        <x:v>9999</x:v>
      </x:c>
    </x:row>
    <x:row r="15">
      <x:c r="A15" s="111" t="str">
        <x:v>VERT Gestora de Recursos Financeiros Ltda.</x:v>
      </x:c>
      <x:c r="B15" s="131" t="n">
        <x:v>4219084571.689999</x:v>
      </x:c>
      <x:c r="C15" s="131" t="n">
        <x:v>7632020139.190888</x:v>
      </x:c>
      <x:c r="D15" s="131" t="n">
        <x:v>0</x:v>
      </x:c>
      <x:c r="E15" s="131" t="n">
        <x:v>1728364485.69</x:v>
      </x:c>
      <x:c r="F15" s="131" t="n">
        <x:f>SUM(B15:E15)</x:f>
        <x:v>13579469196.570889</x:v>
      </x:c>
      <x:c r="G15" s="111" t="str">
        <x:v>Independente</x:v>
      </x:c>
      <x:c r="H15" s="140" t="str">
        <x:v>Independente</x:v>
      </x:c>
      <x:c r="I15" s="111" t="str">
        <x:v>Regra residual — revisar manualmente</x:v>
      </x:c>
      <x:c r="J15" s="149" t="str">
        <x:v>Sim</x:v>
      </x:c>
      <x:c r="K15" s="131" t="n">
        <x:f>IF($H15="Independente",$F15,0)</x:f>
        <x:v>13579469196.570889</x:v>
      </x:c>
      <x:c r="L15" s="131" t="n">
        <x:f>IF($H15="Ligada a banco",$F15,0)</x:f>
        <x:v>0</x:v>
      </x:c>
      <x:c r="M15" s="114" t="n">
        <x:f>IF(K15&gt;0,RANK(K15,$K$6:$K$462)+COUNTIF($K$6:K15,K15)-1,9999)</x:f>
        <x:v>4</x:v>
      </x:c>
      <x:c r="N15" s="114" t="n">
        <x:f>IF(L15&gt;0,RANK(L15,$L$6:$L$462)+COUNTIF($L$6:L15,L15)-1,9999)</x:f>
        <x:v>9999</x:v>
      </x:c>
    </x:row>
    <x:row r="16">
      <x:c r="A16" s="111" t="str">
        <x:v>Solis</x:v>
      </x:c>
      <x:c r="B16" s="131" t="n">
        <x:v>1583351953.54</x:v>
      </x:c>
      <x:c r="C16" s="131" t="n">
        <x:v>3935413339.0999994</x:v>
      </x:c>
      <x:c r="D16" s="131" t="n">
        <x:v>2681302362.82</x:v>
      </x:c>
      <x:c r="E16" s="131" t="n">
        <x:v>4769480850.06</x:v>
      </x:c>
      <x:c r="F16" s="131" t="n">
        <x:f>SUM(B16:E16)</x:f>
        <x:v>12969548505.52</x:v>
      </x:c>
      <x:c r="G16" s="111" t="str">
        <x:v>Independente</x:v>
      </x:c>
      <x:c r="H16" s="140" t="str">
        <x:v>Independente</x:v>
      </x:c>
      <x:c r="I16" s="111" t="str">
        <x:v>Regra residual — revisar manualmente</x:v>
      </x:c>
      <x:c r="J16" s="149" t="str">
        <x:v>Sim</x:v>
      </x:c>
      <x:c r="K16" s="131" t="n">
        <x:f>IF($H16="Independente",$F16,0)</x:f>
        <x:v>12969548505.52</x:v>
      </x:c>
      <x:c r="L16" s="131" t="n">
        <x:f>IF($H16="Ligada a banco",$F16,0)</x:f>
        <x:v>0</x:v>
      </x:c>
      <x:c r="M16" s="114" t="n">
        <x:f>IF(K16&gt;0,RANK(K16,$K$6:$K$462)+COUNTIF($K$6:K16,K16)-1,9999)</x:f>
        <x:v>5</x:v>
      </x:c>
      <x:c r="N16" s="114" t="n">
        <x:f>IF(L16&gt;0,RANK(L16,$L$6:$L$462)+COUNTIF($L$6:L16,L16)-1,9999)</x:f>
        <x:v>9999</x:v>
      </x:c>
    </x:row>
    <x:row r="17">
      <x:c r="A17" s="111" t="str">
        <x:v>Petra Capital</x:v>
      </x:c>
      <x:c r="B17" s="131" t="n">
        <x:v>5622727486.940001</x:v>
      </x:c>
      <x:c r="C17" s="131" t="n">
        <x:v>236806481.35</x:v>
      </x:c>
      <x:c r="D17" s="131" t="n">
        <x:v>1503898864.94</x:v>
      </x:c>
      <x:c r="E17" s="131" t="n">
        <x:v>5061975952.029999</x:v>
      </x:c>
      <x:c r="F17" s="131" t="n">
        <x:f>SUM(B17:E17)</x:f>
        <x:v>12425408785.26</x:v>
      </x:c>
      <x:c r="G17" s="111" t="str">
        <x:v>Independente</x:v>
      </x:c>
      <x:c r="H17" s="140" t="str">
        <x:v>Independente</x:v>
      </x:c>
      <x:c r="I17" s="111" t="str">
        <x:v>Regra residual — revisar manualmente</x:v>
      </x:c>
      <x:c r="J17" s="149" t="str">
        <x:v>Sim</x:v>
      </x:c>
      <x:c r="K17" s="131" t="n">
        <x:f>IF($H17="Independente",$F17,0)</x:f>
        <x:v>12425408785.26</x:v>
      </x:c>
      <x:c r="L17" s="131" t="n">
        <x:f>IF($H17="Ligada a banco",$F17,0)</x:f>
        <x:v>0</x:v>
      </x:c>
      <x:c r="M17" s="114" t="n">
        <x:f>IF(K17&gt;0,RANK(K17,$K$6:$K$462)+COUNTIF($K$6:K17,K17)-1,9999)</x:f>
        <x:v>6</x:v>
      </x:c>
      <x:c r="N17" s="114" t="n">
        <x:f>IF(L17&gt;0,RANK(L17,$L$6:$L$462)+COUNTIF($L$6:L17,L17)-1,9999)</x:f>
        <x:v>9999</x:v>
      </x:c>
    </x:row>
    <x:row r="18">
      <x:c r="A18" s="111" t="str">
        <x:v>Kanastra</x:v>
      </x:c>
      <x:c r="B18" s="131" t="n">
        <x:v>1455589457.5600004</x:v>
      </x:c>
      <x:c r="C18" s="131" t="n">
        <x:v>910291794.45</x:v>
      </x:c>
      <x:c r="D18" s="131" t="n">
        <x:v>26043613.45</x:v>
      </x:c>
      <x:c r="E18" s="131" t="n">
        <x:v>9889859244.8</x:v>
      </x:c>
      <x:c r="F18" s="131" t="n">
        <x:f>SUM(B18:E18)</x:f>
        <x:v>12281784110.259998</x:v>
      </x:c>
      <x:c r="G18" s="111" t="str">
        <x:v>Independente</x:v>
      </x:c>
      <x:c r="H18" s="140" t="str">
        <x:v>Independente</x:v>
      </x:c>
      <x:c r="I18" s="111" t="str">
        <x:v>Regra residual — revisar manualmente</x:v>
      </x:c>
      <x:c r="J18" s="149" t="str">
        <x:v>Sim</x:v>
      </x:c>
      <x:c r="K18" s="131" t="n">
        <x:f>IF($H18="Independente",$F18,0)</x:f>
        <x:v>12281784110.259998</x:v>
      </x:c>
      <x:c r="L18" s="131" t="n">
        <x:f>IF($H18="Ligada a banco",$F18,0)</x:f>
        <x:v>0</x:v>
      </x:c>
      <x:c r="M18" s="114" t="n">
        <x:f>IF(K18&gt;0,RANK(K18,$K$6:$K$462)+COUNTIF($K$6:K18,K18)-1,9999)</x:f>
        <x:v>7</x:v>
      </x:c>
      <x:c r="N18" s="114" t="n">
        <x:f>IF(L18&gt;0,RANK(L18,$L$6:$L$462)+COUNTIF($L$6:L18,L18)-1,9999)</x:f>
        <x:v>9999</x:v>
      </x:c>
    </x:row>
    <x:row r="19">
      <x:c r="A19" s="111" t="str">
        <x:v>VALORA RENDA FIXA LTDA.</x:v>
      </x:c>
      <x:c r="B19" s="131" t="n">
        <x:v>174504164.23</x:v>
      </x:c>
      <x:c r="C19" s="131" t="n">
        <x:v>273385873.54</x:v>
      </x:c>
      <x:c r="D19" s="131" t="n">
        <x:v>0</x:v>
      </x:c>
      <x:c r="E19" s="131" t="n">
        <x:v>10604231757.8942</x:v>
      </x:c>
      <x:c r="F19" s="131" t="n">
        <x:f>SUM(B19:E19)</x:f>
        <x:v>11052121795.6642</x:v>
      </x:c>
      <x:c r="G19" s="111" t="str">
        <x:v>Independente</x:v>
      </x:c>
      <x:c r="H19" s="140" t="str">
        <x:v>Independente</x:v>
      </x:c>
      <x:c r="I19" s="111" t="str">
        <x:v>Regra residual — revisar manualmente</x:v>
      </x:c>
      <x:c r="J19" s="149" t="str">
        <x:v>Sim</x:v>
      </x:c>
      <x:c r="K19" s="131" t="n">
        <x:f>IF($H19="Independente",$F19,0)</x:f>
        <x:v>11052121795.6642</x:v>
      </x:c>
      <x:c r="L19" s="131" t="n">
        <x:f>IF($H19="Ligada a banco",$F19,0)</x:f>
        <x:v>0</x:v>
      </x:c>
      <x:c r="M19" s="114" t="n">
        <x:f>IF(K19&gt;0,RANK(K19,$K$6:$K$462)+COUNTIF($K$6:K19,K19)-1,9999)</x:f>
        <x:v>8</x:v>
      </x:c>
      <x:c r="N19" s="114" t="n">
        <x:f>IF(L19&gt;0,RANK(L19,$L$6:$L$462)+COUNTIF($L$6:L19,L19)-1,9999)</x:f>
        <x:v>9999</x:v>
      </x:c>
    </x:row>
    <x:row r="20">
      <x:c r="A20" s="111" t="str">
        <x:v>ANGÁ ASSET MANAGEMENT</x:v>
      </x:c>
      <x:c r="B20" s="131" t="n">
        <x:v>152043445.39</x:v>
      </x:c>
      <x:c r="C20" s="131" t="n">
        <x:v>8557174044.89</x:v>
      </x:c>
      <x:c r="D20" s="131" t="n">
        <x:v>272090505.43</x:v>
      </x:c>
      <x:c r="E20" s="131" t="n">
        <x:v>1171521769.6799998</x:v>
      </x:c>
      <x:c r="F20" s="131" t="n">
        <x:f>SUM(B20:E20)</x:f>
        <x:v>10152829765.390001</x:v>
      </x:c>
      <x:c r="G20" s="111" t="str">
        <x:v>Independente</x:v>
      </x:c>
      <x:c r="H20" s="140" t="str">
        <x:v>Independente</x:v>
      </x:c>
      <x:c r="I20" s="111" t="str">
        <x:v>Regra residual — revisar manualmente</x:v>
      </x:c>
      <x:c r="J20" s="149" t="str">
        <x:v>Sim</x:v>
      </x:c>
      <x:c r="K20" s="131" t="n">
        <x:f>IF($H20="Independente",$F20,0)</x:f>
        <x:v>10152829765.390001</x:v>
      </x:c>
      <x:c r="L20" s="131" t="n">
        <x:f>IF($H20="Ligada a banco",$F20,0)</x:f>
        <x:v>0</x:v>
      </x:c>
      <x:c r="M20" s="114" t="n">
        <x:f>IF(K20&gt;0,RANK(K20,$K$6:$K$462)+COUNTIF($K$6:K20,K20)-1,9999)</x:f>
        <x:v>9</x:v>
      </x:c>
      <x:c r="N20" s="114" t="n">
        <x:f>IF(L20&gt;0,RANK(L20,$L$6:$L$462)+COUNTIF($L$6:L20,L20)-1,9999)</x:f>
        <x:v>9999</x:v>
      </x:c>
    </x:row>
    <x:row r="21">
      <x:c r="A21" s="111" t="str">
        <x:v>OURO PRETO INVESTIMENTOS</x:v>
      </x:c>
      <x:c r="B21" s="131" t="n">
        <x:v>5764264.46</x:v>
      </x:c>
      <x:c r="C21" s="131" t="n">
        <x:v>573928813.89</x:v>
      </x:c>
      <x:c r="D21" s="131" t="n">
        <x:v>6369393399.505</x:v>
      </x:c>
      <x:c r="E21" s="131" t="n">
        <x:v>1835417161.82</x:v>
      </x:c>
      <x:c r="F21" s="131" t="n">
        <x:f>SUM(B21:E21)</x:f>
        <x:v>8784503639.675001</x:v>
      </x:c>
      <x:c r="G21" s="111" t="str">
        <x:v>Independente</x:v>
      </x:c>
      <x:c r="H21" s="140" t="str">
        <x:v>Independente</x:v>
      </x:c>
      <x:c r="I21" s="111" t="str">
        <x:v>Regra residual — revisar manualmente</x:v>
      </x:c>
      <x:c r="J21" s="149" t="str">
        <x:v>Sim</x:v>
      </x:c>
      <x:c r="K21" s="131" t="n">
        <x:f>IF($H21="Independente",$F21,0)</x:f>
        <x:v>8784503639.675001</x:v>
      </x:c>
      <x:c r="L21" s="131" t="n">
        <x:f>IF($H21="Ligada a banco",$F21,0)</x:f>
        <x:v>0</x:v>
      </x:c>
      <x:c r="M21" s="114" t="n">
        <x:f>IF(K21&gt;0,RANK(K21,$K$6:$K$462)+COUNTIF($K$6:K21,K21)-1,9999)</x:f>
        <x:v>10</x:v>
      </x:c>
      <x:c r="N21" s="114" t="n">
        <x:f>IF(L21&gt;0,RANK(L21,$L$6:$L$462)+COUNTIF($L$6:L21,L21)-1,9999)</x:f>
        <x:v>9999</x:v>
      </x:c>
    </x:row>
    <x:row r="22">
      <x:c r="A22" s="111" t="str">
        <x:v>M8 Partners</x:v>
      </x:c>
      <x:c r="B22" s="131" t="n">
        <x:v>471871.12</x:v>
      </x:c>
      <x:c r="C22" s="131" t="n">
        <x:v>525335973.46</x:v>
      </x:c>
      <x:c r="D22" s="131" t="n">
        <x:v>5451708265.78975</x:v>
      </x:c>
      <x:c r="E22" s="131" t="n">
        <x:v>2394630879.5600004</x:v>
      </x:c>
      <x:c r="F22" s="131" t="n">
        <x:f>SUM(B22:E22)</x:f>
        <x:v>8372146989.92975</x:v>
      </x:c>
      <x:c r="G22" s="111" t="str">
        <x:v>Independente</x:v>
      </x:c>
      <x:c r="H22" s="140" t="str">
        <x:v>Independente</x:v>
      </x:c>
      <x:c r="I22" s="111" t="str">
        <x:v>Regra residual — revisar manualmente</x:v>
      </x:c>
      <x:c r="J22" s="149" t="str">
        <x:v>Sim</x:v>
      </x:c>
      <x:c r="K22" s="131" t="n">
        <x:f>IF($H22="Independente",$F22,0)</x:f>
        <x:v>8372146989.92975</x:v>
      </x:c>
      <x:c r="L22" s="131" t="n">
        <x:f>IF($H22="Ligada a banco",$F22,0)</x:f>
        <x:v>0</x:v>
      </x:c>
      <x:c r="M22" s="114" t="n">
        <x:f>IF(K22&gt;0,RANK(K22,$K$6:$K$462)+COUNTIF($K$6:K22,K22)-1,9999)</x:f>
        <x:v>11</x:v>
      </x:c>
      <x:c r="N22" s="114" t="n">
        <x:f>IF(L22&gt;0,RANK(L22,$L$6:$L$462)+COUNTIF($L$6:L22,L22)-1,9999)</x:f>
        <x:v>9999</x:v>
      </x:c>
    </x:row>
    <x:row r="23">
      <x:c r="A23" s="111" t="str">
        <x:v>JIVE INVESTMENTS</x:v>
      </x:c>
      <x:c r="B23" s="131" t="n">
        <x:v>206071581.30999997</x:v>
      </x:c>
      <x:c r="C23" s="131" t="n">
        <x:v>0</x:v>
      </x:c>
      <x:c r="D23" s="131" t="n">
        <x:v>0</x:v>
      </x:c>
      <x:c r="E23" s="131" t="n">
        <x:v>8108220001.8104</x:v>
      </x:c>
      <x:c r="F23" s="131" t="n">
        <x:f>SUM(B23:E23)</x:f>
        <x:v>8314291583.1204</x:v>
      </x:c>
      <x:c r="G23" s="111" t="str">
        <x:v>Independente</x:v>
      </x:c>
      <x:c r="H23" s="140" t="str">
        <x:v>Independente</x:v>
      </x:c>
      <x:c r="I23" s="111" t="str">
        <x:v>Regra residual — revisar manualmente</x:v>
      </x:c>
      <x:c r="J23" s="149" t="str">
        <x:v>Sim</x:v>
      </x:c>
      <x:c r="K23" s="131" t="n">
        <x:f>IF($H23="Independente",$F23,0)</x:f>
        <x:v>8314291583.1204</x:v>
      </x:c>
      <x:c r="L23" s="131" t="n">
        <x:f>IF($H23="Ligada a banco",$F23,0)</x:f>
        <x:v>0</x:v>
      </x:c>
      <x:c r="M23" s="114" t="n">
        <x:f>IF(K23&gt;0,RANK(K23,$K$6:$K$462)+COUNTIF($K$6:K23,K23)-1,9999)</x:f>
        <x:v>12</x:v>
      </x:c>
      <x:c r="N23" s="114" t="n">
        <x:f>IF(L23&gt;0,RANK(L23,$L$6:$L$462)+COUNTIF($L$6:L23,L23)-1,9999)</x:f>
        <x:v>9999</x:v>
      </x:c>
    </x:row>
    <x:row r="24">
      <x:c r="A24" s="111" t="str">
        <x:v>DAYCOVAL ASSET MANAG</x:v>
      </x:c>
      <x:c r="B24" s="131" t="n">
        <x:v>661101509.19</x:v>
      </x:c>
      <x:c r="C24" s="131" t="n">
        <x:v>343892476.98</x:v>
      </x:c>
      <x:c r="D24" s="131" t="n">
        <x:v>29322534.56</x:v>
      </x:c>
      <x:c r="E24" s="131" t="n">
        <x:v>6900129681.370001</x:v>
      </x:c>
      <x:c r="F24" s="131" t="n">
        <x:f>SUM(B24:E24)</x:f>
        <x:v>7934446202.1</x:v>
      </x:c>
      <x:c r="G24" s="111" t="str">
        <x:v>Ligada a banco</x:v>
      </x:c>
      <x:c r="H24" s="140" t="str">
        <x:v>Ligada a banco</x:v>
      </x:c>
      <x:c r="I24" s="111" t="str">
        <x:v>Regra nominal: DAYCOVAL</x:v>
      </x:c>
      <x:c r="J24" s="149" t="str">
        <x:v>Sim</x:v>
      </x:c>
      <x:c r="K24" s="131" t="n">
        <x:f>IF($H24="Independente",$F24,0)</x:f>
        <x:v>0</x:v>
      </x:c>
      <x:c r="L24" s="131" t="n">
        <x:f>IF($H24="Ligada a banco",$F24,0)</x:f>
        <x:v>7934446202.1</x:v>
      </x:c>
      <x:c r="M24" s="114" t="n">
        <x:f>IF(K24&gt;0,RANK(K24,$K$6:$K$462)+COUNTIF($K$6:K24,K24)-1,9999)</x:f>
        <x:v>9999</x:v>
      </x:c>
      <x:c r="N24" s="114" t="n">
        <x:f>IF(L24&gt;0,RANK(L24,$L$6:$L$462)+COUNTIF($L$6:L24,L24)-1,9999)</x:f>
        <x:v>7</x:v>
      </x:c>
    </x:row>
    <x:row r="25">
      <x:c r="A25" s="111" t="str">
        <x:v>Multiplica Capital</x:v>
      </x:c>
      <x:c r="B25" s="131" t="n">
        <x:v>1512725.67</x:v>
      </x:c>
      <x:c r="C25" s="131" t="n">
        <x:v>0</x:v>
      </x:c>
      <x:c r="D25" s="131" t="n">
        <x:v>6146327897.228272</x:v>
      </x:c>
      <x:c r="E25" s="131" t="n">
        <x:v>1593416137.1999998</x:v>
      </x:c>
      <x:c r="F25" s="131" t="n">
        <x:f>SUM(B25:E25)</x:f>
        <x:v>7741256760.098272</x:v>
      </x:c>
      <x:c r="G25" s="111" t="str">
        <x:v>Independente</x:v>
      </x:c>
      <x:c r="H25" s="140" t="str">
        <x:v>Independente</x:v>
      </x:c>
      <x:c r="I25" s="111" t="str">
        <x:v>Regra residual — revisar manualmente</x:v>
      </x:c>
      <x:c r="J25" s="149" t="str">
        <x:v>Sim</x:v>
      </x:c>
      <x:c r="K25" s="131" t="n">
        <x:f>IF($H25="Independente",$F25,0)</x:f>
        <x:v>7741256760.098272</x:v>
      </x:c>
      <x:c r="L25" s="131" t="n">
        <x:f>IF($H25="Ligada a banco",$F25,0)</x:f>
        <x:v>0</x:v>
      </x:c>
      <x:c r="M25" s="114" t="n">
        <x:f>IF(K25&gt;0,RANK(K25,$K$6:$K$462)+COUNTIF($K$6:K25,K25)-1,9999)</x:f>
        <x:v>13</x:v>
      </x:c>
      <x:c r="N25" s="114" t="n">
        <x:f>IF(L25&gt;0,RANK(L25,$L$6:$L$462)+COUNTIF($L$6:L25,L25)-1,9999)</x:f>
        <x:v>9999</x:v>
      </x:c>
    </x:row>
    <x:row r="26">
      <x:c r="A26" s="111" t="str">
        <x:v>Catálise Investimentos</x:v>
      </x:c>
      <x:c r="B26" s="131" t="n">
        <x:v>4600139035.92</x:v>
      </x:c>
      <x:c r="C26" s="131" t="n">
        <x:v>3961676.57</x:v>
      </x:c>
      <x:c r="D26" s="131" t="n">
        <x:v>68271501.64999999</x:v>
      </x:c>
      <x:c r="E26" s="131" t="n">
        <x:v>2680414997.2200007</x:v>
      </x:c>
      <x:c r="F26" s="131" t="n">
        <x:f>SUM(B26:E26)</x:f>
        <x:v>7352787211.360001</x:v>
      </x:c>
      <x:c r="G26" s="111" t="str">
        <x:v>Independente</x:v>
      </x:c>
      <x:c r="H26" s="140" t="str">
        <x:v>Independente</x:v>
      </x:c>
      <x:c r="I26" s="111" t="str">
        <x:v>Regra residual — revisar manualmente</x:v>
      </x:c>
      <x:c r="J26" s="149" t="str">
        <x:v>Sim</x:v>
      </x:c>
      <x:c r="K26" s="131" t="n">
        <x:f>IF($H26="Independente",$F26,0)</x:f>
        <x:v>7352787211.360001</x:v>
      </x:c>
      <x:c r="L26" s="131" t="n">
        <x:f>IF($H26="Ligada a banco",$F26,0)</x:f>
        <x:v>0</x:v>
      </x:c>
      <x:c r="M26" s="114" t="n">
        <x:f>IF(K26&gt;0,RANK(K26,$K$6:$K$462)+COUNTIF($K$6:K26,K26)-1,9999)</x:f>
        <x:v>14</x:v>
      </x:c>
      <x:c r="N26" s="114" t="n">
        <x:f>IF(L26&gt;0,RANK(L26,$L$6:$L$462)+COUNTIF($L$6:L26,L26)-1,9999)</x:f>
        <x:v>9999</x:v>
      </x:c>
    </x:row>
    <x:row r="27">
      <x:c r="A27" s="111" t="str">
        <x:v>Jus Capital Gestão de Recursos LTDA</x:v>
      </x:c>
      <x:c r="B27" s="131" t="n">
        <x:v>0</x:v>
      </x:c>
      <x:c r="C27" s="131" t="n">
        <x:v>0</x:v>
      </x:c>
      <x:c r="D27" s="131" t="n">
        <x:v>0</x:v>
      </x:c>
      <x:c r="E27" s="131" t="n">
        <x:v>7284959793.269801</x:v>
      </x:c>
      <x:c r="F27" s="131" t="n">
        <x:f>SUM(B27:E27)</x:f>
        <x:v>7284959793.269801</x:v>
      </x:c>
      <x:c r="G27" s="111" t="str">
        <x:v>Independente</x:v>
      </x:c>
      <x:c r="H27" s="140" t="str">
        <x:v>Independente</x:v>
      </x:c>
      <x:c r="I27" s="111" t="str">
        <x:v>Regra residual — revisar manualmente</x:v>
      </x:c>
      <x:c r="J27" s="149" t="str">
        <x:v>Sim</x:v>
      </x:c>
      <x:c r="K27" s="131" t="n">
        <x:f>IF($H27="Independente",$F27,0)</x:f>
        <x:v>7284959793.269801</x:v>
      </x:c>
      <x:c r="L27" s="131" t="n">
        <x:f>IF($H27="Ligada a banco",$F27,0)</x:f>
        <x:v>0</x:v>
      </x:c>
      <x:c r="M27" s="114" t="n">
        <x:f>IF(K27&gt;0,RANK(K27,$K$6:$K$462)+COUNTIF($K$6:K27,K27)-1,9999)</x:f>
        <x:v>15</x:v>
      </x:c>
      <x:c r="N27" s="114" t="n">
        <x:f>IF(L27&gt;0,RANK(L27,$L$6:$L$462)+COUNTIF($L$6:L27,L27)-1,9999)</x:f>
        <x:v>9999</x:v>
      </x:c>
    </x:row>
    <x:row r="28">
      <x:c r="A28" s="111" t="str">
        <x:v>POLÍGONO CAPITAL LTDA.</x:v>
      </x:c>
      <x:c r="B28" s="131" t="n">
        <x:v>67177752.45</x:v>
      </x:c>
      <x:c r="C28" s="131" t="n">
        <x:v>4520786096.56</x:v>
      </x:c>
      <x:c r="D28" s="131" t="n">
        <x:v>125532966.34</x:v>
      </x:c>
      <x:c r="E28" s="131" t="n">
        <x:v>2269717732.7387</x:v>
      </x:c>
      <x:c r="F28" s="131" t="n">
        <x:f>SUM(B28:E28)</x:f>
        <x:v>6983214548.0887</x:v>
      </x:c>
      <x:c r="G28" s="111" t="str">
        <x:v>Independente</x:v>
      </x:c>
      <x:c r="H28" s="140" t="str">
        <x:v>Independente</x:v>
      </x:c>
      <x:c r="I28" s="111" t="str">
        <x:v>Regra residual — revisar manualmente</x:v>
      </x:c>
      <x:c r="J28" s="149" t="str">
        <x:v>Sim</x:v>
      </x:c>
      <x:c r="K28" s="131" t="n">
        <x:f>IF($H28="Independente",$F28,0)</x:f>
        <x:v>6983214548.0887</x:v>
      </x:c>
      <x:c r="L28" s="131" t="n">
        <x:f>IF($H28="Ligada a banco",$F28,0)</x:f>
        <x:v>0</x:v>
      </x:c>
      <x:c r="M28" s="114" t="n">
        <x:f>IF(K28&gt;0,RANK(K28,$K$6:$K$462)+COUNTIF($K$6:K28,K28)-1,9999)</x:f>
        <x:v>16</x:v>
      </x:c>
      <x:c r="N28" s="114" t="n">
        <x:f>IF(L28&gt;0,RANK(L28,$L$6:$L$462)+COUNTIF($L$6:L28,L28)-1,9999)</x:f>
        <x:v>9999</x:v>
      </x:c>
    </x:row>
    <x:row r="29">
      <x:c r="A29" s="111" t="str">
        <x:v>ORRAM GESTÃO DE RECURSOS LTDA.</x:v>
      </x:c>
      <x:c r="B29" s="131" t="n">
        <x:v>767105777.9</x:v>
      </x:c>
      <x:c r="C29" s="131" t="n">
        <x:v>54230482.45999999</x:v>
      </x:c>
      <x:c r="D29" s="131" t="n">
        <x:v>3464300952.56</x:v>
      </x:c>
      <x:c r="E29" s="131" t="n">
        <x:v>2696137025.6939297</x:v>
      </x:c>
      <x:c r="F29" s="131" t="n">
        <x:f>SUM(B29:E29)</x:f>
        <x:v>6981774238.61393</x:v>
      </x:c>
      <x:c r="G29" s="111" t="str">
        <x:v>Independente</x:v>
      </x:c>
      <x:c r="H29" s="140" t="str">
        <x:v>Independente</x:v>
      </x:c>
      <x:c r="I29" s="111" t="str">
        <x:v>Regra residual — revisar manualmente</x:v>
      </x:c>
      <x:c r="J29" s="149" t="str">
        <x:v>Sim</x:v>
      </x:c>
      <x:c r="K29" s="131" t="n">
        <x:f>IF($H29="Independente",$F29,0)</x:f>
        <x:v>6981774238.61393</x:v>
      </x:c>
      <x:c r="L29" s="131" t="n">
        <x:f>IF($H29="Ligada a banco",$F29,0)</x:f>
        <x:v>0</x:v>
      </x:c>
      <x:c r="M29" s="114" t="n">
        <x:f>IF(K29&gt;0,RANK(K29,$K$6:$K$462)+COUNTIF($K$6:K29,K29)-1,9999)</x:f>
        <x:v>17</x:v>
      </x:c>
      <x:c r="N29" s="114" t="n">
        <x:f>IF(L29&gt;0,RANK(L29,$L$6:$L$462)+COUNTIF($L$6:L29,L29)-1,9999)</x:f>
        <x:v>9999</x:v>
      </x:c>
    </x:row>
    <x:row r="30">
      <x:c r="A30" s="111" t="str">
        <x:v>RedAsset Gestão de Recursos Ltda.</x:v>
      </x:c>
      <x:c r="B30" s="131" t="n">
        <x:v>1649304660.82</x:v>
      </x:c>
      <x:c r="C30" s="131" t="n">
        <x:v>0</x:v>
      </x:c>
      <x:c r="D30" s="131" t="n">
        <x:v>70013520.55999999</x:v>
      </x:c>
      <x:c r="E30" s="131" t="n">
        <x:v>4756389743.299999</x:v>
      </x:c>
      <x:c r="F30" s="131" t="n">
        <x:f>SUM(B30:E30)</x:f>
        <x:v>6475707924.679999</x:v>
      </x:c>
      <x:c r="G30" s="111" t="str">
        <x:v>Independente</x:v>
      </x:c>
      <x:c r="H30" s="140" t="str">
        <x:v>Independente</x:v>
      </x:c>
      <x:c r="I30" s="111" t="str">
        <x:v>Regra residual — revisar manualmente</x:v>
      </x:c>
      <x:c r="J30" s="149" t="str">
        <x:v>Sim</x:v>
      </x:c>
      <x:c r="K30" s="131" t="n">
        <x:f>IF($H30="Independente",$F30,0)</x:f>
        <x:v>6475707924.679999</x:v>
      </x:c>
      <x:c r="L30" s="131" t="n">
        <x:f>IF($H30="Ligada a banco",$F30,0)</x:f>
        <x:v>0</x:v>
      </x:c>
      <x:c r="M30" s="114" t="n">
        <x:f>IF(K30&gt;0,RANK(K30,$K$6:$K$462)+COUNTIF($K$6:K30,K30)-1,9999)</x:f>
        <x:v>18</x:v>
      </x:c>
      <x:c r="N30" s="114" t="n">
        <x:f>IF(L30&gt;0,RANK(L30,$L$6:$L$462)+COUNTIF($L$6:L30,L30)-1,9999)</x:f>
        <x:v>9999</x:v>
      </x:c>
    </x:row>
    <x:row r="31">
      <x:c r="A31" s="111" t="str">
        <x:v>Vista Real Estate</x:v>
      </x:c>
      <x:c r="B31" s="131" t="n">
        <x:v>387247173.0200001</x:v>
      </x:c>
      <x:c r="C31" s="131" t="n">
        <x:v>0</x:v>
      </x:c>
      <x:c r="D31" s="131" t="n">
        <x:v>0</x:v>
      </x:c>
      <x:c r="E31" s="131" t="n">
        <x:v>5570135711.760001</x:v>
      </x:c>
      <x:c r="F31" s="131" t="n">
        <x:f>SUM(B31:E31)</x:f>
        <x:v>5957382884.780002</x:v>
      </x:c>
      <x:c r="G31" s="111" t="str">
        <x:v>Independente</x:v>
      </x:c>
      <x:c r="H31" s="140" t="str">
        <x:v>Independente</x:v>
      </x:c>
      <x:c r="I31" s="111" t="str">
        <x:v>Regra residual — revisar manualmente</x:v>
      </x:c>
      <x:c r="J31" s="149" t="str">
        <x:v>Sim</x:v>
      </x:c>
      <x:c r="K31" s="131" t="n">
        <x:f>IF($H31="Independente",$F31,0)</x:f>
        <x:v>5957382884.780002</x:v>
      </x:c>
      <x:c r="L31" s="131" t="n">
        <x:f>IF($H31="Ligada a banco",$F31,0)</x:f>
        <x:v>0</x:v>
      </x:c>
      <x:c r="M31" s="114" t="n">
        <x:f>IF(K31&gt;0,RANK(K31,$K$6:$K$462)+COUNTIF($K$6:K31,K31)-1,9999)</x:f>
        <x:v>19</x:v>
      </x:c>
      <x:c r="N31" s="114" t="n">
        <x:f>IF(L31&gt;0,RANK(L31,$L$6:$L$462)+COUNTIF($L$6:L31,L31)-1,9999)</x:f>
        <x:v>9999</x:v>
      </x:c>
    </x:row>
    <x:row r="32">
      <x:c r="A32" s="111" t="str">
        <x:v>Emerald Gestão de Investimento</x:v>
      </x:c>
      <x:c r="B32" s="131" t="n">
        <x:v>0</x:v>
      </x:c>
      <x:c r="C32" s="131" t="n">
        <x:v>0</x:v>
      </x:c>
      <x:c r="D32" s="131" t="n">
        <x:v>1656423053.39</x:v>
      </x:c>
      <x:c r="E32" s="131" t="n">
        <x:v>4051277023.9000006</x:v>
      </x:c>
      <x:c r="F32" s="131" t="n">
        <x:f>SUM(B32:E32)</x:f>
        <x:v>5707700077.290001</x:v>
      </x:c>
      <x:c r="G32" s="111" t="str">
        <x:v>Independente</x:v>
      </x:c>
      <x:c r="H32" s="140" t="str">
        <x:v>Independente</x:v>
      </x:c>
      <x:c r="I32" s="111" t="str">
        <x:v>Regra residual — revisar manualmente</x:v>
      </x:c>
      <x:c r="J32" s="149" t="str">
        <x:v>Sim</x:v>
      </x:c>
      <x:c r="K32" s="131" t="n">
        <x:f>IF($H32="Independente",$F32,0)</x:f>
        <x:v>5707700077.290001</x:v>
      </x:c>
      <x:c r="L32" s="131" t="n">
        <x:f>IF($H32="Ligada a banco",$F32,0)</x:f>
        <x:v>0</x:v>
      </x:c>
      <x:c r="M32" s="114" t="n">
        <x:f>IF(K32&gt;0,RANK(K32,$K$6:$K$462)+COUNTIF($K$6:K32,K32)-1,9999)</x:f>
        <x:v>20</x:v>
      </x:c>
      <x:c r="N32" s="114" t="n">
        <x:f>IF(L32&gt;0,RANK(L32,$L$6:$L$462)+COUNTIF($L$6:L32,L32)-1,9999)</x:f>
        <x:v>9999</x:v>
      </x:c>
    </x:row>
    <x:row r="33">
      <x:c r="A33" s="111" t="str">
        <x:v>QI GESTAO DE RECURSOS LTDA</x:v>
      </x:c>
      <x:c r="B33" s="131" t="n">
        <x:v>0</x:v>
      </x:c>
      <x:c r="C33" s="131" t="n">
        <x:v>1800359084.49</x:v>
      </x:c>
      <x:c r="D33" s="131" t="n">
        <x:v>3722445352.63</x:v>
      </x:c>
      <x:c r="E33" s="131" t="n">
        <x:v>86041088.11000001</x:v>
      </x:c>
      <x:c r="F33" s="131" t="n">
        <x:f>SUM(B33:E33)</x:f>
        <x:v>5608845525.23</x:v>
      </x:c>
      <x:c r="G33" s="111" t="str">
        <x:v>Independente</x:v>
      </x:c>
      <x:c r="H33" s="140" t="str">
        <x:v>Independente</x:v>
      </x:c>
      <x:c r="I33" s="111" t="str">
        <x:v>Regra residual — revisar manualmente</x:v>
      </x:c>
      <x:c r="J33" s="149" t="str">
        <x:v>Sim</x:v>
      </x:c>
      <x:c r="K33" s="131" t="n">
        <x:f>IF($H33="Independente",$F33,0)</x:f>
        <x:v>5608845525.23</x:v>
      </x:c>
      <x:c r="L33" s="131" t="n">
        <x:f>IF($H33="Ligada a banco",$F33,0)</x:f>
        <x:v>0</x:v>
      </x:c>
      <x:c r="M33" s="114" t="n">
        <x:f>IF(K33&gt;0,RANK(K33,$K$6:$K$462)+COUNTIF($K$6:K33,K33)-1,9999)</x:f>
        <x:v>21</x:v>
      </x:c>
      <x:c r="N33" s="114" t="n">
        <x:f>IF(L33&gt;0,RANK(L33,$L$6:$L$462)+COUNTIF($L$6:L33,L33)-1,9999)</x:f>
        <x:v>9999</x:v>
      </x:c>
    </x:row>
    <x:row r="34">
      <x:c r="A34" s="111" t="str">
        <x:v>Artesanal Investimentos</x:v>
      </x:c>
      <x:c r="B34" s="131" t="n">
        <x:v>0</x:v>
      </x:c>
      <x:c r="C34" s="131" t="n">
        <x:v>1286945648.03</x:v>
      </x:c>
      <x:c r="D34" s="131" t="n">
        <x:v>103599209.77</x:v>
      </x:c>
      <x:c r="E34" s="131" t="n">
        <x:v>4103298317.12</x:v>
      </x:c>
      <x:c r="F34" s="131" t="n">
        <x:f>SUM(B34:E34)</x:f>
        <x:v>5493843174.92</x:v>
      </x:c>
      <x:c r="G34" s="111" t="str">
        <x:v>Independente</x:v>
      </x:c>
      <x:c r="H34" s="140" t="str">
        <x:v>Independente</x:v>
      </x:c>
      <x:c r="I34" s="111" t="str">
        <x:v>Regra residual — revisar manualmente</x:v>
      </x:c>
      <x:c r="J34" s="149" t="str">
        <x:v>Sim</x:v>
      </x:c>
      <x:c r="K34" s="131" t="n">
        <x:f>IF($H34="Independente",$F34,0)</x:f>
        <x:v>5493843174.92</x:v>
      </x:c>
      <x:c r="L34" s="131" t="n">
        <x:f>IF($H34="Ligada a banco",$F34,0)</x:f>
        <x:v>0</x:v>
      </x:c>
      <x:c r="M34" s="114" t="n">
        <x:f>IF(K34&gt;0,RANK(K34,$K$6:$K$462)+COUNTIF($K$6:K34,K34)-1,9999)</x:f>
        <x:v>22</x:v>
      </x:c>
      <x:c r="N34" s="114" t="n">
        <x:f>IF(L34&gt;0,RANK(L34,$L$6:$L$462)+COUNTIF($L$6:L34,L34)-1,9999)</x:f>
        <x:v>9999</x:v>
      </x:c>
    </x:row>
    <x:row r="35">
      <x:c r="A35" s="111" t="str">
        <x:v>Versal Finance Gestão de Recursos LTDA.</x:v>
      </x:c>
      <x:c r="B35" s="131" t="n">
        <x:v>37150121.55</x:v>
      </x:c>
      <x:c r="C35" s="131" t="n">
        <x:v>0</x:v>
      </x:c>
      <x:c r="D35" s="131" t="n">
        <x:v>0</x:v>
      </x:c>
      <x:c r="E35" s="131" t="n">
        <x:v>5108919609.03</x:v>
      </x:c>
      <x:c r="F35" s="131" t="n">
        <x:f>SUM(B35:E35)</x:f>
        <x:v>5146069730.58</x:v>
      </x:c>
      <x:c r="G35" s="111" t="str">
        <x:v>Independente</x:v>
      </x:c>
      <x:c r="H35" s="140" t="str">
        <x:v>Independente</x:v>
      </x:c>
      <x:c r="I35" s="111" t="str">
        <x:v>Regra residual — revisar manualmente</x:v>
      </x:c>
      <x:c r="J35" s="149" t="str">
        <x:v>Sim</x:v>
      </x:c>
      <x:c r="K35" s="131" t="n">
        <x:f>IF($H35="Independente",$F35,0)</x:f>
        <x:v>5146069730.58</x:v>
      </x:c>
      <x:c r="L35" s="131" t="n">
        <x:f>IF($H35="Ligada a banco",$F35,0)</x:f>
        <x:v>0</x:v>
      </x:c>
      <x:c r="M35" s="114" t="n">
        <x:f>IF(K35&gt;0,RANK(K35,$K$6:$K$462)+COUNTIF($K$6:K35,K35)-1,9999)</x:f>
        <x:v>23</x:v>
      </x:c>
      <x:c r="N35" s="114" t="n">
        <x:f>IF(L35&gt;0,RANK(L35,$L$6:$L$462)+COUNTIF($L$6:L35,L35)-1,9999)</x:f>
        <x:v>9999</x:v>
      </x:c>
    </x:row>
    <x:row r="36">
      <x:c r="A36" s="111" t="str">
        <x:v>BRL TRUST DTVM</x:v>
      </x:c>
      <x:c r="B36" s="131" t="n">
        <x:v>157025972.36</x:v>
      </x:c>
      <x:c r="C36" s="131" t="n">
        <x:v>385159499.07</x:v>
      </x:c>
      <x:c r="D36" s="131" t="n">
        <x:v>0</x:v>
      </x:c>
      <x:c r="E36" s="131" t="n">
        <x:v>4551753588.43</x:v>
      </x:c>
      <x:c r="F36" s="131" t="n">
        <x:f>SUM(B36:E36)</x:f>
        <x:v>5093939059.860001</x:v>
      </x:c>
      <x:c r="G36" s="111" t="str">
        <x:v>Independente</x:v>
      </x:c>
      <x:c r="H36" s="140" t="str">
        <x:v>Independente</x:v>
      </x:c>
      <x:c r="I36" s="111" t="str">
        <x:v>Regra residual — revisar manualmente</x:v>
      </x:c>
      <x:c r="J36" s="149" t="str">
        <x:v>Sim</x:v>
      </x:c>
      <x:c r="K36" s="131" t="n">
        <x:f>IF($H36="Independente",$F36,0)</x:f>
        <x:v>5093939059.860001</x:v>
      </x:c>
      <x:c r="L36" s="131" t="n">
        <x:f>IF($H36="Ligada a banco",$F36,0)</x:f>
        <x:v>0</x:v>
      </x:c>
      <x:c r="M36" s="114" t="n">
        <x:f>IF(K36&gt;0,RANK(K36,$K$6:$K$462)+COUNTIF($K$6:K36,K36)-1,9999)</x:f>
        <x:v>24</x:v>
      </x:c>
      <x:c r="N36" s="114" t="n">
        <x:f>IF(L36&gt;0,RANK(L36,$L$6:$L$462)+COUNTIF($L$6:L36,L36)-1,9999)</x:f>
        <x:v>9999</x:v>
      </x:c>
    </x:row>
    <x:row r="37">
      <x:c r="A37" s="111" t="str">
        <x:v>Redwood Asset Management</x:v>
      </x:c>
      <x:c r="B37" s="131" t="n">
        <x:v>107537148.92</x:v>
      </x:c>
      <x:c r="C37" s="131" t="n">
        <x:v>59916330.57000001</x:v>
      </x:c>
      <x:c r="D37" s="131" t="n">
        <x:v>676858920.71</x:v>
      </x:c>
      <x:c r="E37" s="131" t="n">
        <x:v>4148145651.6</x:v>
      </x:c>
      <x:c r="F37" s="131" t="n">
        <x:f>SUM(B37:E37)</x:f>
        <x:v>4992458051.8</x:v>
      </x:c>
      <x:c r="G37" s="111" t="str">
        <x:v>Independente</x:v>
      </x:c>
      <x:c r="H37" s="140" t="str">
        <x:v>Independente</x:v>
      </x:c>
      <x:c r="I37" s="111" t="str">
        <x:v>Regra residual — revisar manualmente</x:v>
      </x:c>
      <x:c r="J37" s="149" t="str">
        <x:v>Sim</x:v>
      </x:c>
      <x:c r="K37" s="131" t="n">
        <x:f>IF($H37="Independente",$F37,0)</x:f>
        <x:v>4992458051.8</x:v>
      </x:c>
      <x:c r="L37" s="131" t="n">
        <x:f>IF($H37="Ligada a banco",$F37,0)</x:f>
        <x:v>0</x:v>
      </x:c>
      <x:c r="M37" s="114" t="n">
        <x:f>IF(K37&gt;0,RANK(K37,$K$6:$K$462)+COUNTIF($K$6:K37,K37)-1,9999)</x:f>
        <x:v>25</x:v>
      </x:c>
      <x:c r="N37" s="114" t="n">
        <x:f>IF(L37&gt;0,RANK(L37,$L$6:$L$462)+COUNTIF($L$6:L37,L37)-1,9999)</x:f>
        <x:v>9999</x:v>
      </x:c>
    </x:row>
    <x:row r="38">
      <x:c r="A38" s="111" t="str">
        <x:v>TRUSTEE DTVM</x:v>
      </x:c>
      <x:c r="B38" s="131" t="n">
        <x:v>0</x:v>
      </x:c>
      <x:c r="C38" s="131" t="n">
        <x:v>351332791.21</x:v>
      </x:c>
      <x:c r="D38" s="131" t="n">
        <x:v>0</x:v>
      </x:c>
      <x:c r="E38" s="131" t="n">
        <x:v>4493530132.599999</x:v>
      </x:c>
      <x:c r="F38" s="131" t="n">
        <x:f>SUM(B38:E38)</x:f>
        <x:v>4844862923.809999</x:v>
      </x:c>
      <x:c r="G38" s="111" t="str">
        <x:v>Independente</x:v>
      </x:c>
      <x:c r="H38" s="140" t="str">
        <x:v>Independente</x:v>
      </x:c>
      <x:c r="I38" s="111" t="str">
        <x:v>Regra residual — revisar manualmente</x:v>
      </x:c>
      <x:c r="J38" s="149" t="str">
        <x:v>Sim</x:v>
      </x:c>
      <x:c r="K38" s="131" t="n">
        <x:f>IF($H38="Independente",$F38,0)</x:f>
        <x:v>4844862923.809999</x:v>
      </x:c>
      <x:c r="L38" s="131" t="n">
        <x:f>IF($H38="Ligada a banco",$F38,0)</x:f>
        <x:v>0</x:v>
      </x:c>
      <x:c r="M38" s="114" t="n">
        <x:f>IF(K38&gt;0,RANK(K38,$K$6:$K$462)+COUNTIF($K$6:K38,K38)-1,9999)</x:f>
        <x:v>26</x:v>
      </x:c>
      <x:c r="N38" s="114" t="n">
        <x:f>IF(L38&gt;0,RANK(L38,$L$6:$L$462)+COUNTIF($L$6:L38,L38)-1,9999)</x:f>
        <x:v>9999</x:v>
      </x:c>
    </x:row>
    <x:row r="39">
      <x:c r="A39" s="111" t="str">
        <x:v>Veritas Capital Management</x:v>
      </x:c>
      <x:c r="B39" s="131" t="n">
        <x:v>0</x:v>
      </x:c>
      <x:c r="C39" s="131" t="n">
        <x:v>0</x:v>
      </x:c>
      <x:c r="D39" s="131" t="n">
        <x:v>183045265.07</x:v>
      </x:c>
      <x:c r="E39" s="131" t="n">
        <x:v>4519921065.83534</x:v>
      </x:c>
      <x:c r="F39" s="131" t="n">
        <x:f>SUM(B39:E39)</x:f>
        <x:v>4702966330.905339</x:v>
      </x:c>
      <x:c r="G39" s="111" t="str">
        <x:v>Independente</x:v>
      </x:c>
      <x:c r="H39" s="140" t="str">
        <x:v>Independente</x:v>
      </x:c>
      <x:c r="I39" s="111" t="str">
        <x:v>Regra residual — revisar manualmente</x:v>
      </x:c>
      <x:c r="J39" s="149" t="str">
        <x:v>Sim</x:v>
      </x:c>
      <x:c r="K39" s="131" t="n">
        <x:f>IF($H39="Independente",$F39,0)</x:f>
        <x:v>4702966330.905339</x:v>
      </x:c>
      <x:c r="L39" s="131" t="n">
        <x:f>IF($H39="Ligada a banco",$F39,0)</x:f>
        <x:v>0</x:v>
      </x:c>
      <x:c r="M39" s="114" t="n">
        <x:f>IF(K39&gt;0,RANK(K39,$K$6:$K$462)+COUNTIF($K$6:K39,K39)-1,9999)</x:f>
        <x:v>27</x:v>
      </x:c>
      <x:c r="N39" s="114" t="n">
        <x:f>IF(L39&gt;0,RANK(L39,$L$6:$L$462)+COUNTIF($L$6:L39,L39)-1,9999)</x:f>
        <x:v>9999</x:v>
      </x:c>
    </x:row>
    <x:row r="40">
      <x:c r="A40" s="111" t="str">
        <x:v>Acura Gestora de Recursos LTDA.</x:v>
      </x:c>
      <x:c r="B40" s="131" t="n">
        <x:v>71553704.34</x:v>
      </x:c>
      <x:c r="C40" s="131" t="n">
        <x:v>385507229.93</x:v>
      </x:c>
      <x:c r="D40" s="131" t="n">
        <x:v>549614280.9499999</x:v>
      </x:c>
      <x:c r="E40" s="131" t="n">
        <x:v>3623356677.059999</x:v>
      </x:c>
      <x:c r="F40" s="131" t="n">
        <x:f>SUM(B40:E40)</x:f>
        <x:v>4630031892.279999</x:v>
      </x:c>
      <x:c r="G40" s="111" t="str">
        <x:v>Independente</x:v>
      </x:c>
      <x:c r="H40" s="140" t="str">
        <x:v>Independente</x:v>
      </x:c>
      <x:c r="I40" s="111" t="str">
        <x:v>Regra residual — revisar manualmente</x:v>
      </x:c>
      <x:c r="J40" s="149" t="str">
        <x:v>Sim</x:v>
      </x:c>
      <x:c r="K40" s="131" t="n">
        <x:f>IF($H40="Independente",$F40,0)</x:f>
        <x:v>4630031892.279999</x:v>
      </x:c>
      <x:c r="L40" s="131" t="n">
        <x:f>IF($H40="Ligada a banco",$F40,0)</x:f>
        <x:v>0</x:v>
      </x:c>
      <x:c r="M40" s="114" t="n">
        <x:f>IF(K40&gt;0,RANK(K40,$K$6:$K$462)+COUNTIF($K$6:K40,K40)-1,9999)</x:f>
        <x:v>28</x:v>
      </x:c>
      <x:c r="N40" s="114" t="n">
        <x:f>IF(L40&gt;0,RANK(L40,$L$6:$L$462)+COUNTIF($L$6:L40,L40)-1,9999)</x:f>
        <x:v>9999</x:v>
      </x:c>
    </x:row>
    <x:row r="41">
      <x:c r="A41" s="111" t="str">
        <x:v>VALORA RENDA FIXA ESTRUTURADOS LTDA.</x:v>
      </x:c>
      <x:c r="B41" s="131" t="n">
        <x:v>289705585.68</x:v>
      </x:c>
      <x:c r="C41" s="131" t="n">
        <x:v>3940761546.3353305</x:v>
      </x:c>
      <x:c r="D41" s="131" t="n">
        <x:v>0</x:v>
      </x:c>
      <x:c r="E41" s="131" t="n">
        <x:v>307212860.97999996</x:v>
      </x:c>
      <x:c r="F41" s="131" t="n">
        <x:f>SUM(B41:E41)</x:f>
        <x:v>4537679992.99533</x:v>
      </x:c>
      <x:c r="G41" s="111" t="str">
        <x:v>Independente</x:v>
      </x:c>
      <x:c r="H41" s="140" t="str">
        <x:v>Independente</x:v>
      </x:c>
      <x:c r="I41" s="111" t="str">
        <x:v>Regra residual — revisar manualmente</x:v>
      </x:c>
      <x:c r="J41" s="149" t="str">
        <x:v>Sim</x:v>
      </x:c>
      <x:c r="K41" s="131" t="n">
        <x:f>IF($H41="Independente",$F41,0)</x:f>
        <x:v>4537679992.99533</x:v>
      </x:c>
      <x:c r="L41" s="131" t="n">
        <x:f>IF($H41="Ligada a banco",$F41,0)</x:f>
        <x:v>0</x:v>
      </x:c>
      <x:c r="M41" s="114" t="n">
        <x:f>IF(K41&gt;0,RANK(K41,$K$6:$K$462)+COUNTIF($K$6:K41,K41)-1,9999)</x:f>
        <x:v>29</x:v>
      </x:c>
      <x:c r="N41" s="114" t="n">
        <x:f>IF(L41&gt;0,RANK(L41,$L$6:$L$462)+COUNTIF($L$6:L41,L41)-1,9999)</x:f>
        <x:v>9999</x:v>
      </x:c>
    </x:row>
    <x:row r="42">
      <x:c r="A42" s="111" t="str">
        <x:v>GV ATACAMA CAPITAL LTDA.</x:v>
      </x:c>
      <x:c r="B42" s="131" t="n">
        <x:v>0</x:v>
      </x:c>
      <x:c r="C42" s="131" t="n">
        <x:v>607536049.24</x:v>
      </x:c>
      <x:c r="D42" s="131" t="n">
        <x:v>1057896825.3</x:v>
      </x:c>
      <x:c r="E42" s="131" t="n">
        <x:v>2735652487.15001</x:v>
      </x:c>
      <x:c r="F42" s="131" t="n">
        <x:f>SUM(B42:E42)</x:f>
        <x:v>4401085361.69001</x:v>
      </x:c>
      <x:c r="G42" s="111" t="str">
        <x:v>Independente</x:v>
      </x:c>
      <x:c r="H42" s="140" t="str">
        <x:v>Independente</x:v>
      </x:c>
      <x:c r="I42" s="111" t="str">
        <x:v>Regra residual — revisar manualmente</x:v>
      </x:c>
      <x:c r="J42" s="149" t="str">
        <x:v>Sim</x:v>
      </x:c>
      <x:c r="K42" s="131" t="n">
        <x:f>IF($H42="Independente",$F42,0)</x:f>
        <x:v>4401085361.69001</x:v>
      </x:c>
      <x:c r="L42" s="131" t="n">
        <x:f>IF($H42="Ligada a banco",$F42,0)</x:f>
        <x:v>0</x:v>
      </x:c>
      <x:c r="M42" s="114" t="n">
        <x:f>IF(K42&gt;0,RANK(K42,$K$6:$K$462)+COUNTIF($K$6:K42,K42)-1,9999)</x:f>
        <x:v>30</x:v>
      </x:c>
      <x:c r="N42" s="114" t="n">
        <x:f>IF(L42&gt;0,RANK(L42,$L$6:$L$462)+COUNTIF($L$6:L42,L42)-1,9999)</x:f>
        <x:v>9999</x:v>
      </x:c>
    </x:row>
    <x:row r="43">
      <x:c r="A43" s="111" t="str">
        <x:v>Eco Gestão de Ativos LTDA.</x:v>
      </x:c>
      <x:c r="B43" s="131" t="n">
        <x:v>4115581583.91368</x:v>
      </x:c>
      <x:c r="C43" s="131" t="n">
        <x:v>237282710.21999997</x:v>
      </x:c>
      <x:c r="D43" s="131" t="n">
        <x:v>0</x:v>
      </x:c>
      <x:c r="E43" s="131" t="n">
        <x:v>0</x:v>
      </x:c>
      <x:c r="F43" s="131" t="n">
        <x:f>SUM(B43:E43)</x:f>
        <x:v>4352864294.13368</x:v>
      </x:c>
      <x:c r="G43" s="111" t="str">
        <x:v>Independente</x:v>
      </x:c>
      <x:c r="H43" s="140" t="str">
        <x:v>Independente</x:v>
      </x:c>
      <x:c r="I43" s="111" t="str">
        <x:v>Regra residual — revisar manualmente</x:v>
      </x:c>
      <x:c r="J43" s="149" t="str">
        <x:v>Sim</x:v>
      </x:c>
      <x:c r="K43" s="131" t="n">
        <x:f>IF($H43="Independente",$F43,0)</x:f>
        <x:v>4352864294.13368</x:v>
      </x:c>
      <x:c r="L43" s="131" t="n">
        <x:f>IF($H43="Ligada a banco",$F43,0)</x:f>
        <x:v>0</x:v>
      </x:c>
      <x:c r="M43" s="114" t="n">
        <x:f>IF(K43&gt;0,RANK(K43,$K$6:$K$462)+COUNTIF($K$6:K43,K43)-1,9999)</x:f>
        <x:v>31</x:v>
      </x:c>
      <x:c r="N43" s="114" t="n">
        <x:f>IF(L43&gt;0,RANK(L43,$L$6:$L$462)+COUNTIF($L$6:L43,L43)-1,9999)</x:f>
        <x:v>9999</x:v>
      </x:c>
    </x:row>
    <x:row r="44">
      <x:c r="A44" s="111" t="str">
        <x:v>JIVE HIGH YIELD GESTÃO DE RECURSOS LTDA</x:v>
      </x:c>
      <x:c r="B44" s="131" t="n">
        <x:v>0</x:v>
      </x:c>
      <x:c r="C44" s="131" t="n">
        <x:v>323806824.96</x:v>
      </x:c>
      <x:c r="D44" s="131" t="n">
        <x:v>0</x:v>
      </x:c>
      <x:c r="E44" s="131" t="n">
        <x:v>3926197347.730001</x:v>
      </x:c>
      <x:c r="F44" s="131" t="n">
        <x:f>SUM(B44:E44)</x:f>
        <x:v>4250004172.690001</x:v>
      </x:c>
      <x:c r="G44" s="111" t="str">
        <x:v>Independente</x:v>
      </x:c>
      <x:c r="H44" s="140" t="str">
        <x:v>Independente</x:v>
      </x:c>
      <x:c r="I44" s="111" t="str">
        <x:v>Regra residual — revisar manualmente</x:v>
      </x:c>
      <x:c r="J44" s="149" t="str">
        <x:v>Sim</x:v>
      </x:c>
      <x:c r="K44" s="131" t="n">
        <x:f>IF($H44="Independente",$F44,0)</x:f>
        <x:v>4250004172.690001</x:v>
      </x:c>
      <x:c r="L44" s="131" t="n">
        <x:f>IF($H44="Ligada a banco",$F44,0)</x:f>
        <x:v>0</x:v>
      </x:c>
      <x:c r="M44" s="114" t="n">
        <x:f>IF(K44&gt;0,RANK(K44,$K$6:$K$462)+COUNTIF($K$6:K44,K44)-1,9999)</x:f>
        <x:v>32</x:v>
      </x:c>
      <x:c r="N44" s="114" t="n">
        <x:f>IF(L44&gt;0,RANK(L44,$L$6:$L$462)+COUNTIF($L$6:L44,L44)-1,9999)</x:f>
        <x:v>9999</x:v>
      </x:c>
    </x:row>
    <x:row r="45">
      <x:c r="A45" s="111" t="str">
        <x:v>Itau Unibanco</x:v>
      </x:c>
      <x:c r="B45" s="131" t="n">
        <x:v>1979657361.67</x:v>
      </x:c>
      <x:c r="C45" s="131" t="n">
        <x:v>0</x:v>
      </x:c>
      <x:c r="D45" s="131" t="n">
        <x:v>0</x:v>
      </x:c>
      <x:c r="E45" s="131" t="n">
        <x:v>2214689372.05</x:v>
      </x:c>
      <x:c r="F45" s="131" t="n">
        <x:f>SUM(B45:E45)</x:f>
        <x:v>4194346733.7200003</x:v>
      </x:c>
      <x:c r="G45" s="111" t="str">
        <x:v>Ligada a banco</x:v>
      </x:c>
      <x:c r="H45" s="140" t="str">
        <x:v>Ligada a banco</x:v>
      </x:c>
      <x:c r="I45" s="111" t="str">
        <x:v>Regra nominal: ITAU</x:v>
      </x:c>
      <x:c r="J45" s="149" t="str">
        <x:v>Sim</x:v>
      </x:c>
      <x:c r="K45" s="131" t="n">
        <x:f>IF($H45="Independente",$F45,0)</x:f>
        <x:v>0</x:v>
      </x:c>
      <x:c r="L45" s="131" t="n">
        <x:f>IF($H45="Ligada a banco",$F45,0)</x:f>
        <x:v>4194346733.7200003</x:v>
      </x:c>
      <x:c r="M45" s="114" t="n">
        <x:f>IF(K45&gt;0,RANK(K45,$K$6:$K$462)+COUNTIF($K$6:K45,K45)-1,9999)</x:f>
        <x:v>9999</x:v>
      </x:c>
      <x:c r="N45" s="114" t="n">
        <x:f>IF(L45&gt;0,RANK(L45,$L$6:$L$462)+COUNTIF($L$6:L45,L45)-1,9999)</x:f>
        <x:v>8</x:v>
      </x:c>
    </x:row>
    <x:row r="46">
      <x:c r="A46" s="111" t="str">
        <x:v>LASS CAPITAL</x:v>
      </x:c>
      <x:c r="B46" s="131" t="n">
        <x:v>0</x:v>
      </x:c>
      <x:c r="C46" s="131" t="n">
        <x:v>0</x:v>
      </x:c>
      <x:c r="D46" s="131" t="n">
        <x:v>0</x:v>
      </x:c>
      <x:c r="E46" s="131" t="n">
        <x:v>4170516972.3333</x:v>
      </x:c>
      <x:c r="F46" s="131" t="n">
        <x:f>SUM(B46:E46)</x:f>
        <x:v>4170516972.3333</x:v>
      </x:c>
      <x:c r="G46" s="111" t="str">
        <x:v>Independente</x:v>
      </x:c>
      <x:c r="H46" s="140" t="str">
        <x:v>Independente</x:v>
      </x:c>
      <x:c r="I46" s="111" t="str">
        <x:v>Regra residual — revisar manualmente</x:v>
      </x:c>
      <x:c r="J46" s="149" t="str">
        <x:v>Sim</x:v>
      </x:c>
      <x:c r="K46" s="131" t="n">
        <x:f>IF($H46="Independente",$F46,0)</x:f>
        <x:v>4170516972.3333</x:v>
      </x:c>
      <x:c r="L46" s="131" t="n">
        <x:f>IF($H46="Ligada a banco",$F46,0)</x:f>
        <x:v>0</x:v>
      </x:c>
      <x:c r="M46" s="114" t="n">
        <x:f>IF(K46&gt;0,RANK(K46,$K$6:$K$462)+COUNTIF($K$6:K46,K46)-1,9999)</x:f>
        <x:v>33</x:v>
      </x:c>
      <x:c r="N46" s="114" t="n">
        <x:f>IF(L46&gt;0,RANK(L46,$L$6:$L$462)+COUNTIF($L$6:L46,L46)-1,9999)</x:f>
        <x:v>9999</x:v>
      </x:c>
    </x:row>
    <x:row r="47">
      <x:c r="A47" s="111" t="str">
        <x:v>Riza Securitização e Carteiras</x:v>
      </x:c>
      <x:c r="B47" s="131" t="n">
        <x:v>782272473.17</x:v>
      </x:c>
      <x:c r="C47" s="131" t="n">
        <x:v>2847333123.3911295</x:v>
      </x:c>
      <x:c r="D47" s="131" t="n">
        <x:v>0</x:v>
      </x:c>
      <x:c r="E47" s="131" t="n">
        <x:v>479204053.0400001</x:v>
      </x:c>
      <x:c r="F47" s="131" t="n">
        <x:f>SUM(B47:E47)</x:f>
        <x:v>4108809649.6011295</x:v>
      </x:c>
      <x:c r="G47" s="111" t="str">
        <x:v>Independente</x:v>
      </x:c>
      <x:c r="H47" s="140" t="str">
        <x:v>Independente</x:v>
      </x:c>
      <x:c r="I47" s="111" t="str">
        <x:v>Regra residual — revisar manualmente</x:v>
      </x:c>
      <x:c r="J47" s="149" t="str">
        <x:v>Sim</x:v>
      </x:c>
      <x:c r="K47" s="131" t="n">
        <x:f>IF($H47="Independente",$F47,0)</x:f>
        <x:v>4108809649.6011295</x:v>
      </x:c>
      <x:c r="L47" s="131" t="n">
        <x:f>IF($H47="Ligada a banco",$F47,0)</x:f>
        <x:v>0</x:v>
      </x:c>
      <x:c r="M47" s="114" t="n">
        <x:f>IF(K47&gt;0,RANK(K47,$K$6:$K$462)+COUNTIF($K$6:K47,K47)-1,9999)</x:f>
        <x:v>34</x:v>
      </x:c>
      <x:c r="N47" s="114" t="n">
        <x:f>IF(L47&gt;0,RANK(L47,$L$6:$L$462)+COUNTIF($L$6:L47,L47)-1,9999)</x:f>
        <x:v>9999</x:v>
      </x:c>
    </x:row>
    <x:row r="48">
      <x:c r="A48" s="111" t="str">
        <x:v>SUESTE CAPITAL GESTÃO DE RECURSOS LTDA.</x:v>
      </x:c>
      <x:c r="B48" s="131" t="n">
        <x:v>953538629.59</x:v>
      </x:c>
      <x:c r="C48" s="131" t="n">
        <x:v>862206839.58</x:v>
      </x:c>
      <x:c r="D48" s="131" t="n">
        <x:v>38114227.7</x:v>
      </x:c>
      <x:c r="E48" s="131" t="n">
        <x:v>1892024350.1699996</x:v>
      </x:c>
      <x:c r="F48" s="131" t="n">
        <x:f>SUM(B48:E48)</x:f>
        <x:v>3745884047.04</x:v>
      </x:c>
      <x:c r="G48" s="111" t="str">
        <x:v>Independente</x:v>
      </x:c>
      <x:c r="H48" s="140" t="str">
        <x:v>Independente</x:v>
      </x:c>
      <x:c r="I48" s="111" t="str">
        <x:v>Regra residual — revisar manualmente</x:v>
      </x:c>
      <x:c r="J48" s="149" t="str">
        <x:v>Sim</x:v>
      </x:c>
      <x:c r="K48" s="131" t="n">
        <x:f>IF($H48="Independente",$F48,0)</x:f>
        <x:v>3745884047.04</x:v>
      </x:c>
      <x:c r="L48" s="131" t="n">
        <x:f>IF($H48="Ligada a banco",$F48,0)</x:f>
        <x:v>0</x:v>
      </x:c>
      <x:c r="M48" s="114" t="n">
        <x:f>IF(K48&gt;0,RANK(K48,$K$6:$K$462)+COUNTIF($K$6:K48,K48)-1,9999)</x:f>
        <x:v>35</x:v>
      </x:c>
      <x:c r="N48" s="114" t="n">
        <x:f>IF(L48&gt;0,RANK(L48,$L$6:$L$462)+COUNTIF($L$6:L48,L48)-1,9999)</x:f>
        <x:v>9999</x:v>
      </x:c>
    </x:row>
    <x:row r="49">
      <x:c r="A49" s="111" t="str">
        <x:v>SECURITY ADMINISTRAD</x:v>
      </x:c>
      <x:c r="B49" s="131" t="n">
        <x:v>0</x:v>
      </x:c>
      <x:c r="C49" s="131" t="n">
        <x:v>0</x:v>
      </x:c>
      <x:c r="D49" s="131" t="n">
        <x:v>0</x:v>
      </x:c>
      <x:c r="E49" s="131" t="n">
        <x:v>3715379541.24</x:v>
      </x:c>
      <x:c r="F49" s="131" t="n">
        <x:f>SUM(B49:E49)</x:f>
        <x:v>3715379541.24</x:v>
      </x:c>
      <x:c r="G49" s="111" t="str">
        <x:v>Independente</x:v>
      </x:c>
      <x:c r="H49" s="140" t="str">
        <x:v>Independente</x:v>
      </x:c>
      <x:c r="I49" s="111" t="str">
        <x:v>Regra residual — revisar manualmente</x:v>
      </x:c>
      <x:c r="J49" s="149" t="str">
        <x:v>Sim</x:v>
      </x:c>
      <x:c r="K49" s="131" t="n">
        <x:f>IF($H49="Independente",$F49,0)</x:f>
        <x:v>3715379541.24</x:v>
      </x:c>
      <x:c r="L49" s="131" t="n">
        <x:f>IF($H49="Ligada a banco",$F49,0)</x:f>
        <x:v>0</x:v>
      </x:c>
      <x:c r="M49" s="114" t="n">
        <x:f>IF(K49&gt;0,RANK(K49,$K$6:$K$462)+COUNTIF($K$6:K49,K49)-1,9999)</x:f>
        <x:v>36</x:v>
      </x:c>
      <x:c r="N49" s="114" t="n">
        <x:f>IF(L49&gt;0,RANK(L49,$L$6:$L$462)+COUNTIF($L$6:L49,L49)-1,9999)</x:f>
        <x:v>9999</x:v>
      </x:c>
    </x:row>
    <x:row r="50">
      <x:c r="A50" s="111" t="str">
        <x:v>NOVA OCCAM BRASIL GESTÃO DE RECURSOS LTDA.</x:v>
      </x:c>
      <x:c r="B50" s="131" t="n">
        <x:v>0</x:v>
      </x:c>
      <x:c r="C50" s="131" t="n">
        <x:v>0</x:v>
      </x:c>
      <x:c r="D50" s="131" t="n">
        <x:v>76315993.38000001</x:v>
      </x:c>
      <x:c r="E50" s="131" t="n">
        <x:v>3468845910.43</x:v>
      </x:c>
      <x:c r="F50" s="131" t="n">
        <x:f>SUM(B50:E50)</x:f>
        <x:v>3545161903.81</x:v>
      </x:c>
      <x:c r="G50" s="111" t="str">
        <x:v>Independente</x:v>
      </x:c>
      <x:c r="H50" s="140" t="str">
        <x:v>Independente</x:v>
      </x:c>
      <x:c r="I50" s="111" t="str">
        <x:v>Regra residual — revisar manualmente</x:v>
      </x:c>
      <x:c r="J50" s="149" t="str">
        <x:v>Sim</x:v>
      </x:c>
      <x:c r="K50" s="131" t="n">
        <x:f>IF($H50="Independente",$F50,0)</x:f>
        <x:v>3545161903.81</x:v>
      </x:c>
      <x:c r="L50" s="131" t="n">
        <x:f>IF($H50="Ligada a banco",$F50,0)</x:f>
        <x:v>0</x:v>
      </x:c>
      <x:c r="M50" s="114" t="n">
        <x:f>IF(K50&gt;0,RANK(K50,$K$6:$K$462)+COUNTIF($K$6:K50,K50)-1,9999)</x:f>
        <x:v>37</x:v>
      </x:c>
      <x:c r="N50" s="114" t="n">
        <x:f>IF(L50&gt;0,RANK(L50,$L$6:$L$462)+COUNTIF($L$6:L50,L50)-1,9999)</x:f>
        <x:v>9999</x:v>
      </x:c>
    </x:row>
    <x:row r="51">
      <x:c r="A51" s="111" t="str">
        <x:v>CARMEL GESTORA DE ATIVOS LTDA</x:v>
      </x:c>
      <x:c r="B51" s="131" t="n">
        <x:v>1839611967.47</x:v>
      </x:c>
      <x:c r="C51" s="131" t="n">
        <x:v>490346952.33</x:v>
      </x:c>
      <x:c r="D51" s="131" t="n">
        <x:v>1020153158.1199998</x:v>
      </x:c>
      <x:c r="E51" s="131" t="n">
        <x:v>161710520.22999993</x:v>
      </x:c>
      <x:c r="F51" s="131" t="n">
        <x:f>SUM(B51:E51)</x:f>
        <x:v>3511822598.15</x:v>
      </x:c>
      <x:c r="G51" s="111" t="str">
        <x:v>Independente</x:v>
      </x:c>
      <x:c r="H51" s="140" t="str">
        <x:v>Independente</x:v>
      </x:c>
      <x:c r="I51" s="111" t="str">
        <x:v>Regra residual — revisar manualmente</x:v>
      </x:c>
      <x:c r="J51" s="149" t="str">
        <x:v>Sim</x:v>
      </x:c>
      <x:c r="K51" s="131" t="n">
        <x:f>IF($H51="Independente",$F51,0)</x:f>
        <x:v>3511822598.15</x:v>
      </x:c>
      <x:c r="L51" s="131" t="n">
        <x:f>IF($H51="Ligada a banco",$F51,0)</x:f>
        <x:v>0</x:v>
      </x:c>
      <x:c r="M51" s="114" t="n">
        <x:f>IF(K51&gt;0,RANK(K51,$K$6:$K$462)+COUNTIF($K$6:K51,K51)-1,9999)</x:f>
        <x:v>38</x:v>
      </x:c>
      <x:c r="N51" s="114" t="n">
        <x:f>IF(L51&gt;0,RANK(L51,$L$6:$L$462)+COUNTIF($L$6:L51,L51)-1,9999)</x:f>
        <x:v>9999</x:v>
      </x:c>
    </x:row>
    <x:row r="52">
      <x:c r="A52" s="111" t="str">
        <x:v>SMART AGRO INVESTIMENTOS LTDA.</x:v>
      </x:c>
      <x:c r="B52" s="131" t="n">
        <x:v>0</x:v>
      </x:c>
      <x:c r="C52" s="131" t="n">
        <x:v>0</x:v>
      </x:c>
      <x:c r="D52" s="131" t="n">
        <x:v>2682107740.74</x:v>
      </x:c>
      <x:c r="E52" s="131" t="n">
        <x:v>818929450.57</x:v>
      </x:c>
      <x:c r="F52" s="131" t="n">
        <x:f>SUM(B52:E52)</x:f>
        <x:v>3501037191.31</x:v>
      </x:c>
      <x:c r="G52" s="111" t="str">
        <x:v>Independente</x:v>
      </x:c>
      <x:c r="H52" s="140" t="str">
        <x:v>Independente</x:v>
      </x:c>
      <x:c r="I52" s="111" t="str">
        <x:v>Regra residual — revisar manualmente</x:v>
      </x:c>
      <x:c r="J52" s="149" t="str">
        <x:v>Sim</x:v>
      </x:c>
      <x:c r="K52" s="131" t="n">
        <x:f>IF($H52="Independente",$F52,0)</x:f>
        <x:v>3501037191.31</x:v>
      </x:c>
      <x:c r="L52" s="131" t="n">
        <x:f>IF($H52="Ligada a banco",$F52,0)</x:f>
        <x:v>0</x:v>
      </x:c>
      <x:c r="M52" s="114" t="n">
        <x:f>IF(K52&gt;0,RANK(K52,$K$6:$K$462)+COUNTIF($K$6:K52,K52)-1,9999)</x:f>
        <x:v>39</x:v>
      </x:c>
      <x:c r="N52" s="114" t="n">
        <x:f>IF(L52&gt;0,RANK(L52,$L$6:$L$462)+COUNTIF($L$6:L52,L52)-1,9999)</x:f>
        <x:v>9999</x:v>
      </x:c>
    </x:row>
    <x:row r="53">
      <x:c r="A53" s="111" t="str">
        <x:v>Intrabank Asset</x:v>
      </x:c>
      <x:c r="B53" s="131" t="n">
        <x:v>1834355869.84</x:v>
      </x:c>
      <x:c r="C53" s="131" t="n">
        <x:v>361514282.98</x:v>
      </x:c>
      <x:c r="D53" s="131" t="n">
        <x:v>0</x:v>
      </x:c>
      <x:c r="E53" s="131" t="n">
        <x:v>1209467986.3900003</x:v>
      </x:c>
      <x:c r="F53" s="131" t="n">
        <x:f>SUM(B53:E53)</x:f>
        <x:v>3405338139.21</x:v>
      </x:c>
      <x:c r="G53" s="111" t="str">
        <x:v>Independente</x:v>
      </x:c>
      <x:c r="H53" s="140" t="str">
        <x:v>Independente</x:v>
      </x:c>
      <x:c r="I53" s="111" t="str">
        <x:v>Regra residual — revisar manualmente</x:v>
      </x:c>
      <x:c r="J53" s="149" t="str">
        <x:v>Sim</x:v>
      </x:c>
      <x:c r="K53" s="131" t="n">
        <x:f>IF($H53="Independente",$F53,0)</x:f>
        <x:v>3405338139.21</x:v>
      </x:c>
      <x:c r="L53" s="131" t="n">
        <x:f>IF($H53="Ligada a banco",$F53,0)</x:f>
        <x:v>0</x:v>
      </x:c>
      <x:c r="M53" s="114" t="n">
        <x:f>IF(K53&gt;0,RANK(K53,$K$6:$K$462)+COUNTIF($K$6:K53,K53)-1,9999)</x:f>
        <x:v>40</x:v>
      </x:c>
      <x:c r="N53" s="114" t="n">
        <x:f>IF(L53&gt;0,RANK(L53,$L$6:$L$462)+COUNTIF($L$6:L53,L53)-1,9999)</x:f>
        <x:v>9999</x:v>
      </x:c>
    </x:row>
    <x:row r="54">
      <x:c r="A54" s="111" t="str">
        <x:v>ARTESANAL FINANCEIRO</x:v>
      </x:c>
      <x:c r="B54" s="131" t="n">
        <x:v>319184931.33</x:v>
      </x:c>
      <x:c r="C54" s="131" t="n">
        <x:v>1690486442.23</x:v>
      </x:c>
      <x:c r="D54" s="131" t="n">
        <x:v>0</x:v>
      </x:c>
      <x:c r="E54" s="131" t="n">
        <x:v>1393963282.2900004</x:v>
      </x:c>
      <x:c r="F54" s="131" t="n">
        <x:f>SUM(B54:E54)</x:f>
        <x:v>3403634655.8500004</x:v>
      </x:c>
      <x:c r="G54" s="111" t="str">
        <x:v>Independente</x:v>
      </x:c>
      <x:c r="H54" s="140" t="str">
        <x:v>Independente</x:v>
      </x:c>
      <x:c r="I54" s="111" t="str">
        <x:v>Regra residual — revisar manualmente</x:v>
      </x:c>
      <x:c r="J54" s="149" t="str">
        <x:v>Sim</x:v>
      </x:c>
      <x:c r="K54" s="131" t="n">
        <x:f>IF($H54="Independente",$F54,0)</x:f>
        <x:v>3403634655.8500004</x:v>
      </x:c>
      <x:c r="L54" s="131" t="n">
        <x:f>IF($H54="Ligada a banco",$F54,0)</x:f>
        <x:v>0</x:v>
      </x:c>
      <x:c r="M54" s="114" t="n">
        <x:f>IF(K54&gt;0,RANK(K54,$K$6:$K$462)+COUNTIF($K$6:K54,K54)-1,9999)</x:f>
        <x:v>41</x:v>
      </x:c>
      <x:c r="N54" s="114" t="n">
        <x:f>IF(L54&gt;0,RANK(L54,$L$6:$L$462)+COUNTIF($L$6:L54,L54)-1,9999)</x:f>
        <x:v>9999</x:v>
      </x:c>
    </x:row>
    <x:row r="55">
      <x:c r="A55" s="111" t="str">
        <x:v>ASA Investments</x:v>
      </x:c>
      <x:c r="B55" s="131" t="n">
        <x:v>0</x:v>
      </x:c>
      <x:c r="C55" s="131" t="n">
        <x:v>0</x:v>
      </x:c>
      <x:c r="D55" s="131" t="n">
        <x:v>0</x:v>
      </x:c>
      <x:c r="E55" s="131" t="n">
        <x:v>3358023639.57413</x:v>
      </x:c>
      <x:c r="F55" s="131" t="n">
        <x:f>SUM(B55:E55)</x:f>
        <x:v>3358023639.57413</x:v>
      </x:c>
      <x:c r="G55" s="111" t="str">
        <x:v>Independente</x:v>
      </x:c>
      <x:c r="H55" s="140" t="str">
        <x:v>Independente</x:v>
      </x:c>
      <x:c r="I55" s="111" t="str">
        <x:v>Regra residual — revisar manualmente</x:v>
      </x:c>
      <x:c r="J55" s="149" t="str">
        <x:v>Sim</x:v>
      </x:c>
      <x:c r="K55" s="131" t="n">
        <x:f>IF($H55="Independente",$F55,0)</x:f>
        <x:v>3358023639.57413</x:v>
      </x:c>
      <x:c r="L55" s="131" t="n">
        <x:f>IF($H55="Ligada a banco",$F55,0)</x:f>
        <x:v>0</x:v>
      </x:c>
      <x:c r="M55" s="114" t="n">
        <x:f>IF(K55&gt;0,RANK(K55,$K$6:$K$462)+COUNTIF($K$6:K55,K55)-1,9999)</x:f>
        <x:v>42</x:v>
      </x:c>
      <x:c r="N55" s="114" t="n">
        <x:f>IF(L55&gt;0,RANK(L55,$L$6:$L$462)+COUNTIF($L$6:L55,L55)-1,9999)</x:f>
        <x:v>9999</x:v>
      </x:c>
    </x:row>
    <x:row r="56">
      <x:c r="A56" s="111" t="str">
        <x:v>G5 Adm. de Recursos</x:v>
      </x:c>
      <x:c r="B56" s="131" t="n">
        <x:v>309750290.9099999</x:v>
      </x:c>
      <x:c r="C56" s="131" t="n">
        <x:v>0</x:v>
      </x:c>
      <x:c r="D56" s="131" t="n">
        <x:v>267568631.77</x:v>
      </x:c>
      <x:c r="E56" s="131" t="n">
        <x:v>2774809244.41</x:v>
      </x:c>
      <x:c r="F56" s="131" t="n">
        <x:f>SUM(B56:E56)</x:f>
        <x:v>3352128167.0899997</x:v>
      </x:c>
      <x:c r="G56" s="111" t="str">
        <x:v>Independente</x:v>
      </x:c>
      <x:c r="H56" s="140" t="str">
        <x:v>Independente</x:v>
      </x:c>
      <x:c r="I56" s="111" t="str">
        <x:v>Regra residual — revisar manualmente</x:v>
      </x:c>
      <x:c r="J56" s="149" t="str">
        <x:v>Sim</x:v>
      </x:c>
      <x:c r="K56" s="131" t="n">
        <x:f>IF($H56="Independente",$F56,0)</x:f>
        <x:v>3352128167.0899997</x:v>
      </x:c>
      <x:c r="L56" s="131" t="n">
        <x:f>IF($H56="Ligada a banco",$F56,0)</x:f>
        <x:v>0</x:v>
      </x:c>
      <x:c r="M56" s="114" t="n">
        <x:f>IF(K56&gt;0,RANK(K56,$K$6:$K$462)+COUNTIF($K$6:K56,K56)-1,9999)</x:f>
        <x:v>43</x:v>
      </x:c>
      <x:c r="N56" s="114" t="n">
        <x:f>IF(L56&gt;0,RANK(L56,$L$6:$L$462)+COUNTIF($L$6:L56,L56)-1,9999)</x:f>
        <x:v>9999</x:v>
      </x:c>
    </x:row>
    <x:row r="57">
      <x:c r="A57" s="111" t="str">
        <x:v>Multiplike Gestão de Recursos Ltda</x:v>
      </x:c>
      <x:c r="B57" s="131" t="n">
        <x:v>0</x:v>
      </x:c>
      <x:c r="C57" s="131" t="n">
        <x:v>0</x:v>
      </x:c>
      <x:c r="D57" s="131" t="n">
        <x:v>3301105102.8700004</x:v>
      </x:c>
      <x:c r="E57" s="131" t="n">
        <x:v>0</x:v>
      </x:c>
      <x:c r="F57" s="131" t="n">
        <x:f>SUM(B57:E57)</x:f>
        <x:v>3301105102.8700004</x:v>
      </x:c>
      <x:c r="G57" s="111" t="str">
        <x:v>Independente</x:v>
      </x:c>
      <x:c r="H57" s="140" t="str">
        <x:v>Independente</x:v>
      </x:c>
      <x:c r="I57" s="111" t="str">
        <x:v>Regra residual — revisar manualmente</x:v>
      </x:c>
      <x:c r="J57" s="149" t="str">
        <x:v>Sim</x:v>
      </x:c>
      <x:c r="K57" s="131" t="n">
        <x:f>IF($H57="Independente",$F57,0)</x:f>
        <x:v>3301105102.8700004</x:v>
      </x:c>
      <x:c r="L57" s="131" t="n">
        <x:f>IF($H57="Ligada a banco",$F57,0)</x:f>
        <x:v>0</x:v>
      </x:c>
      <x:c r="M57" s="114" t="n">
        <x:f>IF(K57&gt;0,RANK(K57,$K$6:$K$462)+COUNTIF($K$6:K57,K57)-1,9999)</x:f>
        <x:v>44</x:v>
      </x:c>
      <x:c r="N57" s="114" t="n">
        <x:f>IF(L57&gt;0,RANK(L57,$L$6:$L$462)+COUNTIF($L$6:L57,L57)-1,9999)</x:f>
        <x:v>9999</x:v>
      </x:c>
    </x:row>
    <x:row r="58">
      <x:c r="A58" s="111" t="str">
        <x:v>GESTORA DE RECURSOS ID - GRID LTDA.</x:v>
      </x:c>
      <x:c r="B58" s="131" t="n">
        <x:v>0</x:v>
      </x:c>
      <x:c r="C58" s="131" t="n">
        <x:v>207298948.8</x:v>
      </x:c>
      <x:c r="D58" s="131" t="n">
        <x:v>8678452.73</x:v>
      </x:c>
      <x:c r="E58" s="131" t="n">
        <x:v>3067814495.1799994</x:v>
      </x:c>
      <x:c r="F58" s="131" t="n">
        <x:f>SUM(B58:E58)</x:f>
        <x:v>3283791896.7099996</x:v>
      </x:c>
      <x:c r="G58" s="111" t="str">
        <x:v>Independente</x:v>
      </x:c>
      <x:c r="H58" s="140" t="str">
        <x:v>Independente</x:v>
      </x:c>
      <x:c r="I58" s="111" t="str">
        <x:v>Regra residual — revisar manualmente</x:v>
      </x:c>
      <x:c r="J58" s="149" t="str">
        <x:v>Sim</x:v>
      </x:c>
      <x:c r="K58" s="131" t="n">
        <x:f>IF($H58="Independente",$F58,0)</x:f>
        <x:v>3283791896.7099996</x:v>
      </x:c>
      <x:c r="L58" s="131" t="n">
        <x:f>IF($H58="Ligada a banco",$F58,0)</x:f>
        <x:v>0</x:v>
      </x:c>
      <x:c r="M58" s="114" t="n">
        <x:f>IF(K58&gt;0,RANK(K58,$K$6:$K$462)+COUNTIF($K$6:K58,K58)-1,9999)</x:f>
        <x:v>45</x:v>
      </x:c>
      <x:c r="N58" s="114" t="n">
        <x:f>IF(L58&gt;0,RANK(L58,$L$6:$L$462)+COUNTIF($L$6:L58,L58)-1,9999)</x:f>
        <x:v>9999</x:v>
      </x:c>
    </x:row>
    <x:row r="59">
      <x:c r="A59" s="111" t="str">
        <x:v>H2 CAPITAL</x:v>
      </x:c>
      <x:c r="B59" s="131" t="n">
        <x:v>2362345959.63</x:v>
      </x:c>
      <x:c r="C59" s="131" t="n">
        <x:v>576064716.2499999</x:v>
      </x:c>
      <x:c r="D59" s="131" t="n">
        <x:v>0</x:v>
      </x:c>
      <x:c r="E59" s="131" t="n">
        <x:v>250499098.37503996</x:v>
      </x:c>
      <x:c r="F59" s="131" t="n">
        <x:f>SUM(B59:E59)</x:f>
        <x:v>3188909774.25504</x:v>
      </x:c>
      <x:c r="G59" s="111" t="str">
        <x:v>Independente</x:v>
      </x:c>
      <x:c r="H59" s="140" t="str">
        <x:v>Independente</x:v>
      </x:c>
      <x:c r="I59" s="111" t="str">
        <x:v>Regra residual — revisar manualmente</x:v>
      </x:c>
      <x:c r="J59" s="149" t="str">
        <x:v>Sim</x:v>
      </x:c>
      <x:c r="K59" s="131" t="n">
        <x:f>IF($H59="Independente",$F59,0)</x:f>
        <x:v>3188909774.25504</x:v>
      </x:c>
      <x:c r="L59" s="131" t="n">
        <x:f>IF($H59="Ligada a banco",$F59,0)</x:f>
        <x:v>0</x:v>
      </x:c>
      <x:c r="M59" s="114" t="n">
        <x:f>IF(K59&gt;0,RANK(K59,$K$6:$K$462)+COUNTIF($K$6:K59,K59)-1,9999)</x:f>
        <x:v>46</x:v>
      </x:c>
      <x:c r="N59" s="114" t="n">
        <x:f>IF(L59&gt;0,RANK(L59,$L$6:$L$462)+COUNTIF($L$6:L59,L59)-1,9999)</x:f>
        <x:v>9999</x:v>
      </x:c>
    </x:row>
    <x:row r="60">
      <x:c r="A60" s="111" t="str">
        <x:v>NEBRASKA CAPITAL</x:v>
      </x:c>
      <x:c r="B60" s="131" t="n">
        <x:v>0</x:v>
      </x:c>
      <x:c r="C60" s="131" t="n">
        <x:v>0</x:v>
      </x:c>
      <x:c r="D60" s="131" t="n">
        <x:v>0</x:v>
      </x:c>
      <x:c r="E60" s="131" t="n">
        <x:v>3165139500.63</x:v>
      </x:c>
      <x:c r="F60" s="131" t="n">
        <x:f>SUM(B60:E60)</x:f>
        <x:v>3165139500.63</x:v>
      </x:c>
      <x:c r="G60" s="111" t="str">
        <x:v>Independente</x:v>
      </x:c>
      <x:c r="H60" s="140" t="str">
        <x:v>Independente</x:v>
      </x:c>
      <x:c r="I60" s="111" t="str">
        <x:v>Regra residual — revisar manualmente</x:v>
      </x:c>
      <x:c r="J60" s="149" t="str">
        <x:v>Sim</x:v>
      </x:c>
      <x:c r="K60" s="131" t="n">
        <x:f>IF($H60="Independente",$F60,0)</x:f>
        <x:v>3165139500.63</x:v>
      </x:c>
      <x:c r="L60" s="131" t="n">
        <x:f>IF($H60="Ligada a banco",$F60,0)</x:f>
        <x:v>0</x:v>
      </x:c>
      <x:c r="M60" s="114" t="n">
        <x:f>IF(K60&gt;0,RANK(K60,$K$6:$K$462)+COUNTIF($K$6:K60,K60)-1,9999)</x:f>
        <x:v>47</x:v>
      </x:c>
      <x:c r="N60" s="114" t="n">
        <x:f>IF(L60&gt;0,RANK(L60,$L$6:$L$462)+COUNTIF($L$6:L60,L60)-1,9999)</x:f>
        <x:v>9999</x:v>
      </x:c>
    </x:row>
    <x:row r="61">
      <x:c r="A61" s="111" t="str">
        <x:v>Cultinvest Asset</x:v>
      </x:c>
      <x:c r="B61" s="131" t="n">
        <x:v>2795128481.2099905</x:v>
      </x:c>
      <x:c r="C61" s="131" t="n">
        <x:v>329038183.36</x:v>
      </x:c>
      <x:c r="D61" s="131" t="n">
        <x:v>0</x:v>
      </x:c>
      <x:c r="E61" s="131" t="n">
        <x:v>0</x:v>
      </x:c>
      <x:c r="F61" s="131" t="n">
        <x:f>SUM(B61:E61)</x:f>
        <x:v>3124166664.5699906</x:v>
      </x:c>
      <x:c r="G61" s="111" t="str">
        <x:v>Independente</x:v>
      </x:c>
      <x:c r="H61" s="140" t="str">
        <x:v>Independente</x:v>
      </x:c>
      <x:c r="I61" s="111" t="str">
        <x:v>Regra residual — revisar manualmente</x:v>
      </x:c>
      <x:c r="J61" s="149" t="str">
        <x:v>Sim</x:v>
      </x:c>
      <x:c r="K61" s="131" t="n">
        <x:f>IF($H61="Independente",$F61,0)</x:f>
        <x:v>3124166664.5699906</x:v>
      </x:c>
      <x:c r="L61" s="131" t="n">
        <x:f>IF($H61="Ligada a banco",$F61,0)</x:f>
        <x:v>0</x:v>
      </x:c>
      <x:c r="M61" s="114" t="n">
        <x:f>IF(K61&gt;0,RANK(K61,$K$6:$K$462)+COUNTIF($K$6:K61,K61)-1,9999)</x:f>
        <x:v>48</x:v>
      </x:c>
      <x:c r="N61" s="114" t="n">
        <x:f>IF(L61&gt;0,RANK(L61,$L$6:$L$462)+COUNTIF($L$6:L61,L61)-1,9999)</x:f>
        <x:v>9999</x:v>
      </x:c>
    </x:row>
    <x:row r="62">
      <x:c r="A62" s="111" t="str">
        <x:v>Bank of America</x:v>
      </x:c>
      <x:c r="B62" s="131" t="n">
        <x:v>0</x:v>
      </x:c>
      <x:c r="C62" s="131" t="n">
        <x:v>0</x:v>
      </x:c>
      <x:c r="D62" s="131" t="n">
        <x:v>0</x:v>
      </x:c>
      <x:c r="E62" s="131" t="n">
        <x:v>3089535414.12</x:v>
      </x:c>
      <x:c r="F62" s="131" t="n">
        <x:f>SUM(B62:E62)</x:f>
        <x:v>3089535414.12</x:v>
      </x:c>
      <x:c r="G62" s="111" t="str">
        <x:v>Ligada a banco</x:v>
      </x:c>
      <x:c r="H62" s="140" t="str">
        <x:v>Ligada a banco</x:v>
      </x:c>
      <x:c r="I62" s="111" t="str">
        <x:v>Regra nominal: BANK OF AMERICA</x:v>
      </x:c>
      <x:c r="J62" s="149" t="str">
        <x:v>Sim</x:v>
      </x:c>
      <x:c r="K62" s="131" t="n">
        <x:f>IF($H62="Independente",$F62,0)</x:f>
        <x:v>0</x:v>
      </x:c>
      <x:c r="L62" s="131" t="n">
        <x:f>IF($H62="Ligada a banco",$F62,0)</x:f>
        <x:v>3089535414.12</x:v>
      </x:c>
      <x:c r="M62" s="114" t="n">
        <x:f>IF(K62&gt;0,RANK(K62,$K$6:$K$462)+COUNTIF($K$6:K62,K62)-1,9999)</x:f>
        <x:v>9999</x:v>
      </x:c>
      <x:c r="N62" s="114" t="n">
        <x:f>IF(L62&gt;0,RANK(L62,$L$6:$L$462)+COUNTIF($L$6:L62,L62)-1,9999)</x:f>
        <x:v>9</x:v>
      </x:c>
    </x:row>
    <x:row r="63">
      <x:c r="A63" s="111" t="str">
        <x:v>NORTH SEA CAPITAL</x:v>
      </x:c>
      <x:c r="B63" s="131" t="n">
        <x:v>0</x:v>
      </x:c>
      <x:c r="C63" s="131" t="n">
        <x:v>187714100.88000005</x:v>
      </x:c>
      <x:c r="D63" s="131" t="n">
        <x:v>0</x:v>
      </x:c>
      <x:c r="E63" s="131" t="n">
        <x:v>2780136746.7900004</x:v>
      </x:c>
      <x:c r="F63" s="131" t="n">
        <x:f>SUM(B63:E63)</x:f>
        <x:v>2967850847.6700006</x:v>
      </x:c>
      <x:c r="G63" s="111" t="str">
        <x:v>Independente</x:v>
      </x:c>
      <x:c r="H63" s="140" t="str">
        <x:v>Independente</x:v>
      </x:c>
      <x:c r="I63" s="111" t="str">
        <x:v>Regra residual — revisar manualmente</x:v>
      </x:c>
      <x:c r="J63" s="149" t="str">
        <x:v>Sim</x:v>
      </x:c>
      <x:c r="K63" s="131" t="n">
        <x:f>IF($H63="Independente",$F63,0)</x:f>
        <x:v>2967850847.6700006</x:v>
      </x:c>
      <x:c r="L63" s="131" t="n">
        <x:f>IF($H63="Ligada a banco",$F63,0)</x:f>
        <x:v>0</x:v>
      </x:c>
      <x:c r="M63" s="114" t="n">
        <x:f>IF(K63&gt;0,RANK(K63,$K$6:$K$462)+COUNTIF($K$6:K63,K63)-1,9999)</x:f>
        <x:v>49</x:v>
      </x:c>
      <x:c r="N63" s="114" t="n">
        <x:f>IF(L63&gt;0,RANK(L63,$L$6:$L$462)+COUNTIF($L$6:L63,L63)-1,9999)</x:f>
        <x:v>9999</x:v>
      </x:c>
    </x:row>
    <x:row r="64">
      <x:c r="A64" s="111" t="str">
        <x:v>Guardian Crédito</x:v>
      </x:c>
      <x:c r="B64" s="131" t="n">
        <x:v>0</x:v>
      </x:c>
      <x:c r="C64" s="131" t="n">
        <x:v>2963770595.7300005</x:v>
      </x:c>
      <x:c r="D64" s="131" t="n">
        <x:v>0</x:v>
      </x:c>
      <x:c r="E64" s="131" t="n">
        <x:v>0</x:v>
      </x:c>
      <x:c r="F64" s="131" t="n">
        <x:f>SUM(B64:E64)</x:f>
        <x:v>2963770595.7300005</x:v>
      </x:c>
      <x:c r="G64" s="111" t="str">
        <x:v>Independente</x:v>
      </x:c>
      <x:c r="H64" s="140" t="str">
        <x:v>Independente</x:v>
      </x:c>
      <x:c r="I64" s="111" t="str">
        <x:v>Regra residual — revisar manualmente</x:v>
      </x:c>
      <x:c r="J64" s="149" t="str">
        <x:v>Sim</x:v>
      </x:c>
      <x:c r="K64" s="131" t="n">
        <x:f>IF($H64="Independente",$F64,0)</x:f>
        <x:v>2963770595.7300005</x:v>
      </x:c>
      <x:c r="L64" s="131" t="n">
        <x:f>IF($H64="Ligada a banco",$F64,0)</x:f>
        <x:v>0</x:v>
      </x:c>
      <x:c r="M64" s="114" t="n">
        <x:f>IF(K64&gt;0,RANK(K64,$K$6:$K$462)+COUNTIF($K$6:K64,K64)-1,9999)</x:f>
        <x:v>50</x:v>
      </x:c>
      <x:c r="N64" s="114" t="n">
        <x:f>IF(L64&gt;0,RANK(L64,$L$6:$L$462)+COUNTIF($L$6:L64,L64)-1,9999)</x:f>
        <x:v>9999</x:v>
      </x:c>
    </x:row>
    <x:row r="65">
      <x:c r="A65" s="111" t="str">
        <x:v>JGP Gestão de Crédito LTDA.</x:v>
      </x:c>
      <x:c r="B65" s="131" t="n">
        <x:v>1363039639.5900002</x:v>
      </x:c>
      <x:c r="C65" s="131" t="n">
        <x:v>840972300.62</x:v>
      </x:c>
      <x:c r="D65" s="131" t="n">
        <x:v>0</x:v>
      </x:c>
      <x:c r="E65" s="131" t="n">
        <x:v>662559888.26</x:v>
      </x:c>
      <x:c r="F65" s="131" t="n">
        <x:f>SUM(B65:E65)</x:f>
        <x:v>2866571828.4700003</x:v>
      </x:c>
      <x:c r="G65" s="111" t="str">
        <x:v>Independente</x:v>
      </x:c>
      <x:c r="H65" s="140" t="str">
        <x:v>Independente</x:v>
      </x:c>
      <x:c r="I65" s="111" t="str">
        <x:v>Regra residual — revisar manualmente</x:v>
      </x:c>
      <x:c r="J65" s="149" t="str">
        <x:v>Sim</x:v>
      </x:c>
      <x:c r="K65" s="131" t="n">
        <x:f>IF($H65="Independente",$F65,0)</x:f>
        <x:v>2866571828.4700003</x:v>
      </x:c>
      <x:c r="L65" s="131" t="n">
        <x:f>IF($H65="Ligada a banco",$F65,0)</x:f>
        <x:v>0</x:v>
      </x:c>
      <x:c r="M65" s="114" t="n">
        <x:f>IF(K65&gt;0,RANK(K65,$K$6:$K$462)+COUNTIF($K$6:K65,K65)-1,9999)</x:f>
        <x:v>51</x:v>
      </x:c>
      <x:c r="N65" s="114" t="n">
        <x:f>IF(L65&gt;0,RANK(L65,$L$6:$L$462)+COUNTIF($L$6:L65,L65)-1,9999)</x:f>
        <x:v>9999</x:v>
      </x:c>
    </x:row>
    <x:row r="66">
      <x:c r="A66" s="111" t="str">
        <x:v>Phronesis Invest.</x:v>
      </x:c>
      <x:c r="B66" s="131" t="n">
        <x:v>0</x:v>
      </x:c>
      <x:c r="C66" s="131" t="n">
        <x:v>2450727770.21</x:v>
      </x:c>
      <x:c r="D66" s="131" t="n">
        <x:v>0</x:v>
      </x:c>
      <x:c r="E66" s="131" t="n">
        <x:v>367591564.88</x:v>
      </x:c>
      <x:c r="F66" s="131" t="n">
        <x:f>SUM(B66:E66)</x:f>
        <x:v>2818319335.09</x:v>
      </x:c>
      <x:c r="G66" s="111" t="str">
        <x:v>Independente</x:v>
      </x:c>
      <x:c r="H66" s="140" t="str">
        <x:v>Independente</x:v>
      </x:c>
      <x:c r="I66" s="111" t="str">
        <x:v>Regra residual — revisar manualmente</x:v>
      </x:c>
      <x:c r="J66" s="149" t="str">
        <x:v>Sim</x:v>
      </x:c>
      <x:c r="K66" s="131" t="n">
        <x:f>IF($H66="Independente",$F66,0)</x:f>
        <x:v>2818319335.09</x:v>
      </x:c>
      <x:c r="L66" s="131" t="n">
        <x:f>IF($H66="Ligada a banco",$F66,0)</x:f>
        <x:v>0</x:v>
      </x:c>
      <x:c r="M66" s="114" t="n">
        <x:f>IF(K66&gt;0,RANK(K66,$K$6:$K$462)+COUNTIF($K$6:K66,K66)-1,9999)</x:f>
        <x:v>52</x:v>
      </x:c>
      <x:c r="N66" s="114" t="n">
        <x:f>IF(L66&gt;0,RANK(L66,$L$6:$L$462)+COUNTIF($L$6:L66,L66)-1,9999)</x:f>
        <x:v>9999</x:v>
      </x:c>
    </x:row>
    <x:row r="67">
      <x:c r="A67" s="111" t="str">
        <x:v>Galápagos</x:v>
      </x:c>
      <x:c r="B67" s="131" t="n">
        <x:v>9623181.42</x:v>
      </x:c>
      <x:c r="C67" s="131" t="n">
        <x:v>98525719.58</x:v>
      </x:c>
      <x:c r="D67" s="131" t="n">
        <x:v>139079605.57999998</x:v>
      </x:c>
      <x:c r="E67" s="131" t="n">
        <x:v>2539668008.4174004</x:v>
      </x:c>
      <x:c r="F67" s="131" t="n">
        <x:f>SUM(B67:E67)</x:f>
        <x:v>2786896514.9974003</x:v>
      </x:c>
      <x:c r="G67" s="111" t="str">
        <x:v>Independente</x:v>
      </x:c>
      <x:c r="H67" s="140" t="str">
        <x:v>Independente</x:v>
      </x:c>
      <x:c r="I67" s="111" t="str">
        <x:v>Regra residual — revisar manualmente</x:v>
      </x:c>
      <x:c r="J67" s="149" t="str">
        <x:v>Sim</x:v>
      </x:c>
      <x:c r="K67" s="131" t="n">
        <x:f>IF($H67="Independente",$F67,0)</x:f>
        <x:v>2786896514.9974003</x:v>
      </x:c>
      <x:c r="L67" s="131" t="n">
        <x:f>IF($H67="Ligada a banco",$F67,0)</x:f>
        <x:v>0</x:v>
      </x:c>
      <x:c r="M67" s="114" t="n">
        <x:f>IF(K67&gt;0,RANK(K67,$K$6:$K$462)+COUNTIF($K$6:K67,K67)-1,9999)</x:f>
        <x:v>53</x:v>
      </x:c>
      <x:c r="N67" s="114" t="n">
        <x:f>IF(L67&gt;0,RANK(L67,$L$6:$L$462)+COUNTIF($L$6:L67,L67)-1,9999)</x:f>
        <x:v>9999</x:v>
      </x:c>
    </x:row>
    <x:row r="68">
      <x:c r="A68" s="111" t="str">
        <x:v>Blue Solutions</x:v>
      </x:c>
      <x:c r="B68" s="131" t="n">
        <x:v>0</x:v>
      </x:c>
      <x:c r="C68" s="131" t="n">
        <x:v>78403950.05999999</x:v>
      </x:c>
      <x:c r="D68" s="131" t="n">
        <x:v>0</x:v>
      </x:c>
      <x:c r="E68" s="131" t="n">
        <x:v>2707973470.68</x:v>
      </x:c>
      <x:c r="F68" s="131" t="n">
        <x:f>SUM(B68:E68)</x:f>
        <x:v>2786377420.74</x:v>
      </x:c>
      <x:c r="G68" s="111" t="str">
        <x:v>Independente</x:v>
      </x:c>
      <x:c r="H68" s="140" t="str">
        <x:v>Independente</x:v>
      </x:c>
      <x:c r="I68" s="111" t="str">
        <x:v>Regra residual — revisar manualmente</x:v>
      </x:c>
      <x:c r="J68" s="149" t="str">
        <x:v>Sim</x:v>
      </x:c>
      <x:c r="K68" s="131" t="n">
        <x:f>IF($H68="Independente",$F68,0)</x:f>
        <x:v>2786377420.74</x:v>
      </x:c>
      <x:c r="L68" s="131" t="n">
        <x:f>IF($H68="Ligada a banco",$F68,0)</x:f>
        <x:v>0</x:v>
      </x:c>
      <x:c r="M68" s="114" t="n">
        <x:f>IF(K68&gt;0,RANK(K68,$K$6:$K$462)+COUNTIF($K$6:K68,K68)-1,9999)</x:f>
        <x:v>54</x:v>
      </x:c>
      <x:c r="N68" s="114" t="n">
        <x:f>IF(L68&gt;0,RANK(L68,$L$6:$L$462)+COUNTIF($L$6:L68,L68)-1,9999)</x:f>
        <x:v>9999</x:v>
      </x:c>
    </x:row>
    <x:row r="69">
      <x:c r="A69" s="111" t="str">
        <x:v>BRL Trust Investimentos LTDA.</x:v>
      </x:c>
      <x:c r="B69" s="131" t="n">
        <x:v>0</x:v>
      </x:c>
      <x:c r="C69" s="131" t="n">
        <x:v>2532101392.7200003</x:v>
      </x:c>
      <x:c r="D69" s="131" t="n">
        <x:v>0</x:v>
      </x:c>
      <x:c r="E69" s="131" t="n">
        <x:v>0</x:v>
      </x:c>
      <x:c r="F69" s="131" t="n">
        <x:f>SUM(B69:E69)</x:f>
        <x:v>2532101392.7200003</x:v>
      </x:c>
      <x:c r="G69" s="111" t="str">
        <x:v>Independente</x:v>
      </x:c>
      <x:c r="H69" s="140" t="str">
        <x:v>Independente</x:v>
      </x:c>
      <x:c r="I69" s="111" t="str">
        <x:v>Regra residual — revisar manualmente</x:v>
      </x:c>
      <x:c r="J69" s="149" t="str">
        <x:v>Sim</x:v>
      </x:c>
      <x:c r="K69" s="131" t="n">
        <x:f>IF($H69="Independente",$F69,0)</x:f>
        <x:v>2532101392.7200003</x:v>
      </x:c>
      <x:c r="L69" s="131" t="n">
        <x:f>IF($H69="Ligada a banco",$F69,0)</x:f>
        <x:v>0</x:v>
      </x:c>
      <x:c r="M69" s="114" t="n">
        <x:f>IF(K69&gt;0,RANK(K69,$K$6:$K$462)+COUNTIF($K$6:K69,K69)-1,9999)</x:f>
        <x:v>55</x:v>
      </x:c>
      <x:c r="N69" s="114" t="n">
        <x:f>IF(L69&gt;0,RANK(L69,$L$6:$L$462)+COUNTIF($L$6:L69,L69)-1,9999)</x:f>
        <x:v>9999</x:v>
      </x:c>
    </x:row>
    <x:row r="70">
      <x:c r="A70" s="111" t="str">
        <x:v>Vinci SPS Gestão de Recursos Ltda.</x:v>
      </x:c>
      <x:c r="B70" s="131" t="n">
        <x:v>1591439328.57</x:v>
      </x:c>
      <x:c r="C70" s="131" t="n">
        <x:v>0</x:v>
      </x:c>
      <x:c r="D70" s="131" t="n">
        <x:v>0</x:v>
      </x:c>
      <x:c r="E70" s="131" t="n">
        <x:v>867552190.08</x:v>
      </x:c>
      <x:c r="F70" s="131" t="n">
        <x:f>SUM(B70:E70)</x:f>
        <x:v>2458991518.65</x:v>
      </x:c>
      <x:c r="G70" s="111" t="str">
        <x:v>Independente</x:v>
      </x:c>
      <x:c r="H70" s="140" t="str">
        <x:v>Independente</x:v>
      </x:c>
      <x:c r="I70" s="111" t="str">
        <x:v>Regra residual — revisar manualmente</x:v>
      </x:c>
      <x:c r="J70" s="149" t="str">
        <x:v>Sim</x:v>
      </x:c>
      <x:c r="K70" s="131" t="n">
        <x:f>IF($H70="Independente",$F70,0)</x:f>
        <x:v>2458991518.65</x:v>
      </x:c>
      <x:c r="L70" s="131" t="n">
        <x:f>IF($H70="Ligada a banco",$F70,0)</x:f>
        <x:v>0</x:v>
      </x:c>
      <x:c r="M70" s="114" t="n">
        <x:f>IF(K70&gt;0,RANK(K70,$K$6:$K$462)+COUNTIF($K$6:K70,K70)-1,9999)</x:f>
        <x:v>56</x:v>
      </x:c>
      <x:c r="N70" s="114" t="n">
        <x:f>IF(L70&gt;0,RANK(L70,$L$6:$L$462)+COUNTIF($L$6:L70,L70)-1,9999)</x:f>
        <x:v>9999</x:v>
      </x:c>
    </x:row>
    <x:row r="71">
      <x:c r="A71" s="111" t="str">
        <x:v>Milênio Capital</x:v>
      </x:c>
      <x:c r="B71" s="131" t="n">
        <x:v>654393473.2200001</x:v>
      </x:c>
      <x:c r="C71" s="131" t="n">
        <x:v>914611360.86</x:v>
      </x:c>
      <x:c r="D71" s="131" t="n">
        <x:v>56727029.20999999</x:v>
      </x:c>
      <x:c r="E71" s="131" t="n">
        <x:v>764241630.5571</x:v>
      </x:c>
      <x:c r="F71" s="131" t="n">
        <x:f>SUM(B71:E71)</x:f>
        <x:v>2389973493.8471003</x:v>
      </x:c>
      <x:c r="G71" s="111" t="str">
        <x:v>Independente</x:v>
      </x:c>
      <x:c r="H71" s="140" t="str">
        <x:v>Independente</x:v>
      </x:c>
      <x:c r="I71" s="111" t="str">
        <x:v>Regra residual — revisar manualmente</x:v>
      </x:c>
      <x:c r="J71" s="149" t="str">
        <x:v>Sim</x:v>
      </x:c>
      <x:c r="K71" s="131" t="n">
        <x:f>IF($H71="Independente",$F71,0)</x:f>
        <x:v>2389973493.8471003</x:v>
      </x:c>
      <x:c r="L71" s="131" t="n">
        <x:f>IF($H71="Ligada a banco",$F71,0)</x:f>
        <x:v>0</x:v>
      </x:c>
      <x:c r="M71" s="114" t="n">
        <x:f>IF(K71&gt;0,RANK(K71,$K$6:$K$462)+COUNTIF($K$6:K71,K71)-1,9999)</x:f>
        <x:v>57</x:v>
      </x:c>
      <x:c r="N71" s="114" t="n">
        <x:f>IF(L71&gt;0,RANK(L71,$L$6:$L$462)+COUNTIF($L$6:L71,L71)-1,9999)</x:f>
        <x:v>9999</x:v>
      </x:c>
    </x:row>
    <x:row r="72">
      <x:c r="A72" s="111" t="str">
        <x:v>ARTESANAL MCMS</x:v>
      </x:c>
      <x:c r="B72" s="131" t="n">
        <x:v>578156012.3500001</x:v>
      </x:c>
      <x:c r="C72" s="131" t="n">
        <x:v>0</x:v>
      </x:c>
      <x:c r="D72" s="131" t="n">
        <x:v>1804218039.17545</x:v>
      </x:c>
      <x:c r="E72" s="131" t="n">
        <x:v>0</x:v>
      </x:c>
      <x:c r="F72" s="131" t="n">
        <x:f>SUM(B72:E72)</x:f>
        <x:v>2382374051.52545</x:v>
      </x:c>
      <x:c r="G72" s="111" t="str">
        <x:v>Independente</x:v>
      </x:c>
      <x:c r="H72" s="140" t="str">
        <x:v>Independente</x:v>
      </x:c>
      <x:c r="I72" s="111" t="str">
        <x:v>Regra residual — revisar manualmente</x:v>
      </x:c>
      <x:c r="J72" s="149" t="str">
        <x:v>Sim</x:v>
      </x:c>
      <x:c r="K72" s="131" t="n">
        <x:f>IF($H72="Independente",$F72,0)</x:f>
        <x:v>2382374051.52545</x:v>
      </x:c>
      <x:c r="L72" s="131" t="n">
        <x:f>IF($H72="Ligada a banco",$F72,0)</x:f>
        <x:v>0</x:v>
      </x:c>
      <x:c r="M72" s="114" t="n">
        <x:f>IF(K72&gt;0,RANK(K72,$K$6:$K$462)+COUNTIF($K$6:K72,K72)-1,9999)</x:f>
        <x:v>58</x:v>
      </x:c>
      <x:c r="N72" s="114" t="n">
        <x:f>IF(L72&gt;0,RANK(L72,$L$6:$L$462)+COUNTIF($L$6:L72,L72)-1,9999)</x:f>
        <x:v>9999</x:v>
      </x:c>
    </x:row>
    <x:row r="73">
      <x:c r="A73" s="111" t="str">
        <x:v>EB CAPITAL CRÉDITO AGRO LTDA.</x:v>
      </x:c>
      <x:c r="B73" s="131" t="n">
        <x:v>0</x:v>
      </x:c>
      <x:c r="C73" s="131" t="n">
        <x:v>0</x:v>
      </x:c>
      <x:c r="D73" s="131" t="n">
        <x:v>0</x:v>
      </x:c>
      <x:c r="E73" s="131" t="n">
        <x:v>2350320378.45</x:v>
      </x:c>
      <x:c r="F73" s="131" t="n">
        <x:f>SUM(B73:E73)</x:f>
        <x:v>2350320378.45</x:v>
      </x:c>
      <x:c r="G73" s="111" t="str">
        <x:v>Independente</x:v>
      </x:c>
      <x:c r="H73" s="140" t="str">
        <x:v>Independente</x:v>
      </x:c>
      <x:c r="I73" s="111" t="str">
        <x:v>Regra residual — revisar manualmente</x:v>
      </x:c>
      <x:c r="J73" s="149" t="str">
        <x:v>Sim</x:v>
      </x:c>
      <x:c r="K73" s="131" t="n">
        <x:f>IF($H73="Independente",$F73,0)</x:f>
        <x:v>2350320378.45</x:v>
      </x:c>
      <x:c r="L73" s="131" t="n">
        <x:f>IF($H73="Ligada a banco",$F73,0)</x:f>
        <x:v>0</x:v>
      </x:c>
      <x:c r="M73" s="114" t="n">
        <x:f>IF(K73&gt;0,RANK(K73,$K$6:$K$462)+COUNTIF($K$6:K73,K73)-1,9999)</x:f>
        <x:v>59</x:v>
      </x:c>
      <x:c r="N73" s="114" t="n">
        <x:f>IF(L73&gt;0,RANK(L73,$L$6:$L$462)+COUNTIF($L$6:L73,L73)-1,9999)</x:f>
        <x:v>9999</x:v>
      </x:c>
    </x:row>
    <x:row r="74">
      <x:c r="A74" s="111" t="str">
        <x:v>Quadra Gestão de Recursos S.A.</x:v>
      </x:c>
      <x:c r="B74" s="131" t="n">
        <x:v>0</x:v>
      </x:c>
      <x:c r="C74" s="131" t="n">
        <x:v>0</x:v>
      </x:c>
      <x:c r="D74" s="131" t="n">
        <x:v>0</x:v>
      </x:c>
      <x:c r="E74" s="131" t="n">
        <x:v>2223949587.9069004</x:v>
      </x:c>
      <x:c r="F74" s="131" t="n">
        <x:f>SUM(B74:E74)</x:f>
        <x:v>2223949587.9069004</x:v>
      </x:c>
      <x:c r="G74" s="111" t="str">
        <x:v>Independente</x:v>
      </x:c>
      <x:c r="H74" s="140" t="str">
        <x:v>Independente</x:v>
      </x:c>
      <x:c r="I74" s="111" t="str">
        <x:v>Regra residual — revisar manualmente</x:v>
      </x:c>
      <x:c r="J74" s="149" t="str">
        <x:v>Sim</x:v>
      </x:c>
      <x:c r="K74" s="131" t="n">
        <x:f>IF($H74="Independente",$F74,0)</x:f>
        <x:v>2223949587.9069004</x:v>
      </x:c>
      <x:c r="L74" s="131" t="n">
        <x:f>IF($H74="Ligada a banco",$F74,0)</x:f>
        <x:v>0</x:v>
      </x:c>
      <x:c r="M74" s="114" t="n">
        <x:f>IF(K74&gt;0,RANK(K74,$K$6:$K$462)+COUNTIF($K$6:K74,K74)-1,9999)</x:f>
        <x:v>60</x:v>
      </x:c>
      <x:c r="N74" s="114" t="n">
        <x:f>IF(L74&gt;0,RANK(L74,$L$6:$L$462)+COUNTIF($L$6:L74,L74)-1,9999)</x:f>
        <x:v>9999</x:v>
      </x:c>
    </x:row>
    <x:row r="75">
      <x:c r="A75" s="111" t="str">
        <x:v>Libertas Asset</x:v>
      </x:c>
      <x:c r="B75" s="131" t="n">
        <x:v>0</x:v>
      </x:c>
      <x:c r="C75" s="131" t="n">
        <x:v>207078531.3</x:v>
      </x:c>
      <x:c r="D75" s="131" t="n">
        <x:v>1388447391.35</x:v>
      </x:c>
      <x:c r="E75" s="131" t="n">
        <x:v>580889628.01</x:v>
      </x:c>
      <x:c r="F75" s="131" t="n">
        <x:f>SUM(B75:E75)</x:f>
        <x:v>2176415550.66</x:v>
      </x:c>
      <x:c r="G75" s="111" t="str">
        <x:v>Independente</x:v>
      </x:c>
      <x:c r="H75" s="140" t="str">
        <x:v>Independente</x:v>
      </x:c>
      <x:c r="I75" s="111" t="str">
        <x:v>Regra residual — revisar manualmente</x:v>
      </x:c>
      <x:c r="J75" s="149" t="str">
        <x:v>Sim</x:v>
      </x:c>
      <x:c r="K75" s="131" t="n">
        <x:f>IF($H75="Independente",$F75,0)</x:f>
        <x:v>2176415550.66</x:v>
      </x:c>
      <x:c r="L75" s="131" t="n">
        <x:f>IF($H75="Ligada a banco",$F75,0)</x:f>
        <x:v>0</x:v>
      </x:c>
      <x:c r="M75" s="114" t="n">
        <x:f>IF(K75&gt;0,RANK(K75,$K$6:$K$462)+COUNTIF($K$6:K75,K75)-1,9999)</x:f>
        <x:v>61</x:v>
      </x:c>
      <x:c r="N75" s="114" t="n">
        <x:f>IF(L75&gt;0,RANK(L75,$L$6:$L$462)+COUNTIF($L$6:L75,L75)-1,9999)</x:f>
        <x:v>9999</x:v>
      </x:c>
    </x:row>
    <x:row r="76">
      <x:c r="A76" s="111" t="str">
        <x:v>EUV CAPITAL</x:v>
      </x:c>
      <x:c r="B76" s="131" t="n">
        <x:v>0</x:v>
      </x:c>
      <x:c r="C76" s="131" t="n">
        <x:v>0</x:v>
      </x:c>
      <x:c r="D76" s="131" t="n">
        <x:v>2159139999.2799997</x:v>
      </x:c>
      <x:c r="E76" s="131" t="n">
        <x:v>8121891.19</x:v>
      </x:c>
      <x:c r="F76" s="131" t="n">
        <x:f>SUM(B76:E76)</x:f>
        <x:v>2167261890.47</x:v>
      </x:c>
      <x:c r="G76" s="111" t="str">
        <x:v>Independente</x:v>
      </x:c>
      <x:c r="H76" s="140" t="str">
        <x:v>Independente</x:v>
      </x:c>
      <x:c r="I76" s="111" t="str">
        <x:v>Regra residual — revisar manualmente</x:v>
      </x:c>
      <x:c r="J76" s="149" t="str">
        <x:v>Sim</x:v>
      </x:c>
      <x:c r="K76" s="131" t="n">
        <x:f>IF($H76="Independente",$F76,0)</x:f>
        <x:v>2167261890.47</x:v>
      </x:c>
      <x:c r="L76" s="131" t="n">
        <x:f>IF($H76="Ligada a banco",$F76,0)</x:f>
        <x:v>0</x:v>
      </x:c>
      <x:c r="M76" s="114" t="n">
        <x:f>IF(K76&gt;0,RANK(K76,$K$6:$K$462)+COUNTIF($K$6:K76,K76)-1,9999)</x:f>
        <x:v>62</x:v>
      </x:c>
      <x:c r="N76" s="114" t="n">
        <x:f>IF(L76&gt;0,RANK(L76,$L$6:$L$462)+COUNTIF($L$6:L76,L76)-1,9999)</x:f>
        <x:v>9999</x:v>
      </x:c>
    </x:row>
    <x:row r="77">
      <x:c r="A77" s="111" t="str">
        <x:v>Bless Capital Gestora de Recursos Ltda.</x:v>
      </x:c>
      <x:c r="B77" s="131" t="n">
        <x:v>78165366.93</x:v>
      </x:c>
      <x:c r="C77" s="131" t="n">
        <x:v>94182635.38</x:v>
      </x:c>
      <x:c r="D77" s="131" t="n">
        <x:v>48143693.28000001</x:v>
      </x:c>
      <x:c r="E77" s="131" t="n">
        <x:v>1795176609.9300003</x:v>
      </x:c>
      <x:c r="F77" s="131" t="n">
        <x:f>SUM(B77:E77)</x:f>
        <x:v>2015668305.5200002</x:v>
      </x:c>
      <x:c r="G77" s="111" t="str">
        <x:v>Independente</x:v>
      </x:c>
      <x:c r="H77" s="140" t="str">
        <x:v>Independente</x:v>
      </x:c>
      <x:c r="I77" s="111" t="str">
        <x:v>Regra residual — revisar manualmente</x:v>
      </x:c>
      <x:c r="J77" s="149" t="str">
        <x:v>Sim</x:v>
      </x:c>
      <x:c r="K77" s="131" t="n">
        <x:f>IF($H77="Independente",$F77,0)</x:f>
        <x:v>2015668305.5200002</x:v>
      </x:c>
      <x:c r="L77" s="131" t="n">
        <x:f>IF($H77="Ligada a banco",$F77,0)</x:f>
        <x:v>0</x:v>
      </x:c>
      <x:c r="M77" s="114" t="n">
        <x:f>IF(K77&gt;0,RANK(K77,$K$6:$K$462)+COUNTIF($K$6:K77,K77)-1,9999)</x:f>
        <x:v>63</x:v>
      </x:c>
      <x:c r="N77" s="114" t="n">
        <x:f>IF(L77&gt;0,RANK(L77,$L$6:$L$462)+COUNTIF($L$6:L77,L77)-1,9999)</x:f>
        <x:v>9999</x:v>
      </x:c>
    </x:row>
    <x:row r="78">
      <x:c r="A78" s="111" t="str">
        <x:v>PRAVALER S/A</x:v>
      </x:c>
      <x:c r="B78" s="131" t="n">
        <x:v>0</x:v>
      </x:c>
      <x:c r="C78" s="131" t="n">
        <x:v>1998577996.82</x:v>
      </x:c>
      <x:c r="D78" s="131" t="n">
        <x:v>0</x:v>
      </x:c>
      <x:c r="E78" s="131" t="n">
        <x:v>0</x:v>
      </x:c>
      <x:c r="F78" s="131" t="n">
        <x:f>SUM(B78:E78)</x:f>
        <x:v>1998577996.82</x:v>
      </x:c>
      <x:c r="G78" s="111" t="str">
        <x:v>Independente</x:v>
      </x:c>
      <x:c r="H78" s="140" t="str">
        <x:v>Independente</x:v>
      </x:c>
      <x:c r="I78" s="111" t="str">
        <x:v>Regra residual — revisar manualmente</x:v>
      </x:c>
      <x:c r="J78" s="149" t="str">
        <x:v>Sim</x:v>
      </x:c>
      <x:c r="K78" s="131" t="n">
        <x:f>IF($H78="Independente",$F78,0)</x:f>
        <x:v>1998577996.82</x:v>
      </x:c>
      <x:c r="L78" s="131" t="n">
        <x:f>IF($H78="Ligada a banco",$F78,0)</x:f>
        <x:v>0</x:v>
      </x:c>
      <x:c r="M78" s="114" t="n">
        <x:f>IF(K78&gt;0,RANK(K78,$K$6:$K$462)+COUNTIF($K$6:K78,K78)-1,9999)</x:f>
        <x:v>64</x:v>
      </x:c>
      <x:c r="N78" s="114" t="n">
        <x:f>IF(L78&gt;0,RANK(L78,$L$6:$L$462)+COUNTIF($L$6:L78,L78)-1,9999)</x:f>
        <x:v>9999</x:v>
      </x:c>
    </x:row>
    <x:row r="79">
      <x:c r="A79" s="111" t="str">
        <x:v>KINEA INVESTIMENTOS</x:v>
      </x:c>
      <x:c r="B79" s="131" t="n">
        <x:v>0</x:v>
      </x:c>
      <x:c r="C79" s="131" t="n">
        <x:v>0</x:v>
      </x:c>
      <x:c r="D79" s="131" t="n">
        <x:v>0</x:v>
      </x:c>
      <x:c r="E79" s="131" t="n">
        <x:v>1978199653.56</x:v>
      </x:c>
      <x:c r="F79" s="131" t="n">
        <x:f>SUM(B79:E79)</x:f>
        <x:v>1978199653.56</x:v>
      </x:c>
      <x:c r="G79" s="111" t="str">
        <x:v>Ligada a banco</x:v>
      </x:c>
      <x:c r="H79" s="140" t="str">
        <x:v>Ligada a banco</x:v>
      </x:c>
      <x:c r="I79" s="111" t="str">
        <x:v>Regra nominal: KINEA</x:v>
      </x:c>
      <x:c r="J79" s="149" t="str">
        <x:v>Sim</x:v>
      </x:c>
      <x:c r="K79" s="131" t="n">
        <x:f>IF($H79="Independente",$F79,0)</x:f>
        <x:v>0</x:v>
      </x:c>
      <x:c r="L79" s="131" t="n">
        <x:f>IF($H79="Ligada a banco",$F79,0)</x:f>
        <x:v>1978199653.56</x:v>
      </x:c>
      <x:c r="M79" s="114" t="n">
        <x:f>IF(K79&gt;0,RANK(K79,$K$6:$K$462)+COUNTIF($K$6:K79,K79)-1,9999)</x:f>
        <x:v>9999</x:v>
      </x:c>
      <x:c r="N79" s="114" t="n">
        <x:f>IF(L79&gt;0,RANK(L79,$L$6:$L$462)+COUNTIF($L$6:L79,L79)-1,9999)</x:f>
        <x:v>10</x:v>
      </x:c>
    </x:row>
    <x:row r="80">
      <x:c r="A80" s="111" t="str">
        <x:v>Tivio Capital</x:v>
      </x:c>
      <x:c r="B80" s="131" t="n">
        <x:v>1682351535.94</x:v>
      </x:c>
      <x:c r="C80" s="131" t="n">
        <x:v>0</x:v>
      </x:c>
      <x:c r="D80" s="131" t="n">
        <x:v>60962351.51999998</x:v>
      </x:c>
      <x:c r="E80" s="131" t="n">
        <x:v>199204363.83</x:v>
      </x:c>
      <x:c r="F80" s="131" t="n">
        <x:f>SUM(B80:E80)</x:f>
        <x:v>1942518251.29</x:v>
      </x:c>
      <x:c r="G80" s="111" t="str">
        <x:v>Independente</x:v>
      </x:c>
      <x:c r="H80" s="140" t="str">
        <x:v>Independente</x:v>
      </x:c>
      <x:c r="I80" s="111" t="str">
        <x:v>Regra residual — revisar manualmente</x:v>
      </x:c>
      <x:c r="J80" s="149" t="str">
        <x:v>Sim</x:v>
      </x:c>
      <x:c r="K80" s="131" t="n">
        <x:f>IF($H80="Independente",$F80,0)</x:f>
        <x:v>1942518251.29</x:v>
      </x:c>
      <x:c r="L80" s="131" t="n">
        <x:f>IF($H80="Ligada a banco",$F80,0)</x:f>
        <x:v>0</x:v>
      </x:c>
      <x:c r="M80" s="114" t="n">
        <x:f>IF(K80&gt;0,RANK(K80,$K$6:$K$462)+COUNTIF($K$6:K80,K80)-1,9999)</x:f>
        <x:v>65</x:v>
      </x:c>
      <x:c r="N80" s="114" t="n">
        <x:f>IF(L80&gt;0,RANK(L80,$L$6:$L$462)+COUNTIF($L$6:L80,L80)-1,9999)</x:f>
        <x:v>9999</x:v>
      </x:c>
    </x:row>
    <x:row r="81">
      <x:c r="A81" s="111" t="str">
        <x:v>NOVA S R M</x:v>
      </x:c>
      <x:c r="B81" s="131" t="n">
        <x:v>0</x:v>
      </x:c>
      <x:c r="C81" s="131" t="n">
        <x:v>223515340.3099999</x:v>
      </x:c>
      <x:c r="D81" s="131" t="n">
        <x:v>452888369.54</x:v>
      </x:c>
      <x:c r="E81" s="131" t="n">
        <x:v>1238128081.05</x:v>
      </x:c>
      <x:c r="F81" s="131" t="n">
        <x:f>SUM(B81:E81)</x:f>
        <x:v>1914531790.8999999</x:v>
      </x:c>
      <x:c r="G81" s="111" t="str">
        <x:v>Independente</x:v>
      </x:c>
      <x:c r="H81" s="140" t="str">
        <x:v>Independente</x:v>
      </x:c>
      <x:c r="I81" s="111" t="str">
        <x:v>Regra residual — revisar manualmente</x:v>
      </x:c>
      <x:c r="J81" s="149" t="str">
        <x:v>Sim</x:v>
      </x:c>
      <x:c r="K81" s="131" t="n">
        <x:f>IF($H81="Independente",$F81,0)</x:f>
        <x:v>1914531790.8999999</x:v>
      </x:c>
      <x:c r="L81" s="131" t="n">
        <x:f>IF($H81="Ligada a banco",$F81,0)</x:f>
        <x:v>0</x:v>
      </x:c>
      <x:c r="M81" s="114" t="n">
        <x:f>IF(K81&gt;0,RANK(K81,$K$6:$K$462)+COUNTIF($K$6:K81,K81)-1,9999)</x:f>
        <x:v>66</x:v>
      </x:c>
      <x:c r="N81" s="114" t="n">
        <x:f>IF(L81&gt;0,RANK(L81,$L$6:$L$462)+COUNTIF($L$6:L81,L81)-1,9999)</x:f>
        <x:v>9999</x:v>
      </x:c>
    </x:row>
    <x:row r="82">
      <x:c r="A82" s="111" t="str">
        <x:v>XPI CCTVM S/A</x:v>
      </x:c>
      <x:c r="B82" s="131" t="n">
        <x:v>1259703242.6</x:v>
      </x:c>
      <x:c r="C82" s="131" t="n">
        <x:v>0</x:v>
      </x:c>
      <x:c r="D82" s="131" t="n">
        <x:v>0</x:v>
      </x:c>
      <x:c r="E82" s="131" t="n">
        <x:v>632379298.4</x:v>
      </x:c>
      <x:c r="F82" s="131" t="n">
        <x:f>SUM(B82:E82)</x:f>
        <x:v>1892082541</x:v>
      </x:c>
      <x:c r="G82" s="111" t="str">
        <x:v>Ligada a banco</x:v>
      </x:c>
      <x:c r="H82" s="140" t="str">
        <x:v>Ligada a banco</x:v>
      </x:c>
      <x:c r="I82" s="111" t="str">
        <x:v>Regra nominal: XPI</x:v>
      </x:c>
      <x:c r="J82" s="149" t="str">
        <x:v>Sim</x:v>
      </x:c>
      <x:c r="K82" s="131" t="n">
        <x:f>IF($H82="Independente",$F82,0)</x:f>
        <x:v>0</x:v>
      </x:c>
      <x:c r="L82" s="131" t="n">
        <x:f>IF($H82="Ligada a banco",$F82,0)</x:f>
        <x:v>1892082541</x:v>
      </x:c>
      <x:c r="M82" s="114" t="n">
        <x:f>IF(K82&gt;0,RANK(K82,$K$6:$K$462)+COUNTIF($K$6:K82,K82)-1,9999)</x:f>
        <x:v>9999</x:v>
      </x:c>
      <x:c r="N82" s="114" t="n">
        <x:f>IF(L82&gt;0,RANK(L82,$L$6:$L$462)+COUNTIF($L$6:L82,L82)-1,9999)</x:f>
        <x:v>11</x:v>
      </x:c>
    </x:row>
    <x:row r="83">
      <x:c r="A83" s="111" t="str">
        <x:v>BURITI INVESTIMENTOS</x:v>
      </x:c>
      <x:c r="B83" s="131" t="n">
        <x:v>299223.23</x:v>
      </x:c>
      <x:c r="C83" s="131" t="n">
        <x:v>233632785.71</x:v>
      </x:c>
      <x:c r="D83" s="131" t="n">
        <x:v>303194676.59</x:v>
      </x:c>
      <x:c r="E83" s="131" t="n">
        <x:v>1326083712.9199998</x:v>
      </x:c>
      <x:c r="F83" s="131" t="n">
        <x:f>SUM(B83:E83)</x:f>
        <x:v>1863210398.4499998</x:v>
      </x:c>
      <x:c r="G83" s="111" t="str">
        <x:v>Independente</x:v>
      </x:c>
      <x:c r="H83" s="140" t="str">
        <x:v>Independente</x:v>
      </x:c>
      <x:c r="I83" s="111" t="str">
        <x:v>Regra residual — revisar manualmente</x:v>
      </x:c>
      <x:c r="J83" s="149" t="str">
        <x:v>Sim</x:v>
      </x:c>
      <x:c r="K83" s="131" t="n">
        <x:f>IF($H83="Independente",$F83,0)</x:f>
        <x:v>1863210398.4499998</x:v>
      </x:c>
      <x:c r="L83" s="131" t="n">
        <x:f>IF($H83="Ligada a banco",$F83,0)</x:f>
        <x:v>0</x:v>
      </x:c>
      <x:c r="M83" s="114" t="n">
        <x:f>IF(K83&gt;0,RANK(K83,$K$6:$K$462)+COUNTIF($K$6:K83,K83)-1,9999)</x:f>
        <x:v>67</x:v>
      </x:c>
      <x:c r="N83" s="114" t="n">
        <x:f>IF(L83&gt;0,RANK(L83,$L$6:$L$462)+COUNTIF($L$6:L83,L83)-1,9999)</x:f>
        <x:v>9999</x:v>
      </x:c>
    </x:row>
    <x:row r="84">
      <x:c r="A84" s="111" t="str">
        <x:v>Invista Asset</x:v>
      </x:c>
      <x:c r="B84" s="131" t="n">
        <x:v>0</x:v>
      </x:c>
      <x:c r="C84" s="131" t="n">
        <x:v>0</x:v>
      </x:c>
      <x:c r="D84" s="131" t="n">
        <x:v>1860499361.49</x:v>
      </x:c>
      <x:c r="E84" s="131" t="n">
        <x:v>0</x:v>
      </x:c>
      <x:c r="F84" s="131" t="n">
        <x:f>SUM(B84:E84)</x:f>
        <x:v>1860499361.49</x:v>
      </x:c>
      <x:c r="G84" s="111" t="str">
        <x:v>Independente</x:v>
      </x:c>
      <x:c r="H84" s="140" t="str">
        <x:v>Independente</x:v>
      </x:c>
      <x:c r="I84" s="111" t="str">
        <x:v>Regra residual — revisar manualmente</x:v>
      </x:c>
      <x:c r="J84" s="149" t="str">
        <x:v>Sim</x:v>
      </x:c>
      <x:c r="K84" s="131" t="n">
        <x:f>IF($H84="Independente",$F84,0)</x:f>
        <x:v>1860499361.49</x:v>
      </x:c>
      <x:c r="L84" s="131" t="n">
        <x:f>IF($H84="Ligada a banco",$F84,0)</x:f>
        <x:v>0</x:v>
      </x:c>
      <x:c r="M84" s="114" t="n">
        <x:f>IF(K84&gt;0,RANK(K84,$K$6:$K$462)+COUNTIF($K$6:K84,K84)-1,9999)</x:f>
        <x:v>68</x:v>
      </x:c>
      <x:c r="N84" s="114" t="n">
        <x:f>IF(L84&gt;0,RANK(L84,$L$6:$L$462)+COUNTIF($L$6:L84,L84)-1,9999)</x:f>
        <x:v>9999</x:v>
      </x:c>
    </x:row>
    <x:row r="85">
      <x:c r="A85" s="111" t="str">
        <x:v>Brave Asset</x:v>
      </x:c>
      <x:c r="B85" s="131" t="n">
        <x:v>364439905.71</x:v>
      </x:c>
      <x:c r="C85" s="131" t="n">
        <x:v>530059019.1622299</x:v>
      </x:c>
      <x:c r="D85" s="131" t="n">
        <x:v>30691.17</x:v>
      </x:c>
      <x:c r="E85" s="131" t="n">
        <x:v>920492142.7522</x:v>
      </x:c>
      <x:c r="F85" s="131" t="n">
        <x:f>SUM(B85:E85)</x:f>
        <x:v>1815021758.7944298</x:v>
      </x:c>
      <x:c r="G85" s="111" t="str">
        <x:v>Independente</x:v>
      </x:c>
      <x:c r="H85" s="140" t="str">
        <x:v>Independente</x:v>
      </x:c>
      <x:c r="I85" s="111" t="str">
        <x:v>Regra residual — revisar manualmente</x:v>
      </x:c>
      <x:c r="J85" s="149" t="str">
        <x:v>Sim</x:v>
      </x:c>
      <x:c r="K85" s="131" t="n">
        <x:f>IF($H85="Independente",$F85,0)</x:f>
        <x:v>1815021758.7944298</x:v>
      </x:c>
      <x:c r="L85" s="131" t="n">
        <x:f>IF($H85="Ligada a banco",$F85,0)</x:f>
        <x:v>0</x:v>
      </x:c>
      <x:c r="M85" s="114" t="n">
        <x:f>IF(K85&gt;0,RANK(K85,$K$6:$K$462)+COUNTIF($K$6:K85,K85)-1,9999)</x:f>
        <x:v>69</x:v>
      </x:c>
      <x:c r="N85" s="114" t="n">
        <x:f>IF(L85&gt;0,RANK(L85,$L$6:$L$462)+COUNTIF($L$6:L85,L85)-1,9999)</x:f>
        <x:v>9999</x:v>
      </x:c>
    </x:row>
    <x:row r="86">
      <x:c r="A86" s="111" t="str">
        <x:v>Vinci Gestora de Recursos LTDA</x:v>
      </x:c>
      <x:c r="B86" s="131" t="n">
        <x:v>789038984.64</x:v>
      </x:c>
      <x:c r="C86" s="131" t="n">
        <x:v>233138422.81999996</x:v>
      </x:c>
      <x:c r="D86" s="131" t="n">
        <x:v>0</x:v>
      </x:c>
      <x:c r="E86" s="131" t="n">
        <x:v>788075991.92</x:v>
      </x:c>
      <x:c r="F86" s="131" t="n">
        <x:f>SUM(B86:E86)</x:f>
        <x:v>1810253399.3799999</x:v>
      </x:c>
      <x:c r="G86" s="111" t="str">
        <x:v>Independente</x:v>
      </x:c>
      <x:c r="H86" s="140" t="str">
        <x:v>Independente</x:v>
      </x:c>
      <x:c r="I86" s="111" t="str">
        <x:v>Regra residual — revisar manualmente</x:v>
      </x:c>
      <x:c r="J86" s="149" t="str">
        <x:v>Sim</x:v>
      </x:c>
      <x:c r="K86" s="131" t="n">
        <x:f>IF($H86="Independente",$F86,0)</x:f>
        <x:v>1810253399.3799999</x:v>
      </x:c>
      <x:c r="L86" s="131" t="n">
        <x:f>IF($H86="Ligada a banco",$F86,0)</x:f>
        <x:v>0</x:v>
      </x:c>
      <x:c r="M86" s="114" t="n">
        <x:f>IF(K86&gt;0,RANK(K86,$K$6:$K$462)+COUNTIF($K$6:K86,K86)-1,9999)</x:f>
        <x:v>70</x:v>
      </x:c>
      <x:c r="N86" s="114" t="n">
        <x:f>IF(L86&gt;0,RANK(L86,$L$6:$L$462)+COUNTIF($L$6:L86,L86)-1,9999)</x:f>
        <x:v>9999</x:v>
      </x:c>
    </x:row>
    <x:row r="87">
      <x:c r="A87" s="111" t="str">
        <x:v>PACTUAL CAPITAL PART</x:v>
      </x:c>
      <x:c r="B87" s="131" t="n">
        <x:v>0</x:v>
      </x:c>
      <x:c r="C87" s="131" t="n">
        <x:v>0</x:v>
      </x:c>
      <x:c r="D87" s="131" t="n">
        <x:v>38711893.33</x:v>
      </x:c>
      <x:c r="E87" s="131" t="n">
        <x:v>1741005092.0055003</x:v>
      </x:c>
      <x:c r="F87" s="131" t="n">
        <x:f>SUM(B87:E87)</x:f>
        <x:v>1779716985.3355002</x:v>
      </x:c>
      <x:c r="G87" s="111" t="str">
        <x:v>Independente</x:v>
      </x:c>
      <x:c r="H87" s="140" t="str">
        <x:v>Independente</x:v>
      </x:c>
      <x:c r="I87" s="111" t="str">
        <x:v>Regra residual — revisar manualmente</x:v>
      </x:c>
      <x:c r="J87" s="149" t="str">
        <x:v>Sim</x:v>
      </x:c>
      <x:c r="K87" s="131" t="n">
        <x:f>IF($H87="Independente",$F87,0)</x:f>
        <x:v>1779716985.3355002</x:v>
      </x:c>
      <x:c r="L87" s="131" t="n">
        <x:f>IF($H87="Ligada a banco",$F87,0)</x:f>
        <x:v>0</x:v>
      </x:c>
      <x:c r="M87" s="114" t="n">
        <x:f>IF(K87&gt;0,RANK(K87,$K$6:$K$462)+COUNTIF($K$6:K87,K87)-1,9999)</x:f>
        <x:v>71</x:v>
      </x:c>
      <x:c r="N87" s="114" t="n">
        <x:f>IF(L87&gt;0,RANK(L87,$L$6:$L$462)+COUNTIF($L$6:L87,L87)-1,9999)</x:f>
        <x:v>9999</x:v>
      </x:c>
    </x:row>
    <x:row r="88">
      <x:c r="A88" s="111" t="str">
        <x:v>OPEA GESTORA DE RECURSOS</x:v>
      </x:c>
      <x:c r="B88" s="131" t="n">
        <x:v>1335242352.39</x:v>
      </x:c>
      <x:c r="C88" s="131" t="n">
        <x:v>429648752.42999995</x:v>
      </x:c>
      <x:c r="D88" s="131" t="n">
        <x:v>0</x:v>
      </x:c>
      <x:c r="E88" s="131" t="n">
        <x:v>0</x:v>
      </x:c>
      <x:c r="F88" s="131" t="n">
        <x:f>SUM(B88:E88)</x:f>
        <x:v>1764891104.8200002</x:v>
      </x:c>
      <x:c r="G88" s="111" t="str">
        <x:v>Independente</x:v>
      </x:c>
      <x:c r="H88" s="140" t="str">
        <x:v>Independente</x:v>
      </x:c>
      <x:c r="I88" s="111" t="str">
        <x:v>Regra residual — revisar manualmente</x:v>
      </x:c>
      <x:c r="J88" s="149" t="str">
        <x:v>Sim</x:v>
      </x:c>
      <x:c r="K88" s="131" t="n">
        <x:f>IF($H88="Independente",$F88,0)</x:f>
        <x:v>1764891104.8200002</x:v>
      </x:c>
      <x:c r="L88" s="131" t="n">
        <x:f>IF($H88="Ligada a banco",$F88,0)</x:f>
        <x:v>0</x:v>
      </x:c>
      <x:c r="M88" s="114" t="n">
        <x:f>IF(K88&gt;0,RANK(K88,$K$6:$K$462)+COUNTIF($K$6:K88,K88)-1,9999)</x:f>
        <x:v>72</x:v>
      </x:c>
      <x:c r="N88" s="114" t="n">
        <x:f>IF(L88&gt;0,RANK(L88,$L$6:$L$462)+COUNTIF($L$6:L88,L88)-1,9999)</x:f>
        <x:v>9999</x:v>
      </x:c>
    </x:row>
    <x:row r="89">
      <x:c r="A89" s="111" t="str">
        <x:v>Trius Capital</x:v>
      </x:c>
      <x:c r="B89" s="131" t="n">
        <x:v>0</x:v>
      </x:c>
      <x:c r="C89" s="131" t="n">
        <x:v>40174193.21</x:v>
      </x:c>
      <x:c r="D89" s="131" t="n">
        <x:v>0</x:v>
      </x:c>
      <x:c r="E89" s="131" t="n">
        <x:v>1723257693.29</x:v>
      </x:c>
      <x:c r="F89" s="131" t="n">
        <x:f>SUM(B89:E89)</x:f>
        <x:v>1763431886.5</x:v>
      </x:c>
      <x:c r="G89" s="111" t="str">
        <x:v>Independente</x:v>
      </x:c>
      <x:c r="H89" s="140" t="str">
        <x:v>Independente</x:v>
      </x:c>
      <x:c r="I89" s="111" t="str">
        <x:v>Regra residual — revisar manualmente</x:v>
      </x:c>
      <x:c r="J89" s="149" t="str">
        <x:v>Sim</x:v>
      </x:c>
      <x:c r="K89" s="131" t="n">
        <x:f>IF($H89="Independente",$F89,0)</x:f>
        <x:v>1763431886.5</x:v>
      </x:c>
      <x:c r="L89" s="131" t="n">
        <x:f>IF($H89="Ligada a banco",$F89,0)</x:f>
        <x:v>0</x:v>
      </x:c>
      <x:c r="M89" s="114" t="n">
        <x:f>IF(K89&gt;0,RANK(K89,$K$6:$K$462)+COUNTIF($K$6:K89,K89)-1,9999)</x:f>
        <x:v>73</x:v>
      </x:c>
      <x:c r="N89" s="114" t="n">
        <x:f>IF(L89&gt;0,RANK(L89,$L$6:$L$462)+COUNTIF($L$6:L89,L89)-1,9999)</x:f>
        <x:v>9999</x:v>
      </x:c>
    </x:row>
    <x:row r="90">
      <x:c r="A90" s="111" t="str">
        <x:v>Prisma Claims Ltda.</x:v>
      </x:c>
      <x:c r="B90" s="131" t="n">
        <x:v>150684791.83</x:v>
      </x:c>
      <x:c r="C90" s="131" t="n">
        <x:v>0</x:v>
      </x:c>
      <x:c r="D90" s="131" t="n">
        <x:v>0</x:v>
      </x:c>
      <x:c r="E90" s="131" t="n">
        <x:v>1569982766.0100002</x:v>
      </x:c>
      <x:c r="F90" s="131" t="n">
        <x:f>SUM(B90:E90)</x:f>
        <x:v>1720667557.8400002</x:v>
      </x:c>
      <x:c r="G90" s="111" t="str">
        <x:v>Independente</x:v>
      </x:c>
      <x:c r="H90" s="140" t="str">
        <x:v>Independente</x:v>
      </x:c>
      <x:c r="I90" s="111" t="str">
        <x:v>Regra residual — revisar manualmente</x:v>
      </x:c>
      <x:c r="J90" s="149" t="str">
        <x:v>Sim</x:v>
      </x:c>
      <x:c r="K90" s="131" t="n">
        <x:f>IF($H90="Independente",$F90,0)</x:f>
        <x:v>1720667557.8400002</x:v>
      </x:c>
      <x:c r="L90" s="131" t="n">
        <x:f>IF($H90="Ligada a banco",$F90,0)</x:f>
        <x:v>0</x:v>
      </x:c>
      <x:c r="M90" s="114" t="n">
        <x:f>IF(K90&gt;0,RANK(K90,$K$6:$K$462)+COUNTIF($K$6:K90,K90)-1,9999)</x:f>
        <x:v>74</x:v>
      </x:c>
      <x:c r="N90" s="114" t="n">
        <x:f>IF(L90&gt;0,RANK(L90,$L$6:$L$462)+COUNTIF($L$6:L90,L90)-1,9999)</x:f>
        <x:v>9999</x:v>
      </x:c>
    </x:row>
    <x:row r="91">
      <x:c r="A91" s="111" t="str">
        <x:v>Artesanal Agro</x:v>
      </x:c>
      <x:c r="B91" s="131" t="n">
        <x:v>1717452403.4599996</x:v>
      </x:c>
      <x:c r="C91" s="131" t="n">
        <x:v>0</x:v>
      </x:c>
      <x:c r="D91" s="131" t="n">
        <x:v>0</x:v>
      </x:c>
      <x:c r="E91" s="131" t="n">
        <x:v>0</x:v>
      </x:c>
      <x:c r="F91" s="131" t="n">
        <x:f>SUM(B91:E91)</x:f>
        <x:v>1717452403.4599996</x:v>
      </x:c>
      <x:c r="G91" s="111" t="str">
        <x:v>Independente</x:v>
      </x:c>
      <x:c r="H91" s="140" t="str">
        <x:v>Independente</x:v>
      </x:c>
      <x:c r="I91" s="111" t="str">
        <x:v>Regra residual — revisar manualmente</x:v>
      </x:c>
      <x:c r="J91" s="149" t="str">
        <x:v>Sim</x:v>
      </x:c>
      <x:c r="K91" s="131" t="n">
        <x:f>IF($H91="Independente",$F91,0)</x:f>
        <x:v>1717452403.4599996</x:v>
      </x:c>
      <x:c r="L91" s="131" t="n">
        <x:f>IF($H91="Ligada a banco",$F91,0)</x:f>
        <x:v>0</x:v>
      </x:c>
      <x:c r="M91" s="114" t="n">
        <x:f>IF(K91&gt;0,RANK(K91,$K$6:$K$462)+COUNTIF($K$6:K91,K91)-1,9999)</x:f>
        <x:v>75</x:v>
      </x:c>
      <x:c r="N91" s="114" t="n">
        <x:f>IF(L91&gt;0,RANK(L91,$L$6:$L$462)+COUNTIF($L$6:L91,L91)-1,9999)</x:f>
        <x:v>9999</x:v>
      </x:c>
    </x:row>
    <x:row r="92">
      <x:c r="A92" s="111" t="str">
        <x:v>REAG BERKANA</x:v>
      </x:c>
      <x:c r="B92" s="131" t="n">
        <x:v>1707130307.6</x:v>
      </x:c>
      <x:c r="C92" s="131" t="n">
        <x:v>0</x:v>
      </x:c>
      <x:c r="D92" s="131" t="n">
        <x:v>0</x:v>
      </x:c>
      <x:c r="E92" s="131" t="n">
        <x:v>0</x:v>
      </x:c>
      <x:c r="F92" s="131" t="n">
        <x:f>SUM(B92:E92)</x:f>
        <x:v>1707130307.6</x:v>
      </x:c>
      <x:c r="G92" s="111" t="str">
        <x:v>Independente</x:v>
      </x:c>
      <x:c r="H92" s="140" t="str">
        <x:v>Independente</x:v>
      </x:c>
      <x:c r="I92" s="111" t="str">
        <x:v>Regra residual — revisar manualmente</x:v>
      </x:c>
      <x:c r="J92" s="149" t="str">
        <x:v>Sim</x:v>
      </x:c>
      <x:c r="K92" s="131" t="n">
        <x:f>IF($H92="Independente",$F92,0)</x:f>
        <x:v>1707130307.6</x:v>
      </x:c>
      <x:c r="L92" s="131" t="n">
        <x:f>IF($H92="Ligada a banco",$F92,0)</x:f>
        <x:v>0</x:v>
      </x:c>
      <x:c r="M92" s="114" t="n">
        <x:f>IF(K92&gt;0,RANK(K92,$K$6:$K$462)+COUNTIF($K$6:K92,K92)-1,9999)</x:f>
        <x:v>76</x:v>
      </x:c>
      <x:c r="N92" s="114" t="n">
        <x:f>IF(L92&gt;0,RANK(L92,$L$6:$L$462)+COUNTIF($L$6:L92,L92)-1,9999)</x:f>
        <x:v>9999</x:v>
      </x:c>
    </x:row>
    <x:row r="93">
      <x:c r="A93" s="111" t="str">
        <x:v>Latache Capital</x:v>
      </x:c>
      <x:c r="B93" s="131" t="n">
        <x:v>0</x:v>
      </x:c>
      <x:c r="C93" s="131" t="n">
        <x:v>0</x:v>
      </x:c>
      <x:c r="D93" s="131" t="n">
        <x:v>0</x:v>
      </x:c>
      <x:c r="E93" s="131" t="n">
        <x:v>1605147299.71</x:v>
      </x:c>
      <x:c r="F93" s="131" t="n">
        <x:f>SUM(B93:E93)</x:f>
        <x:v>1605147299.71</x:v>
      </x:c>
      <x:c r="G93" s="111" t="str">
        <x:v>Independente</x:v>
      </x:c>
      <x:c r="H93" s="140" t="str">
        <x:v>Independente</x:v>
      </x:c>
      <x:c r="I93" s="111" t="str">
        <x:v>Regra residual — revisar manualmente</x:v>
      </x:c>
      <x:c r="J93" s="149" t="str">
        <x:v>Sim</x:v>
      </x:c>
      <x:c r="K93" s="131" t="n">
        <x:f>IF($H93="Independente",$F93,0)</x:f>
        <x:v>1605147299.71</x:v>
      </x:c>
      <x:c r="L93" s="131" t="n">
        <x:f>IF($H93="Ligada a banco",$F93,0)</x:f>
        <x:v>0</x:v>
      </x:c>
      <x:c r="M93" s="114" t="n">
        <x:f>IF(K93&gt;0,RANK(K93,$K$6:$K$462)+COUNTIF($K$6:K93,K93)-1,9999)</x:f>
        <x:v>77</x:v>
      </x:c>
      <x:c r="N93" s="114" t="n">
        <x:f>IF(L93&gt;0,RANK(L93,$L$6:$L$462)+COUNTIF($L$6:L93,L93)-1,9999)</x:f>
        <x:v>9999</x:v>
      </x:c>
    </x:row>
    <x:row r="94">
      <x:c r="A94" s="111" t="str">
        <x:v>Quatá Investimentos</x:v>
      </x:c>
      <x:c r="B94" s="131" t="n">
        <x:v>447606961.8</x:v>
      </x:c>
      <x:c r="C94" s="131" t="n">
        <x:v>337472889.05000997</x:v>
      </x:c>
      <x:c r="D94" s="131" t="n">
        <x:v>232351437.96999997</x:v>
      </x:c>
      <x:c r="E94" s="131" t="n">
        <x:v>560454514.62</x:v>
      </x:c>
      <x:c r="F94" s="131" t="n">
        <x:f>SUM(B94:E94)</x:f>
        <x:v>1577885803.44001</x:v>
      </x:c>
      <x:c r="G94" s="111" t="str">
        <x:v>Independente</x:v>
      </x:c>
      <x:c r="H94" s="140" t="str">
        <x:v>Independente</x:v>
      </x:c>
      <x:c r="I94" s="111" t="str">
        <x:v>Regra residual — revisar manualmente</x:v>
      </x:c>
      <x:c r="J94" s="149" t="str">
        <x:v>Sim</x:v>
      </x:c>
      <x:c r="K94" s="131" t="n">
        <x:f>IF($H94="Independente",$F94,0)</x:f>
        <x:v>1577885803.44001</x:v>
      </x:c>
      <x:c r="L94" s="131" t="n">
        <x:f>IF($H94="Ligada a banco",$F94,0)</x:f>
        <x:v>0</x:v>
      </x:c>
      <x:c r="M94" s="114" t="n">
        <x:f>IF(K94&gt;0,RANK(K94,$K$6:$K$462)+COUNTIF($K$6:K94,K94)-1,9999)</x:f>
        <x:v>78</x:v>
      </x:c>
      <x:c r="N94" s="114" t="n">
        <x:f>IF(L94&gt;0,RANK(L94,$L$6:$L$462)+COUNTIF($L$6:L94,L94)-1,9999)</x:f>
        <x:v>9999</x:v>
      </x:c>
    </x:row>
    <x:row r="95">
      <x:c r="A95" s="111" t="str">
        <x:v>Oliveira Trust DTVM</x:v>
      </x:c>
      <x:c r="B95" s="131" t="n">
        <x:v>231061523.25</x:v>
      </x:c>
      <x:c r="C95" s="131" t="n">
        <x:v>1004215920.33</x:v>
      </x:c>
      <x:c r="D95" s="131" t="n">
        <x:v>0</x:v>
      </x:c>
      <x:c r="E95" s="131" t="n">
        <x:v>304792651.11999995</x:v>
      </x:c>
      <x:c r="F95" s="131" t="n">
        <x:f>SUM(B95:E95)</x:f>
        <x:v>1540070094.6999998</x:v>
      </x:c>
      <x:c r="G95" s="111" t="str">
        <x:v>Independente</x:v>
      </x:c>
      <x:c r="H95" s="140" t="str">
        <x:v>Independente</x:v>
      </x:c>
      <x:c r="I95" s="111" t="str">
        <x:v>Regra residual — revisar manualmente</x:v>
      </x:c>
      <x:c r="J95" s="149" t="str">
        <x:v>Sim</x:v>
      </x:c>
      <x:c r="K95" s="131" t="n">
        <x:f>IF($H95="Independente",$F95,0)</x:f>
        <x:v>1540070094.6999998</x:v>
      </x:c>
      <x:c r="L95" s="131" t="n">
        <x:f>IF($H95="Ligada a banco",$F95,0)</x:f>
        <x:v>0</x:v>
      </x:c>
      <x:c r="M95" s="114" t="n">
        <x:f>IF(K95&gt;0,RANK(K95,$K$6:$K$462)+COUNTIF($K$6:K95,K95)-1,9999)</x:f>
        <x:v>79</x:v>
      </x:c>
      <x:c r="N95" s="114" t="n">
        <x:f>IF(L95&gt;0,RANK(L95,$L$6:$L$462)+COUNTIF($L$6:L95,L95)-1,9999)</x:f>
        <x:v>9999</x:v>
      </x:c>
    </x:row>
    <x:row r="96">
      <x:c r="A96" s="111" t="str">
        <x:v>Portofino Multi Family Office</x:v>
      </x:c>
      <x:c r="B96" s="131" t="n">
        <x:v>0</x:v>
      </x:c>
      <x:c r="C96" s="131" t="n">
        <x:v>0</x:v>
      </x:c>
      <x:c r="D96" s="131" t="n">
        <x:v>0</x:v>
      </x:c>
      <x:c r="E96" s="131" t="n">
        <x:v>1511382224.78</x:v>
      </x:c>
      <x:c r="F96" s="131" t="n">
        <x:f>SUM(B96:E96)</x:f>
        <x:v>1511382224.78</x:v>
      </x:c>
      <x:c r="G96" s="111" t="str">
        <x:v>Independente</x:v>
      </x:c>
      <x:c r="H96" s="140" t="str">
        <x:v>Independente</x:v>
      </x:c>
      <x:c r="I96" s="111" t="str">
        <x:v>Regra residual — revisar manualmente</x:v>
      </x:c>
      <x:c r="J96" s="149" t="str">
        <x:v>Sim</x:v>
      </x:c>
      <x:c r="K96" s="131" t="n">
        <x:f>IF($H96="Independente",$F96,0)</x:f>
        <x:v>1511382224.78</x:v>
      </x:c>
      <x:c r="L96" s="131" t="n">
        <x:f>IF($H96="Ligada a banco",$F96,0)</x:f>
        <x:v>0</x:v>
      </x:c>
      <x:c r="M96" s="114" t="n">
        <x:f>IF(K96&gt;0,RANK(K96,$K$6:$K$462)+COUNTIF($K$6:K96,K96)-1,9999)</x:f>
        <x:v>80</x:v>
      </x:c>
      <x:c r="N96" s="114" t="n">
        <x:f>IF(L96&gt;0,RANK(L96,$L$6:$L$462)+COUNTIF($L$6:L96,L96)-1,9999)</x:f>
        <x:v>9999</x:v>
      </x:c>
    </x:row>
    <x:row r="97">
      <x:c r="A97" s="111" t="str">
        <x:v>Strata Capital</x:v>
      </x:c>
      <x:c r="B97" s="131" t="n">
        <x:v>21225417.15</x:v>
      </x:c>
      <x:c r="C97" s="131" t="n">
        <x:v>647812797.9300001</x:v>
      </x:c>
      <x:c r="D97" s="131" t="n">
        <x:v>0</x:v>
      </x:c>
      <x:c r="E97" s="131" t="n">
        <x:v>822907169.39</x:v>
      </x:c>
      <x:c r="F97" s="131" t="n">
        <x:f>SUM(B97:E97)</x:f>
        <x:v>1491945384.47</x:v>
      </x:c>
      <x:c r="G97" s="111" t="str">
        <x:v>Independente</x:v>
      </x:c>
      <x:c r="H97" s="140" t="str">
        <x:v>Independente</x:v>
      </x:c>
      <x:c r="I97" s="111" t="str">
        <x:v>Regra residual — revisar manualmente</x:v>
      </x:c>
      <x:c r="J97" s="149" t="str">
        <x:v>Sim</x:v>
      </x:c>
      <x:c r="K97" s="131" t="n">
        <x:f>IF($H97="Independente",$F97,0)</x:f>
        <x:v>1491945384.47</x:v>
      </x:c>
      <x:c r="L97" s="131" t="n">
        <x:f>IF($H97="Ligada a banco",$F97,0)</x:f>
        <x:v>0</x:v>
      </x:c>
      <x:c r="M97" s="114" t="n">
        <x:f>IF(K97&gt;0,RANK(K97,$K$6:$K$462)+COUNTIF($K$6:K97,K97)-1,9999)</x:f>
        <x:v>81</x:v>
      </x:c>
      <x:c r="N97" s="114" t="n">
        <x:f>IF(L97&gt;0,RANK(L97,$L$6:$L$462)+COUNTIF($L$6:L97,L97)-1,9999)</x:f>
        <x:v>9999</x:v>
      </x:c>
    </x:row>
    <x:row r="98">
      <x:c r="A98" s="111" t="str">
        <x:v>AUGME CAPITAL GESTÃO DE RECURSOS LTDA.</x:v>
      </x:c>
      <x:c r="B98" s="131" t="n">
        <x:v>102487021.08</x:v>
      </x:c>
      <x:c r="C98" s="131" t="n">
        <x:v>52623648.06</x:v>
      </x:c>
      <x:c r="D98" s="131" t="n">
        <x:v>0</x:v>
      </x:c>
      <x:c r="E98" s="131" t="n">
        <x:v>1318943928.9800005</x:v>
      </x:c>
      <x:c r="F98" s="131" t="n">
        <x:f>SUM(B98:E98)</x:f>
        <x:v>1474054598.1200004</x:v>
      </x:c>
      <x:c r="G98" s="111" t="str">
        <x:v>Independente</x:v>
      </x:c>
      <x:c r="H98" s="140" t="str">
        <x:v>Independente</x:v>
      </x:c>
      <x:c r="I98" s="111" t="str">
        <x:v>Regra residual — revisar manualmente</x:v>
      </x:c>
      <x:c r="J98" s="149" t="str">
        <x:v>Sim</x:v>
      </x:c>
      <x:c r="K98" s="131" t="n">
        <x:f>IF($H98="Independente",$F98,0)</x:f>
        <x:v>1474054598.1200004</x:v>
      </x:c>
      <x:c r="L98" s="131" t="n">
        <x:f>IF($H98="Ligada a banco",$F98,0)</x:f>
        <x:v>0</x:v>
      </x:c>
      <x:c r="M98" s="114" t="n">
        <x:f>IF(K98&gt;0,RANK(K98,$K$6:$K$462)+COUNTIF($K$6:K98,K98)-1,9999)</x:f>
        <x:v>82</x:v>
      </x:c>
      <x:c r="N98" s="114" t="n">
        <x:f>IF(L98&gt;0,RANK(L98,$L$6:$L$462)+COUNTIF($L$6:L98,L98)-1,9999)</x:f>
        <x:v>9999</x:v>
      </x:c>
    </x:row>
    <x:row r="99">
      <x:c r="A99" s="111" t="str">
        <x:v>Farmtech Gestão de Recursos Ltda.</x:v>
      </x:c>
      <x:c r="B99" s="131" t="n">
        <x:v>1445209507.1711998</x:v>
      </x:c>
      <x:c r="C99" s="131" t="n">
        <x:v>0</x:v>
      </x:c>
      <x:c r="D99" s="131" t="n">
        <x:v>0</x:v>
      </x:c>
      <x:c r="E99" s="131" t="n">
        <x:v>0</x:v>
      </x:c>
      <x:c r="F99" s="131" t="n">
        <x:f>SUM(B99:E99)</x:f>
        <x:v>1445209507.1711998</x:v>
      </x:c>
      <x:c r="G99" s="111" t="str">
        <x:v>Independente</x:v>
      </x:c>
      <x:c r="H99" s="140" t="str">
        <x:v>Independente</x:v>
      </x:c>
      <x:c r="I99" s="111" t="str">
        <x:v>Regra residual — revisar manualmente</x:v>
      </x:c>
      <x:c r="J99" s="149" t="str">
        <x:v>Sim</x:v>
      </x:c>
      <x:c r="K99" s="131" t="n">
        <x:f>IF($H99="Independente",$F99,0)</x:f>
        <x:v>1445209507.1711998</x:v>
      </x:c>
      <x:c r="L99" s="131" t="n">
        <x:f>IF($H99="Ligada a banco",$F99,0)</x:f>
        <x:v>0</x:v>
      </x:c>
      <x:c r="M99" s="114" t="n">
        <x:f>IF(K99&gt;0,RANK(K99,$K$6:$K$462)+COUNTIF($K$6:K99,K99)-1,9999)</x:f>
        <x:v>83</x:v>
      </x:c>
      <x:c r="N99" s="114" t="n">
        <x:f>IF(L99&gt;0,RANK(L99,$L$6:$L$462)+COUNTIF($L$6:L99,L99)-1,9999)</x:f>
        <x:v>9999</x:v>
      </x:c>
    </x:row>
    <x:row r="100">
      <x:c r="A100" s="111" t="str">
        <x:v>Artesanal Imobiliário</x:v>
      </x:c>
      <x:c r="B100" s="131" t="n">
        <x:v>0</x:v>
      </x:c>
      <x:c r="C100" s="131" t="n">
        <x:v>1209870846.5100002</x:v>
      </x:c>
      <x:c r="D100" s="131" t="n">
        <x:v>209062462.36000004</x:v>
      </x:c>
      <x:c r="E100" s="131" t="n">
        <x:v>0</x:v>
      </x:c>
      <x:c r="F100" s="131" t="n">
        <x:f>SUM(B100:E100)</x:f>
        <x:v>1418933308.8700004</x:v>
      </x:c>
      <x:c r="G100" s="111" t="str">
        <x:v>Independente</x:v>
      </x:c>
      <x:c r="H100" s="140" t="str">
        <x:v>Independente</x:v>
      </x:c>
      <x:c r="I100" s="111" t="str">
        <x:v>Regra residual — revisar manualmente</x:v>
      </x:c>
      <x:c r="J100" s="149" t="str">
        <x:v>Sim</x:v>
      </x:c>
      <x:c r="K100" s="131" t="n">
        <x:f>IF($H100="Independente",$F100,0)</x:f>
        <x:v>1418933308.8700004</x:v>
      </x:c>
      <x:c r="L100" s="131" t="n">
        <x:f>IF($H100="Ligada a banco",$F100,0)</x:f>
        <x:v>0</x:v>
      </x:c>
      <x:c r="M100" s="114" t="n">
        <x:f>IF(K100&gt;0,RANK(K100,$K$6:$K$462)+COUNTIF($K$6:K100,K100)-1,9999)</x:f>
        <x:v>84</x:v>
      </x:c>
      <x:c r="N100" s="114" t="n">
        <x:f>IF(L100&gt;0,RANK(L100,$L$6:$L$462)+COUNTIF($L$6:L100,L100)-1,9999)</x:f>
        <x:v>9999</x:v>
      </x:c>
    </x:row>
    <x:row r="101">
      <x:c r="A101" s="111" t="str">
        <x:v>MAM ASSET MANAGEMENT</x:v>
      </x:c>
      <x:c r="B101" s="131" t="n">
        <x:v>0</x:v>
      </x:c>
      <x:c r="C101" s="131" t="n">
        <x:v>0</x:v>
      </x:c>
      <x:c r="D101" s="131" t="n">
        <x:v>0</x:v>
      </x:c>
      <x:c r="E101" s="131" t="n">
        <x:v>1375040562.7499998</x:v>
      </x:c>
      <x:c r="F101" s="131" t="n">
        <x:f>SUM(B101:E101)</x:f>
        <x:v>1375040562.7499998</x:v>
      </x:c>
      <x:c r="G101" s="111" t="str">
        <x:v>Independente</x:v>
      </x:c>
      <x:c r="H101" s="140" t="str">
        <x:v>Independente</x:v>
      </x:c>
      <x:c r="I101" s="111" t="str">
        <x:v>Regra residual — revisar manualmente</x:v>
      </x:c>
      <x:c r="J101" s="149" t="str">
        <x:v>Sim</x:v>
      </x:c>
      <x:c r="K101" s="131" t="n">
        <x:f>IF($H101="Independente",$F101,0)</x:f>
        <x:v>1375040562.7499998</x:v>
      </x:c>
      <x:c r="L101" s="131" t="n">
        <x:f>IF($H101="Ligada a banco",$F101,0)</x:f>
        <x:v>0</x:v>
      </x:c>
      <x:c r="M101" s="114" t="n">
        <x:f>IF(K101&gt;0,RANK(K101,$K$6:$K$462)+COUNTIF($K$6:K101,K101)-1,9999)</x:f>
        <x:v>85</x:v>
      </x:c>
      <x:c r="N101" s="114" t="n">
        <x:f>IF(L101&gt;0,RANK(L101,$L$6:$L$462)+COUNTIF($L$6:L101,L101)-1,9999)</x:f>
        <x:v>9999</x:v>
      </x:c>
    </x:row>
    <x:row r="102">
      <x:c r="A102" s="111" t="str">
        <x:v>KP GESTÃO DE RECURSOS LTDA.</x:v>
      </x:c>
      <x:c r="B102" s="131" t="n">
        <x:v>0</x:v>
      </x:c>
      <x:c r="C102" s="131" t="n">
        <x:v>165440310.13000005</x:v>
      </x:c>
      <x:c r="D102" s="131" t="n">
        <x:v>227587680.05999997</x:v>
      </x:c>
      <x:c r="E102" s="131" t="n">
        <x:v>906765453.2000004</x:v>
      </x:c>
      <x:c r="F102" s="131" t="n">
        <x:f>SUM(B102:E102)</x:f>
        <x:v>1299793443.3900003</x:v>
      </x:c>
      <x:c r="G102" s="111" t="str">
        <x:v>Independente</x:v>
      </x:c>
      <x:c r="H102" s="140" t="str">
        <x:v>Independente</x:v>
      </x:c>
      <x:c r="I102" s="111" t="str">
        <x:v>Regra residual — revisar manualmente</x:v>
      </x:c>
      <x:c r="J102" s="149" t="str">
        <x:v>Sim</x:v>
      </x:c>
      <x:c r="K102" s="131" t="n">
        <x:f>IF($H102="Independente",$F102,0)</x:f>
        <x:v>1299793443.3900003</x:v>
      </x:c>
      <x:c r="L102" s="131" t="n">
        <x:f>IF($H102="Ligada a banco",$F102,0)</x:f>
        <x:v>0</x:v>
      </x:c>
      <x:c r="M102" s="114" t="n">
        <x:f>IF(K102&gt;0,RANK(K102,$K$6:$K$462)+COUNTIF($K$6:K102,K102)-1,9999)</x:f>
        <x:v>86</x:v>
      </x:c>
      <x:c r="N102" s="114" t="n">
        <x:f>IF(L102&gt;0,RANK(L102,$L$6:$L$462)+COUNTIF($L$6:L102,L102)-1,9999)</x:f>
        <x:v>9999</x:v>
      </x:c>
    </x:row>
    <x:row r="103">
      <x:c r="A103" s="111" t="str">
        <x:v>Renova Gestora</x:v>
      </x:c>
      <x:c r="B103" s="131" t="n">
        <x:v>0</x:v>
      </x:c>
      <x:c r="C103" s="131" t="n">
        <x:v>75282908.4</x:v>
      </x:c>
      <x:c r="D103" s="131" t="n">
        <x:v>52242011.85</x:v>
      </x:c>
      <x:c r="E103" s="131" t="n">
        <x:v>1165637698.2599998</x:v>
      </x:c>
      <x:c r="F103" s="131" t="n">
        <x:f>SUM(B103:E103)</x:f>
        <x:v>1293162618.5099998</x:v>
      </x:c>
      <x:c r="G103" s="111" t="str">
        <x:v>Independente</x:v>
      </x:c>
      <x:c r="H103" s="140" t="str">
        <x:v>Independente</x:v>
      </x:c>
      <x:c r="I103" s="111" t="str">
        <x:v>Regra residual — revisar manualmente</x:v>
      </x:c>
      <x:c r="J103" s="149" t="str">
        <x:v>Sim</x:v>
      </x:c>
      <x:c r="K103" s="131" t="n">
        <x:f>IF($H103="Independente",$F103,0)</x:f>
        <x:v>1293162618.5099998</x:v>
      </x:c>
      <x:c r="L103" s="131" t="n">
        <x:f>IF($H103="Ligada a banco",$F103,0)</x:f>
        <x:v>0</x:v>
      </x:c>
      <x:c r="M103" s="114" t="n">
        <x:f>IF(K103&gt;0,RANK(K103,$K$6:$K$462)+COUNTIF($K$6:K103,K103)-1,9999)</x:f>
        <x:v>87</x:v>
      </x:c>
      <x:c r="N103" s="114" t="n">
        <x:f>IF(L103&gt;0,RANK(L103,$L$6:$L$462)+COUNTIF($L$6:L103,L103)-1,9999)</x:f>
        <x:v>9999</x:v>
      </x:c>
    </x:row>
    <x:row r="104">
      <x:c r="A104" s="111" t="str">
        <x:v>Harbour Capital</x:v>
      </x:c>
      <x:c r="B104" s="131" t="n">
        <x:v>0</x:v>
      </x:c>
      <x:c r="C104" s="131" t="n">
        <x:v>24731039.43</x:v>
      </x:c>
      <x:c r="D104" s="131" t="n">
        <x:v>1220235482.3000004</x:v>
      </x:c>
      <x:c r="E104" s="131" t="n">
        <x:v>48070194.15</x:v>
      </x:c>
      <x:c r="F104" s="131" t="n">
        <x:f>SUM(B104:E104)</x:f>
        <x:v>1293036715.8800006</x:v>
      </x:c>
      <x:c r="G104" s="111" t="str">
        <x:v>Independente</x:v>
      </x:c>
      <x:c r="H104" s="140" t="str">
        <x:v>Independente</x:v>
      </x:c>
      <x:c r="I104" s="111" t="str">
        <x:v>Regra residual — revisar manualmente</x:v>
      </x:c>
      <x:c r="J104" s="149" t="str">
        <x:v>Sim</x:v>
      </x:c>
      <x:c r="K104" s="131" t="n">
        <x:f>IF($H104="Independente",$F104,0)</x:f>
        <x:v>1293036715.8800006</x:v>
      </x:c>
      <x:c r="L104" s="131" t="n">
        <x:f>IF($H104="Ligada a banco",$F104,0)</x:f>
        <x:v>0</x:v>
      </x:c>
      <x:c r="M104" s="114" t="n">
        <x:f>IF(K104&gt;0,RANK(K104,$K$6:$K$462)+COUNTIF($K$6:K104,K104)-1,9999)</x:f>
        <x:v>88</x:v>
      </x:c>
      <x:c r="N104" s="114" t="n">
        <x:f>IF(L104&gt;0,RANK(L104,$L$6:$L$462)+COUNTIF($L$6:L104,L104)-1,9999)</x:f>
        <x:v>9999</x:v>
      </x:c>
    </x:row>
    <x:row r="105">
      <x:c r="A105" s="111" t="str">
        <x:v>Lumina</x:v>
      </x:c>
      <x:c r="B105" s="131" t="n">
        <x:v>0</x:v>
      </x:c>
      <x:c r="C105" s="131" t="n">
        <x:v>0</x:v>
      </x:c>
      <x:c r="D105" s="131" t="n">
        <x:v>202087792.15</x:v>
      </x:c>
      <x:c r="E105" s="131" t="n">
        <x:v>1058929788.47</x:v>
      </x:c>
      <x:c r="F105" s="131" t="n">
        <x:f>SUM(B105:E105)</x:f>
        <x:v>1261017580.6200001</x:v>
      </x:c>
      <x:c r="G105" s="111" t="str">
        <x:v>Independente</x:v>
      </x:c>
      <x:c r="H105" s="140" t="str">
        <x:v>Independente</x:v>
      </x:c>
      <x:c r="I105" s="111" t="str">
        <x:v>Regra residual — revisar manualmente</x:v>
      </x:c>
      <x:c r="J105" s="149" t="str">
        <x:v>Sim</x:v>
      </x:c>
      <x:c r="K105" s="131" t="n">
        <x:f>IF($H105="Independente",$F105,0)</x:f>
        <x:v>1261017580.6200001</x:v>
      </x:c>
      <x:c r="L105" s="131" t="n">
        <x:f>IF($H105="Ligada a banco",$F105,0)</x:f>
        <x:v>0</x:v>
      </x:c>
      <x:c r="M105" s="114" t="n">
        <x:f>IF(K105&gt;0,RANK(K105,$K$6:$K$462)+COUNTIF($K$6:K105,K105)-1,9999)</x:f>
        <x:v>89</x:v>
      </x:c>
      <x:c r="N105" s="114" t="n">
        <x:f>IF(L105&gt;0,RANK(L105,$L$6:$L$462)+COUNTIF($L$6:L105,L105)-1,9999)</x:f>
        <x:v>9999</x:v>
      </x:c>
    </x:row>
    <x:row r="106">
      <x:c r="A106" s="111" t="str">
        <x:v>ROOT CAPITAL</x:v>
      </x:c>
      <x:c r="B106" s="131" t="n">
        <x:v>0</x:v>
      </x:c>
      <x:c r="C106" s="131" t="n">
        <x:v>0</x:v>
      </x:c>
      <x:c r="D106" s="131" t="n">
        <x:v>0</x:v>
      </x:c>
      <x:c r="E106" s="131" t="n">
        <x:v>1206308260.18345</x:v>
      </x:c>
      <x:c r="F106" s="131" t="n">
        <x:f>SUM(B106:E106)</x:f>
        <x:v>1206308260.18345</x:v>
      </x:c>
      <x:c r="G106" s="111" t="str">
        <x:v>Independente</x:v>
      </x:c>
      <x:c r="H106" s="140" t="str">
        <x:v>Independente</x:v>
      </x:c>
      <x:c r="I106" s="111" t="str">
        <x:v>Regra residual — revisar manualmente</x:v>
      </x:c>
      <x:c r="J106" s="149" t="str">
        <x:v>Sim</x:v>
      </x:c>
      <x:c r="K106" s="131" t="n">
        <x:f>IF($H106="Independente",$F106,0)</x:f>
        <x:v>1206308260.18345</x:v>
      </x:c>
      <x:c r="L106" s="131" t="n">
        <x:f>IF($H106="Ligada a banco",$F106,0)</x:f>
        <x:v>0</x:v>
      </x:c>
      <x:c r="M106" s="114" t="n">
        <x:f>IF(K106&gt;0,RANK(K106,$K$6:$K$462)+COUNTIF($K$6:K106,K106)-1,9999)</x:f>
        <x:v>90</x:v>
      </x:c>
      <x:c r="N106" s="114" t="n">
        <x:f>IF(L106&gt;0,RANK(L106,$L$6:$L$462)+COUNTIF($L$6:L106,L106)-1,9999)</x:f>
        <x:v>9999</x:v>
      </x:c>
    </x:row>
    <x:row r="107">
      <x:c r="A107" s="111" t="str">
        <x:v>OSLO DTVM S. A.</x:v>
      </x:c>
      <x:c r="B107" s="131" t="n">
        <x:v>0</x:v>
      </x:c>
      <x:c r="C107" s="131" t="n">
        <x:v>0</x:v>
      </x:c>
      <x:c r="D107" s="131" t="n">
        <x:v>0</x:v>
      </x:c>
      <x:c r="E107" s="131" t="n">
        <x:v>1203720423.3</x:v>
      </x:c>
      <x:c r="F107" s="131" t="n">
        <x:f>SUM(B107:E107)</x:f>
        <x:v>1203720423.3</x:v>
      </x:c>
      <x:c r="G107" s="111" t="str">
        <x:v>Independente</x:v>
      </x:c>
      <x:c r="H107" s="140" t="str">
        <x:v>Independente</x:v>
      </x:c>
      <x:c r="I107" s="111" t="str">
        <x:v>Regra residual — revisar manualmente</x:v>
      </x:c>
      <x:c r="J107" s="149" t="str">
        <x:v>Sim</x:v>
      </x:c>
      <x:c r="K107" s="131" t="n">
        <x:f>IF($H107="Independente",$F107,0)</x:f>
        <x:v>1203720423.3</x:v>
      </x:c>
      <x:c r="L107" s="131" t="n">
        <x:f>IF($H107="Ligada a banco",$F107,0)</x:f>
        <x:v>0</x:v>
      </x:c>
      <x:c r="M107" s="114" t="n">
        <x:f>IF(K107&gt;0,RANK(K107,$K$6:$K$462)+COUNTIF($K$6:K107,K107)-1,9999)</x:f>
        <x:v>91</x:v>
      </x:c>
      <x:c r="N107" s="114" t="n">
        <x:f>IF(L107&gt;0,RANK(L107,$L$6:$L$462)+COUNTIF($L$6:L107,L107)-1,9999)</x:f>
        <x:v>9999</x:v>
      </x:c>
    </x:row>
    <x:row r="108">
      <x:c r="A108" s="111" t="str">
        <x:v>SOSU CAPITAL GESTÃO DE INVESTIMENTOS LTDA.</x:v>
      </x:c>
      <x:c r="B108" s="131" t="n">
        <x:v>0</x:v>
      </x:c>
      <x:c r="C108" s="131" t="n">
        <x:v>0</x:v>
      </x:c>
      <x:c r="D108" s="131" t="n">
        <x:v>0</x:v>
      </x:c>
      <x:c r="E108" s="131" t="n">
        <x:v>1199813830.09</x:v>
      </x:c>
      <x:c r="F108" s="131" t="n">
        <x:f>SUM(B108:E108)</x:f>
        <x:v>1199813830.09</x:v>
      </x:c>
      <x:c r="G108" s="111" t="str">
        <x:v>Independente</x:v>
      </x:c>
      <x:c r="H108" s="140" t="str">
        <x:v>Independente</x:v>
      </x:c>
      <x:c r="I108" s="111" t="str">
        <x:v>Regra residual — revisar manualmente</x:v>
      </x:c>
      <x:c r="J108" s="149" t="str">
        <x:v>Sim</x:v>
      </x:c>
      <x:c r="K108" s="131" t="n">
        <x:f>IF($H108="Independente",$F108,0)</x:f>
        <x:v>1199813830.09</x:v>
      </x:c>
      <x:c r="L108" s="131" t="n">
        <x:f>IF($H108="Ligada a banco",$F108,0)</x:f>
        <x:v>0</x:v>
      </x:c>
      <x:c r="M108" s="114" t="n">
        <x:f>IF(K108&gt;0,RANK(K108,$K$6:$K$462)+COUNTIF($K$6:K108,K108)-1,9999)</x:f>
        <x:v>92</x:v>
      </x:c>
      <x:c r="N108" s="114" t="n">
        <x:f>IF(L108&gt;0,RANK(L108,$L$6:$L$462)+COUNTIF($L$6:L108,L108)-1,9999)</x:f>
        <x:v>9999</x:v>
      </x:c>
    </x:row>
    <x:row r="109">
      <x:c r="A109" s="111" t="str">
        <x:v>SOMMA Investimentos</x:v>
      </x:c>
      <x:c r="B109" s="131" t="n">
        <x:v>0</x:v>
      </x:c>
      <x:c r="C109" s="131" t="n">
        <x:v>178258793.87</x:v>
      </x:c>
      <x:c r="D109" s="131" t="n">
        <x:v>212718689.2</x:v>
      </x:c>
      <x:c r="E109" s="131" t="n">
        <x:v>754083680.69</x:v>
      </x:c>
      <x:c r="F109" s="131" t="n">
        <x:f>SUM(B109:E109)</x:f>
        <x:v>1145061163.76</x:v>
      </x:c>
      <x:c r="G109" s="111" t="str">
        <x:v>Independente</x:v>
      </x:c>
      <x:c r="H109" s="140" t="str">
        <x:v>Independente</x:v>
      </x:c>
      <x:c r="I109" s="111" t="str">
        <x:v>Regra residual — revisar manualmente</x:v>
      </x:c>
      <x:c r="J109" s="149" t="str">
        <x:v>Sim</x:v>
      </x:c>
      <x:c r="K109" s="131" t="n">
        <x:f>IF($H109="Independente",$F109,0)</x:f>
        <x:v>1145061163.76</x:v>
      </x:c>
      <x:c r="L109" s="131" t="n">
        <x:f>IF($H109="Ligada a banco",$F109,0)</x:f>
        <x:v>0</x:v>
      </x:c>
      <x:c r="M109" s="114" t="n">
        <x:f>IF(K109&gt;0,RANK(K109,$K$6:$K$462)+COUNTIF($K$6:K109,K109)-1,9999)</x:f>
        <x:v>93</x:v>
      </x:c>
      <x:c r="N109" s="114" t="n">
        <x:f>IF(L109&gt;0,RANK(L109,$L$6:$L$462)+COUNTIF($L$6:L109,L109)-1,9999)</x:f>
        <x:v>9999</x:v>
      </x:c>
    </x:row>
    <x:row r="110">
      <x:c r="A110" s="111" t="str">
        <x:v>Caixa Econ. Federal</x:v>
      </x:c>
      <x:c r="B110" s="131" t="n">
        <x:v>1126388398.73</x:v>
      </x:c>
      <x:c r="C110" s="131" t="n">
        <x:v>2685323.86</x:v>
      </x:c>
      <x:c r="D110" s="131" t="n">
        <x:v>0</x:v>
      </x:c>
      <x:c r="E110" s="131" t="n">
        <x:v>0</x:v>
      </x:c>
      <x:c r="F110" s="131" t="n">
        <x:f>SUM(B110:E110)</x:f>
        <x:v>1129073722.59</x:v>
      </x:c>
      <x:c r="G110" s="111" t="str">
        <x:v>Ligada a banco</x:v>
      </x:c>
      <x:c r="H110" s="140" t="str">
        <x:v>Ligada a banco</x:v>
      </x:c>
      <x:c r="I110" s="111" t="str">
        <x:v>Regra nominal: CAIXA</x:v>
      </x:c>
      <x:c r="J110" s="149" t="str">
        <x:v>Sim</x:v>
      </x:c>
      <x:c r="K110" s="131" t="n">
        <x:f>IF($H110="Independente",$F110,0)</x:f>
        <x:v>0</x:v>
      </x:c>
      <x:c r="L110" s="131" t="n">
        <x:f>IF($H110="Ligada a banco",$F110,0)</x:f>
        <x:v>1129073722.59</x:v>
      </x:c>
      <x:c r="M110" s="114" t="n">
        <x:f>IF(K110&gt;0,RANK(K110,$K$6:$K$462)+COUNTIF($K$6:K110,K110)-1,9999)</x:f>
        <x:v>9999</x:v>
      </x:c>
      <x:c r="N110" s="114" t="n">
        <x:f>IF(L110&gt;0,RANK(L110,$L$6:$L$462)+COUNTIF($L$6:L110,L110)-1,9999)</x:f>
        <x:v>12</x:v>
      </x:c>
    </x:row>
    <x:row r="111">
      <x:c r="A111" s="111" t="str">
        <x:v>Pátria Investimentos Ltda.</x:v>
      </x:c>
      <x:c r="B111" s="131" t="n">
        <x:v>658868248.54</x:v>
      </x:c>
      <x:c r="C111" s="131" t="n">
        <x:v>0</x:v>
      </x:c>
      <x:c r="D111" s="131" t="n">
        <x:v>0</x:v>
      </x:c>
      <x:c r="E111" s="131" t="n">
        <x:v>468307998.62000006</x:v>
      </x:c>
      <x:c r="F111" s="131" t="n">
        <x:f>SUM(B111:E111)</x:f>
        <x:v>1127176247.16</x:v>
      </x:c>
      <x:c r="G111" s="111" t="str">
        <x:v>Independente</x:v>
      </x:c>
      <x:c r="H111" s="140" t="str">
        <x:v>Independente</x:v>
      </x:c>
      <x:c r="I111" s="111" t="str">
        <x:v>Regra residual — revisar manualmente</x:v>
      </x:c>
      <x:c r="J111" s="149" t="str">
        <x:v>Sim</x:v>
      </x:c>
      <x:c r="K111" s="131" t="n">
        <x:f>IF($H111="Independente",$F111,0)</x:f>
        <x:v>1127176247.16</x:v>
      </x:c>
      <x:c r="L111" s="131" t="n">
        <x:f>IF($H111="Ligada a banco",$F111,0)</x:f>
        <x:v>0</x:v>
      </x:c>
      <x:c r="M111" s="114" t="n">
        <x:f>IF(K111&gt;0,RANK(K111,$K$6:$K$462)+COUNTIF($K$6:K111,K111)-1,9999)</x:f>
        <x:v>94</x:v>
      </x:c>
      <x:c r="N111" s="114" t="n">
        <x:f>IF(L111&gt;0,RANK(L111,$L$6:$L$462)+COUNTIF($L$6:L111,L111)-1,9999)</x:f>
        <x:v>9999</x:v>
      </x:c>
    </x:row>
    <x:row r="112">
      <x:c r="A112" s="111" t="str">
        <x:v>Algarve Capital</x:v>
      </x:c>
      <x:c r="B112" s="131" t="n">
        <x:v>0</x:v>
      </x:c>
      <x:c r="C112" s="131" t="n">
        <x:v>0</x:v>
      </x:c>
      <x:c r="D112" s="131" t="n">
        <x:v>0</x:v>
      </x:c>
      <x:c r="E112" s="131" t="n">
        <x:v>1123448309.9899998</x:v>
      </x:c>
      <x:c r="F112" s="131" t="n">
        <x:f>SUM(B112:E112)</x:f>
        <x:v>1123448309.9899998</x:v>
      </x:c>
      <x:c r="G112" s="111" t="str">
        <x:v>Independente</x:v>
      </x:c>
      <x:c r="H112" s="140" t="str">
        <x:v>Independente</x:v>
      </x:c>
      <x:c r="I112" s="111" t="str">
        <x:v>Regra residual — revisar manualmente</x:v>
      </x:c>
      <x:c r="J112" s="149" t="str">
        <x:v>Sim</x:v>
      </x:c>
      <x:c r="K112" s="131" t="n">
        <x:f>IF($H112="Independente",$F112,0)</x:f>
        <x:v>1123448309.9899998</x:v>
      </x:c>
      <x:c r="L112" s="131" t="n">
        <x:f>IF($H112="Ligada a banco",$F112,0)</x:f>
        <x:v>0</x:v>
      </x:c>
      <x:c r="M112" s="114" t="n">
        <x:f>IF(K112&gt;0,RANK(K112,$K$6:$K$462)+COUNTIF($K$6:K112,K112)-1,9999)</x:f>
        <x:v>95</x:v>
      </x:c>
      <x:c r="N112" s="114" t="n">
        <x:f>IF(L112&gt;0,RANK(L112,$L$6:$L$462)+COUNTIF($L$6:L112,L112)-1,9999)</x:f>
        <x:v>9999</x:v>
      </x:c>
    </x:row>
    <x:row r="113">
      <x:c r="A113" s="111" t="str">
        <x:v>WNT Gestora de Recursos Ltda.</x:v>
      </x:c>
      <x:c r="B113" s="131" t="n">
        <x:v>0</x:v>
      </x:c>
      <x:c r="C113" s="131" t="n">
        <x:v>629107278.5600001</x:v>
      </x:c>
      <x:c r="D113" s="131" t="n">
        <x:v>50588852.809999995</x:v>
      </x:c>
      <x:c r="E113" s="131" t="n">
        <x:v>433520289.85</x:v>
      </x:c>
      <x:c r="F113" s="131" t="n">
        <x:f>SUM(B113:E113)</x:f>
        <x:v>1113216421.22</x:v>
      </x:c>
      <x:c r="G113" s="111" t="str">
        <x:v>Independente</x:v>
      </x:c>
      <x:c r="H113" s="140" t="str">
        <x:v>Independente</x:v>
      </x:c>
      <x:c r="I113" s="111" t="str">
        <x:v>Regra residual — revisar manualmente</x:v>
      </x:c>
      <x:c r="J113" s="149" t="str">
        <x:v>Sim</x:v>
      </x:c>
      <x:c r="K113" s="131" t="n">
        <x:f>IF($H113="Independente",$F113,0)</x:f>
        <x:v>1113216421.22</x:v>
      </x:c>
      <x:c r="L113" s="131" t="n">
        <x:f>IF($H113="Ligada a banco",$F113,0)</x:f>
        <x:v>0</x:v>
      </x:c>
      <x:c r="M113" s="114" t="n">
        <x:f>IF(K113&gt;0,RANK(K113,$K$6:$K$462)+COUNTIF($K$6:K113,K113)-1,9999)</x:f>
        <x:v>96</x:v>
      </x:c>
      <x:c r="N113" s="114" t="n">
        <x:f>IF(L113&gt;0,RANK(L113,$L$6:$L$462)+COUNTIF($L$6:L113,L113)-1,9999)</x:f>
        <x:v>9999</x:v>
      </x:c>
    </x:row>
    <x:row r="114">
      <x:c r="A114" s="111" t="str">
        <x:v>Beyond Capital Ltda</x:v>
      </x:c>
      <x:c r="B114" s="131" t="n">
        <x:v>1110457112.26</x:v>
      </x:c>
      <x:c r="C114" s="131" t="n">
        <x:v>0</x:v>
      </x:c>
      <x:c r="D114" s="131" t="n">
        <x:v>0</x:v>
      </x:c>
      <x:c r="E114" s="131" t="n">
        <x:v>0</x:v>
      </x:c>
      <x:c r="F114" s="131" t="n">
        <x:f>SUM(B114:E114)</x:f>
        <x:v>1110457112.26</x:v>
      </x:c>
      <x:c r="G114" s="111" t="str">
        <x:v>Independente</x:v>
      </x:c>
      <x:c r="H114" s="140" t="str">
        <x:v>Independente</x:v>
      </x:c>
      <x:c r="I114" s="111" t="str">
        <x:v>Regra residual — revisar manualmente</x:v>
      </x:c>
      <x:c r="J114" s="149" t="str">
        <x:v>Sim</x:v>
      </x:c>
      <x:c r="K114" s="131" t="n">
        <x:f>IF($H114="Independente",$F114,0)</x:f>
        <x:v>1110457112.26</x:v>
      </x:c>
      <x:c r="L114" s="131" t="n">
        <x:f>IF($H114="Ligada a banco",$F114,0)</x:f>
        <x:v>0</x:v>
      </x:c>
      <x:c r="M114" s="114" t="n">
        <x:f>IF(K114&gt;0,RANK(K114,$K$6:$K$462)+COUNTIF($K$6:K114,K114)-1,9999)</x:f>
        <x:v>97</x:v>
      </x:c>
      <x:c r="N114" s="114" t="n">
        <x:f>IF(L114&gt;0,RANK(L114,$L$6:$L$462)+COUNTIF($L$6:L114,L114)-1,9999)</x:f>
        <x:v>9999</x:v>
      </x:c>
    </x:row>
    <x:row r="115">
      <x:c r="A115" s="111" t="str">
        <x:v>Golden Asset Gestora de Recursos</x:v>
      </x:c>
      <x:c r="B115" s="131" t="n">
        <x:v>0</x:v>
      </x:c>
      <x:c r="C115" s="131" t="n">
        <x:v>0</x:v>
      </x:c>
      <x:c r="D115" s="131" t="n">
        <x:v>964146522.89</x:v>
      </x:c>
      <x:c r="E115" s="131" t="n">
        <x:v>131281193.22</x:v>
      </x:c>
      <x:c r="F115" s="131" t="n">
        <x:f>SUM(B115:E115)</x:f>
        <x:v>1095427716.11</x:v>
      </x:c>
      <x:c r="G115" s="111" t="str">
        <x:v>Independente</x:v>
      </x:c>
      <x:c r="H115" s="140" t="str">
        <x:v>Independente</x:v>
      </x:c>
      <x:c r="I115" s="111" t="str">
        <x:v>Regra residual — revisar manualmente</x:v>
      </x:c>
      <x:c r="J115" s="149" t="str">
        <x:v>Sim</x:v>
      </x:c>
      <x:c r="K115" s="131" t="n">
        <x:f>IF($H115="Independente",$F115,0)</x:f>
        <x:v>1095427716.11</x:v>
      </x:c>
      <x:c r="L115" s="131" t="n">
        <x:f>IF($H115="Ligada a banco",$F115,0)</x:f>
        <x:v>0</x:v>
      </x:c>
      <x:c r="M115" s="114" t="n">
        <x:f>IF(K115&gt;0,RANK(K115,$K$6:$K$462)+COUNTIF($K$6:K115,K115)-1,9999)</x:f>
        <x:v>98</x:v>
      </x:c>
      <x:c r="N115" s="114" t="n">
        <x:f>IF(L115&gt;0,RANK(L115,$L$6:$L$462)+COUNTIF($L$6:L115,L115)-1,9999)</x:f>
        <x:v>9999</x:v>
      </x:c>
    </x:row>
    <x:row r="116">
      <x:c r="A116" s="111" t="str">
        <x:v>Kobold Gestora de Fundos LTDA.</x:v>
      </x:c>
      <x:c r="B116" s="131" t="n">
        <x:v>0</x:v>
      </x:c>
      <x:c r="C116" s="131" t="n">
        <x:v>0</x:v>
      </x:c>
      <x:c r="D116" s="131" t="n">
        <x:v>0</x:v>
      </x:c>
      <x:c r="E116" s="131" t="n">
        <x:v>1081084998.51</x:v>
      </x:c>
      <x:c r="F116" s="131" t="n">
        <x:f>SUM(B116:E116)</x:f>
        <x:v>1081084998.51</x:v>
      </x:c>
      <x:c r="G116" s="111" t="str">
        <x:v>Independente</x:v>
      </x:c>
      <x:c r="H116" s="140" t="str">
        <x:v>Independente</x:v>
      </x:c>
      <x:c r="I116" s="111" t="str">
        <x:v>Regra residual — revisar manualmente</x:v>
      </x:c>
      <x:c r="J116" s="149" t="str">
        <x:v>Sim</x:v>
      </x:c>
      <x:c r="K116" s="131" t="n">
        <x:f>IF($H116="Independente",$F116,0)</x:f>
        <x:v>1081084998.51</x:v>
      </x:c>
      <x:c r="L116" s="131" t="n">
        <x:f>IF($H116="Ligada a banco",$F116,0)</x:f>
        <x:v>0</x:v>
      </x:c>
      <x:c r="M116" s="114" t="n">
        <x:f>IF(K116&gt;0,RANK(K116,$K$6:$K$462)+COUNTIF($K$6:K116,K116)-1,9999)</x:f>
        <x:v>99</x:v>
      </x:c>
      <x:c r="N116" s="114" t="n">
        <x:f>IF(L116&gt;0,RANK(L116,$L$6:$L$462)+COUNTIF($L$6:L116,L116)-1,9999)</x:f>
        <x:v>9999</x:v>
      </x:c>
    </x:row>
    <x:row r="117">
      <x:c r="A117" s="111" t="str">
        <x:v>Plural Investimentos Gestão de Recursos Ltda.</x:v>
      </x:c>
      <x:c r="B117" s="131" t="n">
        <x:v>132374443.32</x:v>
      </x:c>
      <x:c r="C117" s="131" t="n">
        <x:v>166893363.05</x:v>
      </x:c>
      <x:c r="D117" s="131" t="n">
        <x:v>39570550.629999995</x:v>
      </x:c>
      <x:c r="E117" s="131" t="n">
        <x:v>741436336.95</x:v>
      </x:c>
      <x:c r="F117" s="131" t="n">
        <x:f>SUM(B117:E117)</x:f>
        <x:v>1080274693.95</x:v>
      </x:c>
      <x:c r="G117" s="111" t="str">
        <x:v>Ligada a banco</x:v>
      </x:c>
      <x:c r="H117" s="140" t="str">
        <x:v>Ligada a banco</x:v>
      </x:c>
      <x:c r="I117" s="111" t="str">
        <x:v>Regra nominal: PLURAL</x:v>
      </x:c>
      <x:c r="J117" s="149" t="str">
        <x:v>Sim</x:v>
      </x:c>
      <x:c r="K117" s="131" t="n">
        <x:f>IF($H117="Independente",$F117,0)</x:f>
        <x:v>0</x:v>
      </x:c>
      <x:c r="L117" s="131" t="n">
        <x:f>IF($H117="Ligada a banco",$F117,0)</x:f>
        <x:v>1080274693.95</x:v>
      </x:c>
      <x:c r="M117" s="114" t="n">
        <x:f>IF(K117&gt;0,RANK(K117,$K$6:$K$462)+COUNTIF($K$6:K117,K117)-1,9999)</x:f>
        <x:v>9999</x:v>
      </x:c>
      <x:c r="N117" s="114" t="n">
        <x:f>IF(L117&gt;0,RANK(L117,$L$6:$L$462)+COUNTIF($L$6:L117,L117)-1,9999)</x:f>
        <x:v>13</x:v>
      </x:c>
    </x:row>
    <x:row r="118">
      <x:c r="A118" s="111" t="str">
        <x:v>PIER GESTAO DE RECURSOS FINANCEIROS LTDA</x:v>
      </x:c>
      <x:c r="B118" s="131" t="n">
        <x:v>19073860.16</x:v>
      </x:c>
      <x:c r="C118" s="131" t="n">
        <x:v>1049722289.56</x:v>
      </x:c>
      <x:c r="D118" s="131" t="n">
        <x:v>0</x:v>
      </x:c>
      <x:c r="E118" s="131" t="n">
        <x:v>11272945.83</x:v>
      </x:c>
      <x:c r="F118" s="131" t="n">
        <x:f>SUM(B118:E118)</x:f>
        <x:v>1080069095.55</x:v>
      </x:c>
      <x:c r="G118" s="111" t="str">
        <x:v>Independente</x:v>
      </x:c>
      <x:c r="H118" s="140" t="str">
        <x:v>Independente</x:v>
      </x:c>
      <x:c r="I118" s="111" t="str">
        <x:v>Regra residual — revisar manualmente</x:v>
      </x:c>
      <x:c r="J118" s="149" t="str">
        <x:v>Sim</x:v>
      </x:c>
      <x:c r="K118" s="131" t="n">
        <x:f>IF($H118="Independente",$F118,0)</x:f>
        <x:v>1080069095.55</x:v>
      </x:c>
      <x:c r="L118" s="131" t="n">
        <x:f>IF($H118="Ligada a banco",$F118,0)</x:f>
        <x:v>0</x:v>
      </x:c>
      <x:c r="M118" s="114" t="n">
        <x:f>IF(K118&gt;0,RANK(K118,$K$6:$K$462)+COUNTIF($K$6:K118,K118)-1,9999)</x:f>
        <x:v>100</x:v>
      </x:c>
      <x:c r="N118" s="114" t="n">
        <x:f>IF(L118&gt;0,RANK(L118,$L$6:$L$462)+COUNTIF($L$6:L118,L118)-1,9999)</x:f>
        <x:v>9999</x:v>
      </x:c>
    </x:row>
    <x:row r="119">
      <x:c r="A119" s="111" t="str">
        <x:v>CVPAR Investimentos ltda</x:v>
      </x:c>
      <x:c r="B119" s="131" t="n">
        <x:v>0</x:v>
      </x:c>
      <x:c r="C119" s="131" t="n">
        <x:v>0</x:v>
      </x:c>
      <x:c r="D119" s="131" t="n">
        <x:v>0</x:v>
      </x:c>
      <x:c r="E119" s="131" t="n">
        <x:v>1078472977.6699998</x:v>
      </x:c>
      <x:c r="F119" s="131" t="n">
        <x:f>SUM(B119:E119)</x:f>
        <x:v>1078472977.6699998</x:v>
      </x:c>
      <x:c r="G119" s="111" t="str">
        <x:v>Independente</x:v>
      </x:c>
      <x:c r="H119" s="140" t="str">
        <x:v>Independente</x:v>
      </x:c>
      <x:c r="I119" s="111" t="str">
        <x:v>Regra residual — revisar manualmente</x:v>
      </x:c>
      <x:c r="J119" s="149" t="str">
        <x:v>Sim</x:v>
      </x:c>
      <x:c r="K119" s="131" t="n">
        <x:f>IF($H119="Independente",$F119,0)</x:f>
        <x:v>1078472977.6699998</x:v>
      </x:c>
      <x:c r="L119" s="131" t="n">
        <x:f>IF($H119="Ligada a banco",$F119,0)</x:f>
        <x:v>0</x:v>
      </x:c>
      <x:c r="M119" s="114" t="n">
        <x:f>IF(K119&gt;0,RANK(K119,$K$6:$K$462)+COUNTIF($K$6:K119,K119)-1,9999)</x:f>
        <x:v>101</x:v>
      </x:c>
      <x:c r="N119" s="114" t="n">
        <x:f>IF(L119&gt;0,RANK(L119,$L$6:$L$462)+COUNTIF($L$6:L119,L119)-1,9999)</x:f>
        <x:v>9999</x:v>
      </x:c>
    </x:row>
    <x:row r="120">
      <x:c r="A120" s="111" t="str">
        <x:v>BTG PACTUAL GESTAO E CONSULTORIA DE INVESTIMENTOS</x:v>
      </x:c>
      <x:c r="B120" s="131" t="n">
        <x:v>549596002.27</x:v>
      </x:c>
      <x:c r="C120" s="131" t="n">
        <x:v>0</x:v>
      </x:c>
      <x:c r="D120" s="131" t="n">
        <x:v>0</x:v>
      </x:c>
      <x:c r="E120" s="131" t="n">
        <x:v>478144011.7442</x:v>
      </x:c>
      <x:c r="F120" s="131" t="n">
        <x:f>SUM(B120:E120)</x:f>
        <x:v>1027740014.0142</x:v>
      </x:c>
      <x:c r="G120" s="111" t="str">
        <x:v>Ligada a banco</x:v>
      </x:c>
      <x:c r="H120" s="140" t="str">
        <x:v>Ligada a banco</x:v>
      </x:c>
      <x:c r="I120" s="111" t="str">
        <x:v>Regra nominal: BTG</x:v>
      </x:c>
      <x:c r="J120" s="149" t="str">
        <x:v>Sim</x:v>
      </x:c>
      <x:c r="K120" s="131" t="n">
        <x:f>IF($H120="Independente",$F120,0)</x:f>
        <x:v>0</x:v>
      </x:c>
      <x:c r="L120" s="131" t="n">
        <x:f>IF($H120="Ligada a banco",$F120,0)</x:f>
        <x:v>1027740014.0142</x:v>
      </x:c>
      <x:c r="M120" s="114" t="n">
        <x:f>IF(K120&gt;0,RANK(K120,$K$6:$K$462)+COUNTIF($K$6:K120,K120)-1,9999)</x:f>
        <x:v>9999</x:v>
      </x:c>
      <x:c r="N120" s="114" t="n">
        <x:f>IF(L120&gt;0,RANK(L120,$L$6:$L$462)+COUNTIF($L$6:L120,L120)-1,9999)</x:f>
        <x:v>14</x:v>
      </x:c>
    </x:row>
    <x:row r="121">
      <x:c r="A121" s="111" t="str">
        <x:v>REAG GESTÃO DE CRÉDITO</x:v>
      </x:c>
      <x:c r="B121" s="131" t="n">
        <x:v>158700545.07000002</x:v>
      </x:c>
      <x:c r="C121" s="131" t="n">
        <x:v>677166583.2900001</x:v>
      </x:c>
      <x:c r="D121" s="131" t="n">
        <x:v>9035718</x:v>
      </x:c>
      <x:c r="E121" s="131" t="n">
        <x:v>129985693.44</x:v>
      </x:c>
      <x:c r="F121" s="131" t="n">
        <x:f>SUM(B121:E121)</x:f>
        <x:v>974888539.8000002</x:v>
      </x:c>
      <x:c r="G121" s="111" t="str">
        <x:v>Independente</x:v>
      </x:c>
      <x:c r="H121" s="140" t="str">
        <x:v>Independente</x:v>
      </x:c>
      <x:c r="I121" s="111" t="str">
        <x:v>Regra residual — revisar manualmente</x:v>
      </x:c>
      <x:c r="J121" s="149" t="str">
        <x:v>Sim</x:v>
      </x:c>
      <x:c r="K121" s="131" t="n">
        <x:f>IF($H121="Independente",$F121,0)</x:f>
        <x:v>974888539.8000002</x:v>
      </x:c>
      <x:c r="L121" s="131" t="n">
        <x:f>IF($H121="Ligada a banco",$F121,0)</x:f>
        <x:v>0</x:v>
      </x:c>
      <x:c r="M121" s="114" t="n">
        <x:f>IF(K121&gt;0,RANK(K121,$K$6:$K$462)+COUNTIF($K$6:K121,K121)-1,9999)</x:f>
        <x:v>102</x:v>
      </x:c>
      <x:c r="N121" s="114" t="n">
        <x:f>IF(L121&gt;0,RANK(L121,$L$6:$L$462)+COUNTIF($L$6:L121,L121)-1,9999)</x:f>
        <x:v>9999</x:v>
      </x:c>
    </x:row>
    <x:row r="122">
      <x:c r="A122" s="111" t="str">
        <x:v>SameSide GP</x:v>
      </x:c>
      <x:c r="B122" s="131" t="n">
        <x:v>0</x:v>
      </x:c>
      <x:c r="C122" s="131" t="n">
        <x:v>0</x:v>
      </x:c>
      <x:c r="D122" s="131" t="n">
        <x:v>0</x:v>
      </x:c>
      <x:c r="E122" s="131" t="n">
        <x:v>960708741.59</x:v>
      </x:c>
      <x:c r="F122" s="131" t="n">
        <x:f>SUM(B122:E122)</x:f>
        <x:v>960708741.59</x:v>
      </x:c>
      <x:c r="G122" s="111" t="str">
        <x:v>Independente</x:v>
      </x:c>
      <x:c r="H122" s="140" t="str">
        <x:v>Independente</x:v>
      </x:c>
      <x:c r="I122" s="111" t="str">
        <x:v>Regra residual — revisar manualmente</x:v>
      </x:c>
      <x:c r="J122" s="149" t="str">
        <x:v>Sim</x:v>
      </x:c>
      <x:c r="K122" s="131" t="n">
        <x:f>IF($H122="Independente",$F122,0)</x:f>
        <x:v>960708741.59</x:v>
      </x:c>
      <x:c r="L122" s="131" t="n">
        <x:f>IF($H122="Ligada a banco",$F122,0)</x:f>
        <x:v>0</x:v>
      </x:c>
      <x:c r="M122" s="114" t="n">
        <x:f>IF(K122&gt;0,RANK(K122,$K$6:$K$462)+COUNTIF($K$6:K122,K122)-1,9999)</x:f>
        <x:v>103</x:v>
      </x:c>
      <x:c r="N122" s="114" t="n">
        <x:f>IF(L122&gt;0,RANK(L122,$L$6:$L$462)+COUNTIF($L$6:L122,L122)-1,9999)</x:f>
        <x:v>9999</x:v>
      </x:c>
    </x:row>
    <x:row r="123">
      <x:c r="A123" s="111" t="str">
        <x:v>CONTEA CAPITAL</x:v>
      </x:c>
      <x:c r="B123" s="131" t="n">
        <x:v>0</x:v>
      </x:c>
      <x:c r="C123" s="131" t="n">
        <x:v>496269898.66999984</x:v>
      </x:c>
      <x:c r="D123" s="131" t="n">
        <x:v>28459540.8</x:v>
      </x:c>
      <x:c r="E123" s="131" t="n">
        <x:v>427546191.14</x:v>
      </x:c>
      <x:c r="F123" s="131" t="n">
        <x:f>SUM(B123:E123)</x:f>
        <x:v>952275630.6099999</x:v>
      </x:c>
      <x:c r="G123" s="111" t="str">
        <x:v>Independente</x:v>
      </x:c>
      <x:c r="H123" s="140" t="str">
        <x:v>Independente</x:v>
      </x:c>
      <x:c r="I123" s="111" t="str">
        <x:v>Regra residual — revisar manualmente</x:v>
      </x:c>
      <x:c r="J123" s="149" t="str">
        <x:v>Sim</x:v>
      </x:c>
      <x:c r="K123" s="131" t="n">
        <x:f>IF($H123="Independente",$F123,0)</x:f>
        <x:v>952275630.6099999</x:v>
      </x:c>
      <x:c r="L123" s="131" t="n">
        <x:f>IF($H123="Ligada a banco",$F123,0)</x:f>
        <x:v>0</x:v>
      </x:c>
      <x:c r="M123" s="114" t="n">
        <x:f>IF(K123&gt;0,RANK(K123,$K$6:$K$462)+COUNTIF($K$6:K123,K123)-1,9999)</x:f>
        <x:v>104</x:v>
      </x:c>
      <x:c r="N123" s="114" t="n">
        <x:f>IF(L123&gt;0,RANK(L123,$L$6:$L$462)+COUNTIF($L$6:L123,L123)-1,9999)</x:f>
        <x:v>9999</x:v>
      </x:c>
    </x:row>
    <x:row r="124">
      <x:c r="A124" s="111" t="str">
        <x:v>V8 Capital</x:v>
      </x:c>
      <x:c r="B124" s="131" t="n">
        <x:v>0</x:v>
      </x:c>
      <x:c r="C124" s="131" t="n">
        <x:v>0</x:v>
      </x:c>
      <x:c r="D124" s="131" t="n">
        <x:v>490739327.08</x:v>
      </x:c>
      <x:c r="E124" s="131" t="n">
        <x:v>455103399.38</x:v>
      </x:c>
      <x:c r="F124" s="131" t="n">
        <x:f>SUM(B124:E124)</x:f>
        <x:v>945842726.46</x:v>
      </x:c>
      <x:c r="G124" s="111" t="str">
        <x:v>Independente</x:v>
      </x:c>
      <x:c r="H124" s="140" t="str">
        <x:v>Independente</x:v>
      </x:c>
      <x:c r="I124" s="111" t="str">
        <x:v>Regra residual — revisar manualmente</x:v>
      </x:c>
      <x:c r="J124" s="149" t="str">
        <x:v>Sim</x:v>
      </x:c>
      <x:c r="K124" s="131" t="n">
        <x:f>IF($H124="Independente",$F124,0)</x:f>
        <x:v>945842726.46</x:v>
      </x:c>
      <x:c r="L124" s="131" t="n">
        <x:f>IF($H124="Ligada a banco",$F124,0)</x:f>
        <x:v>0</x:v>
      </x:c>
      <x:c r="M124" s="114" t="n">
        <x:f>IF(K124&gt;0,RANK(K124,$K$6:$K$462)+COUNTIF($K$6:K124,K124)-1,9999)</x:f>
        <x:v>105</x:v>
      </x:c>
      <x:c r="N124" s="114" t="n">
        <x:f>IF(L124&gt;0,RANK(L124,$L$6:$L$462)+COUNTIF($L$6:L124,L124)-1,9999)</x:f>
        <x:v>9999</x:v>
      </x:c>
    </x:row>
    <x:row r="125">
      <x:c r="A125" s="111" t="str">
        <x:v>ASAROCK ASSET MANAGEMENT</x:v>
      </x:c>
      <x:c r="B125" s="131" t="n">
        <x:v>0</x:v>
      </x:c>
      <x:c r="C125" s="131" t="n">
        <x:v>0</x:v>
      </x:c>
      <x:c r="D125" s="131" t="n">
        <x:v>99150821.3</x:v>
      </x:c>
      <x:c r="E125" s="131" t="n">
        <x:v>846382231.9099998</x:v>
      </x:c>
      <x:c r="F125" s="131" t="n">
        <x:f>SUM(B125:E125)</x:f>
        <x:v>945533053.2099998</x:v>
      </x:c>
      <x:c r="G125" s="111" t="str">
        <x:v>Independente</x:v>
      </x:c>
      <x:c r="H125" s="140" t="str">
        <x:v>Independente</x:v>
      </x:c>
      <x:c r="I125" s="111" t="str">
        <x:v>Regra residual — revisar manualmente</x:v>
      </x:c>
      <x:c r="J125" s="149" t="str">
        <x:v>Sim</x:v>
      </x:c>
      <x:c r="K125" s="131" t="n">
        <x:f>IF($H125="Independente",$F125,0)</x:f>
        <x:v>945533053.2099998</x:v>
      </x:c>
      <x:c r="L125" s="131" t="n">
        <x:f>IF($H125="Ligada a banco",$F125,0)</x:f>
        <x:v>0</x:v>
      </x:c>
      <x:c r="M125" s="114" t="n">
        <x:f>IF(K125&gt;0,RANK(K125,$K$6:$K$462)+COUNTIF($K$6:K125,K125)-1,9999)</x:f>
        <x:v>106</x:v>
      </x:c>
      <x:c r="N125" s="114" t="n">
        <x:f>IF(L125&gt;0,RANK(L125,$L$6:$L$462)+COUNTIF($L$6:L125,L125)-1,9999)</x:f>
        <x:v>9999</x:v>
      </x:c>
    </x:row>
    <x:row r="126">
      <x:c r="A126" s="111" t="str">
        <x:v>XP Gestão de Recurso</x:v>
      </x:c>
      <x:c r="B126" s="131" t="n">
        <x:v>0</x:v>
      </x:c>
      <x:c r="C126" s="131" t="n">
        <x:v>938669951.39</x:v>
      </x:c>
      <x:c r="D126" s="131" t="n">
        <x:v>0</x:v>
      </x:c>
      <x:c r="E126" s="131" t="n">
        <x:v>0</x:v>
      </x:c>
      <x:c r="F126" s="131" t="n">
        <x:f>SUM(B126:E126)</x:f>
        <x:v>938669951.39</x:v>
      </x:c>
      <x:c r="G126" s="111" t="str">
        <x:v>Ligada a banco</x:v>
      </x:c>
      <x:c r="H126" s="140" t="str">
        <x:v>Ligada a banco</x:v>
      </x:c>
      <x:c r="I126" s="111" t="str">
        <x:v>Regra nominal: XP</x:v>
      </x:c>
      <x:c r="J126" s="149" t="str">
        <x:v>Sim</x:v>
      </x:c>
      <x:c r="K126" s="131" t="n">
        <x:f>IF($H126="Independente",$F126,0)</x:f>
        <x:v>0</x:v>
      </x:c>
      <x:c r="L126" s="131" t="n">
        <x:f>IF($H126="Ligada a banco",$F126,0)</x:f>
        <x:v>938669951.39</x:v>
      </x:c>
      <x:c r="M126" s="114" t="n">
        <x:f>IF(K126&gt;0,RANK(K126,$K$6:$K$462)+COUNTIF($K$6:K126,K126)-1,9999)</x:f>
        <x:v>9999</x:v>
      </x:c>
      <x:c r="N126" s="114" t="n">
        <x:f>IF(L126&gt;0,RANK(L126,$L$6:$L$462)+COUNTIF($L$6:L126,L126)-1,9999)</x:f>
        <x:v>15</x:v>
      </x:c>
    </x:row>
    <x:row r="127">
      <x:c r="A127" s="111" t="str">
        <x:v>SUNO ASSET MANAGEMENT</x:v>
      </x:c>
      <x:c r="B127" s="131" t="n">
        <x:v>935278332.61</x:v>
      </x:c>
      <x:c r="C127" s="131" t="n">
        <x:v>0</x:v>
      </x:c>
      <x:c r="D127" s="131" t="n">
        <x:v>0</x:v>
      </x:c>
      <x:c r="E127" s="131" t="n">
        <x:v>0</x:v>
      </x:c>
      <x:c r="F127" s="131" t="n">
        <x:f>SUM(B127:E127)</x:f>
        <x:v>935278332.61</x:v>
      </x:c>
      <x:c r="G127" s="111" t="str">
        <x:v>Independente</x:v>
      </x:c>
      <x:c r="H127" s="140" t="str">
        <x:v>Independente</x:v>
      </x:c>
      <x:c r="I127" s="111" t="str">
        <x:v>Regra residual — revisar manualmente</x:v>
      </x:c>
      <x:c r="J127" s="149" t="str">
        <x:v>Sim</x:v>
      </x:c>
      <x:c r="K127" s="131" t="n">
        <x:f>IF($H127="Independente",$F127,0)</x:f>
        <x:v>935278332.61</x:v>
      </x:c>
      <x:c r="L127" s="131" t="n">
        <x:f>IF($H127="Ligada a banco",$F127,0)</x:f>
        <x:v>0</x:v>
      </x:c>
      <x:c r="M127" s="114" t="n">
        <x:f>IF(K127&gt;0,RANK(K127,$K$6:$K$462)+COUNTIF($K$6:K127,K127)-1,9999)</x:f>
        <x:v>107</x:v>
      </x:c>
      <x:c r="N127" s="114" t="n">
        <x:f>IF(L127&gt;0,RANK(L127,$L$6:$L$462)+COUNTIF($L$6:L127,L127)-1,9999)</x:f>
        <x:v>9999</x:v>
      </x:c>
    </x:row>
    <x:row r="128">
      <x:c r="A128" s="111" t="str">
        <x:v>BRZ Gestão de Recursos</x:v>
      </x:c>
      <x:c r="B128" s="131" t="n">
        <x:v>0</x:v>
      </x:c>
      <x:c r="C128" s="131" t="n">
        <x:v>852936209.7099998</x:v>
      </x:c>
      <x:c r="D128" s="131" t="n">
        <x:v>37262961.88999999</x:v>
      </x:c>
      <x:c r="E128" s="131" t="n">
        <x:v>44722473.30000002</x:v>
      </x:c>
      <x:c r="F128" s="131" t="n">
        <x:f>SUM(B128:E128)</x:f>
        <x:v>934921644.8999999</x:v>
      </x:c>
      <x:c r="G128" s="111" t="str">
        <x:v>Independente</x:v>
      </x:c>
      <x:c r="H128" s="140" t="str">
        <x:v>Independente</x:v>
      </x:c>
      <x:c r="I128" s="111" t="str">
        <x:v>Regra residual — revisar manualmente</x:v>
      </x:c>
      <x:c r="J128" s="149" t="str">
        <x:v>Sim</x:v>
      </x:c>
      <x:c r="K128" s="131" t="n">
        <x:f>IF($H128="Independente",$F128,0)</x:f>
        <x:v>934921644.8999999</x:v>
      </x:c>
      <x:c r="L128" s="131" t="n">
        <x:f>IF($H128="Ligada a banco",$F128,0)</x:f>
        <x:v>0</x:v>
      </x:c>
      <x:c r="M128" s="114" t="n">
        <x:f>IF(K128&gt;0,RANK(K128,$K$6:$K$462)+COUNTIF($K$6:K128,K128)-1,9999)</x:f>
        <x:v>108</x:v>
      </x:c>
      <x:c r="N128" s="114" t="n">
        <x:f>IF(L128&gt;0,RANK(L128,$L$6:$L$462)+COUNTIF($L$6:L128,L128)-1,9999)</x:f>
        <x:v>9999</x:v>
      </x:c>
    </x:row>
    <x:row r="129">
      <x:c r="A129" s="111" t="str">
        <x:v>Iggy Investimentos</x:v>
      </x:c>
      <x:c r="B129" s="131" t="n">
        <x:v>1411480.7500000005</x:v>
      </x:c>
      <x:c r="C129" s="131" t="n">
        <x:v>0</x:v>
      </x:c>
      <x:c r="D129" s="131" t="n">
        <x:v>581858562.5224497</x:v>
      </x:c>
      <x:c r="E129" s="131" t="n">
        <x:v>329917372.42</x:v>
      </x:c>
      <x:c r="F129" s="131" t="n">
        <x:f>SUM(B129:E129)</x:f>
        <x:v>913187415.6924498</x:v>
      </x:c>
      <x:c r="G129" s="111" t="str">
        <x:v>Independente</x:v>
      </x:c>
      <x:c r="H129" s="140" t="str">
        <x:v>Independente</x:v>
      </x:c>
      <x:c r="I129" s="111" t="str">
        <x:v>Regra residual — revisar manualmente</x:v>
      </x:c>
      <x:c r="J129" s="149" t="str">
        <x:v>Sim</x:v>
      </x:c>
      <x:c r="K129" s="131" t="n">
        <x:f>IF($H129="Independente",$F129,0)</x:f>
        <x:v>913187415.6924498</x:v>
      </x:c>
      <x:c r="L129" s="131" t="n">
        <x:f>IF($H129="Ligada a banco",$F129,0)</x:f>
        <x:v>0</x:v>
      </x:c>
      <x:c r="M129" s="114" t="n">
        <x:f>IF(K129&gt;0,RANK(K129,$K$6:$K$462)+COUNTIF($K$6:K129,K129)-1,9999)</x:f>
        <x:v>109</x:v>
      </x:c>
      <x:c r="N129" s="114" t="n">
        <x:f>IF(L129&gt;0,RANK(L129,$L$6:$L$462)+COUNTIF($L$6:L129,L129)-1,9999)</x:f>
        <x:v>9999</x:v>
      </x:c>
    </x:row>
    <x:row r="130">
      <x:c r="A130" s="111" t="str">
        <x:v>BRZ Investimentos</x:v>
      </x:c>
      <x:c r="B130" s="131" t="n">
        <x:v>0</x:v>
      </x:c>
      <x:c r="C130" s="131" t="n">
        <x:v>473892191.6699999</x:v>
      </x:c>
      <x:c r="D130" s="131" t="n">
        <x:v>438922796.47</x:v>
      </x:c>
      <x:c r="E130" s="131" t="n">
        <x:v>0</x:v>
      </x:c>
      <x:c r="F130" s="131" t="n">
        <x:f>SUM(B130:E130)</x:f>
        <x:v>912814988.1399999</x:v>
      </x:c>
      <x:c r="G130" s="111" t="str">
        <x:v>Independente</x:v>
      </x:c>
      <x:c r="H130" s="140" t="str">
        <x:v>Independente</x:v>
      </x:c>
      <x:c r="I130" s="111" t="str">
        <x:v>Regra residual — revisar manualmente</x:v>
      </x:c>
      <x:c r="J130" s="149" t="str">
        <x:v>Sim</x:v>
      </x:c>
      <x:c r="K130" s="131" t="n">
        <x:f>IF($H130="Independente",$F130,0)</x:f>
        <x:v>912814988.1399999</x:v>
      </x:c>
      <x:c r="L130" s="131" t="n">
        <x:f>IF($H130="Ligada a banco",$F130,0)</x:f>
        <x:v>0</x:v>
      </x:c>
      <x:c r="M130" s="114" t="n">
        <x:f>IF(K130&gt;0,RANK(K130,$K$6:$K$462)+COUNTIF($K$6:K130,K130)-1,9999)</x:f>
        <x:v>110</x:v>
      </x:c>
      <x:c r="N130" s="114" t="n">
        <x:f>IF(L130&gt;0,RANK(L130,$L$6:$L$462)+COUNTIF($L$6:L130,L130)-1,9999)</x:f>
        <x:v>9999</x:v>
      </x:c>
    </x:row>
    <x:row r="131">
      <x:c r="A131" s="111" t="str">
        <x:v>BS2 ASSET MANAGEMENT – ADMINISTRADORA DE RECURSOS LTDA.</x:v>
      </x:c>
      <x:c r="B131" s="131" t="n">
        <x:v>21032897.119999997</x:v>
      </x:c>
      <x:c r="C131" s="131" t="n">
        <x:v>0</x:v>
      </x:c>
      <x:c r="D131" s="131" t="n">
        <x:v>806634002.9</x:v>
      </x:c>
      <x:c r="E131" s="131" t="n">
        <x:v>73500341.67</x:v>
      </x:c>
      <x:c r="F131" s="131" t="n">
        <x:f>SUM(B131:E131)</x:f>
        <x:v>901167241.6899999</x:v>
      </x:c>
      <x:c r="G131" s="111" t="str">
        <x:v>Independente</x:v>
      </x:c>
      <x:c r="H131" s="140" t="str">
        <x:v>Independente</x:v>
      </x:c>
      <x:c r="I131" s="111" t="str">
        <x:v>Regra residual — revisar manualmente</x:v>
      </x:c>
      <x:c r="J131" s="149" t="str">
        <x:v>Sim</x:v>
      </x:c>
      <x:c r="K131" s="131" t="n">
        <x:f>IF($H131="Independente",$F131,0)</x:f>
        <x:v>901167241.6899999</x:v>
      </x:c>
      <x:c r="L131" s="131" t="n">
        <x:f>IF($H131="Ligada a banco",$F131,0)</x:f>
        <x:v>0</x:v>
      </x:c>
      <x:c r="M131" s="114" t="n">
        <x:f>IF(K131&gt;0,RANK(K131,$K$6:$K$462)+COUNTIF($K$6:K131,K131)-1,9999)</x:f>
        <x:v>111</x:v>
      </x:c>
      <x:c r="N131" s="114" t="n">
        <x:f>IF(L131&gt;0,RANK(L131,$L$6:$L$462)+COUNTIF($L$6:L131,L131)-1,9999)</x:f>
        <x:v>9999</x:v>
      </x:c>
    </x:row>
    <x:row r="132">
      <x:c r="A132" s="111" t="str">
        <x:v>JIVE ASSET GESTAO DE RECURSOS LTDA</x:v>
      </x:c>
      <x:c r="B132" s="131" t="n">
        <x:v>0</x:v>
      </x:c>
      <x:c r="C132" s="131" t="n">
        <x:v>0</x:v>
      </x:c>
      <x:c r="D132" s="131" t="n">
        <x:v>0</x:v>
      </x:c>
      <x:c r="E132" s="131" t="n">
        <x:v>883285827.63</x:v>
      </x:c>
      <x:c r="F132" s="131" t="n">
        <x:f>SUM(B132:E132)</x:f>
        <x:v>883285827.63</x:v>
      </x:c>
      <x:c r="G132" s="111" t="str">
        <x:v>Independente</x:v>
      </x:c>
      <x:c r="H132" s="140" t="str">
        <x:v>Independente</x:v>
      </x:c>
      <x:c r="I132" s="111" t="str">
        <x:v>Regra residual — revisar manualmente</x:v>
      </x:c>
      <x:c r="J132" s="149" t="str">
        <x:v>Sim</x:v>
      </x:c>
      <x:c r="K132" s="131" t="n">
        <x:f>IF($H132="Independente",$F132,0)</x:f>
        <x:v>883285827.63</x:v>
      </x:c>
      <x:c r="L132" s="131" t="n">
        <x:f>IF($H132="Ligada a banco",$F132,0)</x:f>
        <x:v>0</x:v>
      </x:c>
      <x:c r="M132" s="114" t="n">
        <x:f>IF(K132&gt;0,RANK(K132,$K$6:$K$462)+COUNTIF($K$6:K132,K132)-1,9999)</x:f>
        <x:v>112</x:v>
      </x:c>
      <x:c r="N132" s="114" t="n">
        <x:f>IF(L132&gt;0,RANK(L132,$L$6:$L$462)+COUNTIF($L$6:L132,L132)-1,9999)</x:f>
        <x:v>9999</x:v>
      </x:c>
    </x:row>
    <x:row r="133">
      <x:c r="A133" s="111" t="str">
        <x:v>ORIZ ASSET MANAGEMENT LTDA.</x:v>
      </x:c>
      <x:c r="B133" s="131" t="n">
        <x:v>180925468.31</x:v>
      </x:c>
      <x:c r="C133" s="131" t="n">
        <x:v>0</x:v>
      </x:c>
      <x:c r="D133" s="131" t="n">
        <x:v>0</x:v>
      </x:c>
      <x:c r="E133" s="131" t="n">
        <x:v>700518641.79</x:v>
      </x:c>
      <x:c r="F133" s="131" t="n">
        <x:f>SUM(B133:E133)</x:f>
        <x:v>881444110.0999999</x:v>
      </x:c>
      <x:c r="G133" s="111" t="str">
        <x:v>Independente</x:v>
      </x:c>
      <x:c r="H133" s="140" t="str">
        <x:v>Independente</x:v>
      </x:c>
      <x:c r="I133" s="111" t="str">
        <x:v>Regra residual — revisar manualmente</x:v>
      </x:c>
      <x:c r="J133" s="149" t="str">
        <x:v>Sim</x:v>
      </x:c>
      <x:c r="K133" s="131" t="n">
        <x:f>IF($H133="Independente",$F133,0)</x:f>
        <x:v>881444110.0999999</x:v>
      </x:c>
      <x:c r="L133" s="131" t="n">
        <x:f>IF($H133="Ligada a banco",$F133,0)</x:f>
        <x:v>0</x:v>
      </x:c>
      <x:c r="M133" s="114" t="n">
        <x:f>IF(K133&gt;0,RANK(K133,$K$6:$K$462)+COUNTIF($K$6:K133,K133)-1,9999)</x:f>
        <x:v>113</x:v>
      </x:c>
      <x:c r="N133" s="114" t="n">
        <x:f>IF(L133&gt;0,RANK(L133,$L$6:$L$462)+COUNTIF($L$6:L133,L133)-1,9999)</x:f>
        <x:v>9999</x:v>
      </x:c>
    </x:row>
    <x:row r="134">
      <x:c r="A134" s="111" t="str">
        <x:v>ASSET MANAGEMENT</x:v>
      </x:c>
      <x:c r="B134" s="131" t="n">
        <x:v>20783277.5</x:v>
      </x:c>
      <x:c r="C134" s="131" t="n">
        <x:v>49471989.74999999</x:v>
      </x:c>
      <x:c r="D134" s="131" t="n">
        <x:v>186573668.65000004</x:v>
      </x:c>
      <x:c r="E134" s="131" t="n">
        <x:v>610953048.71</x:v>
      </x:c>
      <x:c r="F134" s="131" t="n">
        <x:f>SUM(B134:E134)</x:f>
        <x:v>867781984.6100001</x:v>
      </x:c>
      <x:c r="G134" s="111" t="str">
        <x:v>Independente</x:v>
      </x:c>
      <x:c r="H134" s="140" t="str">
        <x:v>Independente</x:v>
      </x:c>
      <x:c r="I134" s="111" t="str">
        <x:v>Regra residual — revisar manualmente</x:v>
      </x:c>
      <x:c r="J134" s="149" t="str">
        <x:v>Sim</x:v>
      </x:c>
      <x:c r="K134" s="131" t="n">
        <x:f>IF($H134="Independente",$F134,0)</x:f>
        <x:v>867781984.6100001</x:v>
      </x:c>
      <x:c r="L134" s="131" t="n">
        <x:f>IF($H134="Ligada a banco",$F134,0)</x:f>
        <x:v>0</x:v>
      </x:c>
      <x:c r="M134" s="114" t="n">
        <x:f>IF(K134&gt;0,RANK(K134,$K$6:$K$462)+COUNTIF($K$6:K134,K134)-1,9999)</x:f>
        <x:v>114</x:v>
      </x:c>
      <x:c r="N134" s="114" t="n">
        <x:f>IF(L134&gt;0,RANK(L134,$L$6:$L$462)+COUNTIF($L$6:L134,L134)-1,9999)</x:f>
        <x:v>9999</x:v>
      </x:c>
    </x:row>
    <x:row r="135">
      <x:c r="A135" s="111" t="str">
        <x:v>Guardian Gestora</x:v>
      </x:c>
      <x:c r="B135" s="131" t="n">
        <x:v>0</x:v>
      </x:c>
      <x:c r="C135" s="131" t="n">
        <x:v>867717575.7800002</x:v>
      </x:c>
      <x:c r="D135" s="131" t="n">
        <x:v>0</x:v>
      </x:c>
      <x:c r="E135" s="131" t="n">
        <x:v>0</x:v>
      </x:c>
      <x:c r="F135" s="131" t="n">
        <x:f>SUM(B135:E135)</x:f>
        <x:v>867717575.7800002</x:v>
      </x:c>
      <x:c r="G135" s="111" t="str">
        <x:v>Independente</x:v>
      </x:c>
      <x:c r="H135" s="140" t="str">
        <x:v>Independente</x:v>
      </x:c>
      <x:c r="I135" s="111" t="str">
        <x:v>Regra residual — revisar manualmente</x:v>
      </x:c>
      <x:c r="J135" s="149" t="str">
        <x:v>Sim</x:v>
      </x:c>
      <x:c r="K135" s="131" t="n">
        <x:f>IF($H135="Independente",$F135,0)</x:f>
        <x:v>867717575.7800002</x:v>
      </x:c>
      <x:c r="L135" s="131" t="n">
        <x:f>IF($H135="Ligada a banco",$F135,0)</x:f>
        <x:v>0</x:v>
      </x:c>
      <x:c r="M135" s="114" t="n">
        <x:f>IF(K135&gt;0,RANK(K135,$K$6:$K$462)+COUNTIF($K$6:K135,K135)-1,9999)</x:f>
        <x:v>115</x:v>
      </x:c>
      <x:c r="N135" s="114" t="n">
        <x:f>IF(L135&gt;0,RANK(L135,$L$6:$L$462)+COUNTIF($L$6:L135,L135)-1,9999)</x:f>
        <x:v>9999</x:v>
      </x:c>
    </x:row>
    <x:row r="136">
      <x:c r="A136" s="111" t="str">
        <x:v>RCB PORTFOLIOS</x:v>
      </x:c>
      <x:c r="B136" s="131" t="n">
        <x:v>0</x:v>
      </x:c>
      <x:c r="C136" s="131" t="n">
        <x:v>262465512.58</x:v>
      </x:c>
      <x:c r="D136" s="131" t="n">
        <x:v>0</x:v>
      </x:c>
      <x:c r="E136" s="131" t="n">
        <x:v>593442679.27</x:v>
      </x:c>
      <x:c r="F136" s="131" t="n">
        <x:f>SUM(B136:E136)</x:f>
        <x:v>855908191.85</x:v>
      </x:c>
      <x:c r="G136" s="111" t="str">
        <x:v>Independente</x:v>
      </x:c>
      <x:c r="H136" s="140" t="str">
        <x:v>Independente</x:v>
      </x:c>
      <x:c r="I136" s="111" t="str">
        <x:v>Regra residual — revisar manualmente</x:v>
      </x:c>
      <x:c r="J136" s="149" t="str">
        <x:v>Sim</x:v>
      </x:c>
      <x:c r="K136" s="131" t="n">
        <x:f>IF($H136="Independente",$F136,0)</x:f>
        <x:v>855908191.85</x:v>
      </x:c>
      <x:c r="L136" s="131" t="n">
        <x:f>IF($H136="Ligada a banco",$F136,0)</x:f>
        <x:v>0</x:v>
      </x:c>
      <x:c r="M136" s="114" t="n">
        <x:f>IF(K136&gt;0,RANK(K136,$K$6:$K$462)+COUNTIF($K$6:K136,K136)-1,9999)</x:f>
        <x:v>116</x:v>
      </x:c>
      <x:c r="N136" s="114" t="n">
        <x:f>IF(L136&gt;0,RANK(L136,$L$6:$L$462)+COUNTIF($L$6:L136,L136)-1,9999)</x:f>
        <x:v>9999</x:v>
      </x:c>
    </x:row>
    <x:row r="137">
      <x:c r="A137" s="111" t="str">
        <x:v>Seven Pounds Asset</x:v>
      </x:c>
      <x:c r="B137" s="131" t="n">
        <x:v>13075197.09</x:v>
      </x:c>
      <x:c r="C137" s="131" t="n">
        <x:v>0</x:v>
      </x:c>
      <x:c r="D137" s="131" t="n">
        <x:v>802422100.79</x:v>
      </x:c>
      <x:c r="E137" s="131" t="n">
        <x:v>0</x:v>
      </x:c>
      <x:c r="F137" s="131" t="n">
        <x:f>SUM(B137:E137)</x:f>
        <x:v>815497297.88</x:v>
      </x:c>
      <x:c r="G137" s="111" t="str">
        <x:v>Independente</x:v>
      </x:c>
      <x:c r="H137" s="140" t="str">
        <x:v>Independente</x:v>
      </x:c>
      <x:c r="I137" s="111" t="str">
        <x:v>Regra residual — revisar manualmente</x:v>
      </x:c>
      <x:c r="J137" s="149" t="str">
        <x:v>Sim</x:v>
      </x:c>
      <x:c r="K137" s="131" t="n">
        <x:f>IF($H137="Independente",$F137,0)</x:f>
        <x:v>815497297.88</x:v>
      </x:c>
      <x:c r="L137" s="131" t="n">
        <x:f>IF($H137="Ligada a banco",$F137,0)</x:f>
        <x:v>0</x:v>
      </x:c>
      <x:c r="M137" s="114" t="n">
        <x:f>IF(K137&gt;0,RANK(K137,$K$6:$K$462)+COUNTIF($K$6:K137,K137)-1,9999)</x:f>
        <x:v>117</x:v>
      </x:c>
      <x:c r="N137" s="114" t="n">
        <x:f>IF(L137&gt;0,RANK(L137,$L$6:$L$462)+COUNTIF($L$6:L137,L137)-1,9999)</x:f>
        <x:v>9999</x:v>
      </x:c>
    </x:row>
    <x:row r="138">
      <x:c r="A138" s="111" t="str">
        <x:v>ARC Capital</x:v>
      </x:c>
      <x:c r="B138" s="131" t="n">
        <x:v>0</x:v>
      </x:c>
      <x:c r="C138" s="131" t="n">
        <x:v>0</x:v>
      </x:c>
      <x:c r="D138" s="131" t="n">
        <x:v>0</x:v>
      </x:c>
      <x:c r="E138" s="131" t="n">
        <x:v>807053574.36</x:v>
      </x:c>
      <x:c r="F138" s="131" t="n">
        <x:f>SUM(B138:E138)</x:f>
        <x:v>807053574.36</x:v>
      </x:c>
      <x:c r="G138" s="111" t="str">
        <x:v>Independente</x:v>
      </x:c>
      <x:c r="H138" s="140" t="str">
        <x:v>Independente</x:v>
      </x:c>
      <x:c r="I138" s="111" t="str">
        <x:v>Regra residual — revisar manualmente</x:v>
      </x:c>
      <x:c r="J138" s="149" t="str">
        <x:v>Sim</x:v>
      </x:c>
      <x:c r="K138" s="131" t="n">
        <x:f>IF($H138="Independente",$F138,0)</x:f>
        <x:v>807053574.36</x:v>
      </x:c>
      <x:c r="L138" s="131" t="n">
        <x:f>IF($H138="Ligada a banco",$F138,0)</x:f>
        <x:v>0</x:v>
      </x:c>
      <x:c r="M138" s="114" t="n">
        <x:f>IF(K138&gt;0,RANK(K138,$K$6:$K$462)+COUNTIF($K$6:K138,K138)-1,9999)</x:f>
        <x:v>118</x:v>
      </x:c>
      <x:c r="N138" s="114" t="n">
        <x:f>IF(L138&gt;0,RANK(L138,$L$6:$L$462)+COUNTIF($L$6:L138,L138)-1,9999)</x:f>
        <x:v>9999</x:v>
      </x:c>
    </x:row>
    <x:row r="139">
      <x:c r="A139" s="111" t="str">
        <x:v>Apuama Capital</x:v>
      </x:c>
      <x:c r="B139" s="131" t="n">
        <x:v>36488258.23</x:v>
      </x:c>
      <x:c r="C139" s="131" t="n">
        <x:v>212729437.70000005</x:v>
      </x:c>
      <x:c r="D139" s="131" t="n">
        <x:v>446643165.1400001</x:v>
      </x:c>
      <x:c r="E139" s="131" t="n">
        <x:v>83760459.12</x:v>
      </x:c>
      <x:c r="F139" s="131" t="n">
        <x:f>SUM(B139:E139)</x:f>
        <x:v>779621320.1900002</x:v>
      </x:c>
      <x:c r="G139" s="111" t="str">
        <x:v>Independente</x:v>
      </x:c>
      <x:c r="H139" s="140" t="str">
        <x:v>Independente</x:v>
      </x:c>
      <x:c r="I139" s="111" t="str">
        <x:v>Regra residual — revisar manualmente</x:v>
      </x:c>
      <x:c r="J139" s="149" t="str">
        <x:v>Sim</x:v>
      </x:c>
      <x:c r="K139" s="131" t="n">
        <x:f>IF($H139="Independente",$F139,0)</x:f>
        <x:v>779621320.1900002</x:v>
      </x:c>
      <x:c r="L139" s="131" t="n">
        <x:f>IF($H139="Ligada a banco",$F139,0)</x:f>
        <x:v>0</x:v>
      </x:c>
      <x:c r="M139" s="114" t="n">
        <x:f>IF(K139&gt;0,RANK(K139,$K$6:$K$462)+COUNTIF($K$6:K139,K139)-1,9999)</x:f>
        <x:v>119</x:v>
      </x:c>
      <x:c r="N139" s="114" t="n">
        <x:f>IF(L139&gt;0,RANK(L139,$L$6:$L$462)+COUNTIF($L$6:L139,L139)-1,9999)</x:f>
        <x:v>9999</x:v>
      </x:c>
    </x:row>
    <x:row r="140">
      <x:c r="A140" s="111" t="str">
        <x:v>MAKENA GESTORA DE RECURSOS LTDA.</x:v>
      </x:c>
      <x:c r="B140" s="131" t="n">
        <x:v>0</x:v>
      </x:c>
      <x:c r="C140" s="131" t="n">
        <x:v>0</x:v>
      </x:c>
      <x:c r="D140" s="131" t="n">
        <x:v>0</x:v>
      </x:c>
      <x:c r="E140" s="131" t="n">
        <x:v>773874617.4500002</x:v>
      </x:c>
      <x:c r="F140" s="131" t="n">
        <x:f>SUM(B140:E140)</x:f>
        <x:v>773874617.4500002</x:v>
      </x:c>
      <x:c r="G140" s="111" t="str">
        <x:v>Independente</x:v>
      </x:c>
      <x:c r="H140" s="140" t="str">
        <x:v>Independente</x:v>
      </x:c>
      <x:c r="I140" s="111" t="str">
        <x:v>Regra residual — revisar manualmente</x:v>
      </x:c>
      <x:c r="J140" s="149" t="str">
        <x:v>Sim</x:v>
      </x:c>
      <x:c r="K140" s="131" t="n">
        <x:f>IF($H140="Independente",$F140,0)</x:f>
        <x:v>773874617.4500002</x:v>
      </x:c>
      <x:c r="L140" s="131" t="n">
        <x:f>IF($H140="Ligada a banco",$F140,0)</x:f>
        <x:v>0</x:v>
      </x:c>
      <x:c r="M140" s="114" t="n">
        <x:f>IF(K140&gt;0,RANK(K140,$K$6:$K$462)+COUNTIF($K$6:K140,K140)-1,9999)</x:f>
        <x:v>120</x:v>
      </x:c>
      <x:c r="N140" s="114" t="n">
        <x:f>IF(L140&gt;0,RANK(L140,$L$6:$L$462)+COUNTIF($L$6:L140,L140)-1,9999)</x:f>
        <x:v>9999</x:v>
      </x:c>
    </x:row>
    <x:row r="141">
      <x:c r="A141" s="111" t="str">
        <x:v>Global Gestão e Investimentos</x:v>
      </x:c>
      <x:c r="B141" s="131" t="n">
        <x:v>0</x:v>
      </x:c>
      <x:c r="C141" s="131" t="n">
        <x:v>37498227.11</x:v>
      </x:c>
      <x:c r="D141" s="131" t="n">
        <x:v>216455321.04</x:v>
      </x:c>
      <x:c r="E141" s="131" t="n">
        <x:v>507373534.80999994</x:v>
      </x:c>
      <x:c r="F141" s="131" t="n">
        <x:f>SUM(B141:E141)</x:f>
        <x:v>761327082.9599999</x:v>
      </x:c>
      <x:c r="G141" s="111" t="str">
        <x:v>Independente</x:v>
      </x:c>
      <x:c r="H141" s="140" t="str">
        <x:v>Independente</x:v>
      </x:c>
      <x:c r="I141" s="111" t="str">
        <x:v>Regra residual — revisar manualmente</x:v>
      </x:c>
      <x:c r="J141" s="149" t="str">
        <x:v>Sim</x:v>
      </x:c>
      <x:c r="K141" s="131" t="n">
        <x:f>IF($H141="Independente",$F141,0)</x:f>
        <x:v>761327082.9599999</x:v>
      </x:c>
      <x:c r="L141" s="131" t="n">
        <x:f>IF($H141="Ligada a banco",$F141,0)</x:f>
        <x:v>0</x:v>
      </x:c>
      <x:c r="M141" s="114" t="n">
        <x:f>IF(K141&gt;0,RANK(K141,$K$6:$K$462)+COUNTIF($K$6:K141,K141)-1,9999)</x:f>
        <x:v>121</x:v>
      </x:c>
      <x:c r="N141" s="114" t="n">
        <x:f>IF(L141&gt;0,RANK(L141,$L$6:$L$462)+COUNTIF($L$6:L141,L141)-1,9999)</x:f>
        <x:v>9999</x:v>
      </x:c>
    </x:row>
    <x:row r="142">
      <x:c r="A142" s="111" t="str">
        <x:v>Vila Rica Capital</x:v>
      </x:c>
      <x:c r="B142" s="131" t="n">
        <x:v>0</x:v>
      </x:c>
      <x:c r="C142" s="131" t="n">
        <x:v>718064604.3499999</x:v>
      </x:c>
      <x:c r="D142" s="131" t="n">
        <x:v>0</x:v>
      </x:c>
      <x:c r="E142" s="131" t="n">
        <x:v>42828563.67</x:v>
      </x:c>
      <x:c r="F142" s="131" t="n">
        <x:f>SUM(B142:E142)</x:f>
        <x:v>760893168.0199999</x:v>
      </x:c>
      <x:c r="G142" s="111" t="str">
        <x:v>Independente</x:v>
      </x:c>
      <x:c r="H142" s="140" t="str">
        <x:v>Independente</x:v>
      </x:c>
      <x:c r="I142" s="111" t="str">
        <x:v>Regra residual — revisar manualmente</x:v>
      </x:c>
      <x:c r="J142" s="149" t="str">
        <x:v>Sim</x:v>
      </x:c>
      <x:c r="K142" s="131" t="n">
        <x:f>IF($H142="Independente",$F142,0)</x:f>
        <x:v>760893168.0199999</x:v>
      </x:c>
      <x:c r="L142" s="131" t="n">
        <x:f>IF($H142="Ligada a banco",$F142,0)</x:f>
        <x:v>0</x:v>
      </x:c>
      <x:c r="M142" s="114" t="n">
        <x:f>IF(K142&gt;0,RANK(K142,$K$6:$K$462)+COUNTIF($K$6:K142,K142)-1,9999)</x:f>
        <x:v>122</x:v>
      </x:c>
      <x:c r="N142" s="114" t="n">
        <x:f>IF(L142&gt;0,RANK(L142,$L$6:$L$462)+COUNTIF($L$6:L142,L142)-1,9999)</x:f>
        <x:v>9999</x:v>
      </x:c>
    </x:row>
    <x:row r="143">
      <x:c r="A143" s="111" t="str">
        <x:v>VALORA IMOBILIÁRIO E INFRAESTRUTURA LTDA</x:v>
      </x:c>
      <x:c r="B143" s="131" t="n">
        <x:v>76315846.62</x:v>
      </x:c>
      <x:c r="C143" s="131" t="n">
        <x:v>31575916.750000004</x:v>
      </x:c>
      <x:c r="D143" s="131" t="n">
        <x:v>0</x:v>
      </x:c>
      <x:c r="E143" s="131" t="n">
        <x:v>650264913.1730999</x:v>
      </x:c>
      <x:c r="F143" s="131" t="n">
        <x:f>SUM(B143:E143)</x:f>
        <x:v>758156676.5430999</x:v>
      </x:c>
      <x:c r="G143" s="111" t="str">
        <x:v>Independente</x:v>
      </x:c>
      <x:c r="H143" s="140" t="str">
        <x:v>Independente</x:v>
      </x:c>
      <x:c r="I143" s="111" t="str">
        <x:v>Regra residual — revisar manualmente</x:v>
      </x:c>
      <x:c r="J143" s="149" t="str">
        <x:v>Sim</x:v>
      </x:c>
      <x:c r="K143" s="131" t="n">
        <x:f>IF($H143="Independente",$F143,0)</x:f>
        <x:v>758156676.5430999</x:v>
      </x:c>
      <x:c r="L143" s="131" t="n">
        <x:f>IF($H143="Ligada a banco",$F143,0)</x:f>
        <x:v>0</x:v>
      </x:c>
      <x:c r="M143" s="114" t="n">
        <x:f>IF(K143&gt;0,RANK(K143,$K$6:$K$462)+COUNTIF($K$6:K143,K143)-1,9999)</x:f>
        <x:v>123</x:v>
      </x:c>
      <x:c r="N143" s="114" t="n">
        <x:f>IF(L143&gt;0,RANK(L143,$L$6:$L$462)+COUNTIF($L$6:L143,L143)-1,9999)</x:f>
        <x:v>9999</x:v>
      </x:c>
    </x:row>
    <x:row r="144">
      <x:c r="A144" s="111" t="str">
        <x:v>Inter Asset</x:v>
      </x:c>
      <x:c r="B144" s="131" t="n">
        <x:v>752063336.42</x:v>
      </x:c>
      <x:c r="C144" s="131" t="n">
        <x:v>0</x:v>
      </x:c>
      <x:c r="D144" s="131" t="n">
        <x:v>0</x:v>
      </x:c>
      <x:c r="E144" s="131" t="n">
        <x:v>0</x:v>
      </x:c>
      <x:c r="F144" s="131" t="n">
        <x:f>SUM(B144:E144)</x:f>
        <x:v>752063336.42</x:v>
      </x:c>
      <x:c r="G144" s="111" t="str">
        <x:v>Ligada a banco</x:v>
      </x:c>
      <x:c r="H144" s="140" t="str">
        <x:v>Ligada a banco</x:v>
      </x:c>
      <x:c r="I144" s="111" t="str">
        <x:v>Regra nominal: INTER ASSET</x:v>
      </x:c>
      <x:c r="J144" s="149" t="str">
        <x:v>Sim</x:v>
      </x:c>
      <x:c r="K144" s="131" t="n">
        <x:f>IF($H144="Independente",$F144,0)</x:f>
        <x:v>0</x:v>
      </x:c>
      <x:c r="L144" s="131" t="n">
        <x:f>IF($H144="Ligada a banco",$F144,0)</x:f>
        <x:v>752063336.42</x:v>
      </x:c>
      <x:c r="M144" s="114" t="n">
        <x:f>IF(K144&gt;0,RANK(K144,$K$6:$K$462)+COUNTIF($K$6:K144,K144)-1,9999)</x:f>
        <x:v>9999</x:v>
      </x:c>
      <x:c r="N144" s="114" t="n">
        <x:f>IF(L144&gt;0,RANK(L144,$L$6:$L$462)+COUNTIF($L$6:L144,L144)-1,9999)</x:f>
        <x:v>16</x:v>
      </x:c>
    </x:row>
    <x:row r="145">
      <x:c r="A145" s="111" t="str">
        <x:v>TERA CAPITAL</x:v>
      </x:c>
      <x:c r="B145" s="131" t="n">
        <x:v>0</x:v>
      </x:c>
      <x:c r="C145" s="131" t="n">
        <x:v>110076204.39</x:v>
      </x:c>
      <x:c r="D145" s="131" t="n">
        <x:v>0</x:v>
      </x:c>
      <x:c r="E145" s="131" t="n">
        <x:v>640245708.5028999</x:v>
      </x:c>
      <x:c r="F145" s="131" t="n">
        <x:f>SUM(B145:E145)</x:f>
        <x:v>750321912.8928999</x:v>
      </x:c>
      <x:c r="G145" s="111" t="str">
        <x:v>Independente</x:v>
      </x:c>
      <x:c r="H145" s="140" t="str">
        <x:v>Independente</x:v>
      </x:c>
      <x:c r="I145" s="111" t="str">
        <x:v>Regra residual — revisar manualmente</x:v>
      </x:c>
      <x:c r="J145" s="149" t="str">
        <x:v>Sim</x:v>
      </x:c>
      <x:c r="K145" s="131" t="n">
        <x:f>IF($H145="Independente",$F145,0)</x:f>
        <x:v>750321912.8928999</x:v>
      </x:c>
      <x:c r="L145" s="131" t="n">
        <x:f>IF($H145="Ligada a banco",$F145,0)</x:f>
        <x:v>0</x:v>
      </x:c>
      <x:c r="M145" s="114" t="n">
        <x:f>IF(K145&gt;0,RANK(K145,$K$6:$K$462)+COUNTIF($K$6:K145,K145)-1,9999)</x:f>
        <x:v>124</x:v>
      </x:c>
      <x:c r="N145" s="114" t="n">
        <x:f>IF(L145&gt;0,RANK(L145,$L$6:$L$462)+COUNTIF($L$6:L145,L145)-1,9999)</x:f>
        <x:v>9999</x:v>
      </x:c>
    </x:row>
    <x:row r="146">
      <x:c r="A146" s="111" t="str">
        <x:v>TAG Investimentos</x:v>
      </x:c>
      <x:c r="B146" s="131" t="n">
        <x:v>0</x:v>
      </x:c>
      <x:c r="C146" s="131" t="n">
        <x:v>265761636.83</x:v>
      </x:c>
      <x:c r="D146" s="131" t="n">
        <x:v>0</x:v>
      </x:c>
      <x:c r="E146" s="131" t="n">
        <x:v>480470480.6635002</x:v>
      </x:c>
      <x:c r="F146" s="131" t="n">
        <x:f>SUM(B146:E146)</x:f>
        <x:v>746232117.4935002</x:v>
      </x:c>
      <x:c r="G146" s="111" t="str">
        <x:v>Independente</x:v>
      </x:c>
      <x:c r="H146" s="140" t="str">
        <x:v>Independente</x:v>
      </x:c>
      <x:c r="I146" s="111" t="str">
        <x:v>Regra residual — revisar manualmente</x:v>
      </x:c>
      <x:c r="J146" s="149" t="str">
        <x:v>Sim</x:v>
      </x:c>
      <x:c r="K146" s="131" t="n">
        <x:f>IF($H146="Independente",$F146,0)</x:f>
        <x:v>746232117.4935002</x:v>
      </x:c>
      <x:c r="L146" s="131" t="n">
        <x:f>IF($H146="Ligada a banco",$F146,0)</x:f>
        <x:v>0</x:v>
      </x:c>
      <x:c r="M146" s="114" t="n">
        <x:f>IF(K146&gt;0,RANK(K146,$K$6:$K$462)+COUNTIF($K$6:K146,K146)-1,9999)</x:f>
        <x:v>125</x:v>
      </x:c>
      <x:c r="N146" s="114" t="n">
        <x:f>IF(L146&gt;0,RANK(L146,$L$6:$L$462)+COUNTIF($L$6:L146,L146)-1,9999)</x:f>
        <x:v>9999</x:v>
      </x:c>
    </x:row>
    <x:row r="147">
      <x:c r="A147" s="111" t="str">
        <x:v>RB Asset</x:v>
      </x:c>
      <x:c r="B147" s="131" t="n">
        <x:v>0</x:v>
      </x:c>
      <x:c r="C147" s="131" t="n">
        <x:v>741921689.82</x:v>
      </x:c>
      <x:c r="D147" s="131" t="n">
        <x:v>0</x:v>
      </x:c>
      <x:c r="E147" s="131" t="n">
        <x:v>0</x:v>
      </x:c>
      <x:c r="F147" s="131" t="n">
        <x:f>SUM(B147:E147)</x:f>
        <x:v>741921689.82</x:v>
      </x:c>
      <x:c r="G147" s="111" t="str">
        <x:v>Independente</x:v>
      </x:c>
      <x:c r="H147" s="140" t="str">
        <x:v>Independente</x:v>
      </x:c>
      <x:c r="I147" s="111" t="str">
        <x:v>Regra residual — revisar manualmente</x:v>
      </x:c>
      <x:c r="J147" s="149" t="str">
        <x:v>Sim</x:v>
      </x:c>
      <x:c r="K147" s="131" t="n">
        <x:f>IF($H147="Independente",$F147,0)</x:f>
        <x:v>741921689.82</x:v>
      </x:c>
      <x:c r="L147" s="131" t="n">
        <x:f>IF($H147="Ligada a banco",$F147,0)</x:f>
        <x:v>0</x:v>
      </x:c>
      <x:c r="M147" s="114" t="n">
        <x:f>IF(K147&gt;0,RANK(K147,$K$6:$K$462)+COUNTIF($K$6:K147,K147)-1,9999)</x:f>
        <x:v>126</x:v>
      </x:c>
      <x:c r="N147" s="114" t="n">
        <x:f>IF(L147&gt;0,RANK(L147,$L$6:$L$462)+COUNTIF($L$6:L147,L147)-1,9999)</x:f>
        <x:v>9999</x:v>
      </x:c>
    </x:row>
    <x:row r="148">
      <x:c r="A148" s="111" t="str">
        <x:v>EuQueroInvestir Gestão de Recursos Ltda.</x:v>
      </x:c>
      <x:c r="B148" s="131" t="n">
        <x:v>194718325.35</x:v>
      </x:c>
      <x:c r="C148" s="131" t="n">
        <x:v>0</x:v>
      </x:c>
      <x:c r="D148" s="131" t="n">
        <x:v>0</x:v>
      </x:c>
      <x:c r="E148" s="131" t="n">
        <x:v>506707064.63</x:v>
      </x:c>
      <x:c r="F148" s="131" t="n">
        <x:f>SUM(B148:E148)</x:f>
        <x:v>701425389.98</x:v>
      </x:c>
      <x:c r="G148" s="111" t="str">
        <x:v>Independente</x:v>
      </x:c>
      <x:c r="H148" s="140" t="str">
        <x:v>Independente</x:v>
      </x:c>
      <x:c r="I148" s="111" t="str">
        <x:v>Regra residual — revisar manualmente</x:v>
      </x:c>
      <x:c r="J148" s="149" t="str">
        <x:v>Sim</x:v>
      </x:c>
      <x:c r="K148" s="131" t="n">
        <x:f>IF($H148="Independente",$F148,0)</x:f>
        <x:v>701425389.98</x:v>
      </x:c>
      <x:c r="L148" s="131" t="n">
        <x:f>IF($H148="Ligada a banco",$F148,0)</x:f>
        <x:v>0</x:v>
      </x:c>
      <x:c r="M148" s="114" t="n">
        <x:f>IF(K148&gt;0,RANK(K148,$K$6:$K$462)+COUNTIF($K$6:K148,K148)-1,9999)</x:f>
        <x:v>127</x:v>
      </x:c>
      <x:c r="N148" s="114" t="n">
        <x:f>IF(L148&gt;0,RANK(L148,$L$6:$L$462)+COUNTIF($L$6:L148,L148)-1,9999)</x:f>
        <x:v>9999</x:v>
      </x:c>
    </x:row>
    <x:row r="149">
      <x:c r="A149" s="111" t="str">
        <x:v>Éxes</x:v>
      </x:c>
      <x:c r="B149" s="131" t="n">
        <x:v>67730791.02999999</x:v>
      </x:c>
      <x:c r="C149" s="131" t="n">
        <x:v>0</x:v>
      </x:c>
      <x:c r="D149" s="131" t="n">
        <x:v>0</x:v>
      </x:c>
      <x:c r="E149" s="131" t="n">
        <x:v>624184315.9273</x:v>
      </x:c>
      <x:c r="F149" s="131" t="n">
        <x:f>SUM(B149:E149)</x:f>
        <x:v>691915106.9573</x:v>
      </x:c>
      <x:c r="G149" s="111" t="str">
        <x:v>Independente</x:v>
      </x:c>
      <x:c r="H149" s="140" t="str">
        <x:v>Independente</x:v>
      </x:c>
      <x:c r="I149" s="111" t="str">
        <x:v>Regra residual — revisar manualmente</x:v>
      </x:c>
      <x:c r="J149" s="149" t="str">
        <x:v>Sim</x:v>
      </x:c>
      <x:c r="K149" s="131" t="n">
        <x:f>IF($H149="Independente",$F149,0)</x:f>
        <x:v>691915106.9573</x:v>
      </x:c>
      <x:c r="L149" s="131" t="n">
        <x:f>IF($H149="Ligada a banco",$F149,0)</x:f>
        <x:v>0</x:v>
      </x:c>
      <x:c r="M149" s="114" t="n">
        <x:f>IF(K149&gt;0,RANK(K149,$K$6:$K$462)+COUNTIF($K$6:K149,K149)-1,9999)</x:f>
        <x:v>128</x:v>
      </x:c>
      <x:c r="N149" s="114" t="n">
        <x:f>IF(L149&gt;0,RANK(L149,$L$6:$L$462)+COUNTIF($L$6:L149,L149)-1,9999)</x:f>
        <x:v>9999</x:v>
      </x:c>
    </x:row>
    <x:row r="150">
      <x:c r="A150" s="111" t="str">
        <x:v>Chimera Capital Asset Management Ltda.</x:v>
      </x:c>
      <x:c r="B150" s="131" t="n">
        <x:v>0</x:v>
      </x:c>
      <x:c r="C150" s="131" t="n">
        <x:v>0</x:v>
      </x:c>
      <x:c r="D150" s="131" t="n">
        <x:v>0</x:v>
      </x:c>
      <x:c r="E150" s="131" t="n">
        <x:v>689664879.6</x:v>
      </x:c>
      <x:c r="F150" s="131" t="n">
        <x:f>SUM(B150:E150)</x:f>
        <x:v>689664879.6</x:v>
      </x:c>
      <x:c r="G150" s="111" t="str">
        <x:v>Independente</x:v>
      </x:c>
      <x:c r="H150" s="140" t="str">
        <x:v>Independente</x:v>
      </x:c>
      <x:c r="I150" s="111" t="str">
        <x:v>Regra residual — revisar manualmente</x:v>
      </x:c>
      <x:c r="J150" s="149" t="str">
        <x:v>Sim</x:v>
      </x:c>
      <x:c r="K150" s="131" t="n">
        <x:f>IF($H150="Independente",$F150,0)</x:f>
        <x:v>689664879.6</x:v>
      </x:c>
      <x:c r="L150" s="131" t="n">
        <x:f>IF($H150="Ligada a banco",$F150,0)</x:f>
        <x:v>0</x:v>
      </x:c>
      <x:c r="M150" s="114" t="n">
        <x:f>IF(K150&gt;0,RANK(K150,$K$6:$K$462)+COUNTIF($K$6:K150,K150)-1,9999)</x:f>
        <x:v>129</x:v>
      </x:c>
      <x:c r="N150" s="114" t="n">
        <x:f>IF(L150&gt;0,RANK(L150,$L$6:$L$462)+COUNTIF($L$6:L150,L150)-1,9999)</x:f>
        <x:v>9999</x:v>
      </x:c>
    </x:row>
    <x:row r="151">
      <x:c r="A151" s="111" t="str">
        <x:v>ANTHARUS GESTORA DE RECURSOS LTDA</x:v>
      </x:c>
      <x:c r="B151" s="131" t="n">
        <x:v>0</x:v>
      </x:c>
      <x:c r="C151" s="131" t="n">
        <x:v>1209531.79</x:v>
      </x:c>
      <x:c r="D151" s="131" t="n">
        <x:v>480853352.64</x:v>
      </x:c>
      <x:c r="E151" s="131" t="n">
        <x:v>173339218.28000003</x:v>
      </x:c>
      <x:c r="F151" s="131" t="n">
        <x:f>SUM(B151:E151)</x:f>
        <x:v>655402102.71</x:v>
      </x:c>
      <x:c r="G151" s="111" t="str">
        <x:v>Independente</x:v>
      </x:c>
      <x:c r="H151" s="140" t="str">
        <x:v>Independente</x:v>
      </x:c>
      <x:c r="I151" s="111" t="str">
        <x:v>Regra residual — revisar manualmente</x:v>
      </x:c>
      <x:c r="J151" s="149" t="str">
        <x:v>Sim</x:v>
      </x:c>
      <x:c r="K151" s="131" t="n">
        <x:f>IF($H151="Independente",$F151,0)</x:f>
        <x:v>655402102.71</x:v>
      </x:c>
      <x:c r="L151" s="131" t="n">
        <x:f>IF($H151="Ligada a banco",$F151,0)</x:f>
        <x:v>0</x:v>
      </x:c>
      <x:c r="M151" s="114" t="n">
        <x:f>IF(K151&gt;0,RANK(K151,$K$6:$K$462)+COUNTIF($K$6:K151,K151)-1,9999)</x:f>
        <x:v>130</x:v>
      </x:c>
      <x:c r="N151" s="114" t="n">
        <x:f>IF(L151&gt;0,RANK(L151,$L$6:$L$462)+COUNTIF($L$6:L151,L151)-1,9999)</x:f>
        <x:v>9999</x:v>
      </x:c>
    </x:row>
    <x:row r="152">
      <x:c r="A152" s="111" t="str">
        <x:v>BR-Capital DTVM</x:v>
      </x:c>
      <x:c r="B152" s="131" t="n">
        <x:v>0</x:v>
      </x:c>
      <x:c r="C152" s="131" t="n">
        <x:v>0</x:v>
      </x:c>
      <x:c r="D152" s="131" t="n">
        <x:v>0</x:v>
      </x:c>
      <x:c r="E152" s="131" t="n">
        <x:v>640384800.38</x:v>
      </x:c>
      <x:c r="F152" s="131" t="n">
        <x:f>SUM(B152:E152)</x:f>
        <x:v>640384800.38</x:v>
      </x:c>
      <x:c r="G152" s="111" t="str">
        <x:v>Independente</x:v>
      </x:c>
      <x:c r="H152" s="140" t="str">
        <x:v>Independente</x:v>
      </x:c>
      <x:c r="I152" s="111" t="str">
        <x:v>Regra residual — revisar manualmente</x:v>
      </x:c>
      <x:c r="J152" s="149" t="str">
        <x:v>Sim</x:v>
      </x:c>
      <x:c r="K152" s="131" t="n">
        <x:f>IF($H152="Independente",$F152,0)</x:f>
        <x:v>640384800.38</x:v>
      </x:c>
      <x:c r="L152" s="131" t="n">
        <x:f>IF($H152="Ligada a banco",$F152,0)</x:f>
        <x:v>0</x:v>
      </x:c>
      <x:c r="M152" s="114" t="n">
        <x:f>IF(K152&gt;0,RANK(K152,$K$6:$K$462)+COUNTIF($K$6:K152,K152)-1,9999)</x:f>
        <x:v>131</x:v>
      </x:c>
      <x:c r="N152" s="114" t="n">
        <x:f>IF(L152&gt;0,RANK(L152,$L$6:$L$462)+COUNTIF($L$6:L152,L152)-1,9999)</x:f>
        <x:v>9999</x:v>
      </x:c>
    </x:row>
    <x:row r="153">
      <x:c r="A153" s="111" t="str">
        <x:v>MAV CAPITAL GESTORA DE RECURSOS SS LTDA</x:v>
      </x:c>
      <x:c r="B153" s="131" t="n">
        <x:v>437495139.13</x:v>
      </x:c>
      <x:c r="C153" s="131" t="n">
        <x:v>0</x:v>
      </x:c>
      <x:c r="D153" s="131" t="n">
        <x:v>0</x:v>
      </x:c>
      <x:c r="E153" s="131" t="n">
        <x:v>199408976.09</x:v>
      </x:c>
      <x:c r="F153" s="131" t="n">
        <x:f>SUM(B153:E153)</x:f>
        <x:v>636904115.22</x:v>
      </x:c>
      <x:c r="G153" s="111" t="str">
        <x:v>Independente</x:v>
      </x:c>
      <x:c r="H153" s="140" t="str">
        <x:v>Independente</x:v>
      </x:c>
      <x:c r="I153" s="111" t="str">
        <x:v>Regra residual — revisar manualmente</x:v>
      </x:c>
      <x:c r="J153" s="149" t="str">
        <x:v>Sim</x:v>
      </x:c>
      <x:c r="K153" s="131" t="n">
        <x:f>IF($H153="Independente",$F153,0)</x:f>
        <x:v>636904115.22</x:v>
      </x:c>
      <x:c r="L153" s="131" t="n">
        <x:f>IF($H153="Ligada a banco",$F153,0)</x:f>
        <x:v>0</x:v>
      </x:c>
      <x:c r="M153" s="114" t="n">
        <x:f>IF(K153&gt;0,RANK(K153,$K$6:$K$462)+COUNTIF($K$6:K153,K153)-1,9999)</x:f>
        <x:v>132</x:v>
      </x:c>
      <x:c r="N153" s="114" t="n">
        <x:f>IF(L153&gt;0,RANK(L153,$L$6:$L$462)+COUNTIF($L$6:L153,L153)-1,9999)</x:f>
        <x:v>9999</x:v>
      </x:c>
    </x:row>
    <x:row r="154">
      <x:c r="A154" s="111" t="str">
        <x:v>Starboard Asset</x:v>
      </x:c>
      <x:c r="B154" s="131" t="n">
        <x:v>0</x:v>
      </x:c>
      <x:c r="C154" s="131" t="n">
        <x:v>0</x:v>
      </x:c>
      <x:c r="D154" s="131" t="n">
        <x:v>0</x:v>
      </x:c>
      <x:c r="E154" s="131" t="n">
        <x:v>636259268.57</x:v>
      </x:c>
      <x:c r="F154" s="131" t="n">
        <x:f>SUM(B154:E154)</x:f>
        <x:v>636259268.57</x:v>
      </x:c>
      <x:c r="G154" s="111" t="str">
        <x:v>Independente</x:v>
      </x:c>
      <x:c r="H154" s="140" t="str">
        <x:v>Independente</x:v>
      </x:c>
      <x:c r="I154" s="111" t="str">
        <x:v>Regra residual — revisar manualmente</x:v>
      </x:c>
      <x:c r="J154" s="149" t="str">
        <x:v>Sim</x:v>
      </x:c>
      <x:c r="K154" s="131" t="n">
        <x:f>IF($H154="Independente",$F154,0)</x:f>
        <x:v>636259268.57</x:v>
      </x:c>
      <x:c r="L154" s="131" t="n">
        <x:f>IF($H154="Ligada a banco",$F154,0)</x:f>
        <x:v>0</x:v>
      </x:c>
      <x:c r="M154" s="114" t="n">
        <x:f>IF(K154&gt;0,RANK(K154,$K$6:$K$462)+COUNTIF($K$6:K154,K154)-1,9999)</x:f>
        <x:v>133</x:v>
      </x:c>
      <x:c r="N154" s="114" t="n">
        <x:f>IF(L154&gt;0,RANK(L154,$L$6:$L$462)+COUNTIF($L$6:L154,L154)-1,9999)</x:f>
        <x:v>9999</x:v>
      </x:c>
    </x:row>
    <x:row r="155">
      <x:c r="A155" s="111" t="str">
        <x:v>PRISMA PRIVATE CREDIT</x:v>
      </x:c>
      <x:c r="B155" s="131" t="n">
        <x:v>0</x:v>
      </x:c>
      <x:c r="C155" s="131" t="n">
        <x:v>0</x:v>
      </x:c>
      <x:c r="D155" s="131" t="n">
        <x:v>0</x:v>
      </x:c>
      <x:c r="E155" s="131" t="n">
        <x:v>632995138.9300001</x:v>
      </x:c>
      <x:c r="F155" s="131" t="n">
        <x:f>SUM(B155:E155)</x:f>
        <x:v>632995138.9300001</x:v>
      </x:c>
      <x:c r="G155" s="111" t="str">
        <x:v>Independente</x:v>
      </x:c>
      <x:c r="H155" s="140" t="str">
        <x:v>Independente</x:v>
      </x:c>
      <x:c r="I155" s="111" t="str">
        <x:v>Regra residual — revisar manualmente</x:v>
      </x:c>
      <x:c r="J155" s="149" t="str">
        <x:v>Sim</x:v>
      </x:c>
      <x:c r="K155" s="131" t="n">
        <x:f>IF($H155="Independente",$F155,0)</x:f>
        <x:v>632995138.9300001</x:v>
      </x:c>
      <x:c r="L155" s="131" t="n">
        <x:f>IF($H155="Ligada a banco",$F155,0)</x:f>
        <x:v>0</x:v>
      </x:c>
      <x:c r="M155" s="114" t="n">
        <x:f>IF(K155&gt;0,RANK(K155,$K$6:$K$462)+COUNTIF($K$6:K155,K155)-1,9999)</x:f>
        <x:v>134</x:v>
      </x:c>
      <x:c r="N155" s="114" t="n">
        <x:f>IF(L155&gt;0,RANK(L155,$L$6:$L$462)+COUNTIF($L$6:L155,L155)-1,9999)</x:f>
        <x:v>9999</x:v>
      </x:c>
    </x:row>
    <x:row r="156">
      <x:c r="A156" s="111" t="str">
        <x:v>Via Invest Gestão de Recursos Ltda.</x:v>
      </x:c>
      <x:c r="B156" s="131" t="n">
        <x:v>0</x:v>
      </x:c>
      <x:c r="C156" s="131" t="n">
        <x:v>180997772.44</x:v>
      </x:c>
      <x:c r="D156" s="131" t="n">
        <x:v>421254337.56</x:v>
      </x:c>
      <x:c r="E156" s="131" t="n">
        <x:v>29773121.63</x:v>
      </x:c>
      <x:c r="F156" s="131" t="n">
        <x:f>SUM(B156:E156)</x:f>
        <x:v>632025231.63</x:v>
      </x:c>
      <x:c r="G156" s="111" t="str">
        <x:v>Independente</x:v>
      </x:c>
      <x:c r="H156" s="140" t="str">
        <x:v>Independente</x:v>
      </x:c>
      <x:c r="I156" s="111" t="str">
        <x:v>Regra residual — revisar manualmente</x:v>
      </x:c>
      <x:c r="J156" s="149" t="str">
        <x:v>Sim</x:v>
      </x:c>
      <x:c r="K156" s="131" t="n">
        <x:f>IF($H156="Independente",$F156,0)</x:f>
        <x:v>632025231.63</x:v>
      </x:c>
      <x:c r="L156" s="131" t="n">
        <x:f>IF($H156="Ligada a banco",$F156,0)</x:f>
        <x:v>0</x:v>
      </x:c>
      <x:c r="M156" s="114" t="n">
        <x:f>IF(K156&gt;0,RANK(K156,$K$6:$K$462)+COUNTIF($K$6:K156,K156)-1,9999)</x:f>
        <x:v>135</x:v>
      </x:c>
      <x:c r="N156" s="114" t="n">
        <x:f>IF(L156&gt;0,RANK(L156,$L$6:$L$462)+COUNTIF($L$6:L156,L156)-1,9999)</x:f>
        <x:v>9999</x:v>
      </x:c>
    </x:row>
    <x:row r="157">
      <x:c r="A157" s="111" t="str">
        <x:v>BDR Asset</x:v>
      </x:c>
      <x:c r="B157" s="131" t="n">
        <x:v>0</x:v>
      </x:c>
      <x:c r="C157" s="131" t="n">
        <x:v>123600445.49</x:v>
      </x:c>
      <x:c r="D157" s="131" t="n">
        <x:v>0</x:v>
      </x:c>
      <x:c r="E157" s="131" t="n">
        <x:v>498645226.93</x:v>
      </x:c>
      <x:c r="F157" s="131" t="n">
        <x:f>SUM(B157:E157)</x:f>
        <x:v>622245672.42</x:v>
      </x:c>
      <x:c r="G157" s="111" t="str">
        <x:v>Independente</x:v>
      </x:c>
      <x:c r="H157" s="140" t="str">
        <x:v>Independente</x:v>
      </x:c>
      <x:c r="I157" s="111" t="str">
        <x:v>Regra residual — revisar manualmente</x:v>
      </x:c>
      <x:c r="J157" s="149" t="str">
        <x:v>Sim</x:v>
      </x:c>
      <x:c r="K157" s="131" t="n">
        <x:f>IF($H157="Independente",$F157,0)</x:f>
        <x:v>622245672.42</x:v>
      </x:c>
      <x:c r="L157" s="131" t="n">
        <x:f>IF($H157="Ligada a banco",$F157,0)</x:f>
        <x:v>0</x:v>
      </x:c>
      <x:c r="M157" s="114" t="n">
        <x:f>IF(K157&gt;0,RANK(K157,$K$6:$K$462)+COUNTIF($K$6:K157,K157)-1,9999)</x:f>
        <x:v>136</x:v>
      </x:c>
      <x:c r="N157" s="114" t="n">
        <x:f>IF(L157&gt;0,RANK(L157,$L$6:$L$462)+COUNTIF($L$6:L157,L157)-1,9999)</x:f>
        <x:v>9999</x:v>
      </x:c>
    </x:row>
    <x:row r="158">
      <x:c r="A158" s="111" t="str">
        <x:v>Multinvest Capital</x:v>
      </x:c>
      <x:c r="B158" s="131" t="n">
        <x:v>0</x:v>
      </x:c>
      <x:c r="C158" s="131" t="n">
        <x:v>0</x:v>
      </x:c>
      <x:c r="D158" s="131" t="n">
        <x:v>0</x:v>
      </x:c>
      <x:c r="E158" s="131" t="n">
        <x:v>618567138.35</x:v>
      </x:c>
      <x:c r="F158" s="131" t="n">
        <x:f>SUM(B158:E158)</x:f>
        <x:v>618567138.35</x:v>
      </x:c>
      <x:c r="G158" s="111" t="str">
        <x:v>Independente</x:v>
      </x:c>
      <x:c r="H158" s="140" t="str">
        <x:v>Independente</x:v>
      </x:c>
      <x:c r="I158" s="111" t="str">
        <x:v>Regra residual — revisar manualmente</x:v>
      </x:c>
      <x:c r="J158" s="149" t="str">
        <x:v>Sim</x:v>
      </x:c>
      <x:c r="K158" s="131" t="n">
        <x:f>IF($H158="Independente",$F158,0)</x:f>
        <x:v>618567138.35</x:v>
      </x:c>
      <x:c r="L158" s="131" t="n">
        <x:f>IF($H158="Ligada a banco",$F158,0)</x:f>
        <x:v>0</x:v>
      </x:c>
      <x:c r="M158" s="114" t="n">
        <x:f>IF(K158&gt;0,RANK(K158,$K$6:$K$462)+COUNTIF($K$6:K158,K158)-1,9999)</x:f>
        <x:v>137</x:v>
      </x:c>
      <x:c r="N158" s="114" t="n">
        <x:f>IF(L158&gt;0,RANK(L158,$L$6:$L$462)+COUNTIF($L$6:L158,L158)-1,9999)</x:f>
        <x:v>9999</x:v>
      </x:c>
    </x:row>
    <x:row r="159">
      <x:c r="A159" s="111" t="str">
        <x:v>Patrimonial Gestão</x:v>
      </x:c>
      <x:c r="B159" s="131" t="n">
        <x:v>0</x:v>
      </x:c>
      <x:c r="C159" s="131" t="n">
        <x:v>41319115.84</x:v>
      </x:c>
      <x:c r="D159" s="131" t="n">
        <x:v>0</x:v>
      </x:c>
      <x:c r="E159" s="131" t="n">
        <x:v>565137548.7702999</x:v>
      </x:c>
      <x:c r="F159" s="131" t="n">
        <x:f>SUM(B159:E159)</x:f>
        <x:v>606456664.6103</x:v>
      </x:c>
      <x:c r="G159" s="111" t="str">
        <x:v>Independente</x:v>
      </x:c>
      <x:c r="H159" s="140" t="str">
        <x:v>Independente</x:v>
      </x:c>
      <x:c r="I159" s="111" t="str">
        <x:v>Regra residual — revisar manualmente</x:v>
      </x:c>
      <x:c r="J159" s="149" t="str">
        <x:v>Sim</x:v>
      </x:c>
      <x:c r="K159" s="131" t="n">
        <x:f>IF($H159="Independente",$F159,0)</x:f>
        <x:v>606456664.6103</x:v>
      </x:c>
      <x:c r="L159" s="131" t="n">
        <x:f>IF($H159="Ligada a banco",$F159,0)</x:f>
        <x:v>0</x:v>
      </x:c>
      <x:c r="M159" s="114" t="n">
        <x:f>IF(K159&gt;0,RANK(K159,$K$6:$K$462)+COUNTIF($K$6:K159,K159)-1,9999)</x:f>
        <x:v>138</x:v>
      </x:c>
      <x:c r="N159" s="114" t="n">
        <x:f>IF(L159&gt;0,RANK(L159,$L$6:$L$462)+COUNTIF($L$6:L159,L159)-1,9999)</x:f>
        <x:v>9999</x:v>
      </x:c>
    </x:row>
    <x:row r="160">
      <x:c r="A160" s="111" t="str">
        <x:v>BMA ASSET</x:v>
      </x:c>
      <x:c r="B160" s="131" t="n">
        <x:v>0</x:v>
      </x:c>
      <x:c r="C160" s="131" t="n">
        <x:v>0</x:v>
      </x:c>
      <x:c r="D160" s="131" t="n">
        <x:v>0</x:v>
      </x:c>
      <x:c r="E160" s="131" t="n">
        <x:v>606376155.84</x:v>
      </x:c>
      <x:c r="F160" s="131" t="n">
        <x:f>SUM(B160:E160)</x:f>
        <x:v>606376155.84</x:v>
      </x:c>
      <x:c r="G160" s="111" t="str">
        <x:v>Independente</x:v>
      </x:c>
      <x:c r="H160" s="140" t="str">
        <x:v>Independente</x:v>
      </x:c>
      <x:c r="I160" s="111" t="str">
        <x:v>Regra residual — revisar manualmente</x:v>
      </x:c>
      <x:c r="J160" s="149" t="str">
        <x:v>Sim</x:v>
      </x:c>
      <x:c r="K160" s="131" t="n">
        <x:f>IF($H160="Independente",$F160,0)</x:f>
        <x:v>606376155.84</x:v>
      </x:c>
      <x:c r="L160" s="131" t="n">
        <x:f>IF($H160="Ligada a banco",$F160,0)</x:f>
        <x:v>0</x:v>
      </x:c>
      <x:c r="M160" s="114" t="n">
        <x:f>IF(K160&gt;0,RANK(K160,$K$6:$K$462)+COUNTIF($K$6:K160,K160)-1,9999)</x:f>
        <x:v>139</x:v>
      </x:c>
      <x:c r="N160" s="114" t="n">
        <x:f>IF(L160&gt;0,RANK(L160,$L$6:$L$462)+COUNTIF($L$6:L160,L160)-1,9999)</x:f>
        <x:v>9999</x:v>
      </x:c>
    </x:row>
    <x:row r="161">
      <x:c r="A161" s="111" t="str">
        <x:v>Score Capital</x:v>
      </x:c>
      <x:c r="B161" s="131" t="n">
        <x:v>0</x:v>
      </x:c>
      <x:c r="C161" s="131" t="n">
        <x:v>0</x:v>
      </x:c>
      <x:c r="D161" s="131" t="n">
        <x:v>0</x:v>
      </x:c>
      <x:c r="E161" s="131" t="n">
        <x:v>563177099.51</x:v>
      </x:c>
      <x:c r="F161" s="131" t="n">
        <x:f>SUM(B161:E161)</x:f>
        <x:v>563177099.51</x:v>
      </x:c>
      <x:c r="G161" s="111" t="str">
        <x:v>Independente</x:v>
      </x:c>
      <x:c r="H161" s="140" t="str">
        <x:v>Independente</x:v>
      </x:c>
      <x:c r="I161" s="111" t="str">
        <x:v>Regra residual — revisar manualmente</x:v>
      </x:c>
      <x:c r="J161" s="149" t="str">
        <x:v>Sim</x:v>
      </x:c>
      <x:c r="K161" s="131" t="n">
        <x:f>IF($H161="Independente",$F161,0)</x:f>
        <x:v>563177099.51</x:v>
      </x:c>
      <x:c r="L161" s="131" t="n">
        <x:f>IF($H161="Ligada a banco",$F161,0)</x:f>
        <x:v>0</x:v>
      </x:c>
      <x:c r="M161" s="114" t="n">
        <x:f>IF(K161&gt;0,RANK(K161,$K$6:$K$462)+COUNTIF($K$6:K161,K161)-1,9999)</x:f>
        <x:v>140</x:v>
      </x:c>
      <x:c r="N161" s="114" t="n">
        <x:f>IF(L161&gt;0,RANK(L161,$L$6:$L$462)+COUNTIF($L$6:L161,L161)-1,9999)</x:f>
        <x:v>9999</x:v>
      </x:c>
    </x:row>
    <x:row r="162">
      <x:c r="A162" s="111" t="str">
        <x:v>Vision Brazil</x:v>
      </x:c>
      <x:c r="B162" s="131" t="n">
        <x:v>0</x:v>
      </x:c>
      <x:c r="C162" s="131" t="n">
        <x:v>0</x:v>
      </x:c>
      <x:c r="D162" s="131" t="n">
        <x:v>0</x:v>
      </x:c>
      <x:c r="E162" s="131" t="n">
        <x:v>558744987.3372</x:v>
      </x:c>
      <x:c r="F162" s="131" t="n">
        <x:f>SUM(B162:E162)</x:f>
        <x:v>558744987.3372</x:v>
      </x:c>
      <x:c r="G162" s="111" t="str">
        <x:v>Independente</x:v>
      </x:c>
      <x:c r="H162" s="140" t="str">
        <x:v>Independente</x:v>
      </x:c>
      <x:c r="I162" s="111" t="str">
        <x:v>Regra residual — revisar manualmente</x:v>
      </x:c>
      <x:c r="J162" s="149" t="str">
        <x:v>Sim</x:v>
      </x:c>
      <x:c r="K162" s="131" t="n">
        <x:f>IF($H162="Independente",$F162,0)</x:f>
        <x:v>558744987.3372</x:v>
      </x:c>
      <x:c r="L162" s="131" t="n">
        <x:f>IF($H162="Ligada a banco",$F162,0)</x:f>
        <x:v>0</x:v>
      </x:c>
      <x:c r="M162" s="114" t="n">
        <x:f>IF(K162&gt;0,RANK(K162,$K$6:$K$462)+COUNTIF($K$6:K162,K162)-1,9999)</x:f>
        <x:v>141</x:v>
      </x:c>
      <x:c r="N162" s="114" t="n">
        <x:f>IF(L162&gt;0,RANK(L162,$L$6:$L$462)+COUNTIF($L$6:L162,L162)-1,9999)</x:f>
        <x:v>9999</x:v>
      </x:c>
    </x:row>
    <x:row r="163">
      <x:c r="A163" s="111" t="str">
        <x:v>BTG PACTUAL WM</x:v>
      </x:c>
      <x:c r="B163" s="131" t="n">
        <x:v>502503153.17999995</x:v>
      </x:c>
      <x:c r="C163" s="131" t="n">
        <x:v>0</x:v>
      </x:c>
      <x:c r="D163" s="131" t="n">
        <x:v>0</x:v>
      </x:c>
      <x:c r="E163" s="131" t="n">
        <x:v>52527837.370000005</x:v>
      </x:c>
      <x:c r="F163" s="131" t="n">
        <x:f>SUM(B163:E163)</x:f>
        <x:v>555030990.55</x:v>
      </x:c>
      <x:c r="G163" s="111" t="str">
        <x:v>Ligada a banco</x:v>
      </x:c>
      <x:c r="H163" s="140" t="str">
        <x:v>Ligada a banco</x:v>
      </x:c>
      <x:c r="I163" s="111" t="str">
        <x:v>Regra nominal: BTG</x:v>
      </x:c>
      <x:c r="J163" s="149" t="str">
        <x:v>Sim</x:v>
      </x:c>
      <x:c r="K163" s="131" t="n">
        <x:f>IF($H163="Independente",$F163,0)</x:f>
        <x:v>0</x:v>
      </x:c>
      <x:c r="L163" s="131" t="n">
        <x:f>IF($H163="Ligada a banco",$F163,0)</x:f>
        <x:v>555030990.55</x:v>
      </x:c>
      <x:c r="M163" s="114" t="n">
        <x:f>IF(K163&gt;0,RANK(K163,$K$6:$K$462)+COUNTIF($K$6:K163,K163)-1,9999)</x:f>
        <x:v>9999</x:v>
      </x:c>
      <x:c r="N163" s="114" t="n">
        <x:f>IF(L163&gt;0,RANK(L163,$L$6:$L$462)+COUNTIF($L$6:L163,L163)-1,9999)</x:f>
        <x:v>17</x:v>
      </x:c>
    </x:row>
    <x:row r="164">
      <x:c r="A164" s="111" t="str">
        <x:v>Bocaina Capital</x:v>
      </x:c>
      <x:c r="B164" s="131" t="n">
        <x:v>330044004.76</x:v>
      </x:c>
      <x:c r="C164" s="131" t="n">
        <x:v>0</x:v>
      </x:c>
      <x:c r="D164" s="131" t="n">
        <x:v>0</x:v>
      </x:c>
      <x:c r="E164" s="131" t="n">
        <x:v>224656007.27</x:v>
      </x:c>
      <x:c r="F164" s="131" t="n">
        <x:f>SUM(B164:E164)</x:f>
        <x:v>554700012.03</x:v>
      </x:c>
      <x:c r="G164" s="111" t="str">
        <x:v>Independente</x:v>
      </x:c>
      <x:c r="H164" s="140" t="str">
        <x:v>Independente</x:v>
      </x:c>
      <x:c r="I164" s="111" t="str">
        <x:v>Regra residual — revisar manualmente</x:v>
      </x:c>
      <x:c r="J164" s="149" t="str">
        <x:v>Sim</x:v>
      </x:c>
      <x:c r="K164" s="131" t="n">
        <x:f>IF($H164="Independente",$F164,0)</x:f>
        <x:v>554700012.03</x:v>
      </x:c>
      <x:c r="L164" s="131" t="n">
        <x:f>IF($H164="Ligada a banco",$F164,0)</x:f>
        <x:v>0</x:v>
      </x:c>
      <x:c r="M164" s="114" t="n">
        <x:f>IF(K164&gt;0,RANK(K164,$K$6:$K$462)+COUNTIF($K$6:K164,K164)-1,9999)</x:f>
        <x:v>142</x:v>
      </x:c>
      <x:c r="N164" s="114" t="n">
        <x:f>IF(L164&gt;0,RANK(L164,$L$6:$L$462)+COUNTIF($L$6:L164,L164)-1,9999)</x:f>
        <x:v>9999</x:v>
      </x:c>
    </x:row>
    <x:row r="165">
      <x:c r="A165" s="111" t="str">
        <x:v>Iron Capital</x:v>
      </x:c>
      <x:c r="B165" s="131" t="n">
        <x:v>0</x:v>
      </x:c>
      <x:c r="C165" s="131" t="n">
        <x:v>47170054.49</x:v>
      </x:c>
      <x:c r="D165" s="131" t="n">
        <x:v>95427525.03</x:v>
      </x:c>
      <x:c r="E165" s="131" t="n">
        <x:v>396934326.72</x:v>
      </x:c>
      <x:c r="F165" s="131" t="n">
        <x:f>SUM(B165:E165)</x:f>
        <x:v>539531906.24</x:v>
      </x:c>
      <x:c r="G165" s="111" t="str">
        <x:v>Independente</x:v>
      </x:c>
      <x:c r="H165" s="140" t="str">
        <x:v>Independente</x:v>
      </x:c>
      <x:c r="I165" s="111" t="str">
        <x:v>Regra residual — revisar manualmente</x:v>
      </x:c>
      <x:c r="J165" s="149" t="str">
        <x:v>Sim</x:v>
      </x:c>
      <x:c r="K165" s="131" t="n">
        <x:f>IF($H165="Independente",$F165,0)</x:f>
        <x:v>539531906.24</x:v>
      </x:c>
      <x:c r="L165" s="131" t="n">
        <x:f>IF($H165="Ligada a banco",$F165,0)</x:f>
        <x:v>0</x:v>
      </x:c>
      <x:c r="M165" s="114" t="n">
        <x:f>IF(K165&gt;0,RANK(K165,$K$6:$K$462)+COUNTIF($K$6:K165,K165)-1,9999)</x:f>
        <x:v>143</x:v>
      </x:c>
      <x:c r="N165" s="114" t="n">
        <x:f>IF(L165&gt;0,RANK(L165,$L$6:$L$462)+COUNTIF($L$6:L165,L165)-1,9999)</x:f>
        <x:v>9999</x:v>
      </x:c>
    </x:row>
    <x:row r="166">
      <x:c r="A166" s="111" t="str">
        <x:v>IDGR</x:v>
      </x:c>
      <x:c r="B166" s="131" t="n">
        <x:v>0</x:v>
      </x:c>
      <x:c r="C166" s="131" t="n">
        <x:v>11936935.93</x:v>
      </x:c>
      <x:c r="D166" s="131" t="n">
        <x:v>250959121.64</x:v>
      </x:c>
      <x:c r="E166" s="131" t="n">
        <x:v>267825690.93</x:v>
      </x:c>
      <x:c r="F166" s="131" t="n">
        <x:f>SUM(B166:E166)</x:f>
        <x:v>530721748.5</x:v>
      </x:c>
      <x:c r="G166" s="111" t="str">
        <x:v>Independente</x:v>
      </x:c>
      <x:c r="H166" s="140" t="str">
        <x:v>Independente</x:v>
      </x:c>
      <x:c r="I166" s="111" t="str">
        <x:v>Regra residual — revisar manualmente</x:v>
      </x:c>
      <x:c r="J166" s="149" t="str">
        <x:v>Sim</x:v>
      </x:c>
      <x:c r="K166" s="131" t="n">
        <x:f>IF($H166="Independente",$F166,0)</x:f>
        <x:v>530721748.5</x:v>
      </x:c>
      <x:c r="L166" s="131" t="n">
        <x:f>IF($H166="Ligada a banco",$F166,0)</x:f>
        <x:v>0</x:v>
      </x:c>
      <x:c r="M166" s="114" t="n">
        <x:f>IF(K166&gt;0,RANK(K166,$K$6:$K$462)+COUNTIF($K$6:K166,K166)-1,9999)</x:f>
        <x:v>144</x:v>
      </x:c>
      <x:c r="N166" s="114" t="n">
        <x:f>IF(L166&gt;0,RANK(L166,$L$6:$L$462)+COUNTIF($L$6:L166,L166)-1,9999)</x:f>
        <x:v>9999</x:v>
      </x:c>
    </x:row>
    <x:row r="167">
      <x:c r="A167" s="111" t="str">
        <x:v>CRD Capital Administração de Recursos Ltda</x:v>
      </x:c>
      <x:c r="B167" s="131" t="n">
        <x:v>486999232.3</x:v>
      </x:c>
      <x:c r="C167" s="131" t="n">
        <x:v>0</x:v>
      </x:c>
      <x:c r="D167" s="131" t="n">
        <x:v>0</x:v>
      </x:c>
      <x:c r="E167" s="131" t="n">
        <x:v>37156812.099999994</x:v>
      </x:c>
      <x:c r="F167" s="131" t="n">
        <x:f>SUM(B167:E167)</x:f>
        <x:v>524156044.4</x:v>
      </x:c>
      <x:c r="G167" s="111" t="str">
        <x:v>Independente</x:v>
      </x:c>
      <x:c r="H167" s="140" t="str">
        <x:v>Independente</x:v>
      </x:c>
      <x:c r="I167" s="111" t="str">
        <x:v>Regra residual — revisar manualmente</x:v>
      </x:c>
      <x:c r="J167" s="149" t="str">
        <x:v>Sim</x:v>
      </x:c>
      <x:c r="K167" s="131" t="n">
        <x:f>IF($H167="Independente",$F167,0)</x:f>
        <x:v>524156044.4</x:v>
      </x:c>
      <x:c r="L167" s="131" t="n">
        <x:f>IF($H167="Ligada a banco",$F167,0)</x:f>
        <x:v>0</x:v>
      </x:c>
      <x:c r="M167" s="114" t="n">
        <x:f>IF(K167&gt;0,RANK(K167,$K$6:$K$462)+COUNTIF($K$6:K167,K167)-1,9999)</x:f>
        <x:v>145</x:v>
      </x:c>
      <x:c r="N167" s="114" t="n">
        <x:f>IF(L167&gt;0,RANK(L167,$L$6:$L$462)+COUNTIF($L$6:L167,L167)-1,9999)</x:f>
        <x:v>9999</x:v>
      </x:c>
    </x:row>
    <x:row r="168">
      <x:c r="A168" s="111" t="str">
        <x:v>Banco Santander</x:v>
      </x:c>
      <x:c r="B168" s="131" t="n">
        <x:v>507114261.73</x:v>
      </x:c>
      <x:c r="C168" s="131" t="n">
        <x:v>0</x:v>
      </x:c>
      <x:c r="D168" s="131" t="n">
        <x:v>0</x:v>
      </x:c>
      <x:c r="E168" s="131" t="n">
        <x:v>0</x:v>
      </x:c>
      <x:c r="F168" s="131" t="n">
        <x:f>SUM(B168:E168)</x:f>
        <x:v>507114261.73</x:v>
      </x:c>
      <x:c r="G168" s="111" t="str">
        <x:v>Ligada a banco</x:v>
      </x:c>
      <x:c r="H168" s="140" t="str">
        <x:v>Ligada a banco</x:v>
      </x:c>
      <x:c r="I168" s="111" t="str">
        <x:v>Regra nominal: BANCO</x:v>
      </x:c>
      <x:c r="J168" s="149" t="str">
        <x:v>Sim</x:v>
      </x:c>
      <x:c r="K168" s="131" t="n">
        <x:f>IF($H168="Independente",$F168,0)</x:f>
        <x:v>0</x:v>
      </x:c>
      <x:c r="L168" s="131" t="n">
        <x:f>IF($H168="Ligada a banco",$F168,0)</x:f>
        <x:v>507114261.73</x:v>
      </x:c>
      <x:c r="M168" s="114" t="n">
        <x:f>IF(K168&gt;0,RANK(K168,$K$6:$K$462)+COUNTIF($K$6:K168,K168)-1,9999)</x:f>
        <x:v>9999</x:v>
      </x:c>
      <x:c r="N168" s="114" t="n">
        <x:f>IF(L168&gt;0,RANK(L168,$L$6:$L$462)+COUNTIF($L$6:L168,L168)-1,9999)</x:f>
        <x:v>18</x:v>
      </x:c>
    </x:row>
    <x:row r="169">
      <x:c r="A169" s="111" t="str">
        <x:v>Paraguaçu Investimentos</x:v>
      </x:c>
      <x:c r="B169" s="131" t="n">
        <x:v>13507291.76</x:v>
      </x:c>
      <x:c r="C169" s="131" t="n">
        <x:v>33413821.200000003</x:v>
      </x:c>
      <x:c r="D169" s="131" t="n">
        <x:v>57547338.58662</x:v>
      </x:c>
      <x:c r="E169" s="131" t="n">
        <x:v>386273924.32000005</x:v>
      </x:c>
      <x:c r="F169" s="131" t="n">
        <x:f>SUM(B169:E169)</x:f>
        <x:v>490742375.86662006</x:v>
      </x:c>
      <x:c r="G169" s="111" t="str">
        <x:v>Independente</x:v>
      </x:c>
      <x:c r="H169" s="140" t="str">
        <x:v>Independente</x:v>
      </x:c>
      <x:c r="I169" s="111" t="str">
        <x:v>Regra residual — revisar manualmente</x:v>
      </x:c>
      <x:c r="J169" s="149" t="str">
        <x:v>Sim</x:v>
      </x:c>
      <x:c r="K169" s="131" t="n">
        <x:f>IF($H169="Independente",$F169,0)</x:f>
        <x:v>490742375.86662006</x:v>
      </x:c>
      <x:c r="L169" s="131" t="n">
        <x:f>IF($H169="Ligada a banco",$F169,0)</x:f>
        <x:v>0</x:v>
      </x:c>
      <x:c r="M169" s="114" t="n">
        <x:f>IF(K169&gt;0,RANK(K169,$K$6:$K$462)+COUNTIF($K$6:K169,K169)-1,9999)</x:f>
        <x:v>146</x:v>
      </x:c>
      <x:c r="N169" s="114" t="n">
        <x:f>IF(L169&gt;0,RANK(L169,$L$6:$L$462)+COUNTIF($L$6:L169,L169)-1,9999)</x:f>
        <x:v>9999</x:v>
      </x:c>
    </x:row>
    <x:row r="170">
      <x:c r="A170" s="111" t="str">
        <x:v>Aurum</x:v>
      </x:c>
      <x:c r="B170" s="131" t="n">
        <x:v>0</x:v>
      </x:c>
      <x:c r="C170" s="131" t="n">
        <x:v>0</x:v>
      </x:c>
      <x:c r="D170" s="131" t="n">
        <x:v>0</x:v>
      </x:c>
      <x:c r="E170" s="131" t="n">
        <x:v>484726303.52</x:v>
      </x:c>
      <x:c r="F170" s="131" t="n">
        <x:f>SUM(B170:E170)</x:f>
        <x:v>484726303.52</x:v>
      </x:c>
      <x:c r="G170" s="111" t="str">
        <x:v>Independente</x:v>
      </x:c>
      <x:c r="H170" s="140" t="str">
        <x:v>Independente</x:v>
      </x:c>
      <x:c r="I170" s="111" t="str">
        <x:v>Regra residual — revisar manualmente</x:v>
      </x:c>
      <x:c r="J170" s="149" t="str">
        <x:v>Sim</x:v>
      </x:c>
      <x:c r="K170" s="131" t="n">
        <x:f>IF($H170="Independente",$F170,0)</x:f>
        <x:v>484726303.52</x:v>
      </x:c>
      <x:c r="L170" s="131" t="n">
        <x:f>IF($H170="Ligada a banco",$F170,0)</x:f>
        <x:v>0</x:v>
      </x:c>
      <x:c r="M170" s="114" t="n">
        <x:f>IF(K170&gt;0,RANK(K170,$K$6:$K$462)+COUNTIF($K$6:K170,K170)-1,9999)</x:f>
        <x:v>147</x:v>
      </x:c>
      <x:c r="N170" s="114" t="n">
        <x:f>IF(L170&gt;0,RANK(L170,$L$6:$L$462)+COUNTIF($L$6:L170,L170)-1,9999)</x:f>
        <x:v>9999</x:v>
      </x:c>
    </x:row>
    <x:row r="171">
      <x:c r="A171" s="111" t="str">
        <x:v>Prinz Gestora de Recursos Ltda</x:v>
      </x:c>
      <x:c r="B171" s="131" t="n">
        <x:v>0</x:v>
      </x:c>
      <x:c r="C171" s="131" t="n">
        <x:v>0</x:v>
      </x:c>
      <x:c r="D171" s="131" t="n">
        <x:v>0</x:v>
      </x:c>
      <x:c r="E171" s="131" t="n">
        <x:v>481490149.9899999</x:v>
      </x:c>
      <x:c r="F171" s="131" t="n">
        <x:f>SUM(B171:E171)</x:f>
        <x:v>481490149.9899999</x:v>
      </x:c>
      <x:c r="G171" s="111" t="str">
        <x:v>Independente</x:v>
      </x:c>
      <x:c r="H171" s="140" t="str">
        <x:v>Independente</x:v>
      </x:c>
      <x:c r="I171" s="111" t="str">
        <x:v>Regra residual — revisar manualmente</x:v>
      </x:c>
      <x:c r="J171" s="149" t="str">
        <x:v>Sim</x:v>
      </x:c>
      <x:c r="K171" s="131" t="n">
        <x:f>IF($H171="Independente",$F171,0)</x:f>
        <x:v>481490149.9899999</x:v>
      </x:c>
      <x:c r="L171" s="131" t="n">
        <x:f>IF($H171="Ligada a banco",$F171,0)</x:f>
        <x:v>0</x:v>
      </x:c>
      <x:c r="M171" s="114" t="n">
        <x:f>IF(K171&gt;0,RANK(K171,$K$6:$K$462)+COUNTIF($K$6:K171,K171)-1,9999)</x:f>
        <x:v>148</x:v>
      </x:c>
      <x:c r="N171" s="114" t="n">
        <x:f>IF(L171&gt;0,RANK(L171,$L$6:$L$462)+COUNTIF($L$6:L171,L171)-1,9999)</x:f>
        <x:v>9999</x:v>
      </x:c>
    </x:row>
    <x:row r="172">
      <x:c r="A172" s="111" t="str">
        <x:v>Menestys</x:v>
      </x:c>
      <x:c r="B172" s="131" t="n">
        <x:v>77890185.94000001</x:v>
      </x:c>
      <x:c r="C172" s="131" t="n">
        <x:v>9044890.95</x:v>
      </x:c>
      <x:c r="D172" s="131" t="n">
        <x:v>188079587.81</x:v>
      </x:c>
      <x:c r="E172" s="131" t="n">
        <x:v>204175652.6899999</x:v>
      </x:c>
      <x:c r="F172" s="131" t="n">
        <x:f>SUM(B172:E172)</x:f>
        <x:v>479190317.39</x:v>
      </x:c>
      <x:c r="G172" s="111" t="str">
        <x:v>Independente</x:v>
      </x:c>
      <x:c r="H172" s="140" t="str">
        <x:v>Independente</x:v>
      </x:c>
      <x:c r="I172" s="111" t="str">
        <x:v>Regra residual — revisar manualmente</x:v>
      </x:c>
      <x:c r="J172" s="149" t="str">
        <x:v>Sim</x:v>
      </x:c>
      <x:c r="K172" s="131" t="n">
        <x:f>IF($H172="Independente",$F172,0)</x:f>
        <x:v>479190317.39</x:v>
      </x:c>
      <x:c r="L172" s="131" t="n">
        <x:f>IF($H172="Ligada a banco",$F172,0)</x:f>
        <x:v>0</x:v>
      </x:c>
      <x:c r="M172" s="114" t="n">
        <x:f>IF(K172&gt;0,RANK(K172,$K$6:$K$462)+COUNTIF($K$6:K172,K172)-1,9999)</x:f>
        <x:v>149</x:v>
      </x:c>
      <x:c r="N172" s="114" t="n">
        <x:f>IF(L172&gt;0,RANK(L172,$L$6:$L$462)+COUNTIF($L$6:L172,L172)-1,9999)</x:f>
        <x:v>9999</x:v>
      </x:c>
    </x:row>
    <x:row r="173">
      <x:c r="A173" s="111" t="str">
        <x:v>JUGIS CAPITAL GESTÃO DE RECURSOS LTDA.</x:v>
      </x:c>
      <x:c r="B173" s="131" t="n">
        <x:v>0</x:v>
      </x:c>
      <x:c r="C173" s="131" t="n">
        <x:v>0</x:v>
      </x:c>
      <x:c r="D173" s="131" t="n">
        <x:v>0</x:v>
      </x:c>
      <x:c r="E173" s="131" t="n">
        <x:v>478212088.51</x:v>
      </x:c>
      <x:c r="F173" s="131" t="n">
        <x:f>SUM(B173:E173)</x:f>
        <x:v>478212088.51</x:v>
      </x:c>
      <x:c r="G173" s="111" t="str">
        <x:v>Independente</x:v>
      </x:c>
      <x:c r="H173" s="140" t="str">
        <x:v>Independente</x:v>
      </x:c>
      <x:c r="I173" s="111" t="str">
        <x:v>Regra residual — revisar manualmente</x:v>
      </x:c>
      <x:c r="J173" s="149" t="str">
        <x:v>Sim</x:v>
      </x:c>
      <x:c r="K173" s="131" t="n">
        <x:f>IF($H173="Independente",$F173,0)</x:f>
        <x:v>478212088.51</x:v>
      </x:c>
      <x:c r="L173" s="131" t="n">
        <x:f>IF($H173="Ligada a banco",$F173,0)</x:f>
        <x:v>0</x:v>
      </x:c>
      <x:c r="M173" s="114" t="n">
        <x:f>IF(K173&gt;0,RANK(K173,$K$6:$K$462)+COUNTIF($K$6:K173,K173)-1,9999)</x:f>
        <x:v>150</x:v>
      </x:c>
      <x:c r="N173" s="114" t="n">
        <x:f>IF(L173&gt;0,RANK(L173,$L$6:$L$462)+COUNTIF($L$6:L173,L173)-1,9999)</x:f>
        <x:v>9999</x:v>
      </x:c>
    </x:row>
    <x:row r="174">
      <x:c r="A174" s="111" t="str">
        <x:v>Möbius Capital</x:v>
      </x:c>
      <x:c r="B174" s="131" t="n">
        <x:v>0</x:v>
      </x:c>
      <x:c r="C174" s="131" t="n">
        <x:v>0</x:v>
      </x:c>
      <x:c r="D174" s="131" t="n">
        <x:v>71933974.74</x:v>
      </x:c>
      <x:c r="E174" s="131" t="n">
        <x:v>401982560.5100001</x:v>
      </x:c>
      <x:c r="F174" s="131" t="n">
        <x:f>SUM(B174:E174)</x:f>
        <x:v>473916535.2500001</x:v>
      </x:c>
      <x:c r="G174" s="111" t="str">
        <x:v>Independente</x:v>
      </x:c>
      <x:c r="H174" s="140" t="str">
        <x:v>Independente</x:v>
      </x:c>
      <x:c r="I174" s="111" t="str">
        <x:v>Regra residual — revisar manualmente</x:v>
      </x:c>
      <x:c r="J174" s="149" t="str">
        <x:v>Sim</x:v>
      </x:c>
      <x:c r="K174" s="131" t="n">
        <x:f>IF($H174="Independente",$F174,0)</x:f>
        <x:v>473916535.2500001</x:v>
      </x:c>
      <x:c r="L174" s="131" t="n">
        <x:f>IF($H174="Ligada a banco",$F174,0)</x:f>
        <x:v>0</x:v>
      </x:c>
      <x:c r="M174" s="114" t="n">
        <x:f>IF(K174&gt;0,RANK(K174,$K$6:$K$462)+COUNTIF($K$6:K174,K174)-1,9999)</x:f>
        <x:v>151</x:v>
      </x:c>
      <x:c r="N174" s="114" t="n">
        <x:f>IF(L174&gt;0,RANK(L174,$L$6:$L$462)+COUNTIF($L$6:L174,L174)-1,9999)</x:f>
        <x:v>9999</x:v>
      </x:c>
    </x:row>
    <x:row r="175">
      <x:c r="A175" s="111" t="str">
        <x:v>BPS CAPITAL</x:v>
      </x:c>
      <x:c r="B175" s="131" t="n">
        <x:v>0</x:v>
      </x:c>
      <x:c r="C175" s="131" t="n">
        <x:v>0</x:v>
      </x:c>
      <x:c r="D175" s="131" t="n">
        <x:v>0</x:v>
      </x:c>
      <x:c r="E175" s="131" t="n">
        <x:v>472037454.8399999</x:v>
      </x:c>
      <x:c r="F175" s="131" t="n">
        <x:f>SUM(B175:E175)</x:f>
        <x:v>472037454.8399999</x:v>
      </x:c>
      <x:c r="G175" s="111" t="str">
        <x:v>Independente</x:v>
      </x:c>
      <x:c r="H175" s="140" t="str">
        <x:v>Independente</x:v>
      </x:c>
      <x:c r="I175" s="111" t="str">
        <x:v>Regra residual — revisar manualmente</x:v>
      </x:c>
      <x:c r="J175" s="149" t="str">
        <x:v>Sim</x:v>
      </x:c>
      <x:c r="K175" s="131" t="n">
        <x:f>IF($H175="Independente",$F175,0)</x:f>
        <x:v>472037454.8399999</x:v>
      </x:c>
      <x:c r="L175" s="131" t="n">
        <x:f>IF($H175="Ligada a banco",$F175,0)</x:f>
        <x:v>0</x:v>
      </x:c>
      <x:c r="M175" s="114" t="n">
        <x:f>IF(K175&gt;0,RANK(K175,$K$6:$K$462)+COUNTIF($K$6:K175,K175)-1,9999)</x:f>
        <x:v>152</x:v>
      </x:c>
      <x:c r="N175" s="114" t="n">
        <x:f>IF(L175&gt;0,RANK(L175,$L$6:$L$462)+COUNTIF($L$6:L175,L175)-1,9999)</x:f>
        <x:v>9999</x:v>
      </x:c>
    </x:row>
    <x:row r="176">
      <x:c r="A176" s="111" t="str">
        <x:v>UC Gestora de Recursos</x:v>
      </x:c>
      <x:c r="B176" s="131" t="n">
        <x:v>228232954.57</x:v>
      </x:c>
      <x:c r="C176" s="131" t="n">
        <x:v>6750554.87</x:v>
      </x:c>
      <x:c r="D176" s="131" t="n">
        <x:v>146876832.31</x:v>
      </x:c>
      <x:c r="E176" s="131" t="n">
        <x:v>88857029.75</x:v>
      </x:c>
      <x:c r="F176" s="131" t="n">
        <x:f>SUM(B176:E176)</x:f>
        <x:v>470717371.5</x:v>
      </x:c>
      <x:c r="G176" s="111" t="str">
        <x:v>Independente</x:v>
      </x:c>
      <x:c r="H176" s="140" t="str">
        <x:v>Independente</x:v>
      </x:c>
      <x:c r="I176" s="111" t="str">
        <x:v>Regra residual — revisar manualmente</x:v>
      </x:c>
      <x:c r="J176" s="149" t="str">
        <x:v>Sim</x:v>
      </x:c>
      <x:c r="K176" s="131" t="n">
        <x:f>IF($H176="Independente",$F176,0)</x:f>
        <x:v>470717371.5</x:v>
      </x:c>
      <x:c r="L176" s="131" t="n">
        <x:f>IF($H176="Ligada a banco",$F176,0)</x:f>
        <x:v>0</x:v>
      </x:c>
      <x:c r="M176" s="114" t="n">
        <x:f>IF(K176&gt;0,RANK(K176,$K$6:$K$462)+COUNTIF($K$6:K176,K176)-1,9999)</x:f>
        <x:v>153</x:v>
      </x:c>
      <x:c r="N176" s="114" t="n">
        <x:f>IF(L176&gt;0,RANK(L176,$L$6:$L$462)+COUNTIF($L$6:L176,L176)-1,9999)</x:f>
        <x:v>9999</x:v>
      </x:c>
    </x:row>
    <x:row r="177">
      <x:c r="A177" s="111" t="str">
        <x:v>Verde Asset Management S.A.</x:v>
      </x:c>
      <x:c r="B177" s="131" t="n">
        <x:v>0</x:v>
      </x:c>
      <x:c r="C177" s="131" t="n">
        <x:v>0</x:v>
      </x:c>
      <x:c r="D177" s="131" t="n">
        <x:v>0</x:v>
      </x:c>
      <x:c r="E177" s="131" t="n">
        <x:v>449521643.0166</x:v>
      </x:c>
      <x:c r="F177" s="131" t="n">
        <x:f>SUM(B177:E177)</x:f>
        <x:v>449521643.0166</x:v>
      </x:c>
      <x:c r="G177" s="111" t="str">
        <x:v>Independente</x:v>
      </x:c>
      <x:c r="H177" s="140" t="str">
        <x:v>Independente</x:v>
      </x:c>
      <x:c r="I177" s="111" t="str">
        <x:v>Regra residual — revisar manualmente</x:v>
      </x:c>
      <x:c r="J177" s="149" t="str">
        <x:v>Sim</x:v>
      </x:c>
      <x:c r="K177" s="131" t="n">
        <x:f>IF($H177="Independente",$F177,0)</x:f>
        <x:v>449521643.0166</x:v>
      </x:c>
      <x:c r="L177" s="131" t="n">
        <x:f>IF($H177="Ligada a banco",$F177,0)</x:f>
        <x:v>0</x:v>
      </x:c>
      <x:c r="M177" s="114" t="n">
        <x:f>IF(K177&gt;0,RANK(K177,$K$6:$K$462)+COUNTIF($K$6:K177,K177)-1,9999)</x:f>
        <x:v>154</x:v>
      </x:c>
      <x:c r="N177" s="114" t="n">
        <x:f>IF(L177&gt;0,RANK(L177,$L$6:$L$462)+COUNTIF($L$6:L177,L177)-1,9999)</x:f>
        <x:v>9999</x:v>
      </x:c>
    </x:row>
    <x:row r="178">
      <x:c r="A178" s="111" t="str">
        <x:v>Namari Capital Gestão de Recursos Ltda.</x:v>
      </x:c>
      <x:c r="B178" s="131" t="n">
        <x:v>29716418.81</x:v>
      </x:c>
      <x:c r="C178" s="131" t="n">
        <x:v>174147410.57000002</x:v>
      </x:c>
      <x:c r="D178" s="131" t="n">
        <x:v>0</x:v>
      </x:c>
      <x:c r="E178" s="131" t="n">
        <x:v>242468350.3</x:v>
      </x:c>
      <x:c r="F178" s="131" t="n">
        <x:f>SUM(B178:E178)</x:f>
        <x:v>446332179.68000007</x:v>
      </x:c>
      <x:c r="G178" s="111" t="str">
        <x:v>Independente</x:v>
      </x:c>
      <x:c r="H178" s="140" t="str">
        <x:v>Independente</x:v>
      </x:c>
      <x:c r="I178" s="111" t="str">
        <x:v>Regra residual — revisar manualmente</x:v>
      </x:c>
      <x:c r="J178" s="149" t="str">
        <x:v>Sim</x:v>
      </x:c>
      <x:c r="K178" s="131" t="n">
        <x:f>IF($H178="Independente",$F178,0)</x:f>
        <x:v>446332179.68000007</x:v>
      </x:c>
      <x:c r="L178" s="131" t="n">
        <x:f>IF($H178="Ligada a banco",$F178,0)</x:f>
        <x:v>0</x:v>
      </x:c>
      <x:c r="M178" s="114" t="n">
        <x:f>IF(K178&gt;0,RANK(K178,$K$6:$K$462)+COUNTIF($K$6:K178,K178)-1,9999)</x:f>
        <x:v>155</x:v>
      </x:c>
      <x:c r="N178" s="114" t="n">
        <x:f>IF(L178&gt;0,RANK(L178,$L$6:$L$462)+COUNTIF($L$6:L178,L178)-1,9999)</x:f>
        <x:v>9999</x:v>
      </x:c>
    </x:row>
    <x:row r="179">
      <x:c r="A179" s="111" t="str">
        <x:v>F3 ROCK</x:v>
      </x:c>
      <x:c r="B179" s="131" t="n">
        <x:v>0</x:v>
      </x:c>
      <x:c r="C179" s="131" t="n">
        <x:v>367119307.1400001</x:v>
      </x:c>
      <x:c r="D179" s="131" t="n">
        <x:v>0</x:v>
      </x:c>
      <x:c r="E179" s="131" t="n">
        <x:v>78135602.38000001</x:v>
      </x:c>
      <x:c r="F179" s="131" t="n">
        <x:f>SUM(B179:E179)</x:f>
        <x:v>445254909.5200001</x:v>
      </x:c>
      <x:c r="G179" s="111" t="str">
        <x:v>Independente</x:v>
      </x:c>
      <x:c r="H179" s="140" t="str">
        <x:v>Independente</x:v>
      </x:c>
      <x:c r="I179" s="111" t="str">
        <x:v>Regra residual — revisar manualmente</x:v>
      </x:c>
      <x:c r="J179" s="149" t="str">
        <x:v>Sim</x:v>
      </x:c>
      <x:c r="K179" s="131" t="n">
        <x:f>IF($H179="Independente",$F179,0)</x:f>
        <x:v>445254909.5200001</x:v>
      </x:c>
      <x:c r="L179" s="131" t="n">
        <x:f>IF($H179="Ligada a banco",$F179,0)</x:f>
        <x:v>0</x:v>
      </x:c>
      <x:c r="M179" s="114" t="n">
        <x:f>IF(K179&gt;0,RANK(K179,$K$6:$K$462)+COUNTIF($K$6:K179,K179)-1,9999)</x:f>
        <x:v>156</x:v>
      </x:c>
      <x:c r="N179" s="114" t="n">
        <x:f>IF(L179&gt;0,RANK(L179,$L$6:$L$462)+COUNTIF($L$6:L179,L179)-1,9999)</x:f>
        <x:v>9999</x:v>
      </x:c>
    </x:row>
    <x:row r="180">
      <x:c r="A180" s="111" t="str">
        <x:v>FIDD Administração de Recursos Ltda.</x:v>
      </x:c>
      <x:c r="B180" s="131" t="n">
        <x:v>18443845.4</x:v>
      </x:c>
      <x:c r="C180" s="131" t="n">
        <x:v>14259000.170000002</x:v>
      </x:c>
      <x:c r="D180" s="131" t="n">
        <x:v>0</x:v>
      </x:c>
      <x:c r="E180" s="131" t="n">
        <x:v>409266176.12</x:v>
      </x:c>
      <x:c r="F180" s="131" t="n">
        <x:f>SUM(B180:E180)</x:f>
        <x:v>441969021.69</x:v>
      </x:c>
      <x:c r="G180" s="111" t="str">
        <x:v>Independente</x:v>
      </x:c>
      <x:c r="H180" s="140" t="str">
        <x:v>Independente</x:v>
      </x:c>
      <x:c r="I180" s="111" t="str">
        <x:v>Regra residual — revisar manualmente</x:v>
      </x:c>
      <x:c r="J180" s="149" t="str">
        <x:v>Sim</x:v>
      </x:c>
      <x:c r="K180" s="131" t="n">
        <x:f>IF($H180="Independente",$F180,0)</x:f>
        <x:v>441969021.69</x:v>
      </x:c>
      <x:c r="L180" s="131" t="n">
        <x:f>IF($H180="Ligada a banco",$F180,0)</x:f>
        <x:v>0</x:v>
      </x:c>
      <x:c r="M180" s="114" t="n">
        <x:f>IF(K180&gt;0,RANK(K180,$K$6:$K$462)+COUNTIF($K$6:K180,K180)-1,9999)</x:f>
        <x:v>157</x:v>
      </x:c>
      <x:c r="N180" s="114" t="n">
        <x:f>IF(L180&gt;0,RANK(L180,$L$6:$L$462)+COUNTIF($L$6:L180,L180)-1,9999)</x:f>
        <x:v>9999</x:v>
      </x:c>
    </x:row>
    <x:row r="181">
      <x:c r="A181" s="111" t="str">
        <x:v>HOPE ASSET</x:v>
      </x:c>
      <x:c r="B181" s="131" t="n">
        <x:v>0</x:v>
      </x:c>
      <x:c r="C181" s="131" t="n">
        <x:v>66783556.17000001</x:v>
      </x:c>
      <x:c r="D181" s="131" t="n">
        <x:v>372628616.58</x:v>
      </x:c>
      <x:c r="E181" s="131" t="n">
        <x:v>0</x:v>
      </x:c>
      <x:c r="F181" s="131" t="n">
        <x:f>SUM(B181:E181)</x:f>
        <x:v>439412172.75</x:v>
      </x:c>
      <x:c r="G181" s="111" t="str">
        <x:v>Independente</x:v>
      </x:c>
      <x:c r="H181" s="140" t="str">
        <x:v>Independente</x:v>
      </x:c>
      <x:c r="I181" s="111" t="str">
        <x:v>Regra residual — revisar manualmente</x:v>
      </x:c>
      <x:c r="J181" s="149" t="str">
        <x:v>Sim</x:v>
      </x:c>
      <x:c r="K181" s="131" t="n">
        <x:f>IF($H181="Independente",$F181,0)</x:f>
        <x:v>439412172.75</x:v>
      </x:c>
      <x:c r="L181" s="131" t="n">
        <x:f>IF($H181="Ligada a banco",$F181,0)</x:f>
        <x:v>0</x:v>
      </x:c>
      <x:c r="M181" s="114" t="n">
        <x:f>IF(K181&gt;0,RANK(K181,$K$6:$K$462)+COUNTIF($K$6:K181,K181)-1,9999)</x:f>
        <x:v>158</x:v>
      </x:c>
      <x:c r="N181" s="114" t="n">
        <x:f>IF(L181&gt;0,RANK(L181,$L$6:$L$462)+COUNTIF($L$6:L181,L181)-1,9999)</x:f>
        <x:v>9999</x:v>
      </x:c>
    </x:row>
    <x:row r="182">
      <x:c r="A182" s="111" t="str">
        <x:v>Soma Asset</x:v>
      </x:c>
      <x:c r="B182" s="131" t="n">
        <x:v>0</x:v>
      </x:c>
      <x:c r="C182" s="131" t="n">
        <x:v>0</x:v>
      </x:c>
      <x:c r="D182" s="131" t="n">
        <x:v>384259808.98</x:v>
      </x:c>
      <x:c r="E182" s="131" t="n">
        <x:v>45638685.55</x:v>
      </x:c>
      <x:c r="F182" s="131" t="n">
        <x:f>SUM(B182:E182)</x:f>
        <x:v>429898494.53000003</x:v>
      </x:c>
      <x:c r="G182" s="111" t="str">
        <x:v>Independente</x:v>
      </x:c>
      <x:c r="H182" s="140" t="str">
        <x:v>Independente</x:v>
      </x:c>
      <x:c r="I182" s="111" t="str">
        <x:v>Regra residual — revisar manualmente</x:v>
      </x:c>
      <x:c r="J182" s="149" t="str">
        <x:v>Sim</x:v>
      </x:c>
      <x:c r="K182" s="131" t="n">
        <x:f>IF($H182="Independente",$F182,0)</x:f>
        <x:v>429898494.53000003</x:v>
      </x:c>
      <x:c r="L182" s="131" t="n">
        <x:f>IF($H182="Ligada a banco",$F182,0)</x:f>
        <x:v>0</x:v>
      </x:c>
      <x:c r="M182" s="114" t="n">
        <x:f>IF(K182&gt;0,RANK(K182,$K$6:$K$462)+COUNTIF($K$6:K182,K182)-1,9999)</x:f>
        <x:v>159</x:v>
      </x:c>
      <x:c r="N182" s="114" t="n">
        <x:f>IF(L182&gt;0,RANK(L182,$L$6:$L$462)+COUNTIF($L$6:L182,L182)-1,9999)</x:f>
        <x:v>9999</x:v>
      </x:c>
    </x:row>
    <x:row r="183">
      <x:c r="A183" s="111" t="str">
        <x:v>Everest Capital</x:v>
      </x:c>
      <x:c r="B183" s="131" t="n">
        <x:v>0</x:v>
      </x:c>
      <x:c r="C183" s="131" t="n">
        <x:v>295920837.21</x:v>
      </x:c>
      <x:c r="D183" s="131" t="n">
        <x:v>56491907.30000002</x:v>
      </x:c>
      <x:c r="E183" s="131" t="n">
        <x:v>76109432.63999997</x:v>
      </x:c>
      <x:c r="F183" s="131" t="n">
        <x:f>SUM(B183:E183)</x:f>
        <x:v>428522177.15</x:v>
      </x:c>
      <x:c r="G183" s="111" t="str">
        <x:v>Independente</x:v>
      </x:c>
      <x:c r="H183" s="140" t="str">
        <x:v>Independente</x:v>
      </x:c>
      <x:c r="I183" s="111" t="str">
        <x:v>Regra residual — revisar manualmente</x:v>
      </x:c>
      <x:c r="J183" s="149" t="str">
        <x:v>Sim</x:v>
      </x:c>
      <x:c r="K183" s="131" t="n">
        <x:f>IF($H183="Independente",$F183,0)</x:f>
        <x:v>428522177.15</x:v>
      </x:c>
      <x:c r="L183" s="131" t="n">
        <x:f>IF($H183="Ligada a banco",$F183,0)</x:f>
        <x:v>0</x:v>
      </x:c>
      <x:c r="M183" s="114" t="n">
        <x:f>IF(K183&gt;0,RANK(K183,$K$6:$K$462)+COUNTIF($K$6:K183,K183)-1,9999)</x:f>
        <x:v>160</x:v>
      </x:c>
      <x:c r="N183" s="114" t="n">
        <x:f>IF(L183&gt;0,RANK(L183,$L$6:$L$462)+COUNTIF($L$6:L183,L183)-1,9999)</x:f>
        <x:v>9999</x:v>
      </x:c>
    </x:row>
    <x:row r="184">
      <x:c r="A184" s="111" t="str">
        <x:v>ICON CAPITAL</x:v>
      </x:c>
      <x:c r="B184" s="131" t="n">
        <x:v>319730941.11</x:v>
      </x:c>
      <x:c r="C184" s="131" t="n">
        <x:v>0</x:v>
      </x:c>
      <x:c r="D184" s="131" t="n">
        <x:v>0</x:v>
      </x:c>
      <x:c r="E184" s="131" t="n">
        <x:v>100595761.92000002</x:v>
      </x:c>
      <x:c r="F184" s="131" t="n">
        <x:f>SUM(B184:E184)</x:f>
        <x:v>420326703.03000003</x:v>
      </x:c>
      <x:c r="G184" s="111" t="str">
        <x:v>Independente</x:v>
      </x:c>
      <x:c r="H184" s="140" t="str">
        <x:v>Independente</x:v>
      </x:c>
      <x:c r="I184" s="111" t="str">
        <x:v>Regra residual — revisar manualmente</x:v>
      </x:c>
      <x:c r="J184" s="149" t="str">
        <x:v>Sim</x:v>
      </x:c>
      <x:c r="K184" s="131" t="n">
        <x:f>IF($H184="Independente",$F184,0)</x:f>
        <x:v>420326703.03000003</x:v>
      </x:c>
      <x:c r="L184" s="131" t="n">
        <x:f>IF($H184="Ligada a banco",$F184,0)</x:f>
        <x:v>0</x:v>
      </x:c>
      <x:c r="M184" s="114" t="n">
        <x:f>IF(K184&gt;0,RANK(K184,$K$6:$K$462)+COUNTIF($K$6:K184,K184)-1,9999)</x:f>
        <x:v>161</x:v>
      </x:c>
      <x:c r="N184" s="114" t="n">
        <x:f>IF(L184&gt;0,RANK(L184,$L$6:$L$462)+COUNTIF($L$6:L184,L184)-1,9999)</x:f>
        <x:v>9999</x:v>
      </x:c>
    </x:row>
    <x:row r="185">
      <x:c r="A185" s="111" t="str">
        <x:v>SARFATY ASSET</x:v>
      </x:c>
      <x:c r="B185" s="131" t="n">
        <x:v>0</x:v>
      </x:c>
      <x:c r="C185" s="131" t="n">
        <x:v>0</x:v>
      </x:c>
      <x:c r="D185" s="131" t="n">
        <x:v>102366990.54</x:v>
      </x:c>
      <x:c r="E185" s="131" t="n">
        <x:v>317004553.51</x:v>
      </x:c>
      <x:c r="F185" s="131" t="n">
        <x:f>SUM(B185:E185)</x:f>
        <x:v>419371544.05</x:v>
      </x:c>
      <x:c r="G185" s="111" t="str">
        <x:v>Independente</x:v>
      </x:c>
      <x:c r="H185" s="140" t="str">
        <x:v>Independente</x:v>
      </x:c>
      <x:c r="I185" s="111" t="str">
        <x:v>Regra residual — revisar manualmente</x:v>
      </x:c>
      <x:c r="J185" s="149" t="str">
        <x:v>Sim</x:v>
      </x:c>
      <x:c r="K185" s="131" t="n">
        <x:f>IF($H185="Independente",$F185,0)</x:f>
        <x:v>419371544.05</x:v>
      </x:c>
      <x:c r="L185" s="131" t="n">
        <x:f>IF($H185="Ligada a banco",$F185,0)</x:f>
        <x:v>0</x:v>
      </x:c>
      <x:c r="M185" s="114" t="n">
        <x:f>IF(K185&gt;0,RANK(K185,$K$6:$K$462)+COUNTIF($K$6:K185,K185)-1,9999)</x:f>
        <x:v>162</x:v>
      </x:c>
      <x:c r="N185" s="114" t="n">
        <x:f>IF(L185&gt;0,RANK(L185,$L$6:$L$462)+COUNTIF($L$6:L185,L185)-1,9999)</x:f>
        <x:v>9999</x:v>
      </x:c>
    </x:row>
    <x:row r="186">
      <x:c r="A186" s="111" t="str">
        <x:v>Tyr Gestao de Recursos Ltda</x:v>
      </x:c>
      <x:c r="B186" s="131" t="n">
        <x:v>231368973.56000003</x:v>
      </x:c>
      <x:c r="C186" s="131" t="n">
        <x:v>0</x:v>
      </x:c>
      <x:c r="D186" s="131" t="n">
        <x:v>92978458.52</x:v>
      </x:c>
      <x:c r="E186" s="131" t="n">
        <x:v>94067280.56</x:v>
      </x:c>
      <x:c r="F186" s="131" t="n">
        <x:f>SUM(B186:E186)</x:f>
        <x:v>418414712.64000005</x:v>
      </x:c>
      <x:c r="G186" s="111" t="str">
        <x:v>Independente</x:v>
      </x:c>
      <x:c r="H186" s="140" t="str">
        <x:v>Independente</x:v>
      </x:c>
      <x:c r="I186" s="111" t="str">
        <x:v>Regra residual — revisar manualmente</x:v>
      </x:c>
      <x:c r="J186" s="149" t="str">
        <x:v>Sim</x:v>
      </x:c>
      <x:c r="K186" s="131" t="n">
        <x:f>IF($H186="Independente",$F186,0)</x:f>
        <x:v>418414712.64000005</x:v>
      </x:c>
      <x:c r="L186" s="131" t="n">
        <x:f>IF($H186="Ligada a banco",$F186,0)</x:f>
        <x:v>0</x:v>
      </x:c>
      <x:c r="M186" s="114" t="n">
        <x:f>IF(K186&gt;0,RANK(K186,$K$6:$K$462)+COUNTIF($K$6:K186,K186)-1,9999)</x:f>
        <x:v>163</x:v>
      </x:c>
      <x:c r="N186" s="114" t="n">
        <x:f>IF(L186&gt;0,RANK(L186,$L$6:$L$462)+COUNTIF($L$6:L186,L186)-1,9999)</x:f>
        <x:v>9999</x:v>
      </x:c>
    </x:row>
    <x:row r="187">
      <x:c r="A187" s="111" t="str">
        <x:v>SVN Gestora de Recursos Ltda.</x:v>
      </x:c>
      <x:c r="B187" s="131" t="n">
        <x:v>0</x:v>
      </x:c>
      <x:c r="C187" s="131" t="n">
        <x:v>0</x:v>
      </x:c>
      <x:c r="D187" s="131" t="n">
        <x:v>0</x:v>
      </x:c>
      <x:c r="E187" s="131" t="n">
        <x:v>414084585.9700001</x:v>
      </x:c>
      <x:c r="F187" s="131" t="n">
        <x:f>SUM(B187:E187)</x:f>
        <x:v>414084585.9700001</x:v>
      </x:c>
      <x:c r="G187" s="111" t="str">
        <x:v>Independente</x:v>
      </x:c>
      <x:c r="H187" s="140" t="str">
        <x:v>Independente</x:v>
      </x:c>
      <x:c r="I187" s="111" t="str">
        <x:v>Regra residual — revisar manualmente</x:v>
      </x:c>
      <x:c r="J187" s="149" t="str">
        <x:v>Sim</x:v>
      </x:c>
      <x:c r="K187" s="131" t="n">
        <x:f>IF($H187="Independente",$F187,0)</x:f>
        <x:v>414084585.9700001</x:v>
      </x:c>
      <x:c r="L187" s="131" t="n">
        <x:f>IF($H187="Ligada a banco",$F187,0)</x:f>
        <x:v>0</x:v>
      </x:c>
      <x:c r="M187" s="114" t="n">
        <x:f>IF(K187&gt;0,RANK(K187,$K$6:$K$462)+COUNTIF($K$6:K187,K187)-1,9999)</x:f>
        <x:v>164</x:v>
      </x:c>
      <x:c r="N187" s="114" t="n">
        <x:f>IF(L187&gt;0,RANK(L187,$L$6:$L$462)+COUNTIF($L$6:L187,L187)-1,9999)</x:f>
        <x:v>9999</x:v>
      </x:c>
    </x:row>
    <x:row r="188">
      <x:c r="A188" s="111" t="str">
        <x:v>Track Capital Gestão de Recursos Ltda.</x:v>
      </x:c>
      <x:c r="B188" s="131" t="n">
        <x:v>0</x:v>
      </x:c>
      <x:c r="C188" s="131" t="n">
        <x:v>0</x:v>
      </x:c>
      <x:c r="D188" s="131" t="n">
        <x:v>0</x:v>
      </x:c>
      <x:c r="E188" s="131" t="n">
        <x:v>395979686.25</x:v>
      </x:c>
      <x:c r="F188" s="131" t="n">
        <x:f>SUM(B188:E188)</x:f>
        <x:v>395979686.25</x:v>
      </x:c>
      <x:c r="G188" s="111" t="str">
        <x:v>Independente</x:v>
      </x:c>
      <x:c r="H188" s="140" t="str">
        <x:v>Independente</x:v>
      </x:c>
      <x:c r="I188" s="111" t="str">
        <x:v>Regra residual — revisar manualmente</x:v>
      </x:c>
      <x:c r="J188" s="149" t="str">
        <x:v>Sim</x:v>
      </x:c>
      <x:c r="K188" s="131" t="n">
        <x:f>IF($H188="Independente",$F188,0)</x:f>
        <x:v>395979686.25</x:v>
      </x:c>
      <x:c r="L188" s="131" t="n">
        <x:f>IF($H188="Ligada a banco",$F188,0)</x:f>
        <x:v>0</x:v>
      </x:c>
      <x:c r="M188" s="114" t="n">
        <x:f>IF(K188&gt;0,RANK(K188,$K$6:$K$462)+COUNTIF($K$6:K188,K188)-1,9999)</x:f>
        <x:v>165</x:v>
      </x:c>
      <x:c r="N188" s="114" t="n">
        <x:f>IF(L188&gt;0,RANK(L188,$L$6:$L$462)+COUNTIF($L$6:L188,L188)-1,9999)</x:f>
        <x:v>9999</x:v>
      </x:c>
    </x:row>
    <x:row r="189">
      <x:c r="A189" s="111" t="str">
        <x:v>Netz Asset</x:v>
      </x:c>
      <x:c r="B189" s="131" t="n">
        <x:v>73262591.64999999</x:v>
      </x:c>
      <x:c r="C189" s="131" t="n">
        <x:v>79517290.03</x:v>
      </x:c>
      <x:c r="D189" s="131" t="n">
        <x:v>0</x:v>
      </x:c>
      <x:c r="E189" s="131" t="n">
        <x:v>229596586.04</x:v>
      </x:c>
      <x:c r="F189" s="131" t="n">
        <x:f>SUM(B189:E189)</x:f>
        <x:v>382376467.72</x:v>
      </x:c>
      <x:c r="G189" s="111" t="str">
        <x:v>Independente</x:v>
      </x:c>
      <x:c r="H189" s="140" t="str">
        <x:v>Independente</x:v>
      </x:c>
      <x:c r="I189" s="111" t="str">
        <x:v>Regra residual — revisar manualmente</x:v>
      </x:c>
      <x:c r="J189" s="149" t="str">
        <x:v>Sim</x:v>
      </x:c>
      <x:c r="K189" s="131" t="n">
        <x:f>IF($H189="Independente",$F189,0)</x:f>
        <x:v>382376467.72</x:v>
      </x:c>
      <x:c r="L189" s="131" t="n">
        <x:f>IF($H189="Ligada a banco",$F189,0)</x:f>
        <x:v>0</x:v>
      </x:c>
      <x:c r="M189" s="114" t="n">
        <x:f>IF(K189&gt;0,RANK(K189,$K$6:$K$462)+COUNTIF($K$6:K189,K189)-1,9999)</x:f>
        <x:v>166</x:v>
      </x:c>
      <x:c r="N189" s="114" t="n">
        <x:f>IF(L189&gt;0,RANK(L189,$L$6:$L$462)+COUNTIF($L$6:L189,L189)-1,9999)</x:f>
        <x:v>9999</x:v>
      </x:c>
    </x:row>
    <x:row r="190">
      <x:c r="A190" s="111" t="str">
        <x:v>Albion Capital LTDA.</x:v>
      </x:c>
      <x:c r="B190" s="131" t="n">
        <x:v>371386583.29</x:v>
      </x:c>
      <x:c r="C190" s="131" t="n">
        <x:v>0</x:v>
      </x:c>
      <x:c r="D190" s="131" t="n">
        <x:v>0</x:v>
      </x:c>
      <x:c r="E190" s="131" t="n">
        <x:v>0</x:v>
      </x:c>
      <x:c r="F190" s="131" t="n">
        <x:f>SUM(B190:E190)</x:f>
        <x:v>371386583.29</x:v>
      </x:c>
      <x:c r="G190" s="111" t="str">
        <x:v>Independente</x:v>
      </x:c>
      <x:c r="H190" s="140" t="str">
        <x:v>Independente</x:v>
      </x:c>
      <x:c r="I190" s="111" t="str">
        <x:v>Regra residual — revisar manualmente</x:v>
      </x:c>
      <x:c r="J190" s="149" t="str">
        <x:v>Sim</x:v>
      </x:c>
      <x:c r="K190" s="131" t="n">
        <x:f>IF($H190="Independente",$F190,0)</x:f>
        <x:v>371386583.29</x:v>
      </x:c>
      <x:c r="L190" s="131" t="n">
        <x:f>IF($H190="Ligada a banco",$F190,0)</x:f>
        <x:v>0</x:v>
      </x:c>
      <x:c r="M190" s="114" t="n">
        <x:f>IF(K190&gt;0,RANK(K190,$K$6:$K$462)+COUNTIF($K$6:K190,K190)-1,9999)</x:f>
        <x:v>167</x:v>
      </x:c>
      <x:c r="N190" s="114" t="n">
        <x:f>IF(L190&gt;0,RANK(L190,$L$6:$L$462)+COUNTIF($L$6:L190,L190)-1,9999)</x:f>
        <x:v>9999</x:v>
      </x:c>
    </x:row>
    <x:row r="191">
      <x:c r="A191" s="111" t="str">
        <x:v>Rio Bravo</x:v>
      </x:c>
      <x:c r="B191" s="131" t="n">
        <x:v>68350024.37</x:v>
      </x:c>
      <x:c r="C191" s="131" t="n">
        <x:v>299792130.36</x:v>
      </x:c>
      <x:c r="D191" s="131" t="n">
        <x:v>0</x:v>
      </x:c>
      <x:c r="E191" s="131" t="n">
        <x:v>0</x:v>
      </x:c>
      <x:c r="F191" s="131" t="n">
        <x:f>SUM(B191:E191)</x:f>
        <x:v>368142154.73</x:v>
      </x:c>
      <x:c r="G191" s="111" t="str">
        <x:v>Independente</x:v>
      </x:c>
      <x:c r="H191" s="140" t="str">
        <x:v>Independente</x:v>
      </x:c>
      <x:c r="I191" s="111" t="str">
        <x:v>Regra residual — revisar manualmente</x:v>
      </x:c>
      <x:c r="J191" s="149" t="str">
        <x:v>Sim</x:v>
      </x:c>
      <x:c r="K191" s="131" t="n">
        <x:f>IF($H191="Independente",$F191,0)</x:f>
        <x:v>368142154.73</x:v>
      </x:c>
      <x:c r="L191" s="131" t="n">
        <x:f>IF($H191="Ligada a banco",$F191,0)</x:f>
        <x:v>0</x:v>
      </x:c>
      <x:c r="M191" s="114" t="n">
        <x:f>IF(K191&gt;0,RANK(K191,$K$6:$K$462)+COUNTIF($K$6:K191,K191)-1,9999)</x:f>
        <x:v>168</x:v>
      </x:c>
      <x:c r="N191" s="114" t="n">
        <x:f>IF(L191&gt;0,RANK(L191,$L$6:$L$462)+COUNTIF($L$6:L191,L191)-1,9999)</x:f>
        <x:v>9999</x:v>
      </x:c>
    </x:row>
    <x:row r="192">
      <x:c r="A192" s="111" t="str">
        <x:v>AZ Quest MZK Investimentos Macro e Crédito Ltda.</x:v>
      </x:c>
      <x:c r="B192" s="131" t="n">
        <x:v>0</x:v>
      </x:c>
      <x:c r="C192" s="131" t="n">
        <x:v>366310030.1</x:v>
      </x:c>
      <x:c r="D192" s="131" t="n">
        <x:v>0</x:v>
      </x:c>
      <x:c r="E192" s="131" t="n">
        <x:v>0</x:v>
      </x:c>
      <x:c r="F192" s="131" t="n">
        <x:f>SUM(B192:E192)</x:f>
        <x:v>366310030.1</x:v>
      </x:c>
      <x:c r="G192" s="111" t="str">
        <x:v>Independente</x:v>
      </x:c>
      <x:c r="H192" s="140" t="str">
        <x:v>Independente</x:v>
      </x:c>
      <x:c r="I192" s="111" t="str">
        <x:v>Regra residual — revisar manualmente</x:v>
      </x:c>
      <x:c r="J192" s="149" t="str">
        <x:v>Sim</x:v>
      </x:c>
      <x:c r="K192" s="131" t="n">
        <x:f>IF($H192="Independente",$F192,0)</x:f>
        <x:v>366310030.1</x:v>
      </x:c>
      <x:c r="L192" s="131" t="n">
        <x:f>IF($H192="Ligada a banco",$F192,0)</x:f>
        <x:v>0</x:v>
      </x:c>
      <x:c r="M192" s="114" t="n">
        <x:f>IF(K192&gt;0,RANK(K192,$K$6:$K$462)+COUNTIF($K$6:K192,K192)-1,9999)</x:f>
        <x:v>169</x:v>
      </x:c>
      <x:c r="N192" s="114" t="n">
        <x:f>IF(L192&gt;0,RANK(L192,$L$6:$L$462)+COUNTIF($L$6:L192,L192)-1,9999)</x:f>
        <x:v>9999</x:v>
      </x:c>
    </x:row>
    <x:row r="193">
      <x:c r="A193" s="111" t="str">
        <x:v>Ghia Asset Management</x:v>
      </x:c>
      <x:c r="B193" s="131" t="n">
        <x:v>22281431.44</x:v>
      </x:c>
      <x:c r="C193" s="131" t="n">
        <x:v>76084277.41</x:v>
      </x:c>
      <x:c r="D193" s="131" t="n">
        <x:v>0</x:v>
      </x:c>
      <x:c r="E193" s="131" t="n">
        <x:v>223228314.1</x:v>
      </x:c>
      <x:c r="F193" s="131" t="n">
        <x:f>SUM(B193:E193)</x:f>
        <x:v>321594022.95</x:v>
      </x:c>
      <x:c r="G193" s="111" t="str">
        <x:v>Independente</x:v>
      </x:c>
      <x:c r="H193" s="140" t="str">
        <x:v>Independente</x:v>
      </x:c>
      <x:c r="I193" s="111" t="str">
        <x:v>Regra residual — revisar manualmente</x:v>
      </x:c>
      <x:c r="J193" s="149" t="str">
        <x:v>Sim</x:v>
      </x:c>
      <x:c r="K193" s="131" t="n">
        <x:f>IF($H193="Independente",$F193,0)</x:f>
        <x:v>321594022.95</x:v>
      </x:c>
      <x:c r="L193" s="131" t="n">
        <x:f>IF($H193="Ligada a banco",$F193,0)</x:f>
        <x:v>0</x:v>
      </x:c>
      <x:c r="M193" s="114" t="n">
        <x:f>IF(K193&gt;0,RANK(K193,$K$6:$K$462)+COUNTIF($K$6:K193,K193)-1,9999)</x:f>
        <x:v>170</x:v>
      </x:c>
      <x:c r="N193" s="114" t="n">
        <x:f>IF(L193&gt;0,RANK(L193,$L$6:$L$462)+COUNTIF($L$6:L193,L193)-1,9999)</x:f>
        <x:v>9999</x:v>
      </x:c>
    </x:row>
    <x:row r="194">
      <x:c r="A194" s="111" t="str">
        <x:v>Carpa Family Office</x:v>
      </x:c>
      <x:c r="B194" s="131" t="n">
        <x:v>0</x:v>
      </x:c>
      <x:c r="C194" s="131" t="n">
        <x:v>0</x:v>
      </x:c>
      <x:c r="D194" s="131" t="n">
        <x:v>0</x:v>
      </x:c>
      <x:c r="E194" s="131" t="n">
        <x:v>319022874.9</x:v>
      </x:c>
      <x:c r="F194" s="131" t="n">
        <x:f>SUM(B194:E194)</x:f>
        <x:v>319022874.9</x:v>
      </x:c>
      <x:c r="G194" s="111" t="str">
        <x:v>Independente</x:v>
      </x:c>
      <x:c r="H194" s="140" t="str">
        <x:v>Independente</x:v>
      </x:c>
      <x:c r="I194" s="111" t="str">
        <x:v>Regra residual — revisar manualmente</x:v>
      </x:c>
      <x:c r="J194" s="149" t="str">
        <x:v>Sim</x:v>
      </x:c>
      <x:c r="K194" s="131" t="n">
        <x:f>IF($H194="Independente",$F194,0)</x:f>
        <x:v>319022874.9</x:v>
      </x:c>
      <x:c r="L194" s="131" t="n">
        <x:f>IF($H194="Ligada a banco",$F194,0)</x:f>
        <x:v>0</x:v>
      </x:c>
      <x:c r="M194" s="114" t="n">
        <x:f>IF(K194&gt;0,RANK(K194,$K$6:$K$462)+COUNTIF($K$6:K194,K194)-1,9999)</x:f>
        <x:v>171</x:v>
      </x:c>
      <x:c r="N194" s="114" t="n">
        <x:f>IF(L194&gt;0,RANK(L194,$L$6:$L$462)+COUNTIF($L$6:L194,L194)-1,9999)</x:f>
        <x:v>9999</x:v>
      </x:c>
    </x:row>
    <x:row r="195">
      <x:c r="A195" s="111" t="str">
        <x:v>Capri Investimentos Ltda.</x:v>
      </x:c>
      <x:c r="B195" s="131" t="n">
        <x:v>0</x:v>
      </x:c>
      <x:c r="C195" s="131" t="n">
        <x:v>0</x:v>
      </x:c>
      <x:c r="D195" s="131" t="n">
        <x:v>0</x:v>
      </x:c>
      <x:c r="E195" s="131" t="n">
        <x:v>312442689.77</x:v>
      </x:c>
      <x:c r="F195" s="131" t="n">
        <x:f>SUM(B195:E195)</x:f>
        <x:v>312442689.77</x:v>
      </x:c>
      <x:c r="G195" s="111" t="str">
        <x:v>Independente</x:v>
      </x:c>
      <x:c r="H195" s="140" t="str">
        <x:v>Independente</x:v>
      </x:c>
      <x:c r="I195" s="111" t="str">
        <x:v>Regra residual — revisar manualmente</x:v>
      </x:c>
      <x:c r="J195" s="149" t="str">
        <x:v>Sim</x:v>
      </x:c>
      <x:c r="K195" s="131" t="n">
        <x:f>IF($H195="Independente",$F195,0)</x:f>
        <x:v>312442689.77</x:v>
      </x:c>
      <x:c r="L195" s="131" t="n">
        <x:f>IF($H195="Ligada a banco",$F195,0)</x:f>
        <x:v>0</x:v>
      </x:c>
      <x:c r="M195" s="114" t="n">
        <x:f>IF(K195&gt;0,RANK(K195,$K$6:$K$462)+COUNTIF($K$6:K195,K195)-1,9999)</x:f>
        <x:v>172</x:v>
      </x:c>
      <x:c r="N195" s="114" t="n">
        <x:f>IF(L195&gt;0,RANK(L195,$L$6:$L$462)+COUNTIF($L$6:L195,L195)-1,9999)</x:f>
        <x:v>9999</x:v>
      </x:c>
    </x:row>
    <x:row r="196">
      <x:c r="A196" s="111" t="str">
        <x:v>Ext Capital</x:v>
      </x:c>
      <x:c r="B196" s="131" t="n">
        <x:v>0</x:v>
      </x:c>
      <x:c r="C196" s="131" t="n">
        <x:v>268806163.54</x:v>
      </x:c>
      <x:c r="D196" s="131" t="n">
        <x:v>0</x:v>
      </x:c>
      <x:c r="E196" s="131" t="n">
        <x:v>42070135.47</x:v>
      </x:c>
      <x:c r="F196" s="131" t="n">
        <x:f>SUM(B196:E196)</x:f>
        <x:v>310876299.01</x:v>
      </x:c>
      <x:c r="G196" s="111" t="str">
        <x:v>Independente</x:v>
      </x:c>
      <x:c r="H196" s="140" t="str">
        <x:v>Independente</x:v>
      </x:c>
      <x:c r="I196" s="111" t="str">
        <x:v>Regra residual — revisar manualmente</x:v>
      </x:c>
      <x:c r="J196" s="149" t="str">
        <x:v>Sim</x:v>
      </x:c>
      <x:c r="K196" s="131" t="n">
        <x:f>IF($H196="Independente",$F196,0)</x:f>
        <x:v>310876299.01</x:v>
      </x:c>
      <x:c r="L196" s="131" t="n">
        <x:f>IF($H196="Ligada a banco",$F196,0)</x:f>
        <x:v>0</x:v>
      </x:c>
      <x:c r="M196" s="114" t="n">
        <x:f>IF(K196&gt;0,RANK(K196,$K$6:$K$462)+COUNTIF($K$6:K196,K196)-1,9999)</x:f>
        <x:v>173</x:v>
      </x:c>
      <x:c r="N196" s="114" t="n">
        <x:f>IF(L196&gt;0,RANK(L196,$L$6:$L$462)+COUNTIF($L$6:L196,L196)-1,9999)</x:f>
        <x:v>9999</x:v>
      </x:c>
    </x:row>
    <x:row r="197">
      <x:c r="A197" s="111" t="str">
        <x:v>VINLAND CAPITAL MANAGEMENT CREDITO PRIVADO GESTORA DE R</x:v>
      </x:c>
      <x:c r="B197" s="131" t="n">
        <x:v>0</x:v>
      </x:c>
      <x:c r="C197" s="131" t="n">
        <x:v>0</x:v>
      </x:c>
      <x:c r="D197" s="131" t="n">
        <x:v>0</x:v>
      </x:c>
      <x:c r="E197" s="131" t="n">
        <x:v>307510892.63</x:v>
      </x:c>
      <x:c r="F197" s="131" t="n">
        <x:f>SUM(B197:E197)</x:f>
        <x:v>307510892.63</x:v>
      </x:c>
      <x:c r="G197" s="111" t="str">
        <x:v>Independente</x:v>
      </x:c>
      <x:c r="H197" s="140" t="str">
        <x:v>Independente</x:v>
      </x:c>
      <x:c r="I197" s="111" t="str">
        <x:v>Regra residual — revisar manualmente</x:v>
      </x:c>
      <x:c r="J197" s="149" t="str">
        <x:v>Sim</x:v>
      </x:c>
      <x:c r="K197" s="131" t="n">
        <x:f>IF($H197="Independente",$F197,0)</x:f>
        <x:v>307510892.63</x:v>
      </x:c>
      <x:c r="L197" s="131" t="n">
        <x:f>IF($H197="Ligada a banco",$F197,0)</x:f>
        <x:v>0</x:v>
      </x:c>
      <x:c r="M197" s="114" t="n">
        <x:f>IF(K197&gt;0,RANK(K197,$K$6:$K$462)+COUNTIF($K$6:K197,K197)-1,9999)</x:f>
        <x:v>174</x:v>
      </x:c>
      <x:c r="N197" s="114" t="n">
        <x:f>IF(L197&gt;0,RANK(L197,$L$6:$L$462)+COUNTIF($L$6:L197,L197)-1,9999)</x:f>
        <x:v>9999</x:v>
      </x:c>
    </x:row>
    <x:row r="198">
      <x:c r="A198" s="111" t="str">
        <x:v>SOD Capital Ltda.</x:v>
      </x:c>
      <x:c r="B198" s="131" t="n">
        <x:v>0</x:v>
      </x:c>
      <x:c r="C198" s="131" t="n">
        <x:v>0</x:v>
      </x:c>
      <x:c r="D198" s="131" t="n">
        <x:v>0</x:v>
      </x:c>
      <x:c r="E198" s="131" t="n">
        <x:v>307479668.16999996</x:v>
      </x:c>
      <x:c r="F198" s="131" t="n">
        <x:f>SUM(B198:E198)</x:f>
        <x:v>307479668.16999996</x:v>
      </x:c>
      <x:c r="G198" s="111" t="str">
        <x:v>Independente</x:v>
      </x:c>
      <x:c r="H198" s="140" t="str">
        <x:v>Independente</x:v>
      </x:c>
      <x:c r="I198" s="111" t="str">
        <x:v>Regra residual — revisar manualmente</x:v>
      </x:c>
      <x:c r="J198" s="149" t="str">
        <x:v>Sim</x:v>
      </x:c>
      <x:c r="K198" s="131" t="n">
        <x:f>IF($H198="Independente",$F198,0)</x:f>
        <x:v>307479668.16999996</x:v>
      </x:c>
      <x:c r="L198" s="131" t="n">
        <x:f>IF($H198="Ligada a banco",$F198,0)</x:f>
        <x:v>0</x:v>
      </x:c>
      <x:c r="M198" s="114" t="n">
        <x:f>IF(K198&gt;0,RANK(K198,$K$6:$K$462)+COUNTIF($K$6:K198,K198)-1,9999)</x:f>
        <x:v>175</x:v>
      </x:c>
      <x:c r="N198" s="114" t="n">
        <x:f>IF(L198&gt;0,RANK(L198,$L$6:$L$462)+COUNTIF($L$6:L198,L198)-1,9999)</x:f>
        <x:v>9999</x:v>
      </x:c>
    </x:row>
    <x:row r="199">
      <x:c r="A199" s="111" t="str">
        <x:v>Mercury Gestão de Recursos Ltda.</x:v>
      </x:c>
      <x:c r="B199" s="131" t="n">
        <x:v>0</x:v>
      </x:c>
      <x:c r="C199" s="131" t="n">
        <x:v>0</x:v>
      </x:c>
      <x:c r="D199" s="131" t="n">
        <x:v>0</x:v>
      </x:c>
      <x:c r="E199" s="131" t="n">
        <x:v>306852791.4</x:v>
      </x:c>
      <x:c r="F199" s="131" t="n">
        <x:f>SUM(B199:E199)</x:f>
        <x:v>306852791.4</x:v>
      </x:c>
      <x:c r="G199" s="111" t="str">
        <x:v>Independente</x:v>
      </x:c>
      <x:c r="H199" s="140" t="str">
        <x:v>Independente</x:v>
      </x:c>
      <x:c r="I199" s="111" t="str">
        <x:v>Regra residual — revisar manualmente</x:v>
      </x:c>
      <x:c r="J199" s="149" t="str">
        <x:v>Sim</x:v>
      </x:c>
      <x:c r="K199" s="131" t="n">
        <x:f>IF($H199="Independente",$F199,0)</x:f>
        <x:v>306852791.4</x:v>
      </x:c>
      <x:c r="L199" s="131" t="n">
        <x:f>IF($H199="Ligada a banco",$F199,0)</x:f>
        <x:v>0</x:v>
      </x:c>
      <x:c r="M199" s="114" t="n">
        <x:f>IF(K199&gt;0,RANK(K199,$K$6:$K$462)+COUNTIF($K$6:K199,K199)-1,9999)</x:f>
        <x:v>176</x:v>
      </x:c>
      <x:c r="N199" s="114" t="n">
        <x:f>IF(L199&gt;0,RANK(L199,$L$6:$L$462)+COUNTIF($L$6:L199,L199)-1,9999)</x:f>
        <x:v>9999</x:v>
      </x:c>
    </x:row>
    <x:row r="200">
      <x:c r="A200" s="111" t="str">
        <x:v>Fram Capital Gestão de Ativos Ltda</x:v>
      </x:c>
      <x:c r="B200" s="131" t="n">
        <x:v>0</x:v>
      </x:c>
      <x:c r="C200" s="131" t="n">
        <x:v>6744869.86</x:v>
      </x:c>
      <x:c r="D200" s="131" t="n">
        <x:v>83700101.28</x:v>
      </x:c>
      <x:c r="E200" s="131" t="n">
        <x:v>215233620.77</x:v>
      </x:c>
      <x:c r="F200" s="131" t="n">
        <x:f>SUM(B200:E200)</x:f>
        <x:v>305678591.91</x:v>
      </x:c>
      <x:c r="G200" s="111" t="str">
        <x:v>Independente</x:v>
      </x:c>
      <x:c r="H200" s="140" t="str">
        <x:v>Independente</x:v>
      </x:c>
      <x:c r="I200" s="111" t="str">
        <x:v>Regra residual — revisar manualmente</x:v>
      </x:c>
      <x:c r="J200" s="149" t="str">
        <x:v>Sim</x:v>
      </x:c>
      <x:c r="K200" s="131" t="n">
        <x:f>IF($H200="Independente",$F200,0)</x:f>
        <x:v>305678591.91</x:v>
      </x:c>
      <x:c r="L200" s="131" t="n">
        <x:f>IF($H200="Ligada a banco",$F200,0)</x:f>
        <x:v>0</x:v>
      </x:c>
      <x:c r="M200" s="114" t="n">
        <x:f>IF(K200&gt;0,RANK(K200,$K$6:$K$462)+COUNTIF($K$6:K200,K200)-1,9999)</x:f>
        <x:v>177</x:v>
      </x:c>
      <x:c r="N200" s="114" t="n">
        <x:f>IF(L200&gt;0,RANK(L200,$L$6:$L$462)+COUNTIF($L$6:L200,L200)-1,9999)</x:f>
        <x:v>9999</x:v>
      </x:c>
    </x:row>
    <x:row r="201">
      <x:c r="A201" s="111" t="str">
        <x:v>Number Asset Brasil Ltda.</x:v>
      </x:c>
      <x:c r="B201" s="131" t="n">
        <x:v>0</x:v>
      </x:c>
      <x:c r="C201" s="131" t="n">
        <x:v>261349086.72999996</x:v>
      </x:c>
      <x:c r="D201" s="131" t="n">
        <x:v>0</x:v>
      </x:c>
      <x:c r="E201" s="131" t="n">
        <x:v>42475065.510000005</x:v>
      </x:c>
      <x:c r="F201" s="131" t="n">
        <x:f>SUM(B201:E201)</x:f>
        <x:v>303824152.23999995</x:v>
      </x:c>
      <x:c r="G201" s="111" t="str">
        <x:v>Independente</x:v>
      </x:c>
      <x:c r="H201" s="140" t="str">
        <x:v>Independente</x:v>
      </x:c>
      <x:c r="I201" s="111" t="str">
        <x:v>Regra residual — revisar manualmente</x:v>
      </x:c>
      <x:c r="J201" s="149" t="str">
        <x:v>Sim</x:v>
      </x:c>
      <x:c r="K201" s="131" t="n">
        <x:f>IF($H201="Independente",$F201,0)</x:f>
        <x:v>303824152.23999995</x:v>
      </x:c>
      <x:c r="L201" s="131" t="n">
        <x:f>IF($H201="Ligada a banco",$F201,0)</x:f>
        <x:v>0</x:v>
      </x:c>
      <x:c r="M201" s="114" t="n">
        <x:f>IF(K201&gt;0,RANK(K201,$K$6:$K$462)+COUNTIF($K$6:K201,K201)-1,9999)</x:f>
        <x:v>178</x:v>
      </x:c>
      <x:c r="N201" s="114" t="n">
        <x:f>IF(L201&gt;0,RANK(L201,$L$6:$L$462)+COUNTIF($L$6:L201,L201)-1,9999)</x:f>
        <x:v>9999</x:v>
      </x:c>
    </x:row>
    <x:row r="202">
      <x:c r="A202" s="111" t="str">
        <x:v>IFCONSULTANT</x:v>
      </x:c>
      <x:c r="B202" s="131" t="n">
        <x:v>0</x:v>
      </x:c>
      <x:c r="C202" s="131" t="n">
        <x:v>0</x:v>
      </x:c>
      <x:c r="D202" s="131" t="n">
        <x:v>0</x:v>
      </x:c>
      <x:c r="E202" s="131" t="n">
        <x:v>301815713.02000004</x:v>
      </x:c>
      <x:c r="F202" s="131" t="n">
        <x:f>SUM(B202:E202)</x:f>
        <x:v>301815713.02000004</x:v>
      </x:c>
      <x:c r="G202" s="111" t="str">
        <x:v>Independente</x:v>
      </x:c>
      <x:c r="H202" s="140" t="str">
        <x:v>Independente</x:v>
      </x:c>
      <x:c r="I202" s="111" t="str">
        <x:v>Regra residual — revisar manualmente</x:v>
      </x:c>
      <x:c r="J202" s="149" t="str">
        <x:v>Sim</x:v>
      </x:c>
      <x:c r="K202" s="131" t="n">
        <x:f>IF($H202="Independente",$F202,0)</x:f>
        <x:v>301815713.02000004</x:v>
      </x:c>
      <x:c r="L202" s="131" t="n">
        <x:f>IF($H202="Ligada a banco",$F202,0)</x:f>
        <x:v>0</x:v>
      </x:c>
      <x:c r="M202" s="114" t="n">
        <x:f>IF(K202&gt;0,RANK(K202,$K$6:$K$462)+COUNTIF($K$6:K202,K202)-1,9999)</x:f>
        <x:v>179</x:v>
      </x:c>
      <x:c r="N202" s="114" t="n">
        <x:f>IF(L202&gt;0,RANK(L202,$L$6:$L$462)+COUNTIF($L$6:L202,L202)-1,9999)</x:f>
        <x:v>9999</x:v>
      </x:c>
    </x:row>
    <x:row r="203">
      <x:c r="A203" s="111" t="str">
        <x:v>Leste Credit Gestão de Recursos LTDA.</x:v>
      </x:c>
      <x:c r="B203" s="131" t="n">
        <x:v>56911348.080000006</x:v>
      </x:c>
      <x:c r="C203" s="131" t="n">
        <x:v>0</x:v>
      </x:c>
      <x:c r="D203" s="131" t="n">
        <x:v>0</x:v>
      </x:c>
      <x:c r="E203" s="131" t="n">
        <x:v>244684131.20000005</x:v>
      </x:c>
      <x:c r="F203" s="131" t="n">
        <x:f>SUM(B203:E203)</x:f>
        <x:v>301595479.28000003</x:v>
      </x:c>
      <x:c r="G203" s="111" t="str">
        <x:v>Independente</x:v>
      </x:c>
      <x:c r="H203" s="140" t="str">
        <x:v>Independente</x:v>
      </x:c>
      <x:c r="I203" s="111" t="str">
        <x:v>Regra residual — revisar manualmente</x:v>
      </x:c>
      <x:c r="J203" s="149" t="str">
        <x:v>Sim</x:v>
      </x:c>
      <x:c r="K203" s="131" t="n">
        <x:f>IF($H203="Independente",$F203,0)</x:f>
        <x:v>301595479.28000003</x:v>
      </x:c>
      <x:c r="L203" s="131" t="n">
        <x:f>IF($H203="Ligada a banco",$F203,0)</x:f>
        <x:v>0</x:v>
      </x:c>
      <x:c r="M203" s="114" t="n">
        <x:f>IF(K203&gt;0,RANK(K203,$K$6:$K$462)+COUNTIF($K$6:K203,K203)-1,9999)</x:f>
        <x:v>180</x:v>
      </x:c>
      <x:c r="N203" s="114" t="n">
        <x:f>IF(L203&gt;0,RANK(L203,$L$6:$L$462)+COUNTIF($L$6:L203,L203)-1,9999)</x:f>
        <x:v>9999</x:v>
      </x:c>
    </x:row>
    <x:row r="204">
      <x:c r="A204" s="111" t="str">
        <x:v>FigTree Capital</x:v>
      </x:c>
      <x:c r="B204" s="131" t="n">
        <x:v>0</x:v>
      </x:c>
      <x:c r="C204" s="131" t="n">
        <x:v>0</x:v>
      </x:c>
      <x:c r="D204" s="131" t="n">
        <x:v>1444033.4099999997</x:v>
      </x:c>
      <x:c r="E204" s="131" t="n">
        <x:v>286005493.3</x:v>
      </x:c>
      <x:c r="F204" s="131" t="n">
        <x:f>SUM(B204:E204)</x:f>
        <x:v>287449526.71000004</x:v>
      </x:c>
      <x:c r="G204" s="111" t="str">
        <x:v>Independente</x:v>
      </x:c>
      <x:c r="H204" s="140" t="str">
        <x:v>Independente</x:v>
      </x:c>
      <x:c r="I204" s="111" t="str">
        <x:v>Regra residual — revisar manualmente</x:v>
      </x:c>
      <x:c r="J204" s="149" t="str">
        <x:v>Sim</x:v>
      </x:c>
      <x:c r="K204" s="131" t="n">
        <x:f>IF($H204="Independente",$F204,0)</x:f>
        <x:v>287449526.71000004</x:v>
      </x:c>
      <x:c r="L204" s="131" t="n">
        <x:f>IF($H204="Ligada a banco",$F204,0)</x:f>
        <x:v>0</x:v>
      </x:c>
      <x:c r="M204" s="114" t="n">
        <x:f>IF(K204&gt;0,RANK(K204,$K$6:$K$462)+COUNTIF($K$6:K204,K204)-1,9999)</x:f>
        <x:v>181</x:v>
      </x:c>
      <x:c r="N204" s="114" t="n">
        <x:f>IF(L204&gt;0,RANK(L204,$L$6:$L$462)+COUNTIF($L$6:L204,L204)-1,9999)</x:f>
        <x:v>9999</x:v>
      </x:c>
    </x:row>
    <x:row r="205">
      <x:c r="A205" s="111" t="str">
        <x:v>Prisma Capital Ltda.</x:v>
      </x:c>
      <x:c r="B205" s="131" t="n">
        <x:v>0</x:v>
      </x:c>
      <x:c r="C205" s="131" t="n">
        <x:v>0</x:v>
      </x:c>
      <x:c r="D205" s="131" t="n">
        <x:v>0</x:v>
      </x:c>
      <x:c r="E205" s="131" t="n">
        <x:v>286451280.19</x:v>
      </x:c>
      <x:c r="F205" s="131" t="n">
        <x:f>SUM(B205:E205)</x:f>
        <x:v>286451280.19</x:v>
      </x:c>
      <x:c r="G205" s="111" t="str">
        <x:v>Independente</x:v>
      </x:c>
      <x:c r="H205" s="140" t="str">
        <x:v>Independente</x:v>
      </x:c>
      <x:c r="I205" s="111" t="str">
        <x:v>Regra residual — revisar manualmente</x:v>
      </x:c>
      <x:c r="J205" s="149" t="str">
        <x:v>Sim</x:v>
      </x:c>
      <x:c r="K205" s="131" t="n">
        <x:f>IF($H205="Independente",$F205,0)</x:f>
        <x:v>286451280.19</x:v>
      </x:c>
      <x:c r="L205" s="131" t="n">
        <x:f>IF($H205="Ligada a banco",$F205,0)</x:f>
        <x:v>0</x:v>
      </x:c>
      <x:c r="M205" s="114" t="n">
        <x:f>IF(K205&gt;0,RANK(K205,$K$6:$K$462)+COUNTIF($K$6:K205,K205)-1,9999)</x:f>
        <x:v>182</x:v>
      </x:c>
      <x:c r="N205" s="114" t="n">
        <x:f>IF(L205&gt;0,RANK(L205,$L$6:$L$462)+COUNTIF($L$6:L205,L205)-1,9999)</x:f>
        <x:v>9999</x:v>
      </x:c>
    </x:row>
    <x:row r="206">
      <x:c r="A206" s="111" t="str">
        <x:v>CERES ASSET</x:v>
      </x:c>
      <x:c r="B206" s="131" t="n">
        <x:v>271895487.5500001</x:v>
      </x:c>
      <x:c r="C206" s="131" t="n">
        <x:v>0</x:v>
      </x:c>
      <x:c r="D206" s="131" t="n">
        <x:v>0</x:v>
      </x:c>
      <x:c r="E206" s="131" t="n">
        <x:v>14156034</x:v>
      </x:c>
      <x:c r="F206" s="131" t="n">
        <x:f>SUM(B206:E206)</x:f>
        <x:v>286051521.5500001</x:v>
      </x:c>
      <x:c r="G206" s="111" t="str">
        <x:v>Independente</x:v>
      </x:c>
      <x:c r="H206" s="140" t="str">
        <x:v>Independente</x:v>
      </x:c>
      <x:c r="I206" s="111" t="str">
        <x:v>Regra residual — revisar manualmente</x:v>
      </x:c>
      <x:c r="J206" s="149" t="str">
        <x:v>Sim</x:v>
      </x:c>
      <x:c r="K206" s="131" t="n">
        <x:f>IF($H206="Independente",$F206,0)</x:f>
        <x:v>286051521.5500001</x:v>
      </x:c>
      <x:c r="L206" s="131" t="n">
        <x:f>IF($H206="Ligada a banco",$F206,0)</x:f>
        <x:v>0</x:v>
      </x:c>
      <x:c r="M206" s="114" t="n">
        <x:f>IF(K206&gt;0,RANK(K206,$K$6:$K$462)+COUNTIF($K$6:K206,K206)-1,9999)</x:f>
        <x:v>183</x:v>
      </x:c>
      <x:c r="N206" s="114" t="n">
        <x:f>IF(L206&gt;0,RANK(L206,$L$6:$L$462)+COUNTIF($L$6:L206,L206)-1,9999)</x:f>
        <x:v>9999</x:v>
      </x:c>
    </x:row>
    <x:row r="207">
      <x:c r="A207" s="111" t="str">
        <x:v>Régia Capital Ltda</x:v>
      </x:c>
      <x:c r="B207" s="131" t="n">
        <x:v>124132626.31</x:v>
      </x:c>
      <x:c r="C207" s="131" t="n">
        <x:v>155163394.42000002</x:v>
      </x:c>
      <x:c r="D207" s="131" t="n">
        <x:v>0</x:v>
      </x:c>
      <x:c r="E207" s="131" t="n">
        <x:v>0</x:v>
      </x:c>
      <x:c r="F207" s="131" t="n">
        <x:f>SUM(B207:E207)</x:f>
        <x:v>279296020.73</x:v>
      </x:c>
      <x:c r="G207" s="111" t="str">
        <x:v>Independente</x:v>
      </x:c>
      <x:c r="H207" s="140" t="str">
        <x:v>Independente</x:v>
      </x:c>
      <x:c r="I207" s="111" t="str">
        <x:v>Regra residual — revisar manualmente</x:v>
      </x:c>
      <x:c r="J207" s="149" t="str">
        <x:v>Sim</x:v>
      </x:c>
      <x:c r="K207" s="131" t="n">
        <x:f>IF($H207="Independente",$F207,0)</x:f>
        <x:v>279296020.73</x:v>
      </x:c>
      <x:c r="L207" s="131" t="n">
        <x:f>IF($H207="Ligada a banco",$F207,0)</x:f>
        <x:v>0</x:v>
      </x:c>
      <x:c r="M207" s="114" t="n">
        <x:f>IF(K207&gt;0,RANK(K207,$K$6:$K$462)+COUNTIF($K$6:K207,K207)-1,9999)</x:f>
        <x:v>184</x:v>
      </x:c>
      <x:c r="N207" s="114" t="n">
        <x:f>IF(L207&gt;0,RANK(L207,$L$6:$L$462)+COUNTIF($L$6:L207,L207)-1,9999)</x:f>
        <x:v>9999</x:v>
      </x:c>
    </x:row>
    <x:row r="208">
      <x:c r="A208" s="111" t="str">
        <x:v>QLZ WM GESTAO DE PATRIMONIOS LTDA</x:v>
      </x:c>
      <x:c r="B208" s="131" t="n">
        <x:v>0</x:v>
      </x:c>
      <x:c r="C208" s="131" t="n">
        <x:v>0</x:v>
      </x:c>
      <x:c r="D208" s="131" t="n">
        <x:v>0</x:v>
      </x:c>
      <x:c r="E208" s="131" t="n">
        <x:v>276843039.77</x:v>
      </x:c>
      <x:c r="F208" s="131" t="n">
        <x:f>SUM(B208:E208)</x:f>
        <x:v>276843039.77</x:v>
      </x:c>
      <x:c r="G208" s="111" t="str">
        <x:v>Independente</x:v>
      </x:c>
      <x:c r="H208" s="140" t="str">
        <x:v>Independente</x:v>
      </x:c>
      <x:c r="I208" s="111" t="str">
        <x:v>Regra residual — revisar manualmente</x:v>
      </x:c>
      <x:c r="J208" s="149" t="str">
        <x:v>Sim</x:v>
      </x:c>
      <x:c r="K208" s="131" t="n">
        <x:f>IF($H208="Independente",$F208,0)</x:f>
        <x:v>276843039.77</x:v>
      </x:c>
      <x:c r="L208" s="131" t="n">
        <x:f>IF($H208="Ligada a banco",$F208,0)</x:f>
        <x:v>0</x:v>
      </x:c>
      <x:c r="M208" s="114" t="n">
        <x:f>IF(K208&gt;0,RANK(K208,$K$6:$K$462)+COUNTIF($K$6:K208,K208)-1,9999)</x:f>
        <x:v>185</x:v>
      </x:c>
      <x:c r="N208" s="114" t="n">
        <x:f>IF(L208&gt;0,RANK(L208,$L$6:$L$462)+COUNTIF($L$6:L208,L208)-1,9999)</x:f>
        <x:v>9999</x:v>
      </x:c>
    </x:row>
    <x:row r="209">
      <x:c r="A209" s="111" t="str">
        <x:v>MAKALU</x:v>
      </x:c>
      <x:c r="B209" s="131" t="n">
        <x:v>8142391.06</x:v>
      </x:c>
      <x:c r="C209" s="131" t="n">
        <x:v>0</x:v>
      </x:c>
      <x:c r="D209" s="131" t="n">
        <x:v>0</x:v>
      </x:c>
      <x:c r="E209" s="131" t="n">
        <x:v>259453965.2</x:v>
      </x:c>
      <x:c r="F209" s="131" t="n">
        <x:f>SUM(B209:E209)</x:f>
        <x:v>267596356.26</x:v>
      </x:c>
      <x:c r="G209" s="111" t="str">
        <x:v>Independente</x:v>
      </x:c>
      <x:c r="H209" s="140" t="str">
        <x:v>Independente</x:v>
      </x:c>
      <x:c r="I209" s="111" t="str">
        <x:v>Regra residual — revisar manualmente</x:v>
      </x:c>
      <x:c r="J209" s="149" t="str">
        <x:v>Sim</x:v>
      </x:c>
      <x:c r="K209" s="131" t="n">
        <x:f>IF($H209="Independente",$F209,0)</x:f>
        <x:v>267596356.26</x:v>
      </x:c>
      <x:c r="L209" s="131" t="n">
        <x:f>IF($H209="Ligada a banco",$F209,0)</x:f>
        <x:v>0</x:v>
      </x:c>
      <x:c r="M209" s="114" t="n">
        <x:f>IF(K209&gt;0,RANK(K209,$K$6:$K$462)+COUNTIF($K$6:K209,K209)-1,9999)</x:f>
        <x:v>186</x:v>
      </x:c>
      <x:c r="N209" s="114" t="n">
        <x:f>IF(L209&gt;0,RANK(L209,$L$6:$L$462)+COUNTIF($L$6:L209,L209)-1,9999)</x:f>
        <x:v>9999</x:v>
      </x:c>
    </x:row>
    <x:row r="210">
      <x:c r="A210" s="111" t="str">
        <x:v>BLP CAPITAL</x:v>
      </x:c>
      <x:c r="B210" s="131" t="n">
        <x:v>0</x:v>
      </x:c>
      <x:c r="C210" s="131" t="n">
        <x:v>0</x:v>
      </x:c>
      <x:c r="D210" s="131" t="n">
        <x:v>22363443.64</x:v>
      </x:c>
      <x:c r="E210" s="131" t="n">
        <x:v>244683521.1</x:v>
      </x:c>
      <x:c r="F210" s="131" t="n">
        <x:f>SUM(B210:E210)</x:f>
        <x:v>267046964.74</x:v>
      </x:c>
      <x:c r="G210" s="111" t="str">
        <x:v>Independente</x:v>
      </x:c>
      <x:c r="H210" s="140" t="str">
        <x:v>Independente</x:v>
      </x:c>
      <x:c r="I210" s="111" t="str">
        <x:v>Regra residual — revisar manualmente</x:v>
      </x:c>
      <x:c r="J210" s="149" t="str">
        <x:v>Sim</x:v>
      </x:c>
      <x:c r="K210" s="131" t="n">
        <x:f>IF($H210="Independente",$F210,0)</x:f>
        <x:v>267046964.74</x:v>
      </x:c>
      <x:c r="L210" s="131" t="n">
        <x:f>IF($H210="Ligada a banco",$F210,0)</x:f>
        <x:v>0</x:v>
      </x:c>
      <x:c r="M210" s="114" t="n">
        <x:f>IF(K210&gt;0,RANK(K210,$K$6:$K$462)+COUNTIF($K$6:K210,K210)-1,9999)</x:f>
        <x:v>187</x:v>
      </x:c>
      <x:c r="N210" s="114" t="n">
        <x:f>IF(L210&gt;0,RANK(L210,$L$6:$L$462)+COUNTIF($L$6:L210,L210)-1,9999)</x:f>
        <x:v>9999</x:v>
      </x:c>
    </x:row>
    <x:row r="211">
      <x:c r="A211" s="111" t="str">
        <x:v>VM Consultoria Empresarial Ltd</x:v>
      </x:c>
      <x:c r="B211" s="131" t="n">
        <x:v>0</x:v>
      </x:c>
      <x:c r="C211" s="131" t="n">
        <x:v>1870637.23</x:v>
      </x:c>
      <x:c r="D211" s="131" t="n">
        <x:v>89068789.54</x:v>
      </x:c>
      <x:c r="E211" s="131" t="n">
        <x:v>174154962.37999997</x:v>
      </x:c>
      <x:c r="F211" s="131" t="n">
        <x:f>SUM(B211:E211)</x:f>
        <x:v>265094389.14999998</x:v>
      </x:c>
      <x:c r="G211" s="111" t="str">
        <x:v>Independente</x:v>
      </x:c>
      <x:c r="H211" s="140" t="str">
        <x:v>Independente</x:v>
      </x:c>
      <x:c r="I211" s="111" t="str">
        <x:v>Regra residual — revisar manualmente</x:v>
      </x:c>
      <x:c r="J211" s="149" t="str">
        <x:v>Sim</x:v>
      </x:c>
      <x:c r="K211" s="131" t="n">
        <x:f>IF($H211="Independente",$F211,0)</x:f>
        <x:v>265094389.14999998</x:v>
      </x:c>
      <x:c r="L211" s="131" t="n">
        <x:f>IF($H211="Ligada a banco",$F211,0)</x:f>
        <x:v>0</x:v>
      </x:c>
      <x:c r="M211" s="114" t="n">
        <x:f>IF(K211&gt;0,RANK(K211,$K$6:$K$462)+COUNTIF($K$6:K211,K211)-1,9999)</x:f>
        <x:v>188</x:v>
      </x:c>
      <x:c r="N211" s="114" t="n">
        <x:f>IF(L211&gt;0,RANK(L211,$L$6:$L$462)+COUNTIF($L$6:L211,L211)-1,9999)</x:f>
        <x:v>9999</x:v>
      </x:c>
    </x:row>
    <x:row r="212">
      <x:c r="A212" s="111" t="str">
        <x:v>LEGEND LEGAL ASSETS GESTAO DE RECURSOS LTDA</x:v>
      </x:c>
      <x:c r="B212" s="131" t="n">
        <x:v>0</x:v>
      </x:c>
      <x:c r="C212" s="131" t="n">
        <x:v>0</x:v>
      </x:c>
      <x:c r="D212" s="131" t="n">
        <x:v>0</x:v>
      </x:c>
      <x:c r="E212" s="131" t="n">
        <x:v>262832329.29</x:v>
      </x:c>
      <x:c r="F212" s="131" t="n">
        <x:f>SUM(B212:E212)</x:f>
        <x:v>262832329.29</x:v>
      </x:c>
      <x:c r="G212" s="111" t="str">
        <x:v>Independente</x:v>
      </x:c>
      <x:c r="H212" s="140" t="str">
        <x:v>Independente</x:v>
      </x:c>
      <x:c r="I212" s="111" t="str">
        <x:v>Regra residual — revisar manualmente</x:v>
      </x:c>
      <x:c r="J212" s="149" t="str">
        <x:v>Sim</x:v>
      </x:c>
      <x:c r="K212" s="131" t="n">
        <x:f>IF($H212="Independente",$F212,0)</x:f>
        <x:v>262832329.29</x:v>
      </x:c>
      <x:c r="L212" s="131" t="n">
        <x:f>IF($H212="Ligada a banco",$F212,0)</x:f>
        <x:v>0</x:v>
      </x:c>
      <x:c r="M212" s="114" t="n">
        <x:f>IF(K212&gt;0,RANK(K212,$K$6:$K$462)+COUNTIF($K$6:K212,K212)-1,9999)</x:f>
        <x:v>189</x:v>
      </x:c>
      <x:c r="N212" s="114" t="n">
        <x:f>IF(L212&gt;0,RANK(L212,$L$6:$L$462)+COUNTIF($L$6:L212,L212)-1,9999)</x:f>
        <x:v>9999</x:v>
      </x:c>
    </x:row>
    <x:row r="213">
      <x:c r="A213" s="111" t="str">
        <x:v>Leen Capital</x:v>
      </x:c>
      <x:c r="B213" s="131" t="n">
        <x:v>0</x:v>
      </x:c>
      <x:c r="C213" s="131" t="n">
        <x:v>0</x:v>
      </x:c>
      <x:c r="D213" s="131" t="n">
        <x:v>0</x:v>
      </x:c>
      <x:c r="E213" s="131" t="n">
        <x:v>259400941.95</x:v>
      </x:c>
      <x:c r="F213" s="131" t="n">
        <x:f>SUM(B213:E213)</x:f>
        <x:v>259400941.95</x:v>
      </x:c>
      <x:c r="G213" s="111" t="str">
        <x:v>Independente</x:v>
      </x:c>
      <x:c r="H213" s="140" t="str">
        <x:v>Independente</x:v>
      </x:c>
      <x:c r="I213" s="111" t="str">
        <x:v>Regra residual — revisar manualmente</x:v>
      </x:c>
      <x:c r="J213" s="149" t="str">
        <x:v>Sim</x:v>
      </x:c>
      <x:c r="K213" s="131" t="n">
        <x:f>IF($H213="Independente",$F213,0)</x:f>
        <x:v>259400941.95</x:v>
      </x:c>
      <x:c r="L213" s="131" t="n">
        <x:f>IF($H213="Ligada a banco",$F213,0)</x:f>
        <x:v>0</x:v>
      </x:c>
      <x:c r="M213" s="114" t="n">
        <x:f>IF(K213&gt;0,RANK(K213,$K$6:$K$462)+COUNTIF($K$6:K213,K213)-1,9999)</x:f>
        <x:v>190</x:v>
      </x:c>
      <x:c r="N213" s="114" t="n">
        <x:f>IF(L213&gt;0,RANK(L213,$L$6:$L$462)+COUNTIF($L$6:L213,L213)-1,9999)</x:f>
        <x:v>9999</x:v>
      </x:c>
    </x:row>
    <x:row r="214">
      <x:c r="A214" s="111" t="str">
        <x:v>MEL GESTORA DE RECURSOS S.A.</x:v>
      </x:c>
      <x:c r="B214" s="131" t="n">
        <x:v>0</x:v>
      </x:c>
      <x:c r="C214" s="131" t="n">
        <x:v>0</x:v>
      </x:c>
      <x:c r="D214" s="131" t="n">
        <x:v>258985767.09000003</x:v>
      </x:c>
      <x:c r="E214" s="131" t="n">
        <x:v>0</x:v>
      </x:c>
      <x:c r="F214" s="131" t="n">
        <x:f>SUM(B214:E214)</x:f>
        <x:v>258985767.09000003</x:v>
      </x:c>
      <x:c r="G214" s="111" t="str">
        <x:v>Independente</x:v>
      </x:c>
      <x:c r="H214" s="140" t="str">
        <x:v>Independente</x:v>
      </x:c>
      <x:c r="I214" s="111" t="str">
        <x:v>Regra residual — revisar manualmente</x:v>
      </x:c>
      <x:c r="J214" s="149" t="str">
        <x:v>Sim</x:v>
      </x:c>
      <x:c r="K214" s="131" t="n">
        <x:f>IF($H214="Independente",$F214,0)</x:f>
        <x:v>258985767.09000003</x:v>
      </x:c>
      <x:c r="L214" s="131" t="n">
        <x:f>IF($H214="Ligada a banco",$F214,0)</x:f>
        <x:v>0</x:v>
      </x:c>
      <x:c r="M214" s="114" t="n">
        <x:f>IF(K214&gt;0,RANK(K214,$K$6:$K$462)+COUNTIF($K$6:K214,K214)-1,9999)</x:f>
        <x:v>191</x:v>
      </x:c>
      <x:c r="N214" s="114" t="n">
        <x:f>IF(L214&gt;0,RANK(L214,$L$6:$L$462)+COUNTIF($L$6:L214,L214)-1,9999)</x:f>
        <x:v>9999</x:v>
      </x:c>
    </x:row>
    <x:row r="215">
      <x:c r="A215" s="111" t="str">
        <x:v>Fact Investments Gestão de Re</x:v>
      </x:c>
      <x:c r="B215" s="131" t="n">
        <x:v>0</x:v>
      </x:c>
      <x:c r="C215" s="131" t="n">
        <x:v>0</x:v>
      </x:c>
      <x:c r="D215" s="131" t="n">
        <x:v>0</x:v>
      </x:c>
      <x:c r="E215" s="131" t="n">
        <x:v>257662456.91</x:v>
      </x:c>
      <x:c r="F215" s="131" t="n">
        <x:f>SUM(B215:E215)</x:f>
        <x:v>257662456.91</x:v>
      </x:c>
      <x:c r="G215" s="111" t="str">
        <x:v>Independente</x:v>
      </x:c>
      <x:c r="H215" s="140" t="str">
        <x:v>Independente</x:v>
      </x:c>
      <x:c r="I215" s="111" t="str">
        <x:v>Regra residual — revisar manualmente</x:v>
      </x:c>
      <x:c r="J215" s="149" t="str">
        <x:v>Sim</x:v>
      </x:c>
      <x:c r="K215" s="131" t="n">
        <x:f>IF($H215="Independente",$F215,0)</x:f>
        <x:v>257662456.91</x:v>
      </x:c>
      <x:c r="L215" s="131" t="n">
        <x:f>IF($H215="Ligada a banco",$F215,0)</x:f>
        <x:v>0</x:v>
      </x:c>
      <x:c r="M215" s="114" t="n">
        <x:f>IF(K215&gt;0,RANK(K215,$K$6:$K$462)+COUNTIF($K$6:K215,K215)-1,9999)</x:f>
        <x:v>192</x:v>
      </x:c>
      <x:c r="N215" s="114" t="n">
        <x:f>IF(L215&gt;0,RANK(L215,$L$6:$L$462)+COUNTIF($L$6:L215,L215)-1,9999)</x:f>
        <x:v>9999</x:v>
      </x:c>
    </x:row>
    <x:row r="216">
      <x:c r="A216" s="111" t="str">
        <x:v>Siguler Guff Gestora de Investimentos (Asset Management</x:v>
      </x:c>
      <x:c r="B216" s="131" t="n">
        <x:v>0</x:v>
      </x:c>
      <x:c r="C216" s="131" t="n">
        <x:v>0</x:v>
      </x:c>
      <x:c r="D216" s="131" t="n">
        <x:v>0</x:v>
      </x:c>
      <x:c r="E216" s="131" t="n">
        <x:v>257122567.75000003</x:v>
      </x:c>
      <x:c r="F216" s="131" t="n">
        <x:f>SUM(B216:E216)</x:f>
        <x:v>257122567.75000003</x:v>
      </x:c>
      <x:c r="G216" s="111" t="str">
        <x:v>Independente</x:v>
      </x:c>
      <x:c r="H216" s="140" t="str">
        <x:v>Independente</x:v>
      </x:c>
      <x:c r="I216" s="111" t="str">
        <x:v>Regra residual — revisar manualmente</x:v>
      </x:c>
      <x:c r="J216" s="149" t="str">
        <x:v>Sim</x:v>
      </x:c>
      <x:c r="K216" s="131" t="n">
        <x:f>IF($H216="Independente",$F216,0)</x:f>
        <x:v>257122567.75000003</x:v>
      </x:c>
      <x:c r="L216" s="131" t="n">
        <x:f>IF($H216="Ligada a banco",$F216,0)</x:f>
        <x:v>0</x:v>
      </x:c>
      <x:c r="M216" s="114" t="n">
        <x:f>IF(K216&gt;0,RANK(K216,$K$6:$K$462)+COUNTIF($K$6:K216,K216)-1,9999)</x:f>
        <x:v>193</x:v>
      </x:c>
      <x:c r="N216" s="114" t="n">
        <x:f>IF(L216&gt;0,RANK(L216,$L$6:$L$462)+COUNTIF($L$6:L216,L216)-1,9999)</x:f>
        <x:v>9999</x:v>
      </x:c>
    </x:row>
    <x:row r="217">
      <x:c r="A217" s="111" t="str">
        <x:v>BLUEWAVE ASSET LTDA</x:v>
      </x:c>
      <x:c r="B217" s="131" t="n">
        <x:v>105248638.04999998</x:v>
      </x:c>
      <x:c r="C217" s="131" t="n">
        <x:v>103430190.96</x:v>
      </x:c>
      <x:c r="D217" s="131" t="n">
        <x:v>1798039.78</x:v>
      </x:c>
      <x:c r="E217" s="131" t="n">
        <x:v>43812012.98</x:v>
      </x:c>
      <x:c r="F217" s="131" t="n">
        <x:f>SUM(B217:E217)</x:f>
        <x:v>254288881.76999998</x:v>
      </x:c>
      <x:c r="G217" s="111" t="str">
        <x:v>Independente</x:v>
      </x:c>
      <x:c r="H217" s="140" t="str">
        <x:v>Independente</x:v>
      </x:c>
      <x:c r="I217" s="111" t="str">
        <x:v>Regra residual — revisar manualmente</x:v>
      </x:c>
      <x:c r="J217" s="149" t="str">
        <x:v>Sim</x:v>
      </x:c>
      <x:c r="K217" s="131" t="n">
        <x:f>IF($H217="Independente",$F217,0)</x:f>
        <x:v>254288881.76999998</x:v>
      </x:c>
      <x:c r="L217" s="131" t="n">
        <x:f>IF($H217="Ligada a banco",$F217,0)</x:f>
        <x:v>0</x:v>
      </x:c>
      <x:c r="M217" s="114" t="n">
        <x:f>IF(K217&gt;0,RANK(K217,$K$6:$K$462)+COUNTIF($K$6:K217,K217)-1,9999)</x:f>
        <x:v>194</x:v>
      </x:c>
      <x:c r="N217" s="114" t="n">
        <x:f>IF(L217&gt;0,RANK(L217,$L$6:$L$462)+COUNTIF($L$6:L217,L217)-1,9999)</x:f>
        <x:v>9999</x:v>
      </x:c>
    </x:row>
    <x:row r="218">
      <x:c r="A218" s="111" t="str">
        <x:v>Caixa Distribuidora de Títulos e Valores Mobiliários S.A.</x:v>
      </x:c>
      <x:c r="B218" s="131" t="n">
        <x:v>247284902.9</x:v>
      </x:c>
      <x:c r="C218" s="131" t="n">
        <x:v>0</x:v>
      </x:c>
      <x:c r="D218" s="131" t="n">
        <x:v>0</x:v>
      </x:c>
      <x:c r="E218" s="131" t="n">
        <x:v>0</x:v>
      </x:c>
      <x:c r="F218" s="131" t="n">
        <x:f>SUM(B218:E218)</x:f>
        <x:v>247284902.9</x:v>
      </x:c>
      <x:c r="G218" s="111" t="str">
        <x:v>Ligada a banco</x:v>
      </x:c>
      <x:c r="H218" s="140" t="str">
        <x:v>Ligada a banco</x:v>
      </x:c>
      <x:c r="I218" s="111" t="str">
        <x:v>Regra nominal: CAIXA</x:v>
      </x:c>
      <x:c r="J218" s="149" t="str">
        <x:v>Sim</x:v>
      </x:c>
      <x:c r="K218" s="131" t="n">
        <x:f>IF($H218="Independente",$F218,0)</x:f>
        <x:v>0</x:v>
      </x:c>
      <x:c r="L218" s="131" t="n">
        <x:f>IF($H218="Ligada a banco",$F218,0)</x:f>
        <x:v>247284902.9</x:v>
      </x:c>
      <x:c r="M218" s="114" t="n">
        <x:f>IF(K218&gt;0,RANK(K218,$K$6:$K$462)+COUNTIF($K$6:K218,K218)-1,9999)</x:f>
        <x:v>9999</x:v>
      </x:c>
      <x:c r="N218" s="114" t="n">
        <x:f>IF(L218&gt;0,RANK(L218,$L$6:$L$462)+COUNTIF($L$6:L218,L218)-1,9999)</x:f>
        <x:v>19</x:v>
      </x:c>
    </x:row>
    <x:row r="219">
      <x:c r="A219" s="111" t="str">
        <x:v>FATOR INNOVATION LTDA</x:v>
      </x:c>
      <x:c r="B219" s="131" t="n">
        <x:v>246554985.76</x:v>
      </x:c>
      <x:c r="C219" s="131" t="n">
        <x:v>0</x:v>
      </x:c>
      <x:c r="D219" s="131" t="n">
        <x:v>0</x:v>
      </x:c>
      <x:c r="E219" s="131" t="n">
        <x:v>0</x:v>
      </x:c>
      <x:c r="F219" s="131" t="n">
        <x:f>SUM(B219:E219)</x:f>
        <x:v>246554985.76</x:v>
      </x:c>
      <x:c r="G219" s="111" t="str">
        <x:v>Independente</x:v>
      </x:c>
      <x:c r="H219" s="140" t="str">
        <x:v>Independente</x:v>
      </x:c>
      <x:c r="I219" s="111" t="str">
        <x:v>Regra residual — revisar manualmente</x:v>
      </x:c>
      <x:c r="J219" s="149" t="str">
        <x:v>Sim</x:v>
      </x:c>
      <x:c r="K219" s="131" t="n">
        <x:f>IF($H219="Independente",$F219,0)</x:f>
        <x:v>246554985.76</x:v>
      </x:c>
      <x:c r="L219" s="131" t="n">
        <x:f>IF($H219="Ligada a banco",$F219,0)</x:f>
        <x:v>0</x:v>
      </x:c>
      <x:c r="M219" s="114" t="n">
        <x:f>IF(K219&gt;0,RANK(K219,$K$6:$K$462)+COUNTIF($K$6:K219,K219)-1,9999)</x:f>
        <x:v>195</x:v>
      </x:c>
      <x:c r="N219" s="114" t="n">
        <x:f>IF(L219&gt;0,RANK(L219,$L$6:$L$462)+COUNTIF($L$6:L219,L219)-1,9999)</x:f>
        <x:v>9999</x:v>
      </x:c>
    </x:row>
    <x:row r="220">
      <x:c r="A220" s="111" t="str">
        <x:v>RCB PLANEJAMENTO FINANCEIRO LTDA</x:v>
      </x:c>
      <x:c r="B220" s="131" t="n">
        <x:v>0</x:v>
      </x:c>
      <x:c r="C220" s="131" t="n">
        <x:v>245514522.9</x:v>
      </x:c>
      <x:c r="D220" s="131" t="n">
        <x:v>0</x:v>
      </x:c>
      <x:c r="E220" s="131" t="n">
        <x:v>0</x:v>
      </x:c>
      <x:c r="F220" s="131" t="n">
        <x:f>SUM(B220:E220)</x:f>
        <x:v>245514522.9</x:v>
      </x:c>
      <x:c r="G220" s="111" t="str">
        <x:v>Independente</x:v>
      </x:c>
      <x:c r="H220" s="140" t="str">
        <x:v>Independente</x:v>
      </x:c>
      <x:c r="I220" s="111" t="str">
        <x:v>Regra residual — revisar manualmente</x:v>
      </x:c>
      <x:c r="J220" s="149" t="str">
        <x:v>Sim</x:v>
      </x:c>
      <x:c r="K220" s="131" t="n">
        <x:f>IF($H220="Independente",$F220,0)</x:f>
        <x:v>245514522.9</x:v>
      </x:c>
      <x:c r="L220" s="131" t="n">
        <x:f>IF($H220="Ligada a banco",$F220,0)</x:f>
        <x:v>0</x:v>
      </x:c>
      <x:c r="M220" s="114" t="n">
        <x:f>IF(K220&gt;0,RANK(K220,$K$6:$K$462)+COUNTIF($K$6:K220,K220)-1,9999)</x:f>
        <x:v>196</x:v>
      </x:c>
      <x:c r="N220" s="114" t="n">
        <x:f>IF(L220&gt;0,RANK(L220,$L$6:$L$462)+COUNTIF($L$6:L220,L220)-1,9999)</x:f>
        <x:v>9999</x:v>
      </x:c>
    </x:row>
    <x:row r="221">
      <x:c r="A221" s="111" t="str">
        <x:v>EAGLE CAPITAL</x:v>
      </x:c>
      <x:c r="B221" s="131" t="n">
        <x:v>0</x:v>
      </x:c>
      <x:c r="C221" s="131" t="n">
        <x:v>0</x:v>
      </x:c>
      <x:c r="D221" s="131" t="n">
        <x:v>0</x:v>
      </x:c>
      <x:c r="E221" s="131" t="n">
        <x:v>238069208.98</x:v>
      </x:c>
      <x:c r="F221" s="131" t="n">
        <x:f>SUM(B221:E221)</x:f>
        <x:v>238069208.98</x:v>
      </x:c>
      <x:c r="G221" s="111" t="str">
        <x:v>Independente</x:v>
      </x:c>
      <x:c r="H221" s="140" t="str">
        <x:v>Independente</x:v>
      </x:c>
      <x:c r="I221" s="111" t="str">
        <x:v>Regra residual — revisar manualmente</x:v>
      </x:c>
      <x:c r="J221" s="149" t="str">
        <x:v>Sim</x:v>
      </x:c>
      <x:c r="K221" s="131" t="n">
        <x:f>IF($H221="Independente",$F221,0)</x:f>
        <x:v>238069208.98</x:v>
      </x:c>
      <x:c r="L221" s="131" t="n">
        <x:f>IF($H221="Ligada a banco",$F221,0)</x:f>
        <x:v>0</x:v>
      </x:c>
      <x:c r="M221" s="114" t="n">
        <x:f>IF(K221&gt;0,RANK(K221,$K$6:$K$462)+COUNTIF($K$6:K221,K221)-1,9999)</x:f>
        <x:v>197</x:v>
      </x:c>
      <x:c r="N221" s="114" t="n">
        <x:f>IF(L221&gt;0,RANK(L221,$L$6:$L$462)+COUNTIF($L$6:L221,L221)-1,9999)</x:f>
        <x:v>9999</x:v>
      </x:c>
    </x:row>
    <x:row r="222">
      <x:c r="A222" s="111" t="str">
        <x:v>SIGA GESTORA DE RECURSOS LTDA</x:v>
      </x:c>
      <x:c r="B222" s="131" t="n">
        <x:v>61454000.57000001</x:v>
      </x:c>
      <x:c r="C222" s="131" t="n">
        <x:v>173459909.13000005</x:v>
      </x:c>
      <x:c r="D222" s="131" t="n">
        <x:v>0</x:v>
      </x:c>
      <x:c r="E222" s="131" t="n">
        <x:v>0</x:v>
      </x:c>
      <x:c r="F222" s="131" t="n">
        <x:f>SUM(B222:E222)</x:f>
        <x:v>234913909.70000005</x:v>
      </x:c>
      <x:c r="G222" s="111" t="str">
        <x:v>Independente</x:v>
      </x:c>
      <x:c r="H222" s="140" t="str">
        <x:v>Independente</x:v>
      </x:c>
      <x:c r="I222" s="111" t="str">
        <x:v>Regra residual — revisar manualmente</x:v>
      </x:c>
      <x:c r="J222" s="149" t="str">
        <x:v>Sim</x:v>
      </x:c>
      <x:c r="K222" s="131" t="n">
        <x:f>IF($H222="Independente",$F222,0)</x:f>
        <x:v>234913909.70000005</x:v>
      </x:c>
      <x:c r="L222" s="131" t="n">
        <x:f>IF($H222="Ligada a banco",$F222,0)</x:f>
        <x:v>0</x:v>
      </x:c>
      <x:c r="M222" s="114" t="n">
        <x:f>IF(K222&gt;0,RANK(K222,$K$6:$K$462)+COUNTIF($K$6:K222,K222)-1,9999)</x:f>
        <x:v>198</x:v>
      </x:c>
      <x:c r="N222" s="114" t="n">
        <x:f>IF(L222&gt;0,RANK(L222,$L$6:$L$462)+COUNTIF($L$6:L222,L222)-1,9999)</x:f>
        <x:v>9999</x:v>
      </x:c>
    </x:row>
    <x:row r="223">
      <x:c r="A223" s="111" t="str">
        <x:v>Sabrina Ribeiro Molina</x:v>
      </x:c>
      <x:c r="B223" s="131" t="n">
        <x:v>0</x:v>
      </x:c>
      <x:c r="C223" s="131" t="n">
        <x:v>0</x:v>
      </x:c>
      <x:c r="D223" s="131" t="n">
        <x:v>0</x:v>
      </x:c>
      <x:c r="E223" s="131" t="n">
        <x:v>217082595.15999997</x:v>
      </x:c>
      <x:c r="F223" s="131" t="n">
        <x:f>SUM(B223:E223)</x:f>
        <x:v>217082595.15999997</x:v>
      </x:c>
      <x:c r="G223" s="111" t="str">
        <x:v>Independente</x:v>
      </x:c>
      <x:c r="H223" s="140" t="str">
        <x:v>Independente</x:v>
      </x:c>
      <x:c r="I223" s="111" t="str">
        <x:v>Regra residual — revisar manualmente</x:v>
      </x:c>
      <x:c r="J223" s="149" t="str">
        <x:v>Sim</x:v>
      </x:c>
      <x:c r="K223" s="131" t="n">
        <x:f>IF($H223="Independente",$F223,0)</x:f>
        <x:v>217082595.15999997</x:v>
      </x:c>
      <x:c r="L223" s="131" t="n">
        <x:f>IF($H223="Ligada a banco",$F223,0)</x:f>
        <x:v>0</x:v>
      </x:c>
      <x:c r="M223" s="114" t="n">
        <x:f>IF(K223&gt;0,RANK(K223,$K$6:$K$462)+COUNTIF($K$6:K223,K223)-1,9999)</x:f>
        <x:v>199</x:v>
      </x:c>
      <x:c r="N223" s="114" t="n">
        <x:f>IF(L223&gt;0,RANK(L223,$L$6:$L$462)+COUNTIF($L$6:L223,L223)-1,9999)</x:f>
        <x:v>9999</x:v>
      </x:c>
    </x:row>
    <x:row r="224">
      <x:c r="A224" s="111" t="str">
        <x:v>VESTRA CAPITAL</x:v>
      </x:c>
      <x:c r="B224" s="131" t="n">
        <x:v>0</x:v>
      </x:c>
      <x:c r="C224" s="131" t="n">
        <x:v>20245903.66</x:v>
      </x:c>
      <x:c r="D224" s="131" t="n">
        <x:v>0</x:v>
      </x:c>
      <x:c r="E224" s="131" t="n">
        <x:v>190182220.48</x:v>
      </x:c>
      <x:c r="F224" s="131" t="n">
        <x:f>SUM(B224:E224)</x:f>
        <x:v>210428124.14</x:v>
      </x:c>
      <x:c r="G224" s="111" t="str">
        <x:v>Independente</x:v>
      </x:c>
      <x:c r="H224" s="140" t="str">
        <x:v>Independente</x:v>
      </x:c>
      <x:c r="I224" s="111" t="str">
        <x:v>Regra residual — revisar manualmente</x:v>
      </x:c>
      <x:c r="J224" s="149" t="str">
        <x:v>Sim</x:v>
      </x:c>
      <x:c r="K224" s="131" t="n">
        <x:f>IF($H224="Independente",$F224,0)</x:f>
        <x:v>210428124.14</x:v>
      </x:c>
      <x:c r="L224" s="131" t="n">
        <x:f>IF($H224="Ligada a banco",$F224,0)</x:f>
        <x:v>0</x:v>
      </x:c>
      <x:c r="M224" s="114" t="n">
        <x:f>IF(K224&gt;0,RANK(K224,$K$6:$K$462)+COUNTIF($K$6:K224,K224)-1,9999)</x:f>
        <x:v>200</x:v>
      </x:c>
      <x:c r="N224" s="114" t="n">
        <x:f>IF(L224&gt;0,RANK(L224,$L$6:$L$462)+COUNTIF($L$6:L224,L224)-1,9999)</x:f>
        <x:v>9999</x:v>
      </x:c>
    </x:row>
    <x:row r="225">
      <x:c r="A225" s="111" t="str">
        <x:v>Terra Asset Management</x:v>
      </x:c>
      <x:c r="B225" s="131" t="n">
        <x:v>0</x:v>
      </x:c>
      <x:c r="C225" s="131" t="n">
        <x:v>61361325.57999999</x:v>
      </x:c>
      <x:c r="D225" s="131" t="n">
        <x:v>0</x:v>
      </x:c>
      <x:c r="E225" s="131" t="n">
        <x:v>146160770.07</x:v>
      </x:c>
      <x:c r="F225" s="131" t="n">
        <x:f>SUM(B225:E225)</x:f>
        <x:v>207522095.64999998</x:v>
      </x:c>
      <x:c r="G225" s="111" t="str">
        <x:v>Independente</x:v>
      </x:c>
      <x:c r="H225" s="140" t="str">
        <x:v>Independente</x:v>
      </x:c>
      <x:c r="I225" s="111" t="str">
        <x:v>Regra residual — revisar manualmente</x:v>
      </x:c>
      <x:c r="J225" s="149" t="str">
        <x:v>Sim</x:v>
      </x:c>
      <x:c r="K225" s="131" t="n">
        <x:f>IF($H225="Independente",$F225,0)</x:f>
        <x:v>207522095.64999998</x:v>
      </x:c>
      <x:c r="L225" s="131" t="n">
        <x:f>IF($H225="Ligada a banco",$F225,0)</x:f>
        <x:v>0</x:v>
      </x:c>
      <x:c r="M225" s="114" t="n">
        <x:f>IF(K225&gt;0,RANK(K225,$K$6:$K$462)+COUNTIF($K$6:K225,K225)-1,9999)</x:f>
        <x:v>201</x:v>
      </x:c>
      <x:c r="N225" s="114" t="n">
        <x:f>IF(L225&gt;0,RANK(L225,$L$6:$L$462)+COUNTIF($L$6:L225,L225)-1,9999)</x:f>
        <x:v>9999</x:v>
      </x:c>
    </x:row>
    <x:row r="226">
      <x:c r="A226" s="111" t="str">
        <x:v>PATAGÔNIA CAPITAL</x:v>
      </x:c>
      <x:c r="B226" s="131" t="n">
        <x:v>13384222.09</x:v>
      </x:c>
      <x:c r="C226" s="131" t="n">
        <x:v>69299238.42</x:v>
      </x:c>
      <x:c r="D226" s="131" t="n">
        <x:v>0</x:v>
      </x:c>
      <x:c r="E226" s="131" t="n">
        <x:v>116578331.52</x:v>
      </x:c>
      <x:c r="F226" s="131" t="n">
        <x:f>SUM(B226:E226)</x:f>
        <x:v>199261792.03</x:v>
      </x:c>
      <x:c r="G226" s="111" t="str">
        <x:v>Independente</x:v>
      </x:c>
      <x:c r="H226" s="140" t="str">
        <x:v>Independente</x:v>
      </x:c>
      <x:c r="I226" s="111" t="str">
        <x:v>Regra residual — revisar manualmente</x:v>
      </x:c>
      <x:c r="J226" s="149" t="str">
        <x:v>Sim</x:v>
      </x:c>
      <x:c r="K226" s="131" t="n">
        <x:f>IF($H226="Independente",$F226,0)</x:f>
        <x:v>199261792.03</x:v>
      </x:c>
      <x:c r="L226" s="131" t="n">
        <x:f>IF($H226="Ligada a banco",$F226,0)</x:f>
        <x:v>0</x:v>
      </x:c>
      <x:c r="M226" s="114" t="n">
        <x:f>IF(K226&gt;0,RANK(K226,$K$6:$K$462)+COUNTIF($K$6:K226,K226)-1,9999)</x:f>
        <x:v>202</x:v>
      </x:c>
      <x:c r="N226" s="114" t="n">
        <x:f>IF(L226&gt;0,RANK(L226,$L$6:$L$462)+COUNTIF($L$6:L226,L226)-1,9999)</x:f>
        <x:v>9999</x:v>
      </x:c>
    </x:row>
    <x:row r="227">
      <x:c r="A227" s="111" t="str">
        <x:v>Renta Gestão de Recursos LTDA.</x:v>
      </x:c>
      <x:c r="B227" s="131" t="n">
        <x:v>0</x:v>
      </x:c>
      <x:c r="C227" s="131" t="n">
        <x:v>0</x:v>
      </x:c>
      <x:c r="D227" s="131" t="n">
        <x:v>0</x:v>
      </x:c>
      <x:c r="E227" s="131" t="n">
        <x:v>198443232.95</x:v>
      </x:c>
      <x:c r="F227" s="131" t="n">
        <x:f>SUM(B227:E227)</x:f>
        <x:v>198443232.95</x:v>
      </x:c>
      <x:c r="G227" s="111" t="str">
        <x:v>Independente</x:v>
      </x:c>
      <x:c r="H227" s="140" t="str">
        <x:v>Independente</x:v>
      </x:c>
      <x:c r="I227" s="111" t="str">
        <x:v>Regra residual — revisar manualmente</x:v>
      </x:c>
      <x:c r="J227" s="149" t="str">
        <x:v>Sim</x:v>
      </x:c>
      <x:c r="K227" s="131" t="n">
        <x:f>IF($H227="Independente",$F227,0)</x:f>
        <x:v>198443232.95</x:v>
      </x:c>
      <x:c r="L227" s="131" t="n">
        <x:f>IF($H227="Ligada a banco",$F227,0)</x:f>
        <x:v>0</x:v>
      </x:c>
      <x:c r="M227" s="114" t="n">
        <x:f>IF(K227&gt;0,RANK(K227,$K$6:$K$462)+COUNTIF($K$6:K227,K227)-1,9999)</x:f>
        <x:v>203</x:v>
      </x:c>
      <x:c r="N227" s="114" t="n">
        <x:f>IF(L227&gt;0,RANK(L227,$L$6:$L$462)+COUNTIF($L$6:L227,L227)-1,9999)</x:f>
        <x:v>9999</x:v>
      </x:c>
    </x:row>
    <x:row r="228">
      <x:c r="A228" s="111" t="str">
        <x:v>B.Side Wealth</x:v>
      </x:c>
      <x:c r="B228" s="131" t="n">
        <x:v>0</x:v>
      </x:c>
      <x:c r="C228" s="131" t="n">
        <x:v>12187428.01</x:v>
      </x:c>
      <x:c r="D228" s="131" t="n">
        <x:v>0</x:v>
      </x:c>
      <x:c r="E228" s="131" t="n">
        <x:v>185756307.87000003</x:v>
      </x:c>
      <x:c r="F228" s="131" t="n">
        <x:f>SUM(B228:E228)</x:f>
        <x:v>197943735.88000003</x:v>
      </x:c>
      <x:c r="G228" s="111" t="str">
        <x:v>Independente</x:v>
      </x:c>
      <x:c r="H228" s="140" t="str">
        <x:v>Independente</x:v>
      </x:c>
      <x:c r="I228" s="111" t="str">
        <x:v>Regra residual — revisar manualmente</x:v>
      </x:c>
      <x:c r="J228" s="149" t="str">
        <x:v>Sim</x:v>
      </x:c>
      <x:c r="K228" s="131" t="n">
        <x:f>IF($H228="Independente",$F228,0)</x:f>
        <x:v>197943735.88000003</x:v>
      </x:c>
      <x:c r="L228" s="131" t="n">
        <x:f>IF($H228="Ligada a banco",$F228,0)</x:f>
        <x:v>0</x:v>
      </x:c>
      <x:c r="M228" s="114" t="n">
        <x:f>IF(K228&gt;0,RANK(K228,$K$6:$K$462)+COUNTIF($K$6:K228,K228)-1,9999)</x:f>
        <x:v>204</x:v>
      </x:c>
      <x:c r="N228" s="114" t="n">
        <x:f>IF(L228&gt;0,RANK(L228,$L$6:$L$462)+COUNTIF($L$6:L228,L228)-1,9999)</x:f>
        <x:v>9999</x:v>
      </x:c>
    </x:row>
    <x:row r="229">
      <x:c r="A229" s="111" t="str">
        <x:v>FICTOR ASSET</x:v>
      </x:c>
      <x:c r="B229" s="131" t="n">
        <x:v>0</x:v>
      </x:c>
      <x:c r="C229" s="131" t="n">
        <x:v>4748561.579999999</x:v>
      </x:c>
      <x:c r="D229" s="131" t="n">
        <x:v>0</x:v>
      </x:c>
      <x:c r="E229" s="131" t="n">
        <x:v>187606431.96</x:v>
      </x:c>
      <x:c r="F229" s="131" t="n">
        <x:f>SUM(B229:E229)</x:f>
        <x:v>192354993.54000002</x:v>
      </x:c>
      <x:c r="G229" s="111" t="str">
        <x:v>Independente</x:v>
      </x:c>
      <x:c r="H229" s="140" t="str">
        <x:v>Independente</x:v>
      </x:c>
      <x:c r="I229" s="111" t="str">
        <x:v>Regra residual — revisar manualmente</x:v>
      </x:c>
      <x:c r="J229" s="149" t="str">
        <x:v>Sim</x:v>
      </x:c>
      <x:c r="K229" s="131" t="n">
        <x:f>IF($H229="Independente",$F229,0)</x:f>
        <x:v>192354993.54000002</x:v>
      </x:c>
      <x:c r="L229" s="131" t="n">
        <x:f>IF($H229="Ligada a banco",$F229,0)</x:f>
        <x:v>0</x:v>
      </x:c>
      <x:c r="M229" s="114" t="n">
        <x:f>IF(K229&gt;0,RANK(K229,$K$6:$K$462)+COUNTIF($K$6:K229,K229)-1,9999)</x:f>
        <x:v>205</x:v>
      </x:c>
      <x:c r="N229" s="114" t="n">
        <x:f>IF(L229&gt;0,RANK(L229,$L$6:$L$462)+COUNTIF($L$6:L229,L229)-1,9999)</x:f>
        <x:v>9999</x:v>
      </x:c>
    </x:row>
    <x:row r="230">
      <x:c r="A230" s="111" t="str">
        <x:v>Fibra Asset</x:v>
      </x:c>
      <x:c r="B230" s="131" t="n">
        <x:v>0</x:v>
      </x:c>
      <x:c r="C230" s="131" t="n">
        <x:v>188505504.52</x:v>
      </x:c>
      <x:c r="D230" s="131" t="n">
        <x:v>0</x:v>
      </x:c>
      <x:c r="E230" s="131" t="n">
        <x:v>0</x:v>
      </x:c>
      <x:c r="F230" s="131" t="n">
        <x:f>SUM(B230:E230)</x:f>
        <x:v>188505504.52</x:v>
      </x:c>
      <x:c r="G230" s="111" t="str">
        <x:v>Independente</x:v>
      </x:c>
      <x:c r="H230" s="140" t="str">
        <x:v>Independente</x:v>
      </x:c>
      <x:c r="I230" s="111" t="str">
        <x:v>Regra residual — revisar manualmente</x:v>
      </x:c>
      <x:c r="J230" s="149" t="str">
        <x:v>Sim</x:v>
      </x:c>
      <x:c r="K230" s="131" t="n">
        <x:f>IF($H230="Independente",$F230,0)</x:f>
        <x:v>188505504.52</x:v>
      </x:c>
      <x:c r="L230" s="131" t="n">
        <x:f>IF($H230="Ligada a banco",$F230,0)</x:f>
        <x:v>0</x:v>
      </x:c>
      <x:c r="M230" s="114" t="n">
        <x:f>IF(K230&gt;0,RANK(K230,$K$6:$K$462)+COUNTIF($K$6:K230,K230)-1,9999)</x:f>
        <x:v>206</x:v>
      </x:c>
      <x:c r="N230" s="114" t="n">
        <x:f>IF(L230&gt;0,RANK(L230,$L$6:$L$462)+COUNTIF($L$6:L230,L230)-1,9999)</x:f>
        <x:v>9999</x:v>
      </x:c>
    </x:row>
    <x:row r="231">
      <x:c r="A231" s="111" t="str">
        <x:v>URCA CAPITAL PARTNERS</x:v>
      </x:c>
      <x:c r="B231" s="131" t="n">
        <x:v>0</x:v>
      </x:c>
      <x:c r="C231" s="131" t="n">
        <x:v>180374297.49</x:v>
      </x:c>
      <x:c r="D231" s="131" t="n">
        <x:v>0</x:v>
      </x:c>
      <x:c r="E231" s="131" t="n">
        <x:v>7499200.82</x:v>
      </x:c>
      <x:c r="F231" s="131" t="n">
        <x:f>SUM(B231:E231)</x:f>
        <x:v>187873498.31</x:v>
      </x:c>
      <x:c r="G231" s="111" t="str">
        <x:v>Independente</x:v>
      </x:c>
      <x:c r="H231" s="140" t="str">
        <x:v>Independente</x:v>
      </x:c>
      <x:c r="I231" s="111" t="str">
        <x:v>Regra residual — revisar manualmente</x:v>
      </x:c>
      <x:c r="J231" s="149" t="str">
        <x:v>Sim</x:v>
      </x:c>
      <x:c r="K231" s="131" t="n">
        <x:f>IF($H231="Independente",$F231,0)</x:f>
        <x:v>187873498.31</x:v>
      </x:c>
      <x:c r="L231" s="131" t="n">
        <x:f>IF($H231="Ligada a banco",$F231,0)</x:f>
        <x:v>0</x:v>
      </x:c>
      <x:c r="M231" s="114" t="n">
        <x:f>IF(K231&gt;0,RANK(K231,$K$6:$K$462)+COUNTIF($K$6:K231,K231)-1,9999)</x:f>
        <x:v>207</x:v>
      </x:c>
      <x:c r="N231" s="114" t="n">
        <x:f>IF(L231&gt;0,RANK(L231,$L$6:$L$462)+COUNTIF($L$6:L231,L231)-1,9999)</x:f>
        <x:v>9999</x:v>
      </x:c>
    </x:row>
    <x:row r="232">
      <x:c r="A232" s="111" t="str">
        <x:v>EXA CAPITAL ASSET</x:v>
      </x:c>
      <x:c r="B232" s="131" t="n">
        <x:v>110240272.76</x:v>
      </x:c>
      <x:c r="C232" s="131" t="n">
        <x:v>76456754.28</x:v>
      </x:c>
      <x:c r="D232" s="131" t="n">
        <x:v>0</x:v>
      </x:c>
      <x:c r="E232" s="131" t="n">
        <x:v>0</x:v>
      </x:c>
      <x:c r="F232" s="131" t="n">
        <x:f>SUM(B232:E232)</x:f>
        <x:v>186697027.04000002</x:v>
      </x:c>
      <x:c r="G232" s="111" t="str">
        <x:v>Independente</x:v>
      </x:c>
      <x:c r="H232" s="140" t="str">
        <x:v>Independente</x:v>
      </x:c>
      <x:c r="I232" s="111" t="str">
        <x:v>Regra residual — revisar manualmente</x:v>
      </x:c>
      <x:c r="J232" s="149" t="str">
        <x:v>Sim</x:v>
      </x:c>
      <x:c r="K232" s="131" t="n">
        <x:f>IF($H232="Independente",$F232,0)</x:f>
        <x:v>186697027.04000002</x:v>
      </x:c>
      <x:c r="L232" s="131" t="n">
        <x:f>IF($H232="Ligada a banco",$F232,0)</x:f>
        <x:v>0</x:v>
      </x:c>
      <x:c r="M232" s="114" t="n">
        <x:f>IF(K232&gt;0,RANK(K232,$K$6:$K$462)+COUNTIF($K$6:K232,K232)-1,9999)</x:f>
        <x:v>208</x:v>
      </x:c>
      <x:c r="N232" s="114" t="n">
        <x:f>IF(L232&gt;0,RANK(L232,$L$6:$L$462)+COUNTIF($L$6:L232,L232)-1,9999)</x:f>
        <x:v>9999</x:v>
      </x:c>
    </x:row>
    <x:row r="233">
      <x:c r="A233" s="111" t="str">
        <x:v>VÓRTX DTVM</x:v>
      </x:c>
      <x:c r="B233" s="131" t="n">
        <x:v>0</x:v>
      </x:c>
      <x:c r="C233" s="131" t="n">
        <x:v>0</x:v>
      </x:c>
      <x:c r="D233" s="131" t="n">
        <x:v>0</x:v>
      </x:c>
      <x:c r="E233" s="131" t="n">
        <x:v>183244954.11</x:v>
      </x:c>
      <x:c r="F233" s="131" t="n">
        <x:f>SUM(B233:E233)</x:f>
        <x:v>183244954.11</x:v>
      </x:c>
      <x:c r="G233" s="111" t="str">
        <x:v>Independente</x:v>
      </x:c>
      <x:c r="H233" s="140" t="str">
        <x:v>Independente</x:v>
      </x:c>
      <x:c r="I233" s="111" t="str">
        <x:v>Regra residual — revisar manualmente</x:v>
      </x:c>
      <x:c r="J233" s="149" t="str">
        <x:v>Sim</x:v>
      </x:c>
      <x:c r="K233" s="131" t="n">
        <x:f>IF($H233="Independente",$F233,0)</x:f>
        <x:v>183244954.11</x:v>
      </x:c>
      <x:c r="L233" s="131" t="n">
        <x:f>IF($H233="Ligada a banco",$F233,0)</x:f>
        <x:v>0</x:v>
      </x:c>
      <x:c r="M233" s="114" t="n">
        <x:f>IF(K233&gt;0,RANK(K233,$K$6:$K$462)+COUNTIF($K$6:K233,K233)-1,9999)</x:f>
        <x:v>209</x:v>
      </x:c>
      <x:c r="N233" s="114" t="n">
        <x:f>IF(L233&gt;0,RANK(L233,$L$6:$L$462)+COUNTIF($L$6:L233,L233)-1,9999)</x:f>
        <x:v>9999</x:v>
      </x:c>
    </x:row>
    <x:row r="234">
      <x:c r="A234" s="111" t="str">
        <x:v>SH Asset</x:v>
      </x:c>
      <x:c r="B234" s="131" t="n">
        <x:v>0</x:v>
      </x:c>
      <x:c r="C234" s="131" t="n">
        <x:v>49522019.5</x:v>
      </x:c>
      <x:c r="D234" s="131" t="n">
        <x:v>0</x:v>
      </x:c>
      <x:c r="E234" s="131" t="n">
        <x:v>131473953.59999998</x:v>
      </x:c>
      <x:c r="F234" s="131" t="n">
        <x:f>SUM(B234:E234)</x:f>
        <x:v>180995973.09999996</x:v>
      </x:c>
      <x:c r="G234" s="111" t="str">
        <x:v>Independente</x:v>
      </x:c>
      <x:c r="H234" s="140" t="str">
        <x:v>Independente</x:v>
      </x:c>
      <x:c r="I234" s="111" t="str">
        <x:v>Regra residual — revisar manualmente</x:v>
      </x:c>
      <x:c r="J234" s="149" t="str">
        <x:v>Sim</x:v>
      </x:c>
      <x:c r="K234" s="131" t="n">
        <x:f>IF($H234="Independente",$F234,0)</x:f>
        <x:v>180995973.09999996</x:v>
      </x:c>
      <x:c r="L234" s="131" t="n">
        <x:f>IF($H234="Ligada a banco",$F234,0)</x:f>
        <x:v>0</x:v>
      </x:c>
      <x:c r="M234" s="114" t="n">
        <x:f>IF(K234&gt;0,RANK(K234,$K$6:$K$462)+COUNTIF($K$6:K234,K234)-1,9999)</x:f>
        <x:v>210</x:v>
      </x:c>
      <x:c r="N234" s="114" t="n">
        <x:f>IF(L234&gt;0,RANK(L234,$L$6:$L$462)+COUNTIF($L$6:L234,L234)-1,9999)</x:f>
        <x:v>9999</x:v>
      </x:c>
    </x:row>
    <x:row r="235">
      <x:c r="A235" s="111" t="str">
        <x:v>DIRETA Capital</x:v>
      </x:c>
      <x:c r="B235" s="131" t="n">
        <x:v>29921469.14</x:v>
      </x:c>
      <x:c r="C235" s="131" t="n">
        <x:v>0</x:v>
      </x:c>
      <x:c r="D235" s="131" t="n">
        <x:v>147235710.51</x:v>
      </x:c>
      <x:c r="E235" s="131" t="n">
        <x:v>0</x:v>
      </x:c>
      <x:c r="F235" s="131" t="n">
        <x:f>SUM(B235:E235)</x:f>
        <x:v>177157179.64999998</x:v>
      </x:c>
      <x:c r="G235" s="111" t="str">
        <x:v>Independente</x:v>
      </x:c>
      <x:c r="H235" s="140" t="str">
        <x:v>Independente</x:v>
      </x:c>
      <x:c r="I235" s="111" t="str">
        <x:v>Regra residual — revisar manualmente</x:v>
      </x:c>
      <x:c r="J235" s="149" t="str">
        <x:v>Sim</x:v>
      </x:c>
      <x:c r="K235" s="131" t="n">
        <x:f>IF($H235="Independente",$F235,0)</x:f>
        <x:v>177157179.64999998</x:v>
      </x:c>
      <x:c r="L235" s="131" t="n">
        <x:f>IF($H235="Ligada a banco",$F235,0)</x:f>
        <x:v>0</x:v>
      </x:c>
      <x:c r="M235" s="114" t="n">
        <x:f>IF(K235&gt;0,RANK(K235,$K$6:$K$462)+COUNTIF($K$6:K235,K235)-1,9999)</x:f>
        <x:v>211</x:v>
      </x:c>
      <x:c r="N235" s="114" t="n">
        <x:f>IF(L235&gt;0,RANK(L235,$L$6:$L$462)+COUNTIF($L$6:L235,L235)-1,9999)</x:f>
        <x:v>9999</x:v>
      </x:c>
    </x:row>
    <x:row r="236">
      <x:c r="A236" s="111" t="str">
        <x:v>GRAPHEN INVESTIMENTOS</x:v>
      </x:c>
      <x:c r="B236" s="131" t="n">
        <x:v>0</x:v>
      </x:c>
      <x:c r="C236" s="131" t="n">
        <x:v>61946583.749999985</x:v>
      </x:c>
      <x:c r="D236" s="131" t="n">
        <x:v>0</x:v>
      </x:c>
      <x:c r="E236" s="131" t="n">
        <x:v>111496995.71</x:v>
      </x:c>
      <x:c r="F236" s="131" t="n">
        <x:f>SUM(B236:E236)</x:f>
        <x:v>173443579.45999998</x:v>
      </x:c>
      <x:c r="G236" s="111" t="str">
        <x:v>Independente</x:v>
      </x:c>
      <x:c r="H236" s="140" t="str">
        <x:v>Independente</x:v>
      </x:c>
      <x:c r="I236" s="111" t="str">
        <x:v>Regra residual — revisar manualmente</x:v>
      </x:c>
      <x:c r="J236" s="149" t="str">
        <x:v>Sim</x:v>
      </x:c>
      <x:c r="K236" s="131" t="n">
        <x:f>IF($H236="Independente",$F236,0)</x:f>
        <x:v>173443579.45999998</x:v>
      </x:c>
      <x:c r="L236" s="131" t="n">
        <x:f>IF($H236="Ligada a banco",$F236,0)</x:f>
        <x:v>0</x:v>
      </x:c>
      <x:c r="M236" s="114" t="n">
        <x:f>IF(K236&gt;0,RANK(K236,$K$6:$K$462)+COUNTIF($K$6:K236,K236)-1,9999)</x:f>
        <x:v>212</x:v>
      </x:c>
      <x:c r="N236" s="114" t="n">
        <x:f>IF(L236&gt;0,RANK(L236,$L$6:$L$462)+COUNTIF($L$6:L236,L236)-1,9999)</x:f>
        <x:v>9999</x:v>
      </x:c>
    </x:row>
    <x:row r="237">
      <x:c r="A237" s="111" t="str">
        <x:v>GFS INVESTIMENTOS</x:v>
      </x:c>
      <x:c r="B237" s="131" t="n">
        <x:v>15269175.12</x:v>
      </x:c>
      <x:c r="C237" s="131" t="n">
        <x:v>0</x:v>
      </x:c>
      <x:c r="D237" s="131" t="n">
        <x:v>146722788.99999997</x:v>
      </x:c>
      <x:c r="E237" s="131" t="n">
        <x:v>9175472.44</x:v>
      </x:c>
      <x:c r="F237" s="131" t="n">
        <x:f>SUM(B237:E237)</x:f>
        <x:v>171167436.55999997</x:v>
      </x:c>
      <x:c r="G237" s="111" t="str">
        <x:v>Independente</x:v>
      </x:c>
      <x:c r="H237" s="140" t="str">
        <x:v>Independente</x:v>
      </x:c>
      <x:c r="I237" s="111" t="str">
        <x:v>Regra residual — revisar manualmente</x:v>
      </x:c>
      <x:c r="J237" s="149" t="str">
        <x:v>Sim</x:v>
      </x:c>
      <x:c r="K237" s="131" t="n">
        <x:f>IF($H237="Independente",$F237,0)</x:f>
        <x:v>171167436.55999997</x:v>
      </x:c>
      <x:c r="L237" s="131" t="n">
        <x:f>IF($H237="Ligada a banco",$F237,0)</x:f>
        <x:v>0</x:v>
      </x:c>
      <x:c r="M237" s="114" t="n">
        <x:f>IF(K237&gt;0,RANK(K237,$K$6:$K$462)+COUNTIF($K$6:K237,K237)-1,9999)</x:f>
        <x:v>213</x:v>
      </x:c>
      <x:c r="N237" s="114" t="n">
        <x:f>IF(L237&gt;0,RANK(L237,$L$6:$L$462)+COUNTIF($L$6:L237,L237)-1,9999)</x:f>
        <x:v>9999</x:v>
      </x:c>
    </x:row>
    <x:row r="238">
      <x:c r="A238" s="111" t="str">
        <x:v>Bocom BBM Corretora de Câmbio e Valores Mobiliários S.A</x:v>
      </x:c>
      <x:c r="B238" s="131" t="n">
        <x:v>0</x:v>
      </x:c>
      <x:c r="C238" s="131" t="n">
        <x:v>0</x:v>
      </x:c>
      <x:c r="D238" s="131" t="n">
        <x:v>0</x:v>
      </x:c>
      <x:c r="E238" s="131" t="n">
        <x:v>169112782.47</x:v>
      </x:c>
      <x:c r="F238" s="131" t="n">
        <x:f>SUM(B238:E238)</x:f>
        <x:v>169112782.47</x:v>
      </x:c>
      <x:c r="G238" s="111" t="str">
        <x:v>Independente</x:v>
      </x:c>
      <x:c r="H238" s="140" t="str">
        <x:v>Independente</x:v>
      </x:c>
      <x:c r="I238" s="111" t="str">
        <x:v>Regra residual — revisar manualmente</x:v>
      </x:c>
      <x:c r="J238" s="149" t="str">
        <x:v>Sim</x:v>
      </x:c>
      <x:c r="K238" s="131" t="n">
        <x:f>IF($H238="Independente",$F238,0)</x:f>
        <x:v>169112782.47</x:v>
      </x:c>
      <x:c r="L238" s="131" t="n">
        <x:f>IF($H238="Ligada a banco",$F238,0)</x:f>
        <x:v>0</x:v>
      </x:c>
      <x:c r="M238" s="114" t="n">
        <x:f>IF(K238&gt;0,RANK(K238,$K$6:$K$462)+COUNTIF($K$6:K238,K238)-1,9999)</x:f>
        <x:v>214</x:v>
      </x:c>
      <x:c r="N238" s="114" t="n">
        <x:f>IF(L238&gt;0,RANK(L238,$L$6:$L$462)+COUNTIF($L$6:L238,L238)-1,9999)</x:f>
        <x:v>9999</x:v>
      </x:c>
    </x:row>
    <x:row r="239">
      <x:c r="A239" s="111" t="str">
        <x:v>REAG LEGAL CLAIMS GESTÃO DE ATIVOS</x:v>
      </x:c>
      <x:c r="B239" s="131" t="n">
        <x:v>0</x:v>
      </x:c>
      <x:c r="C239" s="131" t="n">
        <x:v>10982046.86</x:v>
      </x:c>
      <x:c r="D239" s="131" t="n">
        <x:v>20533939.72</x:v>
      </x:c>
      <x:c r="E239" s="131" t="n">
        <x:v>137544183.54999998</x:v>
      </x:c>
      <x:c r="F239" s="131" t="n">
        <x:f>SUM(B239:E239)</x:f>
        <x:v>169060170.13</x:v>
      </x:c>
      <x:c r="G239" s="111" t="str">
        <x:v>Independente</x:v>
      </x:c>
      <x:c r="H239" s="140" t="str">
        <x:v>Independente</x:v>
      </x:c>
      <x:c r="I239" s="111" t="str">
        <x:v>Regra residual — revisar manualmente</x:v>
      </x:c>
      <x:c r="J239" s="149" t="str">
        <x:v>Sim</x:v>
      </x:c>
      <x:c r="K239" s="131" t="n">
        <x:f>IF($H239="Independente",$F239,0)</x:f>
        <x:v>169060170.13</x:v>
      </x:c>
      <x:c r="L239" s="131" t="n">
        <x:f>IF($H239="Ligada a banco",$F239,0)</x:f>
        <x:v>0</x:v>
      </x:c>
      <x:c r="M239" s="114" t="n">
        <x:f>IF(K239&gt;0,RANK(K239,$K$6:$K$462)+COUNTIF($K$6:K239,K239)-1,9999)</x:f>
        <x:v>215</x:v>
      </x:c>
      <x:c r="N239" s="114" t="n">
        <x:f>IF(L239&gt;0,RANK(L239,$L$6:$L$462)+COUNTIF($L$6:L239,L239)-1,9999)</x:f>
        <x:v>9999</x:v>
      </x:c>
    </x:row>
    <x:row r="240">
      <x:c r="A240" s="111" t="str">
        <x:v>STRATEGI CAPITAL ASSET MANAGEMENT</x:v>
      </x:c>
      <x:c r="B240" s="131" t="n">
        <x:v>0</x:v>
      </x:c>
      <x:c r="C240" s="131" t="n">
        <x:v>13681941.76</x:v>
      </x:c>
      <x:c r="D240" s="131" t="n">
        <x:v>0</x:v>
      </x:c>
      <x:c r="E240" s="131" t="n">
        <x:v>153773058.75</x:v>
      </x:c>
      <x:c r="F240" s="131" t="n">
        <x:f>SUM(B240:E240)</x:f>
        <x:v>167455000.51</x:v>
      </x:c>
      <x:c r="G240" s="111" t="str">
        <x:v>Independente</x:v>
      </x:c>
      <x:c r="H240" s="140" t="str">
        <x:v>Independente</x:v>
      </x:c>
      <x:c r="I240" s="111" t="str">
        <x:v>Regra residual — revisar manualmente</x:v>
      </x:c>
      <x:c r="J240" s="149" t="str">
        <x:v>Sim</x:v>
      </x:c>
      <x:c r="K240" s="131" t="n">
        <x:f>IF($H240="Independente",$F240,0)</x:f>
        <x:v>167455000.51</x:v>
      </x:c>
      <x:c r="L240" s="131" t="n">
        <x:f>IF($H240="Ligada a banco",$F240,0)</x:f>
        <x:v>0</x:v>
      </x:c>
      <x:c r="M240" s="114" t="n">
        <x:f>IF(K240&gt;0,RANK(K240,$K$6:$K$462)+COUNTIF($K$6:K240,K240)-1,9999)</x:f>
        <x:v>216</x:v>
      </x:c>
      <x:c r="N240" s="114" t="n">
        <x:f>IF(L240&gt;0,RANK(L240,$L$6:$L$462)+COUNTIF($L$6:L240,L240)-1,9999)</x:f>
        <x:v>9999</x:v>
      </x:c>
    </x:row>
    <x:row r="241">
      <x:c r="A241" s="111" t="str">
        <x:v>Polo Capital Gestão de Recurso</x:v>
      </x:c>
      <x:c r="B241" s="131" t="n">
        <x:v>0</x:v>
      </x:c>
      <x:c r="C241" s="131" t="n">
        <x:v>0</x:v>
      </x:c>
      <x:c r="D241" s="131" t="n">
        <x:v>0</x:v>
      </x:c>
      <x:c r="E241" s="131" t="n">
        <x:v>166401098.51</x:v>
      </x:c>
      <x:c r="F241" s="131" t="n">
        <x:f>SUM(B241:E241)</x:f>
        <x:v>166401098.51</x:v>
      </x:c>
      <x:c r="G241" s="111" t="str">
        <x:v>Independente</x:v>
      </x:c>
      <x:c r="H241" s="140" t="str">
        <x:v>Independente</x:v>
      </x:c>
      <x:c r="I241" s="111" t="str">
        <x:v>Regra residual — revisar manualmente</x:v>
      </x:c>
      <x:c r="J241" s="149" t="str">
        <x:v>Sim</x:v>
      </x:c>
      <x:c r="K241" s="131" t="n">
        <x:f>IF($H241="Independente",$F241,0)</x:f>
        <x:v>166401098.51</x:v>
      </x:c>
      <x:c r="L241" s="131" t="n">
        <x:f>IF($H241="Ligada a banco",$F241,0)</x:f>
        <x:v>0</x:v>
      </x:c>
      <x:c r="M241" s="114" t="n">
        <x:f>IF(K241&gt;0,RANK(K241,$K$6:$K$462)+COUNTIF($K$6:K241,K241)-1,9999)</x:f>
        <x:v>217</x:v>
      </x:c>
      <x:c r="N241" s="114" t="n">
        <x:f>IF(L241&gt;0,RANK(L241,$L$6:$L$462)+COUNTIF($L$6:L241,L241)-1,9999)</x:f>
        <x:v>9999</x:v>
      </x:c>
    </x:row>
    <x:row r="242">
      <x:c r="A242" s="111" t="str">
        <x:v>FAR - FATOR ADMINIST</x:v>
      </x:c>
      <x:c r="B242" s="131" t="n">
        <x:v>0</x:v>
      </x:c>
      <x:c r="C242" s="131" t="n">
        <x:v>0</x:v>
      </x:c>
      <x:c r="D242" s="131" t="n">
        <x:v>0</x:v>
      </x:c>
      <x:c r="E242" s="131" t="n">
        <x:v>166256870.9</x:v>
      </x:c>
      <x:c r="F242" s="131" t="n">
        <x:f>SUM(B242:E242)</x:f>
        <x:v>166256870.9</x:v>
      </x:c>
      <x:c r="G242" s="111" t="str">
        <x:v>Independente</x:v>
      </x:c>
      <x:c r="H242" s="140" t="str">
        <x:v>Independente</x:v>
      </x:c>
      <x:c r="I242" s="111" t="str">
        <x:v>Regra residual — revisar manualmente</x:v>
      </x:c>
      <x:c r="J242" s="149" t="str">
        <x:v>Sim</x:v>
      </x:c>
      <x:c r="K242" s="131" t="n">
        <x:f>IF($H242="Independente",$F242,0)</x:f>
        <x:v>166256870.9</x:v>
      </x:c>
      <x:c r="L242" s="131" t="n">
        <x:f>IF($H242="Ligada a banco",$F242,0)</x:f>
        <x:v>0</x:v>
      </x:c>
      <x:c r="M242" s="114" t="n">
        <x:f>IF(K242&gt;0,RANK(K242,$K$6:$K$462)+COUNTIF($K$6:K242,K242)-1,9999)</x:f>
        <x:v>218</x:v>
      </x:c>
      <x:c r="N242" s="114" t="n">
        <x:f>IF(L242&gt;0,RANK(L242,$L$6:$L$462)+COUNTIF($L$6:L242,L242)-1,9999)</x:f>
        <x:v>9999</x:v>
      </x:c>
    </x:row>
    <x:row r="243">
      <x:c r="A243" s="111" t="str">
        <x:v>AZUMI ASSET</x:v>
      </x:c>
      <x:c r="B243" s="131" t="n">
        <x:v>0</x:v>
      </x:c>
      <x:c r="C243" s="131" t="n">
        <x:v>0</x:v>
      </x:c>
      <x:c r="D243" s="131" t="n">
        <x:v>9260502.63</x:v>
      </x:c>
      <x:c r="E243" s="131" t="n">
        <x:v>154180626.87</x:v>
      </x:c>
      <x:c r="F243" s="131" t="n">
        <x:f>SUM(B243:E243)</x:f>
        <x:v>163441129.5</x:v>
      </x:c>
      <x:c r="G243" s="111" t="str">
        <x:v>Independente</x:v>
      </x:c>
      <x:c r="H243" s="140" t="str">
        <x:v>Independente</x:v>
      </x:c>
      <x:c r="I243" s="111" t="str">
        <x:v>Regra residual — revisar manualmente</x:v>
      </x:c>
      <x:c r="J243" s="149" t="str">
        <x:v>Sim</x:v>
      </x:c>
      <x:c r="K243" s="131" t="n">
        <x:f>IF($H243="Independente",$F243,0)</x:f>
        <x:v>163441129.5</x:v>
      </x:c>
      <x:c r="L243" s="131" t="n">
        <x:f>IF($H243="Ligada a banco",$F243,0)</x:f>
        <x:v>0</x:v>
      </x:c>
      <x:c r="M243" s="114" t="n">
        <x:f>IF(K243&gt;0,RANK(K243,$K$6:$K$462)+COUNTIF($K$6:K243,K243)-1,9999)</x:f>
        <x:v>219</x:v>
      </x:c>
      <x:c r="N243" s="114" t="n">
        <x:f>IF(L243&gt;0,RANK(L243,$L$6:$L$462)+COUNTIF($L$6:L243,L243)-1,9999)</x:f>
        <x:v>9999</x:v>
      </x:c>
    </x:row>
    <x:row r="244">
      <x:c r="A244" s="111" t="str">
        <x:v>Aventis Asset</x:v>
      </x:c>
      <x:c r="B244" s="131" t="n">
        <x:v>75824841.84000002</x:v>
      </x:c>
      <x:c r="C244" s="131" t="n">
        <x:v>0</x:v>
      </x:c>
      <x:c r="D244" s="131" t="n">
        <x:v>0</x:v>
      </x:c>
      <x:c r="E244" s="131" t="n">
        <x:v>86265970.89999999</x:v>
      </x:c>
      <x:c r="F244" s="131" t="n">
        <x:f>SUM(B244:E244)</x:f>
        <x:v>162090812.74</x:v>
      </x:c>
      <x:c r="G244" s="111" t="str">
        <x:v>Independente</x:v>
      </x:c>
      <x:c r="H244" s="140" t="str">
        <x:v>Independente</x:v>
      </x:c>
      <x:c r="I244" s="111" t="str">
        <x:v>Regra residual — revisar manualmente</x:v>
      </x:c>
      <x:c r="J244" s="149" t="str">
        <x:v>Sim</x:v>
      </x:c>
      <x:c r="K244" s="131" t="n">
        <x:f>IF($H244="Independente",$F244,0)</x:f>
        <x:v>162090812.74</x:v>
      </x:c>
      <x:c r="L244" s="131" t="n">
        <x:f>IF($H244="Ligada a banco",$F244,0)</x:f>
        <x:v>0</x:v>
      </x:c>
      <x:c r="M244" s="114" t="n">
        <x:f>IF(K244&gt;0,RANK(K244,$K$6:$K$462)+COUNTIF($K$6:K244,K244)-1,9999)</x:f>
        <x:v>220</x:v>
      </x:c>
      <x:c r="N244" s="114" t="n">
        <x:f>IF(L244&gt;0,RANK(L244,$L$6:$L$462)+COUNTIF($L$6:L244,L244)-1,9999)</x:f>
        <x:v>9999</x:v>
      </x:c>
    </x:row>
    <x:row r="245">
      <x:c r="A245" s="111" t="str">
        <x:v>VGR - VERONA GESTORA DE RECURSOS LTDA</x:v>
      </x:c>
      <x:c r="B245" s="131" t="n">
        <x:v>0</x:v>
      </x:c>
      <x:c r="C245" s="131" t="n">
        <x:v>115286111.13000004</x:v>
      </x:c>
      <x:c r="D245" s="131" t="n">
        <x:v>0</x:v>
      </x:c>
      <x:c r="E245" s="131" t="n">
        <x:v>46144408.65999999</x:v>
      </x:c>
      <x:c r="F245" s="131" t="n">
        <x:f>SUM(B245:E245)</x:f>
        <x:v>161430519.79000002</x:v>
      </x:c>
      <x:c r="G245" s="111" t="str">
        <x:v>Independente</x:v>
      </x:c>
      <x:c r="H245" s="140" t="str">
        <x:v>Independente</x:v>
      </x:c>
      <x:c r="I245" s="111" t="str">
        <x:v>Regra residual — revisar manualmente</x:v>
      </x:c>
      <x:c r="J245" s="149" t="str">
        <x:v>Sim</x:v>
      </x:c>
      <x:c r="K245" s="131" t="n">
        <x:f>IF($H245="Independente",$F245,0)</x:f>
        <x:v>161430519.79000002</x:v>
      </x:c>
      <x:c r="L245" s="131" t="n">
        <x:f>IF($H245="Ligada a banco",$F245,0)</x:f>
        <x:v>0</x:v>
      </x:c>
      <x:c r="M245" s="114" t="n">
        <x:f>IF(K245&gt;0,RANK(K245,$K$6:$K$462)+COUNTIF($K$6:K245,K245)-1,9999)</x:f>
        <x:v>221</x:v>
      </x:c>
      <x:c r="N245" s="114" t="n">
        <x:f>IF(L245&gt;0,RANK(L245,$L$6:$L$462)+COUNTIF($L$6:L245,L245)-1,9999)</x:f>
        <x:v>9999</x:v>
      </x:c>
    </x:row>
    <x:row r="246">
      <x:c r="A246" s="111" t="str">
        <x:v>Octante Capital</x:v>
      </x:c>
      <x:c r="B246" s="131" t="n">
        <x:v>60194833.36</x:v>
      </x:c>
      <x:c r="C246" s="131" t="n">
        <x:v>0</x:v>
      </x:c>
      <x:c r="D246" s="131" t="n">
        <x:v>0</x:v>
      </x:c>
      <x:c r="E246" s="131" t="n">
        <x:v>100762740.99</x:v>
      </x:c>
      <x:c r="F246" s="131" t="n">
        <x:f>SUM(B246:E246)</x:f>
        <x:v>160957574.35</x:v>
      </x:c>
      <x:c r="G246" s="111" t="str">
        <x:v>Independente</x:v>
      </x:c>
      <x:c r="H246" s="140" t="str">
        <x:v>Independente</x:v>
      </x:c>
      <x:c r="I246" s="111" t="str">
        <x:v>Regra residual — revisar manualmente</x:v>
      </x:c>
      <x:c r="J246" s="149" t="str">
        <x:v>Sim</x:v>
      </x:c>
      <x:c r="K246" s="131" t="n">
        <x:f>IF($H246="Independente",$F246,0)</x:f>
        <x:v>160957574.35</x:v>
      </x:c>
      <x:c r="L246" s="131" t="n">
        <x:f>IF($H246="Ligada a banco",$F246,0)</x:f>
        <x:v>0</x:v>
      </x:c>
      <x:c r="M246" s="114" t="n">
        <x:f>IF(K246&gt;0,RANK(K246,$K$6:$K$462)+COUNTIF($K$6:K246,K246)-1,9999)</x:f>
        <x:v>222</x:v>
      </x:c>
      <x:c r="N246" s="114" t="n">
        <x:f>IF(L246&gt;0,RANK(L246,$L$6:$L$462)+COUNTIF($L$6:L246,L246)-1,9999)</x:f>
        <x:v>9999</x:v>
      </x:c>
    </x:row>
    <x:row r="247">
      <x:c r="A247" s="111" t="str">
        <x:v>QUAESTUS GESTÃO DE INVESTIMENTOS LTDA.</x:v>
      </x:c>
      <x:c r="B247" s="131" t="n">
        <x:v>0</x:v>
      </x:c>
      <x:c r="C247" s="131" t="n">
        <x:v>0</x:v>
      </x:c>
      <x:c r="D247" s="131" t="n">
        <x:v>92949534.79999998</x:v>
      </x:c>
      <x:c r="E247" s="131" t="n">
        <x:v>67232802.62</x:v>
      </x:c>
      <x:c r="F247" s="131" t="n">
        <x:f>SUM(B247:E247)</x:f>
        <x:v>160182337.42</x:v>
      </x:c>
      <x:c r="G247" s="111" t="str">
        <x:v>Independente</x:v>
      </x:c>
      <x:c r="H247" s="140" t="str">
        <x:v>Independente</x:v>
      </x:c>
      <x:c r="I247" s="111" t="str">
        <x:v>Regra residual — revisar manualmente</x:v>
      </x:c>
      <x:c r="J247" s="149" t="str">
        <x:v>Sim</x:v>
      </x:c>
      <x:c r="K247" s="131" t="n">
        <x:f>IF($H247="Independente",$F247,0)</x:f>
        <x:v>160182337.42</x:v>
      </x:c>
      <x:c r="L247" s="131" t="n">
        <x:f>IF($H247="Ligada a banco",$F247,0)</x:f>
        <x:v>0</x:v>
      </x:c>
      <x:c r="M247" s="114" t="n">
        <x:f>IF(K247&gt;0,RANK(K247,$K$6:$K$462)+COUNTIF($K$6:K247,K247)-1,9999)</x:f>
        <x:v>223</x:v>
      </x:c>
      <x:c r="N247" s="114" t="n">
        <x:f>IF(L247&gt;0,RANK(L247,$L$6:$L$462)+COUNTIF($L$6:L247,L247)-1,9999)</x:f>
        <x:v>9999</x:v>
      </x:c>
    </x:row>
    <x:row r="248">
      <x:c r="A248" s="111" t="str">
        <x:v>XP Allocation</x:v>
      </x:c>
      <x:c r="B248" s="131" t="n">
        <x:v>0</x:v>
      </x:c>
      <x:c r="C248" s="131" t="n">
        <x:v>0</x:v>
      </x:c>
      <x:c r="D248" s="131" t="n">
        <x:v>155991373.51</x:v>
      </x:c>
      <x:c r="E248" s="131" t="n">
        <x:v>0</x:v>
      </x:c>
      <x:c r="F248" s="131" t="n">
        <x:f>SUM(B248:E248)</x:f>
        <x:v>155991373.51</x:v>
      </x:c>
      <x:c r="G248" s="111" t="str">
        <x:v>Ligada a banco</x:v>
      </x:c>
      <x:c r="H248" s="140" t="str">
        <x:v>Ligada a banco</x:v>
      </x:c>
      <x:c r="I248" s="111" t="str">
        <x:v>Regra nominal: XP</x:v>
      </x:c>
      <x:c r="J248" s="149" t="str">
        <x:v>Sim</x:v>
      </x:c>
      <x:c r="K248" s="131" t="n">
        <x:f>IF($H248="Independente",$F248,0)</x:f>
        <x:v>0</x:v>
      </x:c>
      <x:c r="L248" s="131" t="n">
        <x:f>IF($H248="Ligada a banco",$F248,0)</x:f>
        <x:v>155991373.51</x:v>
      </x:c>
      <x:c r="M248" s="114" t="n">
        <x:f>IF(K248&gt;0,RANK(K248,$K$6:$K$462)+COUNTIF($K$6:K248,K248)-1,9999)</x:f>
        <x:v>9999</x:v>
      </x:c>
      <x:c r="N248" s="114" t="n">
        <x:f>IF(L248&gt;0,RANK(L248,$L$6:$L$462)+COUNTIF($L$6:L248,L248)-1,9999)</x:f>
        <x:v>20</x:v>
      </x:c>
    </x:row>
    <x:row r="249">
      <x:c r="A249" s="111" t="str">
        <x:v>AZ QUEST</x:v>
      </x:c>
      <x:c r="B249" s="131" t="n">
        <x:v>0</x:v>
      </x:c>
      <x:c r="C249" s="131" t="n">
        <x:v>155906021.29999998</x:v>
      </x:c>
      <x:c r="D249" s="131" t="n">
        <x:v>0</x:v>
      </x:c>
      <x:c r="E249" s="131" t="n">
        <x:v>0</x:v>
      </x:c>
      <x:c r="F249" s="131" t="n">
        <x:f>SUM(B249:E249)</x:f>
        <x:v>155906021.29999998</x:v>
      </x:c>
      <x:c r="G249" s="111" t="str">
        <x:v>Independente</x:v>
      </x:c>
      <x:c r="H249" s="140" t="str">
        <x:v>Independente</x:v>
      </x:c>
      <x:c r="I249" s="111" t="str">
        <x:v>Regra residual — revisar manualmente</x:v>
      </x:c>
      <x:c r="J249" s="149" t="str">
        <x:v>Sim</x:v>
      </x:c>
      <x:c r="K249" s="131" t="n">
        <x:f>IF($H249="Independente",$F249,0)</x:f>
        <x:v>155906021.29999998</x:v>
      </x:c>
      <x:c r="L249" s="131" t="n">
        <x:f>IF($H249="Ligada a banco",$F249,0)</x:f>
        <x:v>0</x:v>
      </x:c>
      <x:c r="M249" s="114" t="n">
        <x:f>IF(K249&gt;0,RANK(K249,$K$6:$K$462)+COUNTIF($K$6:K249,K249)-1,9999)</x:f>
        <x:v>224</x:v>
      </x:c>
      <x:c r="N249" s="114" t="n">
        <x:f>IF(L249&gt;0,RANK(L249,$L$6:$L$462)+COUNTIF($L$6:L249,L249)-1,9999)</x:f>
        <x:v>9999</x:v>
      </x:c>
    </x:row>
    <x:row r="250">
      <x:c r="A250" s="111" t="str">
        <x:v>HCAM LTDA.</x:v>
      </x:c>
      <x:c r="B250" s="131" t="n">
        <x:v>0</x:v>
      </x:c>
      <x:c r="C250" s="131" t="n">
        <x:v>0</x:v>
      </x:c>
      <x:c r="D250" s="131" t="n">
        <x:v>2931685.97</x:v>
      </x:c>
      <x:c r="E250" s="131" t="n">
        <x:v>151818525.46787998</x:v>
      </x:c>
      <x:c r="F250" s="131" t="n">
        <x:f>SUM(B250:E250)</x:f>
        <x:v>154750211.43787998</x:v>
      </x:c>
      <x:c r="G250" s="111" t="str">
        <x:v>Independente</x:v>
      </x:c>
      <x:c r="H250" s="140" t="str">
        <x:v>Independente</x:v>
      </x:c>
      <x:c r="I250" s="111" t="str">
        <x:v>Regra residual — revisar manualmente</x:v>
      </x:c>
      <x:c r="J250" s="149" t="str">
        <x:v>Sim</x:v>
      </x:c>
      <x:c r="K250" s="131" t="n">
        <x:f>IF($H250="Independente",$F250,0)</x:f>
        <x:v>154750211.43787998</x:v>
      </x:c>
      <x:c r="L250" s="131" t="n">
        <x:f>IF($H250="Ligada a banco",$F250,0)</x:f>
        <x:v>0</x:v>
      </x:c>
      <x:c r="M250" s="114" t="n">
        <x:f>IF(K250&gt;0,RANK(K250,$K$6:$K$462)+COUNTIF($K$6:K250,K250)-1,9999)</x:f>
        <x:v>225</x:v>
      </x:c>
      <x:c r="N250" s="114" t="n">
        <x:f>IF(L250&gt;0,RANK(L250,$L$6:$L$462)+COUNTIF($L$6:L250,L250)-1,9999)</x:f>
        <x:v>9999</x:v>
      </x:c>
    </x:row>
    <x:row r="251">
      <x:c r="A251" s="111" t="str">
        <x:v>BENAVENT ASSET LTDA</x:v>
      </x:c>
      <x:c r="B251" s="131" t="n">
        <x:v>0</x:v>
      </x:c>
      <x:c r="C251" s="131" t="n">
        <x:v>5426777.85</x:v>
      </x:c>
      <x:c r="D251" s="131" t="n">
        <x:v>0</x:v>
      </x:c>
      <x:c r="E251" s="131" t="n">
        <x:v>148990395.15</x:v>
      </x:c>
      <x:c r="F251" s="131" t="n">
        <x:f>SUM(B251:E251)</x:f>
        <x:v>154417173</x:v>
      </x:c>
      <x:c r="G251" s="111" t="str">
        <x:v>Independente</x:v>
      </x:c>
      <x:c r="H251" s="140" t="str">
        <x:v>Independente</x:v>
      </x:c>
      <x:c r="I251" s="111" t="str">
        <x:v>Regra residual — revisar manualmente</x:v>
      </x:c>
      <x:c r="J251" s="149" t="str">
        <x:v>Sim</x:v>
      </x:c>
      <x:c r="K251" s="131" t="n">
        <x:f>IF($H251="Independente",$F251,0)</x:f>
        <x:v>154417173</x:v>
      </x:c>
      <x:c r="L251" s="131" t="n">
        <x:f>IF($H251="Ligada a banco",$F251,0)</x:f>
        <x:v>0</x:v>
      </x:c>
      <x:c r="M251" s="114" t="n">
        <x:f>IF(K251&gt;0,RANK(K251,$K$6:$K$462)+COUNTIF($K$6:K251,K251)-1,9999)</x:f>
        <x:v>226</x:v>
      </x:c>
      <x:c r="N251" s="114" t="n">
        <x:f>IF(L251&gt;0,RANK(L251,$L$6:$L$462)+COUNTIF($L$6:L251,L251)-1,9999)</x:f>
        <x:v>9999</x:v>
      </x:c>
    </x:row>
    <x:row r="252">
      <x:c r="A252" s="111" t="str">
        <x:v>Laplace Capital</x:v>
      </x:c>
      <x:c r="B252" s="131" t="n">
        <x:v>0</x:v>
      </x:c>
      <x:c r="C252" s="131" t="n">
        <x:v>0</x:v>
      </x:c>
      <x:c r="D252" s="131" t="n">
        <x:v>39868531.66000001</x:v>
      </x:c>
      <x:c r="E252" s="131" t="n">
        <x:v>109353509.32</x:v>
      </x:c>
      <x:c r="F252" s="131" t="n">
        <x:f>SUM(B252:E252)</x:f>
        <x:v>149222040.98000002</x:v>
      </x:c>
      <x:c r="G252" s="111" t="str">
        <x:v>Independente</x:v>
      </x:c>
      <x:c r="H252" s="140" t="str">
        <x:v>Independente</x:v>
      </x:c>
      <x:c r="I252" s="111" t="str">
        <x:v>Regra residual — revisar manualmente</x:v>
      </x:c>
      <x:c r="J252" s="149" t="str">
        <x:v>Sim</x:v>
      </x:c>
      <x:c r="K252" s="131" t="n">
        <x:f>IF($H252="Independente",$F252,0)</x:f>
        <x:v>149222040.98000002</x:v>
      </x:c>
      <x:c r="L252" s="131" t="n">
        <x:f>IF($H252="Ligada a banco",$F252,0)</x:f>
        <x:v>0</x:v>
      </x:c>
      <x:c r="M252" s="114" t="n">
        <x:f>IF(K252&gt;0,RANK(K252,$K$6:$K$462)+COUNTIF($K$6:K252,K252)-1,9999)</x:f>
        <x:v>227</x:v>
      </x:c>
      <x:c r="N252" s="114" t="n">
        <x:f>IF(L252&gt;0,RANK(L252,$L$6:$L$462)+COUNTIF($L$6:L252,L252)-1,9999)</x:f>
        <x:v>9999</x:v>
      </x:c>
    </x:row>
    <x:row r="253">
      <x:c r="A253" s="111" t="str">
        <x:v>Mauá Capital Investimentos Alternativos Ltda.</x:v>
      </x:c>
      <x:c r="B253" s="131" t="n">
        <x:v>143573357.20000002</x:v>
      </x:c>
      <x:c r="C253" s="131" t="n">
        <x:v>0</x:v>
      </x:c>
      <x:c r="D253" s="131" t="n">
        <x:v>0</x:v>
      </x:c>
      <x:c r="E253" s="131" t="n">
        <x:v>0</x:v>
      </x:c>
      <x:c r="F253" s="131" t="n">
        <x:f>SUM(B253:E253)</x:f>
        <x:v>143573357.20000002</x:v>
      </x:c>
      <x:c r="G253" s="111" t="str">
        <x:v>Independente</x:v>
      </x:c>
      <x:c r="H253" s="140" t="str">
        <x:v>Independente</x:v>
      </x:c>
      <x:c r="I253" s="111" t="str">
        <x:v>Regra residual — revisar manualmente</x:v>
      </x:c>
      <x:c r="J253" s="149" t="str">
        <x:v>Sim</x:v>
      </x:c>
      <x:c r="K253" s="131" t="n">
        <x:f>IF($H253="Independente",$F253,0)</x:f>
        <x:v>143573357.20000002</x:v>
      </x:c>
      <x:c r="L253" s="131" t="n">
        <x:f>IF($H253="Ligada a banco",$F253,0)</x:f>
        <x:v>0</x:v>
      </x:c>
      <x:c r="M253" s="114" t="n">
        <x:f>IF(K253&gt;0,RANK(K253,$K$6:$K$462)+COUNTIF($K$6:K253,K253)-1,9999)</x:f>
        <x:v>228</x:v>
      </x:c>
      <x:c r="N253" s="114" t="n">
        <x:f>IF(L253&gt;0,RANK(L253,$L$6:$L$462)+COUNTIF($L$6:L253,L253)-1,9999)</x:f>
        <x:v>9999</x:v>
      </x:c>
    </x:row>
    <x:row r="254">
      <x:c r="A254" s="111" t="str">
        <x:v>PLANNER CV</x:v>
      </x:c>
      <x:c r="B254" s="131" t="n">
        <x:v>0</x:v>
      </x:c>
      <x:c r="C254" s="131" t="n">
        <x:v>0</x:v>
      </x:c>
      <x:c r="D254" s="131" t="n">
        <x:v>0</x:v>
      </x:c>
      <x:c r="E254" s="131" t="n">
        <x:v>140627122.04999998</x:v>
      </x:c>
      <x:c r="F254" s="131" t="n">
        <x:f>SUM(B254:E254)</x:f>
        <x:v>140627122.04999998</x:v>
      </x:c>
      <x:c r="G254" s="111" t="str">
        <x:v>Independente</x:v>
      </x:c>
      <x:c r="H254" s="140" t="str">
        <x:v>Independente</x:v>
      </x:c>
      <x:c r="I254" s="111" t="str">
        <x:v>Regra residual — revisar manualmente</x:v>
      </x:c>
      <x:c r="J254" s="149" t="str">
        <x:v>Sim</x:v>
      </x:c>
      <x:c r="K254" s="131" t="n">
        <x:f>IF($H254="Independente",$F254,0)</x:f>
        <x:v>140627122.04999998</x:v>
      </x:c>
      <x:c r="L254" s="131" t="n">
        <x:f>IF($H254="Ligada a banco",$F254,0)</x:f>
        <x:v>0</x:v>
      </x:c>
      <x:c r="M254" s="114" t="n">
        <x:f>IF(K254&gt;0,RANK(K254,$K$6:$K$462)+COUNTIF($K$6:K254,K254)-1,9999)</x:f>
        <x:v>229</x:v>
      </x:c>
      <x:c r="N254" s="114" t="n">
        <x:f>IF(L254&gt;0,RANK(L254,$L$6:$L$462)+COUNTIF($L$6:L254,L254)-1,9999)</x:f>
        <x:v>9999</x:v>
      </x:c>
    </x:row>
    <x:row r="255">
      <x:c r="A255" s="111" t="str">
        <x:v>Cupertino Capital</x:v>
      </x:c>
      <x:c r="B255" s="131" t="n">
        <x:v>0</x:v>
      </x:c>
      <x:c r="C255" s="131" t="n">
        <x:v>0</x:v>
      </x:c>
      <x:c r="D255" s="131" t="n">
        <x:v>9621999.3</x:v>
      </x:c>
      <x:c r="E255" s="131" t="n">
        <x:v>130768204.02</x:v>
      </x:c>
      <x:c r="F255" s="131" t="n">
        <x:f>SUM(B255:E255)</x:f>
        <x:v>140390203.32</x:v>
      </x:c>
      <x:c r="G255" s="111" t="str">
        <x:v>Independente</x:v>
      </x:c>
      <x:c r="H255" s="140" t="str">
        <x:v>Independente</x:v>
      </x:c>
      <x:c r="I255" s="111" t="str">
        <x:v>Regra residual — revisar manualmente</x:v>
      </x:c>
      <x:c r="J255" s="149" t="str">
        <x:v>Sim</x:v>
      </x:c>
      <x:c r="K255" s="131" t="n">
        <x:f>IF($H255="Independente",$F255,0)</x:f>
        <x:v>140390203.32</x:v>
      </x:c>
      <x:c r="L255" s="131" t="n">
        <x:f>IF($H255="Ligada a banco",$F255,0)</x:f>
        <x:v>0</x:v>
      </x:c>
      <x:c r="M255" s="114" t="n">
        <x:f>IF(K255&gt;0,RANK(K255,$K$6:$K$462)+COUNTIF($K$6:K255,K255)-1,9999)</x:f>
        <x:v>230</x:v>
      </x:c>
      <x:c r="N255" s="114" t="n">
        <x:f>IF(L255&gt;0,RANK(L255,$L$6:$L$462)+COUNTIF($L$6:L255,L255)-1,9999)</x:f>
        <x:v>9999</x:v>
      </x:c>
    </x:row>
    <x:row r="256">
      <x:c r="A256" s="111" t="str">
        <x:v>Kuará Capital</x:v>
      </x:c>
      <x:c r="B256" s="131" t="n">
        <x:v>0</x:v>
      </x:c>
      <x:c r="C256" s="131" t="n">
        <x:v>0</x:v>
      </x:c>
      <x:c r="D256" s="131" t="n">
        <x:v>13374202.14</x:v>
      </x:c>
      <x:c r="E256" s="131" t="n">
        <x:v>121423508.04</x:v>
      </x:c>
      <x:c r="F256" s="131" t="n">
        <x:f>SUM(B256:E256)</x:f>
        <x:v>134797710.18</x:v>
      </x:c>
      <x:c r="G256" s="111" t="str">
        <x:v>Independente</x:v>
      </x:c>
      <x:c r="H256" s="140" t="str">
        <x:v>Independente</x:v>
      </x:c>
      <x:c r="I256" s="111" t="str">
        <x:v>Regra residual — revisar manualmente</x:v>
      </x:c>
      <x:c r="J256" s="149" t="str">
        <x:v>Sim</x:v>
      </x:c>
      <x:c r="K256" s="131" t="n">
        <x:f>IF($H256="Independente",$F256,0)</x:f>
        <x:v>134797710.18</x:v>
      </x:c>
      <x:c r="L256" s="131" t="n">
        <x:f>IF($H256="Ligada a banco",$F256,0)</x:f>
        <x:v>0</x:v>
      </x:c>
      <x:c r="M256" s="114" t="n">
        <x:f>IF(K256&gt;0,RANK(K256,$K$6:$K$462)+COUNTIF($K$6:K256,K256)-1,9999)</x:f>
        <x:v>231</x:v>
      </x:c>
      <x:c r="N256" s="114" t="n">
        <x:f>IF(L256&gt;0,RANK(L256,$L$6:$L$462)+COUNTIF($L$6:L256,L256)-1,9999)</x:f>
        <x:v>9999</x:v>
      </x:c>
    </x:row>
    <x:row r="257">
      <x:c r="A257" s="111" t="str">
        <x:v>BW Gestão de Investimentos Ltd</x:v>
      </x:c>
      <x:c r="B257" s="131" t="n">
        <x:v>0</x:v>
      </x:c>
      <x:c r="C257" s="131" t="n">
        <x:v>0</x:v>
      </x:c>
      <x:c r="D257" s="131" t="n">
        <x:v>0</x:v>
      </x:c>
      <x:c r="E257" s="131" t="n">
        <x:v>133561119.55</x:v>
      </x:c>
      <x:c r="F257" s="131" t="n">
        <x:f>SUM(B257:E257)</x:f>
        <x:v>133561119.55</x:v>
      </x:c>
      <x:c r="G257" s="111" t="str">
        <x:v>Independente</x:v>
      </x:c>
      <x:c r="H257" s="140" t="str">
        <x:v>Independente</x:v>
      </x:c>
      <x:c r="I257" s="111" t="str">
        <x:v>Regra residual — revisar manualmente</x:v>
      </x:c>
      <x:c r="J257" s="149" t="str">
        <x:v>Sim</x:v>
      </x:c>
      <x:c r="K257" s="131" t="n">
        <x:f>IF($H257="Independente",$F257,0)</x:f>
        <x:v>133561119.55</x:v>
      </x:c>
      <x:c r="L257" s="131" t="n">
        <x:f>IF($H257="Ligada a banco",$F257,0)</x:f>
        <x:v>0</x:v>
      </x:c>
      <x:c r="M257" s="114" t="n">
        <x:f>IF(K257&gt;0,RANK(K257,$K$6:$K$462)+COUNTIF($K$6:K257,K257)-1,9999)</x:f>
        <x:v>232</x:v>
      </x:c>
      <x:c r="N257" s="114" t="n">
        <x:f>IF(L257&gt;0,RANK(L257,$L$6:$L$462)+COUNTIF($L$6:L257,L257)-1,9999)</x:f>
        <x:v>9999</x:v>
      </x:c>
    </x:row>
    <x:row r="258">
      <x:c r="A258" s="111" t="str">
        <x:v>MONTE BRAVO FAMILY OFFICE</x:v>
      </x:c>
      <x:c r="B258" s="131" t="n">
        <x:v>0</x:v>
      </x:c>
      <x:c r="C258" s="131" t="n">
        <x:v>0</x:v>
      </x:c>
      <x:c r="D258" s="131" t="n">
        <x:v>0</x:v>
      </x:c>
      <x:c r="E258" s="131" t="n">
        <x:v>130598812.67</x:v>
      </x:c>
      <x:c r="F258" s="131" t="n">
        <x:f>SUM(B258:E258)</x:f>
        <x:v>130598812.67</x:v>
      </x:c>
      <x:c r="G258" s="111" t="str">
        <x:v>Independente</x:v>
      </x:c>
      <x:c r="H258" s="140" t="str">
        <x:v>Independente</x:v>
      </x:c>
      <x:c r="I258" s="111" t="str">
        <x:v>Regra residual — revisar manualmente</x:v>
      </x:c>
      <x:c r="J258" s="149" t="str">
        <x:v>Sim</x:v>
      </x:c>
      <x:c r="K258" s="131" t="n">
        <x:f>IF($H258="Independente",$F258,0)</x:f>
        <x:v>130598812.67</x:v>
      </x:c>
      <x:c r="L258" s="131" t="n">
        <x:f>IF($H258="Ligada a banco",$F258,0)</x:f>
        <x:v>0</x:v>
      </x:c>
      <x:c r="M258" s="114" t="n">
        <x:f>IF(K258&gt;0,RANK(K258,$K$6:$K$462)+COUNTIF($K$6:K258,K258)-1,9999)</x:f>
        <x:v>233</x:v>
      </x:c>
      <x:c r="N258" s="114" t="n">
        <x:f>IF(L258&gt;0,RANK(L258,$L$6:$L$462)+COUNTIF($L$6:L258,L258)-1,9999)</x:f>
        <x:v>9999</x:v>
      </x:c>
    </x:row>
    <x:row r="259">
      <x:c r="A259" s="111" t="str">
        <x:v>ALTINVEST</x:v>
      </x:c>
      <x:c r="B259" s="131" t="n">
        <x:v>0</x:v>
      </x:c>
      <x:c r="C259" s="131" t="n">
        <x:v>0</x:v>
      </x:c>
      <x:c r="D259" s="131" t="n">
        <x:v>0</x:v>
      </x:c>
      <x:c r="E259" s="131" t="n">
        <x:v>127531903.46</x:v>
      </x:c>
      <x:c r="F259" s="131" t="n">
        <x:f>SUM(B259:E259)</x:f>
        <x:v>127531903.46</x:v>
      </x:c>
      <x:c r="G259" s="111" t="str">
        <x:v>Independente</x:v>
      </x:c>
      <x:c r="H259" s="140" t="str">
        <x:v>Independente</x:v>
      </x:c>
      <x:c r="I259" s="111" t="str">
        <x:v>Regra residual — revisar manualmente</x:v>
      </x:c>
      <x:c r="J259" s="149" t="str">
        <x:v>Sim</x:v>
      </x:c>
      <x:c r="K259" s="131" t="n">
        <x:f>IF($H259="Independente",$F259,0)</x:f>
        <x:v>127531903.46</x:v>
      </x:c>
      <x:c r="L259" s="131" t="n">
        <x:f>IF($H259="Ligada a banco",$F259,0)</x:f>
        <x:v>0</x:v>
      </x:c>
      <x:c r="M259" s="114" t="n">
        <x:f>IF(K259&gt;0,RANK(K259,$K$6:$K$462)+COUNTIF($K$6:K259,K259)-1,9999)</x:f>
        <x:v>234</x:v>
      </x:c>
      <x:c r="N259" s="114" t="n">
        <x:f>IF(L259&gt;0,RANK(L259,$L$6:$L$462)+COUNTIF($L$6:L259,L259)-1,9999)</x:f>
        <x:v>9999</x:v>
      </x:c>
    </x:row>
    <x:row r="260">
      <x:c r="A260" s="111" t="str">
        <x:v>Strategic Portfolio Advisors</x:v>
      </x:c>
      <x:c r="B260" s="131" t="n">
        <x:v>0</x:v>
      </x:c>
      <x:c r="C260" s="131" t="n">
        <x:v>0</x:v>
      </x:c>
      <x:c r="D260" s="131" t="n">
        <x:v>0</x:v>
      </x:c>
      <x:c r="E260" s="131" t="n">
        <x:v>126334423.33</x:v>
      </x:c>
      <x:c r="F260" s="131" t="n">
        <x:f>SUM(B260:E260)</x:f>
        <x:v>126334423.33</x:v>
      </x:c>
      <x:c r="G260" s="111" t="str">
        <x:v>Independente</x:v>
      </x:c>
      <x:c r="H260" s="140" t="str">
        <x:v>Independente</x:v>
      </x:c>
      <x:c r="I260" s="111" t="str">
        <x:v>Regra residual — revisar manualmente</x:v>
      </x:c>
      <x:c r="J260" s="149" t="str">
        <x:v>Sim</x:v>
      </x:c>
      <x:c r="K260" s="131" t="n">
        <x:f>IF($H260="Independente",$F260,0)</x:f>
        <x:v>126334423.33</x:v>
      </x:c>
      <x:c r="L260" s="131" t="n">
        <x:f>IF($H260="Ligada a banco",$F260,0)</x:f>
        <x:v>0</x:v>
      </x:c>
      <x:c r="M260" s="114" t="n">
        <x:f>IF(K260&gt;0,RANK(K260,$K$6:$K$462)+COUNTIF($K$6:K260,K260)-1,9999)</x:f>
        <x:v>235</x:v>
      </x:c>
      <x:c r="N260" s="114" t="n">
        <x:f>IF(L260&gt;0,RANK(L260,$L$6:$L$462)+COUNTIF($L$6:L260,L260)-1,9999)</x:f>
        <x:v>9999</x:v>
      </x:c>
    </x:row>
    <x:row r="261">
      <x:c r="A261" s="111" t="str">
        <x:v>SIMPLIX ASSET MANAGEMENT LTDA.</x:v>
      </x:c>
      <x:c r="B261" s="131" t="n">
        <x:v>0</x:v>
      </x:c>
      <x:c r="C261" s="131" t="n">
        <x:v>125898974.3</x:v>
      </x:c>
      <x:c r="D261" s="131" t="n">
        <x:v>0</x:v>
      </x:c>
      <x:c r="E261" s="131" t="n">
        <x:v>0</x:v>
      </x:c>
      <x:c r="F261" s="131" t="n">
        <x:f>SUM(B261:E261)</x:f>
        <x:v>125898974.3</x:v>
      </x:c>
      <x:c r="G261" s="111" t="str">
        <x:v>Independente</x:v>
      </x:c>
      <x:c r="H261" s="140" t="str">
        <x:v>Independente</x:v>
      </x:c>
      <x:c r="I261" s="111" t="str">
        <x:v>Regra residual — revisar manualmente</x:v>
      </x:c>
      <x:c r="J261" s="149" t="str">
        <x:v>Sim</x:v>
      </x:c>
      <x:c r="K261" s="131" t="n">
        <x:f>IF($H261="Independente",$F261,0)</x:f>
        <x:v>125898974.3</x:v>
      </x:c>
      <x:c r="L261" s="131" t="n">
        <x:f>IF($H261="Ligada a banco",$F261,0)</x:f>
        <x:v>0</x:v>
      </x:c>
      <x:c r="M261" s="114" t="n">
        <x:f>IF(K261&gt;0,RANK(K261,$K$6:$K$462)+COUNTIF($K$6:K261,K261)-1,9999)</x:f>
        <x:v>236</x:v>
      </x:c>
      <x:c r="N261" s="114" t="n">
        <x:f>IF(L261&gt;0,RANK(L261,$L$6:$L$462)+COUNTIF($L$6:L261,L261)-1,9999)</x:f>
        <x:v>9999</x:v>
      </x:c>
    </x:row>
    <x:row r="262">
      <x:c r="A262" s="111" t="str">
        <x:v>EVEREST CAPITAL OFFICE LTDA</x:v>
      </x:c>
      <x:c r="B262" s="131" t="n">
        <x:v>0</x:v>
      </x:c>
      <x:c r="C262" s="131" t="n">
        <x:v>0</x:v>
      </x:c>
      <x:c r="D262" s="131" t="n">
        <x:v>6077586.860000001</x:v>
      </x:c>
      <x:c r="E262" s="131" t="n">
        <x:v>117960159.57</x:v>
      </x:c>
      <x:c r="F262" s="131" t="n">
        <x:f>SUM(B262:E262)</x:f>
        <x:v>124037746.42999999</x:v>
      </x:c>
      <x:c r="G262" s="111" t="str">
        <x:v>Independente</x:v>
      </x:c>
      <x:c r="H262" s="140" t="str">
        <x:v>Independente</x:v>
      </x:c>
      <x:c r="I262" s="111" t="str">
        <x:v>Regra residual — revisar manualmente</x:v>
      </x:c>
      <x:c r="J262" s="149" t="str">
        <x:v>Sim</x:v>
      </x:c>
      <x:c r="K262" s="131" t="n">
        <x:f>IF($H262="Independente",$F262,0)</x:f>
        <x:v>124037746.42999999</x:v>
      </x:c>
      <x:c r="L262" s="131" t="n">
        <x:f>IF($H262="Ligada a banco",$F262,0)</x:f>
        <x:v>0</x:v>
      </x:c>
      <x:c r="M262" s="114" t="n">
        <x:f>IF(K262&gt;0,RANK(K262,$K$6:$K$462)+COUNTIF($K$6:K262,K262)-1,9999)</x:f>
        <x:v>237</x:v>
      </x:c>
      <x:c r="N262" s="114" t="n">
        <x:f>IF(L262&gt;0,RANK(L262,$L$6:$L$462)+COUNTIF($L$6:L262,L262)-1,9999)</x:f>
        <x:v>9999</x:v>
      </x:c>
    </x:row>
    <x:row r="263">
      <x:c r="A263" s="111" t="str">
        <x:v>Rio das Pedras Investimentos</x:v>
      </x:c>
      <x:c r="B263" s="131" t="n">
        <x:v>0</x:v>
      </x:c>
      <x:c r="C263" s="131" t="n">
        <x:v>2988081.8099999996</x:v>
      </x:c>
      <x:c r="D263" s="131" t="n">
        <x:v>116909152.76</x:v>
      </x:c>
      <x:c r="E263" s="131" t="n">
        <x:v>0</x:v>
      </x:c>
      <x:c r="F263" s="131" t="n">
        <x:f>SUM(B263:E263)</x:f>
        <x:v>119897234.57000001</x:v>
      </x:c>
      <x:c r="G263" s="111" t="str">
        <x:v>Independente</x:v>
      </x:c>
      <x:c r="H263" s="140" t="str">
        <x:v>Independente</x:v>
      </x:c>
      <x:c r="I263" s="111" t="str">
        <x:v>Regra residual — revisar manualmente</x:v>
      </x:c>
      <x:c r="J263" s="149" t="str">
        <x:v>Sim</x:v>
      </x:c>
      <x:c r="K263" s="131" t="n">
        <x:f>IF($H263="Independente",$F263,0)</x:f>
        <x:v>119897234.57000001</x:v>
      </x:c>
      <x:c r="L263" s="131" t="n">
        <x:f>IF($H263="Ligada a banco",$F263,0)</x:f>
        <x:v>0</x:v>
      </x:c>
      <x:c r="M263" s="114" t="n">
        <x:f>IF(K263&gt;0,RANK(K263,$K$6:$K$462)+COUNTIF($K$6:K263,K263)-1,9999)</x:f>
        <x:v>238</x:v>
      </x:c>
      <x:c r="N263" s="114" t="n">
        <x:f>IF(L263&gt;0,RANK(L263,$L$6:$L$462)+COUNTIF($L$6:L263,L263)-1,9999)</x:f>
        <x:v>9999</x:v>
      </x:c>
    </x:row>
    <x:row r="264">
      <x:c r="A264" s="111" t="str">
        <x:v>KÖLI CAPITAL</x:v>
      </x:c>
      <x:c r="B264" s="131" t="n">
        <x:v>0</x:v>
      </x:c>
      <x:c r="C264" s="131" t="n">
        <x:v>0</x:v>
      </x:c>
      <x:c r="D264" s="131" t="n">
        <x:v>119219739.44000004</x:v>
      </x:c>
      <x:c r="E264" s="131" t="n">
        <x:v>0</x:v>
      </x:c>
      <x:c r="F264" s="131" t="n">
        <x:f>SUM(B264:E264)</x:f>
        <x:v>119219739.44000004</x:v>
      </x:c>
      <x:c r="G264" s="111" t="str">
        <x:v>Independente</x:v>
      </x:c>
      <x:c r="H264" s="140" t="str">
        <x:v>Independente</x:v>
      </x:c>
      <x:c r="I264" s="111" t="str">
        <x:v>Regra residual — revisar manualmente</x:v>
      </x:c>
      <x:c r="J264" s="149" t="str">
        <x:v>Sim</x:v>
      </x:c>
      <x:c r="K264" s="131" t="n">
        <x:f>IF($H264="Independente",$F264,0)</x:f>
        <x:v>119219739.44000004</x:v>
      </x:c>
      <x:c r="L264" s="131" t="n">
        <x:f>IF($H264="Ligada a banco",$F264,0)</x:f>
        <x:v>0</x:v>
      </x:c>
      <x:c r="M264" s="114" t="n">
        <x:f>IF(K264&gt;0,RANK(K264,$K$6:$K$462)+COUNTIF($K$6:K264,K264)-1,9999)</x:f>
        <x:v>239</x:v>
      </x:c>
      <x:c r="N264" s="114" t="n">
        <x:f>IF(L264&gt;0,RANK(L264,$L$6:$L$462)+COUNTIF($L$6:L264,L264)-1,9999)</x:f>
        <x:v>9999</x:v>
      </x:c>
    </x:row>
    <x:row r="265">
      <x:c r="A265" s="111" t="str">
        <x:v>Vinci Capital</x:v>
      </x:c>
      <x:c r="B265" s="131" t="n">
        <x:v>118905866.97</x:v>
      </x:c>
      <x:c r="C265" s="131" t="n">
        <x:v>0</x:v>
      </x:c>
      <x:c r="D265" s="131" t="n">
        <x:v>0</x:v>
      </x:c>
      <x:c r="E265" s="131" t="n">
        <x:v>0</x:v>
      </x:c>
      <x:c r="F265" s="131" t="n">
        <x:f>SUM(B265:E265)</x:f>
        <x:v>118905866.97</x:v>
      </x:c>
      <x:c r="G265" s="111" t="str">
        <x:v>Independente</x:v>
      </x:c>
      <x:c r="H265" s="140" t="str">
        <x:v>Independente</x:v>
      </x:c>
      <x:c r="I265" s="111" t="str">
        <x:v>Regra residual — revisar manualmente</x:v>
      </x:c>
      <x:c r="J265" s="149" t="str">
        <x:v>Sim</x:v>
      </x:c>
      <x:c r="K265" s="131" t="n">
        <x:f>IF($H265="Independente",$F265,0)</x:f>
        <x:v>118905866.97</x:v>
      </x:c>
      <x:c r="L265" s="131" t="n">
        <x:f>IF($H265="Ligada a banco",$F265,0)</x:f>
        <x:v>0</x:v>
      </x:c>
      <x:c r="M265" s="114" t="n">
        <x:f>IF(K265&gt;0,RANK(K265,$K$6:$K$462)+COUNTIF($K$6:K265,K265)-1,9999)</x:f>
        <x:v>240</x:v>
      </x:c>
      <x:c r="N265" s="114" t="n">
        <x:f>IF(L265&gt;0,RANK(L265,$L$6:$L$462)+COUNTIF($L$6:L265,L265)-1,9999)</x:f>
        <x:v>9999</x:v>
      </x:c>
    </x:row>
    <x:row r="266">
      <x:c r="A266" s="111" t="str">
        <x:v>REAG SPECIAL SITUATIONS</x:v>
      </x:c>
      <x:c r="B266" s="131" t="n">
        <x:v>9781519.839999998</x:v>
      </x:c>
      <x:c r="C266" s="131" t="n">
        <x:v>15235445.53</x:v>
      </x:c>
      <x:c r="D266" s="131" t="n">
        <x:v>28328496.83</x:v>
      </x:c>
      <x:c r="E266" s="131" t="n">
        <x:v>64239528.77</x:v>
      </x:c>
      <x:c r="F266" s="131" t="n">
        <x:f>SUM(B266:E266)</x:f>
        <x:v>117584990.97</x:v>
      </x:c>
      <x:c r="G266" s="111" t="str">
        <x:v>Independente</x:v>
      </x:c>
      <x:c r="H266" s="140" t="str">
        <x:v>Independente</x:v>
      </x:c>
      <x:c r="I266" s="111" t="str">
        <x:v>Regra residual — revisar manualmente</x:v>
      </x:c>
      <x:c r="J266" s="149" t="str">
        <x:v>Sim</x:v>
      </x:c>
      <x:c r="K266" s="131" t="n">
        <x:f>IF($H266="Independente",$F266,0)</x:f>
        <x:v>117584990.97</x:v>
      </x:c>
      <x:c r="L266" s="131" t="n">
        <x:f>IF($H266="Ligada a banco",$F266,0)</x:f>
        <x:v>0</x:v>
      </x:c>
      <x:c r="M266" s="114" t="n">
        <x:f>IF(K266&gt;0,RANK(K266,$K$6:$K$462)+COUNTIF($K$6:K266,K266)-1,9999)</x:f>
        <x:v>241</x:v>
      </x:c>
      <x:c r="N266" s="114" t="n">
        <x:f>IF(L266&gt;0,RANK(L266,$L$6:$L$462)+COUNTIF($L$6:L266,L266)-1,9999)</x:f>
        <x:v>9999</x:v>
      </x:c>
    </x:row>
    <x:row r="267">
      <x:c r="A267" s="111" t="str">
        <x:v>INDIE CAPITAL INVESTIMENTOS LT</x:v>
      </x:c>
      <x:c r="B267" s="131" t="n">
        <x:v>117541914.47</x:v>
      </x:c>
      <x:c r="C267" s="131" t="n">
        <x:v>0</x:v>
      </x:c>
      <x:c r="D267" s="131" t="n">
        <x:v>0</x:v>
      </x:c>
      <x:c r="E267" s="131" t="n">
        <x:v>0</x:v>
      </x:c>
      <x:c r="F267" s="131" t="n">
        <x:f>SUM(B267:E267)</x:f>
        <x:v>117541914.47</x:v>
      </x:c>
      <x:c r="G267" s="111" t="str">
        <x:v>Independente</x:v>
      </x:c>
      <x:c r="H267" s="140" t="str">
        <x:v>Independente</x:v>
      </x:c>
      <x:c r="I267" s="111" t="str">
        <x:v>Regra residual — revisar manualmente</x:v>
      </x:c>
      <x:c r="J267" s="149" t="str">
        <x:v>Sim</x:v>
      </x:c>
      <x:c r="K267" s="131" t="n">
        <x:f>IF($H267="Independente",$F267,0)</x:f>
        <x:v>117541914.47</x:v>
      </x:c>
      <x:c r="L267" s="131" t="n">
        <x:f>IF($H267="Ligada a banco",$F267,0)</x:f>
        <x:v>0</x:v>
      </x:c>
      <x:c r="M267" s="114" t="n">
        <x:f>IF(K267&gt;0,RANK(K267,$K$6:$K$462)+COUNTIF($K$6:K267,K267)-1,9999)</x:f>
        <x:v>242</x:v>
      </x:c>
      <x:c r="N267" s="114" t="n">
        <x:f>IF(L267&gt;0,RANK(L267,$L$6:$L$462)+COUNTIF($L$6:L267,L267)-1,9999)</x:f>
        <x:v>9999</x:v>
      </x:c>
    </x:row>
    <x:row r="268">
      <x:c r="A268" s="111" t="str">
        <x:v>4i Capital Ltda</x:v>
      </x:c>
      <x:c r="B268" s="131" t="n">
        <x:v>0</x:v>
      </x:c>
      <x:c r="C268" s="131" t="n">
        <x:v>0</x:v>
      </x:c>
      <x:c r="D268" s="131" t="n">
        <x:v>0</x:v>
      </x:c>
      <x:c r="E268" s="131" t="n">
        <x:v>117026970.65</x:v>
      </x:c>
      <x:c r="F268" s="131" t="n">
        <x:f>SUM(B268:E268)</x:f>
        <x:v>117026970.65</x:v>
      </x:c>
      <x:c r="G268" s="111" t="str">
        <x:v>Independente</x:v>
      </x:c>
      <x:c r="H268" s="140" t="str">
        <x:v>Independente</x:v>
      </x:c>
      <x:c r="I268" s="111" t="str">
        <x:v>Regra residual — revisar manualmente</x:v>
      </x:c>
      <x:c r="J268" s="149" t="str">
        <x:v>Sim</x:v>
      </x:c>
      <x:c r="K268" s="131" t="n">
        <x:f>IF($H268="Independente",$F268,0)</x:f>
        <x:v>117026970.65</x:v>
      </x:c>
      <x:c r="L268" s="131" t="n">
        <x:f>IF($H268="Ligada a banco",$F268,0)</x:f>
        <x:v>0</x:v>
      </x:c>
      <x:c r="M268" s="114" t="n">
        <x:f>IF(K268&gt;0,RANK(K268,$K$6:$K$462)+COUNTIF($K$6:K268,K268)-1,9999)</x:f>
        <x:v>243</x:v>
      </x:c>
      <x:c r="N268" s="114" t="n">
        <x:f>IF(L268&gt;0,RANK(L268,$L$6:$L$462)+COUNTIF($L$6:L268,L268)-1,9999)</x:f>
        <x:v>9999</x:v>
      </x:c>
    </x:row>
    <x:row r="269">
      <x:c r="A269" s="111" t="str">
        <x:v>Hinov Capital</x:v>
      </x:c>
      <x:c r="B269" s="131" t="n">
        <x:v>0</x:v>
      </x:c>
      <x:c r="C269" s="131" t="n">
        <x:v>0</x:v>
      </x:c>
      <x:c r="D269" s="131" t="n">
        <x:v>114120520.89</x:v>
      </x:c>
      <x:c r="E269" s="131" t="n">
        <x:v>2548258.23</x:v>
      </x:c>
      <x:c r="F269" s="131" t="n">
        <x:f>SUM(B269:E269)</x:f>
        <x:v>116668779.12</x:v>
      </x:c>
      <x:c r="G269" s="111" t="str">
        <x:v>Independente</x:v>
      </x:c>
      <x:c r="H269" s="140" t="str">
        <x:v>Independente</x:v>
      </x:c>
      <x:c r="I269" s="111" t="str">
        <x:v>Regra residual — revisar manualmente</x:v>
      </x:c>
      <x:c r="J269" s="149" t="str">
        <x:v>Sim</x:v>
      </x:c>
      <x:c r="K269" s="131" t="n">
        <x:f>IF($H269="Independente",$F269,0)</x:f>
        <x:v>116668779.12</x:v>
      </x:c>
      <x:c r="L269" s="131" t="n">
        <x:f>IF($H269="Ligada a banco",$F269,0)</x:f>
        <x:v>0</x:v>
      </x:c>
      <x:c r="M269" s="114" t="n">
        <x:f>IF(K269&gt;0,RANK(K269,$K$6:$K$462)+COUNTIF($K$6:K269,K269)-1,9999)</x:f>
        <x:v>244</x:v>
      </x:c>
      <x:c r="N269" s="114" t="n">
        <x:f>IF(L269&gt;0,RANK(L269,$L$6:$L$462)+COUNTIF($L$6:L269,L269)-1,9999)</x:f>
        <x:v>9999</x:v>
      </x:c>
    </x:row>
    <x:row r="270">
      <x:c r="A270" s="111" t="str">
        <x:v>Nexa</x:v>
      </x:c>
      <x:c r="B270" s="131" t="n">
        <x:v>0</x:v>
      </x:c>
      <x:c r="C270" s="131" t="n">
        <x:v>0</x:v>
      </x:c>
      <x:c r="D270" s="131" t="n">
        <x:v>0</x:v>
      </x:c>
      <x:c r="E270" s="131" t="n">
        <x:v>116523665.68</x:v>
      </x:c>
      <x:c r="F270" s="131" t="n">
        <x:f>SUM(B270:E270)</x:f>
        <x:v>116523665.68</x:v>
      </x:c>
      <x:c r="G270" s="111" t="str">
        <x:v>Independente</x:v>
      </x:c>
      <x:c r="H270" s="140" t="str">
        <x:v>Independente</x:v>
      </x:c>
      <x:c r="I270" s="111" t="str">
        <x:v>Regra residual — revisar manualmente</x:v>
      </x:c>
      <x:c r="J270" s="149" t="str">
        <x:v>Sim</x:v>
      </x:c>
      <x:c r="K270" s="131" t="n">
        <x:f>IF($H270="Independente",$F270,0)</x:f>
        <x:v>116523665.68</x:v>
      </x:c>
      <x:c r="L270" s="131" t="n">
        <x:f>IF($H270="Ligada a banco",$F270,0)</x:f>
        <x:v>0</x:v>
      </x:c>
      <x:c r="M270" s="114" t="n">
        <x:f>IF(K270&gt;0,RANK(K270,$K$6:$K$462)+COUNTIF($K$6:K270,K270)-1,9999)</x:f>
        <x:v>245</x:v>
      </x:c>
      <x:c r="N270" s="114" t="n">
        <x:f>IF(L270&gt;0,RANK(L270,$L$6:$L$462)+COUNTIF($L$6:L270,L270)-1,9999)</x:f>
        <x:v>9999</x:v>
      </x:c>
    </x:row>
    <x:row r="271">
      <x:c r="A271" s="111" t="str">
        <x:v>Capitânia Alternatives S/A</x:v>
      </x:c>
      <x:c r="B271" s="131" t="n">
        <x:v>37854519.87</x:v>
      </x:c>
      <x:c r="C271" s="131" t="n">
        <x:v>0</x:v>
      </x:c>
      <x:c r="D271" s="131" t="n">
        <x:v>0</x:v>
      </x:c>
      <x:c r="E271" s="131" t="n">
        <x:v>78640943.91999999</x:v>
      </x:c>
      <x:c r="F271" s="131" t="n">
        <x:f>SUM(B271:E271)</x:f>
        <x:v>116495463.78999999</x:v>
      </x:c>
      <x:c r="G271" s="111" t="str">
        <x:v>Independente</x:v>
      </x:c>
      <x:c r="H271" s="140" t="str">
        <x:v>Independente</x:v>
      </x:c>
      <x:c r="I271" s="111" t="str">
        <x:v>Regra residual — revisar manualmente</x:v>
      </x:c>
      <x:c r="J271" s="149" t="str">
        <x:v>Sim</x:v>
      </x:c>
      <x:c r="K271" s="131" t="n">
        <x:f>IF($H271="Independente",$F271,0)</x:f>
        <x:v>116495463.78999999</x:v>
      </x:c>
      <x:c r="L271" s="131" t="n">
        <x:f>IF($H271="Ligada a banco",$F271,0)</x:f>
        <x:v>0</x:v>
      </x:c>
      <x:c r="M271" s="114" t="n">
        <x:f>IF(K271&gt;0,RANK(K271,$K$6:$K$462)+COUNTIF($K$6:K271,K271)-1,9999)</x:f>
        <x:v>246</x:v>
      </x:c>
      <x:c r="N271" s="114" t="n">
        <x:f>IF(L271&gt;0,RANK(L271,$L$6:$L$462)+COUNTIF($L$6:L271,L271)-1,9999)</x:f>
        <x:v>9999</x:v>
      </x:c>
    </x:row>
    <x:row r="272">
      <x:c r="A272" s="111" t="str">
        <x:v>HSI Gestora de Ativos Financeiros Ltda.</x:v>
      </x:c>
      <x:c r="B272" s="131" t="n">
        <x:v>0</x:v>
      </x:c>
      <x:c r="C272" s="131" t="n">
        <x:v>115974957.46</x:v>
      </x:c>
      <x:c r="D272" s="131" t="n">
        <x:v>0</x:v>
      </x:c>
      <x:c r="E272" s="131" t="n">
        <x:v>0</x:v>
      </x:c>
      <x:c r="F272" s="131" t="n">
        <x:f>SUM(B272:E272)</x:f>
        <x:v>115974957.46</x:v>
      </x:c>
      <x:c r="G272" s="111" t="str">
        <x:v>Independente</x:v>
      </x:c>
      <x:c r="H272" s="140" t="str">
        <x:v>Independente</x:v>
      </x:c>
      <x:c r="I272" s="111" t="str">
        <x:v>Regra residual — revisar manualmente</x:v>
      </x:c>
      <x:c r="J272" s="149" t="str">
        <x:v>Sim</x:v>
      </x:c>
      <x:c r="K272" s="131" t="n">
        <x:f>IF($H272="Independente",$F272,0)</x:f>
        <x:v>115974957.46</x:v>
      </x:c>
      <x:c r="L272" s="131" t="n">
        <x:f>IF($H272="Ligada a banco",$F272,0)</x:f>
        <x:v>0</x:v>
      </x:c>
      <x:c r="M272" s="114" t="n">
        <x:f>IF(K272&gt;0,RANK(K272,$K$6:$K$462)+COUNTIF($K$6:K272,K272)-1,9999)</x:f>
        <x:v>247</x:v>
      </x:c>
      <x:c r="N272" s="114" t="n">
        <x:f>IF(L272&gt;0,RANK(L272,$L$6:$L$462)+COUNTIF($L$6:L272,L272)-1,9999)</x:f>
        <x:v>9999</x:v>
      </x:c>
    </x:row>
    <x:row r="273">
      <x:c r="A273" s="111" t="str">
        <x:v>GRIF CAPITAL</x:v>
      </x:c>
      <x:c r="B273" s="131" t="n">
        <x:v>0</x:v>
      </x:c>
      <x:c r="C273" s="131" t="n">
        <x:v>6318647.16</x:v>
      </x:c>
      <x:c r="D273" s="131" t="n">
        <x:v>0</x:v>
      </x:c>
      <x:c r="E273" s="131" t="n">
        <x:v>108513980.3</x:v>
      </x:c>
      <x:c r="F273" s="131" t="n">
        <x:f>SUM(B273:E273)</x:f>
        <x:v>114832627.46</x:v>
      </x:c>
      <x:c r="G273" s="111" t="str">
        <x:v>Independente</x:v>
      </x:c>
      <x:c r="H273" s="140" t="str">
        <x:v>Independente</x:v>
      </x:c>
      <x:c r="I273" s="111" t="str">
        <x:v>Regra residual — revisar manualmente</x:v>
      </x:c>
      <x:c r="J273" s="149" t="str">
        <x:v>Sim</x:v>
      </x:c>
      <x:c r="K273" s="131" t="n">
        <x:f>IF($H273="Independente",$F273,0)</x:f>
        <x:v>114832627.46</x:v>
      </x:c>
      <x:c r="L273" s="131" t="n">
        <x:f>IF($H273="Ligada a banco",$F273,0)</x:f>
        <x:v>0</x:v>
      </x:c>
      <x:c r="M273" s="114" t="n">
        <x:f>IF(K273&gt;0,RANK(K273,$K$6:$K$462)+COUNTIF($K$6:K273,K273)-1,9999)</x:f>
        <x:v>248</x:v>
      </x:c>
      <x:c r="N273" s="114" t="n">
        <x:f>IF(L273&gt;0,RANK(L273,$L$6:$L$462)+COUNTIF($L$6:L273,L273)-1,9999)</x:f>
        <x:v>9999</x:v>
      </x:c>
    </x:row>
    <x:row r="274">
      <x:c r="A274" s="111" t="str">
        <x:v>051 Capital</x:v>
      </x:c>
      <x:c r="B274" s="131" t="n">
        <x:v>0</x:v>
      </x:c>
      <x:c r="C274" s="131" t="n">
        <x:v>0</x:v>
      </x:c>
      <x:c r="D274" s="131" t="n">
        <x:v>0</x:v>
      </x:c>
      <x:c r="E274" s="131" t="n">
        <x:v>111418125.4</x:v>
      </x:c>
      <x:c r="F274" s="131" t="n">
        <x:f>SUM(B274:E274)</x:f>
        <x:v>111418125.4</x:v>
      </x:c>
      <x:c r="G274" s="111" t="str">
        <x:v>Independente</x:v>
      </x:c>
      <x:c r="H274" s="140" t="str">
        <x:v>Independente</x:v>
      </x:c>
      <x:c r="I274" s="111" t="str">
        <x:v>Regra residual — revisar manualmente</x:v>
      </x:c>
      <x:c r="J274" s="149" t="str">
        <x:v>Sim</x:v>
      </x:c>
      <x:c r="K274" s="131" t="n">
        <x:f>IF($H274="Independente",$F274,0)</x:f>
        <x:v>111418125.4</x:v>
      </x:c>
      <x:c r="L274" s="131" t="n">
        <x:f>IF($H274="Ligada a banco",$F274,0)</x:f>
        <x:v>0</x:v>
      </x:c>
      <x:c r="M274" s="114" t="n">
        <x:f>IF(K274&gt;0,RANK(K274,$K$6:$K$462)+COUNTIF($K$6:K274,K274)-1,9999)</x:f>
        <x:v>249</x:v>
      </x:c>
      <x:c r="N274" s="114" t="n">
        <x:f>IF(L274&gt;0,RANK(L274,$L$6:$L$462)+COUNTIF($L$6:L274,L274)-1,9999)</x:f>
        <x:v>9999</x:v>
      </x:c>
    </x:row>
    <x:row r="275">
      <x:c r="A275" s="111" t="str">
        <x:v>LAV ASSET MANAGEMENT GESTÃO DE RECURSOS LTDA.</x:v>
      </x:c>
      <x:c r="B275" s="131" t="n">
        <x:v>0</x:v>
      </x:c>
      <x:c r="C275" s="131" t="n">
        <x:v>0</x:v>
      </x:c>
      <x:c r="D275" s="131" t="n">
        <x:v>105072899.56000002</x:v>
      </x:c>
      <x:c r="E275" s="131" t="n">
        <x:v>6052536.92</x:v>
      </x:c>
      <x:c r="F275" s="131" t="n">
        <x:f>SUM(B275:E275)</x:f>
        <x:v>111125436.48000002</x:v>
      </x:c>
      <x:c r="G275" s="111" t="str">
        <x:v>Independente</x:v>
      </x:c>
      <x:c r="H275" s="140" t="str">
        <x:v>Independente</x:v>
      </x:c>
      <x:c r="I275" s="111" t="str">
        <x:v>Regra residual — revisar manualmente</x:v>
      </x:c>
      <x:c r="J275" s="149" t="str">
        <x:v>Sim</x:v>
      </x:c>
      <x:c r="K275" s="131" t="n">
        <x:f>IF($H275="Independente",$F275,0)</x:f>
        <x:v>111125436.48000002</x:v>
      </x:c>
      <x:c r="L275" s="131" t="n">
        <x:f>IF($H275="Ligada a banco",$F275,0)</x:f>
        <x:v>0</x:v>
      </x:c>
      <x:c r="M275" s="114" t="n">
        <x:f>IF(K275&gt;0,RANK(K275,$K$6:$K$462)+COUNTIF($K$6:K275,K275)-1,9999)</x:f>
        <x:v>250</x:v>
      </x:c>
      <x:c r="N275" s="114" t="n">
        <x:f>IF(L275&gt;0,RANK(L275,$L$6:$L$462)+COUNTIF($L$6:L275,L275)-1,9999)</x:f>
        <x:v>9999</x:v>
      </x:c>
    </x:row>
    <x:row r="276">
      <x:c r="A276" s="111" t="str">
        <x:v>Strivo Gestora de Recursos S/A</x:v>
      </x:c>
      <x:c r="B276" s="131" t="n">
        <x:v>0</x:v>
      </x:c>
      <x:c r="C276" s="131" t="n">
        <x:v>0</x:v>
      </x:c>
      <x:c r="D276" s="131" t="n">
        <x:v>0</x:v>
      </x:c>
      <x:c r="E276" s="131" t="n">
        <x:v>111084578.41</x:v>
      </x:c>
      <x:c r="F276" s="131" t="n">
        <x:f>SUM(B276:E276)</x:f>
        <x:v>111084578.41</x:v>
      </x:c>
      <x:c r="G276" s="111" t="str">
        <x:v>Independente</x:v>
      </x:c>
      <x:c r="H276" s="140" t="str">
        <x:v>Independente</x:v>
      </x:c>
      <x:c r="I276" s="111" t="str">
        <x:v>Regra residual — revisar manualmente</x:v>
      </x:c>
      <x:c r="J276" s="149" t="str">
        <x:v>Sim</x:v>
      </x:c>
      <x:c r="K276" s="131" t="n">
        <x:f>IF($H276="Independente",$F276,0)</x:f>
        <x:v>111084578.41</x:v>
      </x:c>
      <x:c r="L276" s="131" t="n">
        <x:f>IF($H276="Ligada a banco",$F276,0)</x:f>
        <x:v>0</x:v>
      </x:c>
      <x:c r="M276" s="114" t="n">
        <x:f>IF(K276&gt;0,RANK(K276,$K$6:$K$462)+COUNTIF($K$6:K276,K276)-1,9999)</x:f>
        <x:v>251</x:v>
      </x:c>
      <x:c r="N276" s="114" t="n">
        <x:f>IF(L276&gt;0,RANK(L276,$L$6:$L$462)+COUNTIF($L$6:L276,L276)-1,9999)</x:f>
        <x:v>9999</x:v>
      </x:c>
    </x:row>
    <x:row r="277">
      <x:c r="A277" s="111" t="str">
        <x:v>URBANO ADMINISTRAÇÃO DE RECURSOS LTDA</x:v>
      </x:c>
      <x:c r="B277" s="131" t="n">
        <x:v>0</x:v>
      </x:c>
      <x:c r="C277" s="131" t="n">
        <x:v>0</x:v>
      </x:c>
      <x:c r="D277" s="131" t="n">
        <x:v>0</x:v>
      </x:c>
      <x:c r="E277" s="131" t="n">
        <x:v>110906490.53</x:v>
      </x:c>
      <x:c r="F277" s="131" t="n">
        <x:f>SUM(B277:E277)</x:f>
        <x:v>110906490.53</x:v>
      </x:c>
      <x:c r="G277" s="111" t="str">
        <x:v>Independente</x:v>
      </x:c>
      <x:c r="H277" s="140" t="str">
        <x:v>Independente</x:v>
      </x:c>
      <x:c r="I277" s="111" t="str">
        <x:v>Regra residual — revisar manualmente</x:v>
      </x:c>
      <x:c r="J277" s="149" t="str">
        <x:v>Sim</x:v>
      </x:c>
      <x:c r="K277" s="131" t="n">
        <x:f>IF($H277="Independente",$F277,0)</x:f>
        <x:v>110906490.53</x:v>
      </x:c>
      <x:c r="L277" s="131" t="n">
        <x:f>IF($H277="Ligada a banco",$F277,0)</x:f>
        <x:v>0</x:v>
      </x:c>
      <x:c r="M277" s="114" t="n">
        <x:f>IF(K277&gt;0,RANK(K277,$K$6:$K$462)+COUNTIF($K$6:K277,K277)-1,9999)</x:f>
        <x:v>252</x:v>
      </x:c>
      <x:c r="N277" s="114" t="n">
        <x:f>IF(L277&gt;0,RANK(L277,$L$6:$L$462)+COUNTIF($L$6:L277,L277)-1,9999)</x:f>
        <x:v>9999</x:v>
      </x:c>
    </x:row>
    <x:row r="278">
      <x:c r="A278" s="111" t="str">
        <x:v>Real Capital Partners Ltda</x:v>
      </x:c>
      <x:c r="B278" s="131" t="n">
        <x:v>0</x:v>
      </x:c>
      <x:c r="C278" s="131" t="n">
        <x:v>0</x:v>
      </x:c>
      <x:c r="D278" s="131" t="n">
        <x:v>107805998.28</x:v>
      </x:c>
      <x:c r="E278" s="131" t="n">
        <x:v>0</x:v>
      </x:c>
      <x:c r="F278" s="131" t="n">
        <x:f>SUM(B278:E278)</x:f>
        <x:v>107805998.28</x:v>
      </x:c>
      <x:c r="G278" s="111" t="str">
        <x:v>Independente</x:v>
      </x:c>
      <x:c r="H278" s="140" t="str">
        <x:v>Independente</x:v>
      </x:c>
      <x:c r="I278" s="111" t="str">
        <x:v>Regra residual — revisar manualmente</x:v>
      </x:c>
      <x:c r="J278" s="149" t="str">
        <x:v>Sim</x:v>
      </x:c>
      <x:c r="K278" s="131" t="n">
        <x:f>IF($H278="Independente",$F278,0)</x:f>
        <x:v>107805998.28</x:v>
      </x:c>
      <x:c r="L278" s="131" t="n">
        <x:f>IF($H278="Ligada a banco",$F278,0)</x:f>
        <x:v>0</x:v>
      </x:c>
      <x:c r="M278" s="114" t="n">
        <x:f>IF(K278&gt;0,RANK(K278,$K$6:$K$462)+COUNTIF($K$6:K278,K278)-1,9999)</x:f>
        <x:v>253</x:v>
      </x:c>
      <x:c r="N278" s="114" t="n">
        <x:f>IF(L278&gt;0,RANK(L278,$L$6:$L$462)+COUNTIF($L$6:L278,L278)-1,9999)</x:f>
        <x:v>9999</x:v>
      </x:c>
    </x:row>
    <x:row r="279">
      <x:c r="A279" s="111" t="str">
        <x:v>Vinci CG Gestora de Recursos Ltda</x:v>
      </x:c>
      <x:c r="B279" s="131" t="n">
        <x:v>0</x:v>
      </x:c>
      <x:c r="C279" s="131" t="n">
        <x:v>0</x:v>
      </x:c>
      <x:c r="D279" s="131" t="n">
        <x:v>0</x:v>
      </x:c>
      <x:c r="E279" s="131" t="n">
        <x:v>106987897.62</x:v>
      </x:c>
      <x:c r="F279" s="131" t="n">
        <x:f>SUM(B279:E279)</x:f>
        <x:v>106987897.62</x:v>
      </x:c>
      <x:c r="G279" s="111" t="str">
        <x:v>Independente</x:v>
      </x:c>
      <x:c r="H279" s="140" t="str">
        <x:v>Independente</x:v>
      </x:c>
      <x:c r="I279" s="111" t="str">
        <x:v>Regra residual — revisar manualmente</x:v>
      </x:c>
      <x:c r="J279" s="149" t="str">
        <x:v>Sim</x:v>
      </x:c>
      <x:c r="K279" s="131" t="n">
        <x:f>IF($H279="Independente",$F279,0)</x:f>
        <x:v>106987897.62</x:v>
      </x:c>
      <x:c r="L279" s="131" t="n">
        <x:f>IF($H279="Ligada a banco",$F279,0)</x:f>
        <x:v>0</x:v>
      </x:c>
      <x:c r="M279" s="114" t="n">
        <x:f>IF(K279&gt;0,RANK(K279,$K$6:$K$462)+COUNTIF($K$6:K279,K279)-1,9999)</x:f>
        <x:v>254</x:v>
      </x:c>
      <x:c r="N279" s="114" t="n">
        <x:f>IF(L279&gt;0,RANK(L279,$L$6:$L$462)+COUNTIF($L$6:L279,L279)-1,9999)</x:f>
        <x:v>9999</x:v>
      </x:c>
    </x:row>
    <x:row r="280">
      <x:c r="A280" s="111" t="str">
        <x:v>Polo Capital Internacional</x:v>
      </x:c>
      <x:c r="B280" s="131" t="n">
        <x:v>0</x:v>
      </x:c>
      <x:c r="C280" s="131" t="n">
        <x:v>0</x:v>
      </x:c>
      <x:c r="D280" s="131" t="n">
        <x:v>0</x:v>
      </x:c>
      <x:c r="E280" s="131" t="n">
        <x:v>103145568.62</x:v>
      </x:c>
      <x:c r="F280" s="131" t="n">
        <x:f>SUM(B280:E280)</x:f>
        <x:v>103145568.62</x:v>
      </x:c>
      <x:c r="G280" s="111" t="str">
        <x:v>Independente</x:v>
      </x:c>
      <x:c r="H280" s="140" t="str">
        <x:v>Independente</x:v>
      </x:c>
      <x:c r="I280" s="111" t="str">
        <x:v>Regra residual — revisar manualmente</x:v>
      </x:c>
      <x:c r="J280" s="149" t="str">
        <x:v>Sim</x:v>
      </x:c>
      <x:c r="K280" s="131" t="n">
        <x:f>IF($H280="Independente",$F280,0)</x:f>
        <x:v>103145568.62</x:v>
      </x:c>
      <x:c r="L280" s="131" t="n">
        <x:f>IF($H280="Ligada a banco",$F280,0)</x:f>
        <x:v>0</x:v>
      </x:c>
      <x:c r="M280" s="114" t="n">
        <x:f>IF(K280&gt;0,RANK(K280,$K$6:$K$462)+COUNTIF($K$6:K280,K280)-1,9999)</x:f>
        <x:v>255</x:v>
      </x:c>
      <x:c r="N280" s="114" t="n">
        <x:f>IF(L280&gt;0,RANK(L280,$L$6:$L$462)+COUNTIF($L$6:L280,L280)-1,9999)</x:f>
        <x:v>9999</x:v>
      </x:c>
    </x:row>
    <x:row r="281">
      <x:c r="A281" s="111" t="str">
        <x:v>Positiva Investimentos Ltda</x:v>
      </x:c>
      <x:c r="B281" s="131" t="n">
        <x:v>0</x:v>
      </x:c>
      <x:c r="C281" s="131" t="n">
        <x:v>6833739.65</x:v>
      </x:c>
      <x:c r="D281" s="131" t="n">
        <x:v>438632.38</x:v>
      </x:c>
      <x:c r="E281" s="131" t="n">
        <x:v>94117352.45</x:v>
      </x:c>
      <x:c r="F281" s="131" t="n">
        <x:f>SUM(B281:E281)</x:f>
        <x:v>101389724.48</x:v>
      </x:c>
      <x:c r="G281" s="111" t="str">
        <x:v>Independente</x:v>
      </x:c>
      <x:c r="H281" s="140" t="str">
        <x:v>Independente</x:v>
      </x:c>
      <x:c r="I281" s="111" t="str">
        <x:v>Regra residual — revisar manualmente</x:v>
      </x:c>
      <x:c r="J281" s="149" t="str">
        <x:v>Sim</x:v>
      </x:c>
      <x:c r="K281" s="131" t="n">
        <x:f>IF($H281="Independente",$F281,0)</x:f>
        <x:v>101389724.48</x:v>
      </x:c>
      <x:c r="L281" s="131" t="n">
        <x:f>IF($H281="Ligada a banco",$F281,0)</x:f>
        <x:v>0</x:v>
      </x:c>
      <x:c r="M281" s="114" t="n">
        <x:f>IF(K281&gt;0,RANK(K281,$K$6:$K$462)+COUNTIF($K$6:K281,K281)-1,9999)</x:f>
        <x:v>256</x:v>
      </x:c>
      <x:c r="N281" s="114" t="n">
        <x:f>IF(L281&gt;0,RANK(L281,$L$6:$L$462)+COUNTIF($L$6:L281,L281)-1,9999)</x:f>
        <x:v>9999</x:v>
      </x:c>
    </x:row>
    <x:row r="282">
      <x:c r="A282" s="111" t="str">
        <x:v>MODAL ASSET</x:v>
      </x:c>
      <x:c r="B282" s="131" t="n">
        <x:v>73734430.02</x:v>
      </x:c>
      <x:c r="C282" s="131" t="n">
        <x:v>0</x:v>
      </x:c>
      <x:c r="D282" s="131" t="n">
        <x:v>0</x:v>
      </x:c>
      <x:c r="E282" s="131" t="n">
        <x:v>26709070.25</x:v>
      </x:c>
      <x:c r="F282" s="131" t="n">
        <x:f>SUM(B282:E282)</x:f>
        <x:v>100443500.27</x:v>
      </x:c>
      <x:c r="G282" s="111" t="str">
        <x:v>Ligada a banco</x:v>
      </x:c>
      <x:c r="H282" s="140" t="str">
        <x:v>Ligada a banco</x:v>
      </x:c>
      <x:c r="I282" s="111" t="str">
        <x:v>Regra nominal: MODAL</x:v>
      </x:c>
      <x:c r="J282" s="149" t="str">
        <x:v>Sim</x:v>
      </x:c>
      <x:c r="K282" s="131" t="n">
        <x:f>IF($H282="Independente",$F282,0)</x:f>
        <x:v>0</x:v>
      </x:c>
      <x:c r="L282" s="131" t="n">
        <x:f>IF($H282="Ligada a banco",$F282,0)</x:f>
        <x:v>100443500.27</x:v>
      </x:c>
      <x:c r="M282" s="114" t="n">
        <x:f>IF(K282&gt;0,RANK(K282,$K$6:$K$462)+COUNTIF($K$6:K282,K282)-1,9999)</x:f>
        <x:v>9999</x:v>
      </x:c>
      <x:c r="N282" s="114" t="n">
        <x:f>IF(L282&gt;0,RANK(L282,$L$6:$L$462)+COUNTIF($L$6:L282,L282)-1,9999)</x:f>
        <x:v>21</x:v>
      </x:c>
    </x:row>
    <x:row r="283">
      <x:c r="A283" s="111" t="str">
        <x:v>BRASFOR CAPITAL</x:v>
      </x:c>
      <x:c r="B283" s="131" t="n">
        <x:v>0</x:v>
      </x:c>
      <x:c r="C283" s="131" t="n">
        <x:v>0</x:v>
      </x:c>
      <x:c r="D283" s="131" t="n">
        <x:v>0</x:v>
      </x:c>
      <x:c r="E283" s="131" t="n">
        <x:v>98324725.69</x:v>
      </x:c>
      <x:c r="F283" s="131" t="n">
        <x:f>SUM(B283:E283)</x:f>
        <x:v>98324725.69</x:v>
      </x:c>
      <x:c r="G283" s="111" t="str">
        <x:v>Independente</x:v>
      </x:c>
      <x:c r="H283" s="140" t="str">
        <x:v>Independente</x:v>
      </x:c>
      <x:c r="I283" s="111" t="str">
        <x:v>Regra residual — revisar manualmente</x:v>
      </x:c>
      <x:c r="J283" s="149" t="str">
        <x:v>Sim</x:v>
      </x:c>
      <x:c r="K283" s="131" t="n">
        <x:f>IF($H283="Independente",$F283,0)</x:f>
        <x:v>98324725.69</x:v>
      </x:c>
      <x:c r="L283" s="131" t="n">
        <x:f>IF($H283="Ligada a banco",$F283,0)</x:f>
        <x:v>0</x:v>
      </x:c>
      <x:c r="M283" s="114" t="n">
        <x:f>IF(K283&gt;0,RANK(K283,$K$6:$K$462)+COUNTIF($K$6:K283,K283)-1,9999)</x:f>
        <x:v>257</x:v>
      </x:c>
      <x:c r="N283" s="114" t="n">
        <x:f>IF(L283&gt;0,RANK(L283,$L$6:$L$462)+COUNTIF($L$6:L283,L283)-1,9999)</x:f>
        <x:v>9999</x:v>
      </x:c>
    </x:row>
    <x:row r="284">
      <x:c r="A284" s="111" t="str">
        <x:v>CPV ASSET</x:v>
      </x:c>
      <x:c r="B284" s="131" t="n">
        <x:v>0</x:v>
      </x:c>
      <x:c r="C284" s="131" t="n">
        <x:v>0</x:v>
      </x:c>
      <x:c r="D284" s="131" t="n">
        <x:v>0</x:v>
      </x:c>
      <x:c r="E284" s="131" t="n">
        <x:v>97904939.77</x:v>
      </x:c>
      <x:c r="F284" s="131" t="n">
        <x:f>SUM(B284:E284)</x:f>
        <x:v>97904939.77</x:v>
      </x:c>
      <x:c r="G284" s="111" t="str">
        <x:v>Independente</x:v>
      </x:c>
      <x:c r="H284" s="140" t="str">
        <x:v>Independente</x:v>
      </x:c>
      <x:c r="I284" s="111" t="str">
        <x:v>Regra residual — revisar manualmente</x:v>
      </x:c>
      <x:c r="J284" s="149" t="str">
        <x:v>Sim</x:v>
      </x:c>
      <x:c r="K284" s="131" t="n">
        <x:f>IF($H284="Independente",$F284,0)</x:f>
        <x:v>97904939.77</x:v>
      </x:c>
      <x:c r="L284" s="131" t="n">
        <x:f>IF($H284="Ligada a banco",$F284,0)</x:f>
        <x:v>0</x:v>
      </x:c>
      <x:c r="M284" s="114" t="n">
        <x:f>IF(K284&gt;0,RANK(K284,$K$6:$K$462)+COUNTIF($K$6:K284,K284)-1,9999)</x:f>
        <x:v>258</x:v>
      </x:c>
      <x:c r="N284" s="114" t="n">
        <x:f>IF(L284&gt;0,RANK(L284,$L$6:$L$462)+COUNTIF($L$6:L284,L284)-1,9999)</x:f>
        <x:v>9999</x:v>
      </x:c>
    </x:row>
    <x:row r="285">
      <x:c r="A285" s="111" t="str">
        <x:v>Riza Asset Management</x:v>
      </x:c>
      <x:c r="B285" s="131" t="n">
        <x:v>96379119.05</x:v>
      </x:c>
      <x:c r="C285" s="131" t="n">
        <x:v>0</x:v>
      </x:c>
      <x:c r="D285" s="131" t="n">
        <x:v>0</x:v>
      </x:c>
      <x:c r="E285" s="131" t="n">
        <x:v>0</x:v>
      </x:c>
      <x:c r="F285" s="131" t="n">
        <x:f>SUM(B285:E285)</x:f>
        <x:v>96379119.05</x:v>
      </x:c>
      <x:c r="G285" s="111" t="str">
        <x:v>Independente</x:v>
      </x:c>
      <x:c r="H285" s="140" t="str">
        <x:v>Independente</x:v>
      </x:c>
      <x:c r="I285" s="111" t="str">
        <x:v>Regra residual — revisar manualmente</x:v>
      </x:c>
      <x:c r="J285" s="149" t="str">
        <x:v>Sim</x:v>
      </x:c>
      <x:c r="K285" s="131" t="n">
        <x:f>IF($H285="Independente",$F285,0)</x:f>
        <x:v>96379119.05</x:v>
      </x:c>
      <x:c r="L285" s="131" t="n">
        <x:f>IF($H285="Ligada a banco",$F285,0)</x:f>
        <x:v>0</x:v>
      </x:c>
      <x:c r="M285" s="114" t="n">
        <x:f>IF(K285&gt;0,RANK(K285,$K$6:$K$462)+COUNTIF($K$6:K285,K285)-1,9999)</x:f>
        <x:v>259</x:v>
      </x:c>
      <x:c r="N285" s="114" t="n">
        <x:f>IF(L285&gt;0,RANK(L285,$L$6:$L$462)+COUNTIF($L$6:L285,L285)-1,9999)</x:f>
        <x:v>9999</x:v>
      </x:c>
    </x:row>
    <x:row r="286">
      <x:c r="A286" s="111" t="str">
        <x:v>ELLO ASSET MANAGEMENT</x:v>
      </x:c>
      <x:c r="B286" s="131" t="n">
        <x:v>0</x:v>
      </x:c>
      <x:c r="C286" s="131" t="n">
        <x:v>0</x:v>
      </x:c>
      <x:c r="D286" s="131" t="n">
        <x:v>94791012.62</x:v>
      </x:c>
      <x:c r="E286" s="131" t="n">
        <x:v>0</x:v>
      </x:c>
      <x:c r="F286" s="131" t="n">
        <x:f>SUM(B286:E286)</x:f>
        <x:v>94791012.62</x:v>
      </x:c>
      <x:c r="G286" s="111" t="str">
        <x:v>Independente</x:v>
      </x:c>
      <x:c r="H286" s="140" t="str">
        <x:v>Independente</x:v>
      </x:c>
      <x:c r="I286" s="111" t="str">
        <x:v>Regra residual — revisar manualmente</x:v>
      </x:c>
      <x:c r="J286" s="149" t="str">
        <x:v>Sim</x:v>
      </x:c>
      <x:c r="K286" s="131" t="n">
        <x:f>IF($H286="Independente",$F286,0)</x:f>
        <x:v>94791012.62</x:v>
      </x:c>
      <x:c r="L286" s="131" t="n">
        <x:f>IF($H286="Ligada a banco",$F286,0)</x:f>
        <x:v>0</x:v>
      </x:c>
      <x:c r="M286" s="114" t="n">
        <x:f>IF(K286&gt;0,RANK(K286,$K$6:$K$462)+COUNTIF($K$6:K286,K286)-1,9999)</x:f>
        <x:v>260</x:v>
      </x:c>
      <x:c r="N286" s="114" t="n">
        <x:f>IF(L286&gt;0,RANK(L286,$L$6:$L$462)+COUNTIF($L$6:L286,L286)-1,9999)</x:f>
        <x:v>9999</x:v>
      </x:c>
    </x:row>
    <x:row r="287">
      <x:c r="A287" s="111" t="str">
        <x:v>Citrino Gestão de Recursos LTD</x:v>
      </x:c>
      <x:c r="B287" s="131" t="n">
        <x:v>0</x:v>
      </x:c>
      <x:c r="C287" s="131" t="n">
        <x:v>0</x:v>
      </x:c>
      <x:c r="D287" s="131" t="n">
        <x:v>0</x:v>
      </x:c>
      <x:c r="E287" s="131" t="n">
        <x:v>93706530.16</x:v>
      </x:c>
      <x:c r="F287" s="131" t="n">
        <x:f>SUM(B287:E287)</x:f>
        <x:v>93706530.16</x:v>
      </x:c>
      <x:c r="G287" s="111" t="str">
        <x:v>Independente</x:v>
      </x:c>
      <x:c r="H287" s="140" t="str">
        <x:v>Independente</x:v>
      </x:c>
      <x:c r="I287" s="111" t="str">
        <x:v>Regra residual — revisar manualmente</x:v>
      </x:c>
      <x:c r="J287" s="149" t="str">
        <x:v>Sim</x:v>
      </x:c>
      <x:c r="K287" s="131" t="n">
        <x:f>IF($H287="Independente",$F287,0)</x:f>
        <x:v>93706530.16</x:v>
      </x:c>
      <x:c r="L287" s="131" t="n">
        <x:f>IF($H287="Ligada a banco",$F287,0)</x:f>
        <x:v>0</x:v>
      </x:c>
      <x:c r="M287" s="114" t="n">
        <x:f>IF(K287&gt;0,RANK(K287,$K$6:$K$462)+COUNTIF($K$6:K287,K287)-1,9999)</x:f>
        <x:v>261</x:v>
      </x:c>
      <x:c r="N287" s="114" t="n">
        <x:f>IF(L287&gt;0,RANK(L287,$L$6:$L$462)+COUNTIF($L$6:L287,L287)-1,9999)</x:f>
        <x:v>9999</x:v>
      </x:c>
    </x:row>
    <x:row r="288">
      <x:c r="A288" s="111" t="str">
        <x:v>BERTHA CAPITAL</x:v>
      </x:c>
      <x:c r="B288" s="131" t="n">
        <x:v>24288828.09</x:v>
      </x:c>
      <x:c r="C288" s="131" t="n">
        <x:v>0</x:v>
      </x:c>
      <x:c r="D288" s="131" t="n">
        <x:v>16172390.87</x:v>
      </x:c>
      <x:c r="E288" s="131" t="n">
        <x:v>50684374.39</x:v>
      </x:c>
      <x:c r="F288" s="131" t="n">
        <x:f>SUM(B288:E288)</x:f>
        <x:v>91145593.35</x:v>
      </x:c>
      <x:c r="G288" s="111" t="str">
        <x:v>Independente</x:v>
      </x:c>
      <x:c r="H288" s="140" t="str">
        <x:v>Independente</x:v>
      </x:c>
      <x:c r="I288" s="111" t="str">
        <x:v>Regra residual — revisar manualmente</x:v>
      </x:c>
      <x:c r="J288" s="149" t="str">
        <x:v>Sim</x:v>
      </x:c>
      <x:c r="K288" s="131" t="n">
        <x:f>IF($H288="Independente",$F288,0)</x:f>
        <x:v>91145593.35</x:v>
      </x:c>
      <x:c r="L288" s="131" t="n">
        <x:f>IF($H288="Ligada a banco",$F288,0)</x:f>
        <x:v>0</x:v>
      </x:c>
      <x:c r="M288" s="114" t="n">
        <x:f>IF(K288&gt;0,RANK(K288,$K$6:$K$462)+COUNTIF($K$6:K288,K288)-1,9999)</x:f>
        <x:v>262</x:v>
      </x:c>
      <x:c r="N288" s="114" t="n">
        <x:f>IF(L288&gt;0,RANK(L288,$L$6:$L$462)+COUNTIF($L$6:L288,L288)-1,9999)</x:f>
        <x:v>9999</x:v>
      </x:c>
    </x:row>
    <x:row r="289">
      <x:c r="A289" s="111" t="str">
        <x:v>SPECIAL SITUATIONS NEO GESTAO DE RECURSOS LTDA</x:v>
      </x:c>
      <x:c r="B289" s="131" t="n">
        <x:v>0</x:v>
      </x:c>
      <x:c r="C289" s="131" t="n">
        <x:v>0</x:v>
      </x:c>
      <x:c r="D289" s="131" t="n">
        <x:v>0</x:v>
      </x:c>
      <x:c r="E289" s="131" t="n">
        <x:v>84201162.84</x:v>
      </x:c>
      <x:c r="F289" s="131" t="n">
        <x:f>SUM(B289:E289)</x:f>
        <x:v>84201162.84</x:v>
      </x:c>
      <x:c r="G289" s="111" t="str">
        <x:v>Independente</x:v>
      </x:c>
      <x:c r="H289" s="140" t="str">
        <x:v>Independente</x:v>
      </x:c>
      <x:c r="I289" s="111" t="str">
        <x:v>Regra residual — revisar manualmente</x:v>
      </x:c>
      <x:c r="J289" s="149" t="str">
        <x:v>Sim</x:v>
      </x:c>
      <x:c r="K289" s="131" t="n">
        <x:f>IF($H289="Independente",$F289,0)</x:f>
        <x:v>84201162.84</x:v>
      </x:c>
      <x:c r="L289" s="131" t="n">
        <x:f>IF($H289="Ligada a banco",$F289,0)</x:f>
        <x:v>0</x:v>
      </x:c>
      <x:c r="M289" s="114" t="n">
        <x:f>IF(K289&gt;0,RANK(K289,$K$6:$K$462)+COUNTIF($K$6:K289,K289)-1,9999)</x:f>
        <x:v>263</x:v>
      </x:c>
      <x:c r="N289" s="114" t="n">
        <x:f>IF(L289&gt;0,RANK(L289,$L$6:$L$462)+COUNTIF($L$6:L289,L289)-1,9999)</x:f>
        <x:v>9999</x:v>
      </x:c>
    </x:row>
    <x:row r="290">
      <x:c r="A290" s="111" t="str">
        <x:v>Journey Capital Administração</x:v>
      </x:c>
      <x:c r="B290" s="131" t="n">
        <x:v>0</x:v>
      </x:c>
      <x:c r="C290" s="131" t="n">
        <x:v>0</x:v>
      </x:c>
      <x:c r="D290" s="131" t="n">
        <x:v>0</x:v>
      </x:c>
      <x:c r="E290" s="131" t="n">
        <x:v>83703554.35000001</x:v>
      </x:c>
      <x:c r="F290" s="131" t="n">
        <x:f>SUM(B290:E290)</x:f>
        <x:v>83703554.35000001</x:v>
      </x:c>
      <x:c r="G290" s="111" t="str">
        <x:v>Independente</x:v>
      </x:c>
      <x:c r="H290" s="140" t="str">
        <x:v>Independente</x:v>
      </x:c>
      <x:c r="I290" s="111" t="str">
        <x:v>Regra residual — revisar manualmente</x:v>
      </x:c>
      <x:c r="J290" s="149" t="str">
        <x:v>Sim</x:v>
      </x:c>
      <x:c r="K290" s="131" t="n">
        <x:f>IF($H290="Independente",$F290,0)</x:f>
        <x:v>83703554.35000001</x:v>
      </x:c>
      <x:c r="L290" s="131" t="n">
        <x:f>IF($H290="Ligada a banco",$F290,0)</x:f>
        <x:v>0</x:v>
      </x:c>
      <x:c r="M290" s="114" t="n">
        <x:f>IF(K290&gt;0,RANK(K290,$K$6:$K$462)+COUNTIF($K$6:K290,K290)-1,9999)</x:f>
        <x:v>264</x:v>
      </x:c>
      <x:c r="N290" s="114" t="n">
        <x:f>IF(L290&gt;0,RANK(L290,$L$6:$L$462)+COUNTIF($L$6:L290,L290)-1,9999)</x:f>
        <x:v>9999</x:v>
      </x:c>
    </x:row>
    <x:row r="291">
      <x:c r="A291" s="111" t="str">
        <x:v>Yards Asset Gestão de Recursos Ltda.</x:v>
      </x:c>
      <x:c r="B291" s="131" t="n">
        <x:v>0</x:v>
      </x:c>
      <x:c r="C291" s="131" t="n">
        <x:v>0</x:v>
      </x:c>
      <x:c r="D291" s="131" t="n">
        <x:v>0</x:v>
      </x:c>
      <x:c r="E291" s="131" t="n">
        <x:v>83281048.45</x:v>
      </x:c>
      <x:c r="F291" s="131" t="n">
        <x:f>SUM(B291:E291)</x:f>
        <x:v>83281048.45</x:v>
      </x:c>
      <x:c r="G291" s="111" t="str">
        <x:v>Independente</x:v>
      </x:c>
      <x:c r="H291" s="140" t="str">
        <x:v>Independente</x:v>
      </x:c>
      <x:c r="I291" s="111" t="str">
        <x:v>Regra residual — revisar manualmente</x:v>
      </x:c>
      <x:c r="J291" s="149" t="str">
        <x:v>Sim</x:v>
      </x:c>
      <x:c r="K291" s="131" t="n">
        <x:f>IF($H291="Independente",$F291,0)</x:f>
        <x:v>83281048.45</x:v>
      </x:c>
      <x:c r="L291" s="131" t="n">
        <x:f>IF($H291="Ligada a banco",$F291,0)</x:f>
        <x:v>0</x:v>
      </x:c>
      <x:c r="M291" s="114" t="n">
        <x:f>IF(K291&gt;0,RANK(K291,$K$6:$K$462)+COUNTIF($K$6:K291,K291)-1,9999)</x:f>
        <x:v>265</x:v>
      </x:c>
      <x:c r="N291" s="114" t="n">
        <x:f>IF(L291&gt;0,RANK(L291,$L$6:$L$462)+COUNTIF($L$6:L291,L291)-1,9999)</x:f>
        <x:v>9999</x:v>
      </x:c>
    </x:row>
    <x:row r="292">
      <x:c r="A292" s="111" t="str">
        <x:v>Oikos Capital</x:v>
      </x:c>
      <x:c r="B292" s="131" t="n">
        <x:v>76200738.78</x:v>
      </x:c>
      <x:c r="C292" s="131" t="n">
        <x:v>0</x:v>
      </x:c>
      <x:c r="D292" s="131" t="n">
        <x:v>0</x:v>
      </x:c>
      <x:c r="E292" s="131" t="n">
        <x:v>5294525.17</x:v>
      </x:c>
      <x:c r="F292" s="131" t="n">
        <x:f>SUM(B292:E292)</x:f>
        <x:v>81495263.95</x:v>
      </x:c>
      <x:c r="G292" s="111" t="str">
        <x:v>Independente</x:v>
      </x:c>
      <x:c r="H292" s="140" t="str">
        <x:v>Independente</x:v>
      </x:c>
      <x:c r="I292" s="111" t="str">
        <x:v>Regra residual — revisar manualmente</x:v>
      </x:c>
      <x:c r="J292" s="149" t="str">
        <x:v>Sim</x:v>
      </x:c>
      <x:c r="K292" s="131" t="n">
        <x:f>IF($H292="Independente",$F292,0)</x:f>
        <x:v>81495263.95</x:v>
      </x:c>
      <x:c r="L292" s="131" t="n">
        <x:f>IF($H292="Ligada a banco",$F292,0)</x:f>
        <x:v>0</x:v>
      </x:c>
      <x:c r="M292" s="114" t="n">
        <x:f>IF(K292&gt;0,RANK(K292,$K$6:$K$462)+COUNTIF($K$6:K292,K292)-1,9999)</x:f>
        <x:v>266</x:v>
      </x:c>
      <x:c r="N292" s="114" t="n">
        <x:f>IF(L292&gt;0,RANK(L292,$L$6:$L$462)+COUNTIF($L$6:L292,L292)-1,9999)</x:f>
        <x:v>9999</x:v>
      </x:c>
    </x:row>
    <x:row r="293">
      <x:c r="A293" s="111" t="str">
        <x:v>ITAÚNA CAPITAL LTDA.</x:v>
      </x:c>
      <x:c r="B293" s="131" t="n">
        <x:v>0</x:v>
      </x:c>
      <x:c r="C293" s="131" t="n">
        <x:v>0</x:v>
      </x:c>
      <x:c r="D293" s="131" t="n">
        <x:v>0</x:v>
      </x:c>
      <x:c r="E293" s="131" t="n">
        <x:v>79654997.84</x:v>
      </x:c>
      <x:c r="F293" s="131" t="n">
        <x:f>SUM(B293:E293)</x:f>
        <x:v>79654997.84</x:v>
      </x:c>
      <x:c r="G293" s="111" t="str">
        <x:v>Ligada a banco</x:v>
      </x:c>
      <x:c r="H293" s="140" t="str">
        <x:v>Ligada a banco</x:v>
      </x:c>
      <x:c r="I293" s="111" t="str">
        <x:v>Regra nominal: ITAU</x:v>
      </x:c>
      <x:c r="J293" s="149" t="str">
        <x:v>Sim</x:v>
      </x:c>
      <x:c r="K293" s="131" t="n">
        <x:f>IF($H293="Independente",$F293,0)</x:f>
        <x:v>0</x:v>
      </x:c>
      <x:c r="L293" s="131" t="n">
        <x:f>IF($H293="Ligada a banco",$F293,0)</x:f>
        <x:v>79654997.84</x:v>
      </x:c>
      <x:c r="M293" s="114" t="n">
        <x:f>IF(K293&gt;0,RANK(K293,$K$6:$K$462)+COUNTIF($K$6:K293,K293)-1,9999)</x:f>
        <x:v>9999</x:v>
      </x:c>
      <x:c r="N293" s="114" t="n">
        <x:f>IF(L293&gt;0,RANK(L293,$L$6:$L$462)+COUNTIF($L$6:L293,L293)-1,9999)</x:f>
        <x:v>22</x:v>
      </x:c>
    </x:row>
    <x:row r="294">
      <x:c r="A294" s="111" t="str">
        <x:v>Mezzus Capital</x:v>
      </x:c>
      <x:c r="B294" s="131" t="n">
        <x:v>0</x:v>
      </x:c>
      <x:c r="C294" s="131" t="n">
        <x:v>0</x:v>
      </x:c>
      <x:c r="D294" s="131" t="n">
        <x:v>0</x:v>
      </x:c>
      <x:c r="E294" s="131" t="n">
        <x:v>77882390.71</x:v>
      </x:c>
      <x:c r="F294" s="131" t="n">
        <x:f>SUM(B294:E294)</x:f>
        <x:v>77882390.71</x:v>
      </x:c>
      <x:c r="G294" s="111" t="str">
        <x:v>Independente</x:v>
      </x:c>
      <x:c r="H294" s="140" t="str">
        <x:v>Independente</x:v>
      </x:c>
      <x:c r="I294" s="111" t="str">
        <x:v>Regra residual — revisar manualmente</x:v>
      </x:c>
      <x:c r="J294" s="149" t="str">
        <x:v>Sim</x:v>
      </x:c>
      <x:c r="K294" s="131" t="n">
        <x:f>IF($H294="Independente",$F294,0)</x:f>
        <x:v>77882390.71</x:v>
      </x:c>
      <x:c r="L294" s="131" t="n">
        <x:f>IF($H294="Ligada a banco",$F294,0)</x:f>
        <x:v>0</x:v>
      </x:c>
      <x:c r="M294" s="114" t="n">
        <x:f>IF(K294&gt;0,RANK(K294,$K$6:$K$462)+COUNTIF($K$6:K294,K294)-1,9999)</x:f>
        <x:v>267</x:v>
      </x:c>
      <x:c r="N294" s="114" t="n">
        <x:f>IF(L294&gt;0,RANK(L294,$L$6:$L$462)+COUNTIF($L$6:L294,L294)-1,9999)</x:f>
        <x:v>9999</x:v>
      </x:c>
    </x:row>
    <x:row r="295">
      <x:c r="A295" s="111" t="str">
        <x:v>Evolve Capital Gestão de Recursos LTDA</x:v>
      </x:c>
      <x:c r="B295" s="131" t="n">
        <x:v>0</x:v>
      </x:c>
      <x:c r="C295" s="131" t="n">
        <x:v>76144373.1</x:v>
      </x:c>
      <x:c r="D295" s="131" t="n">
        <x:v>0</x:v>
      </x:c>
      <x:c r="E295" s="131" t="n">
        <x:v>0</x:v>
      </x:c>
      <x:c r="F295" s="131" t="n">
        <x:f>SUM(B295:E295)</x:f>
        <x:v>76144373.1</x:v>
      </x:c>
      <x:c r="G295" s="111" t="str">
        <x:v>Independente</x:v>
      </x:c>
      <x:c r="H295" s="140" t="str">
        <x:v>Independente</x:v>
      </x:c>
      <x:c r="I295" s="111" t="str">
        <x:v>Regra residual — revisar manualmente</x:v>
      </x:c>
      <x:c r="J295" s="149" t="str">
        <x:v>Sim</x:v>
      </x:c>
      <x:c r="K295" s="131" t="n">
        <x:f>IF($H295="Independente",$F295,0)</x:f>
        <x:v>76144373.1</x:v>
      </x:c>
      <x:c r="L295" s="131" t="n">
        <x:f>IF($H295="Ligada a banco",$F295,0)</x:f>
        <x:v>0</x:v>
      </x:c>
      <x:c r="M295" s="114" t="n">
        <x:f>IF(K295&gt;0,RANK(K295,$K$6:$K$462)+COUNTIF($K$6:K295,K295)-1,9999)</x:f>
        <x:v>268</x:v>
      </x:c>
      <x:c r="N295" s="114" t="n">
        <x:f>IF(L295&gt;0,RANK(L295,$L$6:$L$462)+COUNTIF($L$6:L295,L295)-1,9999)</x:f>
        <x:v>9999</x:v>
      </x:c>
    </x:row>
    <x:row r="296">
      <x:c r="A296" s="111" t="str">
        <x:v>D3 Capital</x:v>
      </x:c>
      <x:c r="B296" s="131" t="n">
        <x:v>0</x:v>
      </x:c>
      <x:c r="C296" s="131" t="n">
        <x:v>0</x:v>
      </x:c>
      <x:c r="D296" s="131" t="n">
        <x:v>0</x:v>
      </x:c>
      <x:c r="E296" s="131" t="n">
        <x:v>76055275.19</x:v>
      </x:c>
      <x:c r="F296" s="131" t="n">
        <x:f>SUM(B296:E296)</x:f>
        <x:v>76055275.19</x:v>
      </x:c>
      <x:c r="G296" s="111" t="str">
        <x:v>Independente</x:v>
      </x:c>
      <x:c r="H296" s="140" t="str">
        <x:v>Independente</x:v>
      </x:c>
      <x:c r="I296" s="111" t="str">
        <x:v>Regra residual — revisar manualmente</x:v>
      </x:c>
      <x:c r="J296" s="149" t="str">
        <x:v>Sim</x:v>
      </x:c>
      <x:c r="K296" s="131" t="n">
        <x:f>IF($H296="Independente",$F296,0)</x:f>
        <x:v>76055275.19</x:v>
      </x:c>
      <x:c r="L296" s="131" t="n">
        <x:f>IF($H296="Ligada a banco",$F296,0)</x:f>
        <x:v>0</x:v>
      </x:c>
      <x:c r="M296" s="114" t="n">
        <x:f>IF(K296&gt;0,RANK(K296,$K$6:$K$462)+COUNTIF($K$6:K296,K296)-1,9999)</x:f>
        <x:v>269</x:v>
      </x:c>
      <x:c r="N296" s="114" t="n">
        <x:f>IF(L296&gt;0,RANK(L296,$L$6:$L$462)+COUNTIF($L$6:L296,L296)-1,9999)</x:f>
        <x:v>9999</x:v>
      </x:c>
    </x:row>
    <x:row r="297">
      <x:c r="A297" s="111" t="str">
        <x:v>Lexis Capital</x:v>
      </x:c>
      <x:c r="B297" s="131" t="n">
        <x:v>0</x:v>
      </x:c>
      <x:c r="C297" s="131" t="n">
        <x:v>0</x:v>
      </x:c>
      <x:c r="D297" s="131" t="n">
        <x:v>0</x:v>
      </x:c>
      <x:c r="E297" s="131" t="n">
        <x:v>71623074.75</x:v>
      </x:c>
      <x:c r="F297" s="131" t="n">
        <x:f>SUM(B297:E297)</x:f>
        <x:v>71623074.75</x:v>
      </x:c>
      <x:c r="G297" s="111" t="str">
        <x:v>Independente</x:v>
      </x:c>
      <x:c r="H297" s="140" t="str">
        <x:v>Independente</x:v>
      </x:c>
      <x:c r="I297" s="111" t="str">
        <x:v>Regra residual — revisar manualmente</x:v>
      </x:c>
      <x:c r="J297" s="149" t="str">
        <x:v>Sim</x:v>
      </x:c>
      <x:c r="K297" s="131" t="n">
        <x:f>IF($H297="Independente",$F297,0)</x:f>
        <x:v>71623074.75</x:v>
      </x:c>
      <x:c r="L297" s="131" t="n">
        <x:f>IF($H297="Ligada a banco",$F297,0)</x:f>
        <x:v>0</x:v>
      </x:c>
      <x:c r="M297" s="114" t="n">
        <x:f>IF(K297&gt;0,RANK(K297,$K$6:$K$462)+COUNTIF($K$6:K297,K297)-1,9999)</x:f>
        <x:v>270</x:v>
      </x:c>
      <x:c r="N297" s="114" t="n">
        <x:f>IF(L297&gt;0,RANK(L297,$L$6:$L$462)+COUNTIF($L$6:L297,L297)-1,9999)</x:f>
        <x:v>9999</x:v>
      </x:c>
    </x:row>
    <x:row r="298">
      <x:c r="A298" s="111" t="str">
        <x:v>Vega</x:v>
      </x:c>
      <x:c r="B298" s="131" t="n">
        <x:v>0</x:v>
      </x:c>
      <x:c r="C298" s="131" t="n">
        <x:v>0</x:v>
      </x:c>
      <x:c r="D298" s="131" t="n">
        <x:v>0</x:v>
      </x:c>
      <x:c r="E298" s="131" t="n">
        <x:v>71174153.27</x:v>
      </x:c>
      <x:c r="F298" s="131" t="n">
        <x:f>SUM(B298:E298)</x:f>
        <x:v>71174153.27</x:v>
      </x:c>
      <x:c r="G298" s="111" t="str">
        <x:v>Independente</x:v>
      </x:c>
      <x:c r="H298" s="140" t="str">
        <x:v>Independente</x:v>
      </x:c>
      <x:c r="I298" s="111" t="str">
        <x:v>Regra residual — revisar manualmente</x:v>
      </x:c>
      <x:c r="J298" s="149" t="str">
        <x:v>Sim</x:v>
      </x:c>
      <x:c r="K298" s="131" t="n">
        <x:f>IF($H298="Independente",$F298,0)</x:f>
        <x:v>71174153.27</x:v>
      </x:c>
      <x:c r="L298" s="131" t="n">
        <x:f>IF($H298="Ligada a banco",$F298,0)</x:f>
        <x:v>0</x:v>
      </x:c>
      <x:c r="M298" s="114" t="n">
        <x:f>IF(K298&gt;0,RANK(K298,$K$6:$K$462)+COUNTIF($K$6:K298,K298)-1,9999)</x:f>
        <x:v>271</x:v>
      </x:c>
      <x:c r="N298" s="114" t="n">
        <x:f>IF(L298&gt;0,RANK(L298,$L$6:$L$462)+COUNTIF($L$6:L298,L298)-1,9999)</x:f>
        <x:v>9999</x:v>
      </x:c>
    </x:row>
    <x:row r="299">
      <x:c r="A299" s="111" t="str">
        <x:v>StoneX Investimentos</x:v>
      </x:c>
      <x:c r="B299" s="131" t="n">
        <x:v>0</x:v>
      </x:c>
      <x:c r="C299" s="131" t="n">
        <x:v>0</x:v>
      </x:c>
      <x:c r="D299" s="131" t="n">
        <x:v>0</x:v>
      </x:c>
      <x:c r="E299" s="131" t="n">
        <x:v>70252340.58</x:v>
      </x:c>
      <x:c r="F299" s="131" t="n">
        <x:f>SUM(B299:E299)</x:f>
        <x:v>70252340.58</x:v>
      </x:c>
      <x:c r="G299" s="111" t="str">
        <x:v>Independente</x:v>
      </x:c>
      <x:c r="H299" s="140" t="str">
        <x:v>Independente</x:v>
      </x:c>
      <x:c r="I299" s="111" t="str">
        <x:v>Regra residual — revisar manualmente</x:v>
      </x:c>
      <x:c r="J299" s="149" t="str">
        <x:v>Sim</x:v>
      </x:c>
      <x:c r="K299" s="131" t="n">
        <x:f>IF($H299="Independente",$F299,0)</x:f>
        <x:v>70252340.58</x:v>
      </x:c>
      <x:c r="L299" s="131" t="n">
        <x:f>IF($H299="Ligada a banco",$F299,0)</x:f>
        <x:v>0</x:v>
      </x:c>
      <x:c r="M299" s="114" t="n">
        <x:f>IF(K299&gt;0,RANK(K299,$K$6:$K$462)+COUNTIF($K$6:K299,K299)-1,9999)</x:f>
        <x:v>272</x:v>
      </x:c>
      <x:c r="N299" s="114" t="n">
        <x:f>IF(L299&gt;0,RANK(L299,$L$6:$L$462)+COUNTIF($L$6:L299,L299)-1,9999)</x:f>
        <x:v>9999</x:v>
      </x:c>
    </x:row>
    <x:row r="300">
      <x:c r="A300" s="111" t="str">
        <x:v>Mainú Investimentos</x:v>
      </x:c>
      <x:c r="B300" s="131" t="n">
        <x:v>0</x:v>
      </x:c>
      <x:c r="C300" s="131" t="n">
        <x:v>0</x:v>
      </x:c>
      <x:c r="D300" s="131" t="n">
        <x:v>0</x:v>
      </x:c>
      <x:c r="E300" s="131" t="n">
        <x:v>67213961.9239</x:v>
      </x:c>
      <x:c r="F300" s="131" t="n">
        <x:f>SUM(B300:E300)</x:f>
        <x:v>67213961.9239</x:v>
      </x:c>
      <x:c r="G300" s="111" t="str">
        <x:v>Independente</x:v>
      </x:c>
      <x:c r="H300" s="140" t="str">
        <x:v>Independente</x:v>
      </x:c>
      <x:c r="I300" s="111" t="str">
        <x:v>Regra residual — revisar manualmente</x:v>
      </x:c>
      <x:c r="J300" s="149" t="str">
        <x:v>Sim</x:v>
      </x:c>
      <x:c r="K300" s="131" t="n">
        <x:f>IF($H300="Independente",$F300,0)</x:f>
        <x:v>67213961.9239</x:v>
      </x:c>
      <x:c r="L300" s="131" t="n">
        <x:f>IF($H300="Ligada a banco",$F300,0)</x:f>
        <x:v>0</x:v>
      </x:c>
      <x:c r="M300" s="114" t="n">
        <x:f>IF(K300&gt;0,RANK(K300,$K$6:$K$462)+COUNTIF($K$6:K300,K300)-1,9999)</x:f>
        <x:v>273</x:v>
      </x:c>
      <x:c r="N300" s="114" t="n">
        <x:f>IF(L300&gt;0,RANK(L300,$L$6:$L$462)+COUNTIF($L$6:L300,L300)-1,9999)</x:f>
        <x:v>9999</x:v>
      </x:c>
    </x:row>
    <x:row r="301">
      <x:c r="A301" s="111" t="str">
        <x:v>CAPITANIA CAPITAL</x:v>
      </x:c>
      <x:c r="B301" s="131" t="n">
        <x:v>0</x:v>
      </x:c>
      <x:c r="C301" s="131" t="n">
        <x:v>0</x:v>
      </x:c>
      <x:c r="D301" s="131" t="n">
        <x:v>0</x:v>
      </x:c>
      <x:c r="E301" s="131" t="n">
        <x:v>66737159.88</x:v>
      </x:c>
      <x:c r="F301" s="131" t="n">
        <x:f>SUM(B301:E301)</x:f>
        <x:v>66737159.88</x:v>
      </x:c>
      <x:c r="G301" s="111" t="str">
        <x:v>Independente</x:v>
      </x:c>
      <x:c r="H301" s="140" t="str">
        <x:v>Independente</x:v>
      </x:c>
      <x:c r="I301" s="111" t="str">
        <x:v>Regra residual — revisar manualmente</x:v>
      </x:c>
      <x:c r="J301" s="149" t="str">
        <x:v>Sim</x:v>
      </x:c>
      <x:c r="K301" s="131" t="n">
        <x:f>IF($H301="Independente",$F301,0)</x:f>
        <x:v>66737159.88</x:v>
      </x:c>
      <x:c r="L301" s="131" t="n">
        <x:f>IF($H301="Ligada a banco",$F301,0)</x:f>
        <x:v>0</x:v>
      </x:c>
      <x:c r="M301" s="114" t="n">
        <x:f>IF(K301&gt;0,RANK(K301,$K$6:$K$462)+COUNTIF($K$6:K301,K301)-1,9999)</x:f>
        <x:v>274</x:v>
      </x:c>
      <x:c r="N301" s="114" t="n">
        <x:f>IF(L301&gt;0,RANK(L301,$L$6:$L$462)+COUNTIF($L$6:L301,L301)-1,9999)</x:f>
        <x:v>9999</x:v>
      </x:c>
    </x:row>
    <x:row r="302">
      <x:c r="A302" s="111" t="str">
        <x:v>Perenne Investimentos</x:v>
      </x:c>
      <x:c r="B302" s="131" t="n">
        <x:v>0</x:v>
      </x:c>
      <x:c r="C302" s="131" t="n">
        <x:v>0</x:v>
      </x:c>
      <x:c r="D302" s="131" t="n">
        <x:v>0</x:v>
      </x:c>
      <x:c r="E302" s="131" t="n">
        <x:v>65828730.49</x:v>
      </x:c>
      <x:c r="F302" s="131" t="n">
        <x:f>SUM(B302:E302)</x:f>
        <x:v>65828730.49</x:v>
      </x:c>
      <x:c r="G302" s="111" t="str">
        <x:v>Independente</x:v>
      </x:c>
      <x:c r="H302" s="140" t="str">
        <x:v>Independente</x:v>
      </x:c>
      <x:c r="I302" s="111" t="str">
        <x:v>Regra residual — revisar manualmente</x:v>
      </x:c>
      <x:c r="J302" s="149" t="str">
        <x:v>Sim</x:v>
      </x:c>
      <x:c r="K302" s="131" t="n">
        <x:f>IF($H302="Independente",$F302,0)</x:f>
        <x:v>65828730.49</x:v>
      </x:c>
      <x:c r="L302" s="131" t="n">
        <x:f>IF($H302="Ligada a banco",$F302,0)</x:f>
        <x:v>0</x:v>
      </x:c>
      <x:c r="M302" s="114" t="n">
        <x:f>IF(K302&gt;0,RANK(K302,$K$6:$K$462)+COUNTIF($K$6:K302,K302)-1,9999)</x:f>
        <x:v>275</x:v>
      </x:c>
      <x:c r="N302" s="114" t="n">
        <x:f>IF(L302&gt;0,RANK(L302,$L$6:$L$462)+COUNTIF($L$6:L302,L302)-1,9999)</x:f>
        <x:v>9999</x:v>
      </x:c>
    </x:row>
    <x:row r="303">
      <x:c r="A303" s="111" t="str">
        <x:v>HCS</x:v>
      </x:c>
      <x:c r="B303" s="131" t="n">
        <x:v>0</x:v>
      </x:c>
      <x:c r="C303" s="131" t="n">
        <x:v>0</x:v>
      </x:c>
      <x:c r="D303" s="131" t="n">
        <x:v>0</x:v>
      </x:c>
      <x:c r="E303" s="131" t="n">
        <x:v>64318510.16</x:v>
      </x:c>
      <x:c r="F303" s="131" t="n">
        <x:f>SUM(B303:E303)</x:f>
        <x:v>64318510.16</x:v>
      </x:c>
      <x:c r="G303" s="111" t="str">
        <x:v>Independente</x:v>
      </x:c>
      <x:c r="H303" s="140" t="str">
        <x:v>Independente</x:v>
      </x:c>
      <x:c r="I303" s="111" t="str">
        <x:v>Regra residual — revisar manualmente</x:v>
      </x:c>
      <x:c r="J303" s="149" t="str">
        <x:v>Sim</x:v>
      </x:c>
      <x:c r="K303" s="131" t="n">
        <x:f>IF($H303="Independente",$F303,0)</x:f>
        <x:v>64318510.16</x:v>
      </x:c>
      <x:c r="L303" s="131" t="n">
        <x:f>IF($H303="Ligada a banco",$F303,0)</x:f>
        <x:v>0</x:v>
      </x:c>
      <x:c r="M303" s="114" t="n">
        <x:f>IF(K303&gt;0,RANK(K303,$K$6:$K$462)+COUNTIF($K$6:K303,K303)-1,9999)</x:f>
        <x:v>276</x:v>
      </x:c>
      <x:c r="N303" s="114" t="n">
        <x:f>IF(L303&gt;0,RANK(L303,$L$6:$L$462)+COUNTIF($L$6:L303,L303)-1,9999)</x:f>
        <x:v>9999</x:v>
      </x:c>
    </x:row>
    <x:row r="304">
      <x:c r="A304" s="111" t="str">
        <x:v>Alameda Gestora de Investimentos Ltda</x:v>
      </x:c>
      <x:c r="B304" s="131" t="n">
        <x:v>0</x:v>
      </x:c>
      <x:c r="C304" s="131" t="n">
        <x:v>0</x:v>
      </x:c>
      <x:c r="D304" s="131" t="n">
        <x:v>0</x:v>
      </x:c>
      <x:c r="E304" s="131" t="n">
        <x:v>63030922.35000001</x:v>
      </x:c>
      <x:c r="F304" s="131" t="n">
        <x:f>SUM(B304:E304)</x:f>
        <x:v>63030922.35000001</x:v>
      </x:c>
      <x:c r="G304" s="111" t="str">
        <x:v>Independente</x:v>
      </x:c>
      <x:c r="H304" s="140" t="str">
        <x:v>Independente</x:v>
      </x:c>
      <x:c r="I304" s="111" t="str">
        <x:v>Regra residual — revisar manualmente</x:v>
      </x:c>
      <x:c r="J304" s="149" t="str">
        <x:v>Sim</x:v>
      </x:c>
      <x:c r="K304" s="131" t="n">
        <x:f>IF($H304="Independente",$F304,0)</x:f>
        <x:v>63030922.35000001</x:v>
      </x:c>
      <x:c r="L304" s="131" t="n">
        <x:f>IF($H304="Ligada a banco",$F304,0)</x:f>
        <x:v>0</x:v>
      </x:c>
      <x:c r="M304" s="114" t="n">
        <x:f>IF(K304&gt;0,RANK(K304,$K$6:$K$462)+COUNTIF($K$6:K304,K304)-1,9999)</x:f>
        <x:v>277</x:v>
      </x:c>
      <x:c r="N304" s="114" t="n">
        <x:f>IF(L304&gt;0,RANK(L304,$L$6:$L$462)+COUNTIF($L$6:L304,L304)-1,9999)</x:f>
        <x:v>9999</x:v>
      </x:c>
    </x:row>
    <x:row r="305">
      <x:c r="A305" s="111" t="str">
        <x:v>Blue Asset</x:v>
      </x:c>
      <x:c r="B305" s="131" t="n">
        <x:v>0</x:v>
      </x:c>
      <x:c r="C305" s="131" t="n">
        <x:v>62535085.349999994</x:v>
      </x:c>
      <x:c r="D305" s="131" t="n">
        <x:v>0</x:v>
      </x:c>
      <x:c r="E305" s="131" t="n">
        <x:v>0</x:v>
      </x:c>
      <x:c r="F305" s="131" t="n">
        <x:f>SUM(B305:E305)</x:f>
        <x:v>62535085.349999994</x:v>
      </x:c>
      <x:c r="G305" s="111" t="str">
        <x:v>Independente</x:v>
      </x:c>
      <x:c r="H305" s="140" t="str">
        <x:v>Independente</x:v>
      </x:c>
      <x:c r="I305" s="111" t="str">
        <x:v>Regra residual — revisar manualmente</x:v>
      </x:c>
      <x:c r="J305" s="149" t="str">
        <x:v>Sim</x:v>
      </x:c>
      <x:c r="K305" s="131" t="n">
        <x:f>IF($H305="Independente",$F305,0)</x:f>
        <x:v>62535085.349999994</x:v>
      </x:c>
      <x:c r="L305" s="131" t="n">
        <x:f>IF($H305="Ligada a banco",$F305,0)</x:f>
        <x:v>0</x:v>
      </x:c>
      <x:c r="M305" s="114" t="n">
        <x:f>IF(K305&gt;0,RANK(K305,$K$6:$K$462)+COUNTIF($K$6:K305,K305)-1,9999)</x:f>
        <x:v>278</x:v>
      </x:c>
      <x:c r="N305" s="114" t="n">
        <x:f>IF(L305&gt;0,RANK(L305,$L$6:$L$462)+COUNTIF($L$6:L305,L305)-1,9999)</x:f>
        <x:v>9999</x:v>
      </x:c>
    </x:row>
    <x:row r="306">
      <x:c r="A306" s="111" t="str">
        <x:v>Monetiza Investimentos</x:v>
      </x:c>
      <x:c r="B306" s="131" t="n">
        <x:v>0</x:v>
      </x:c>
      <x:c r="C306" s="131" t="n">
        <x:v>0</x:v>
      </x:c>
      <x:c r="D306" s="131" t="n">
        <x:v>42335460.59</x:v>
      </x:c>
      <x:c r="E306" s="131" t="n">
        <x:v>17823040.86</x:v>
      </x:c>
      <x:c r="F306" s="131" t="n">
        <x:f>SUM(B306:E306)</x:f>
        <x:v>60158501.45</x:v>
      </x:c>
      <x:c r="G306" s="111" t="str">
        <x:v>Independente</x:v>
      </x:c>
      <x:c r="H306" s="140" t="str">
        <x:v>Independente</x:v>
      </x:c>
      <x:c r="I306" s="111" t="str">
        <x:v>Regra residual — revisar manualmente</x:v>
      </x:c>
      <x:c r="J306" s="149" t="str">
        <x:v>Sim</x:v>
      </x:c>
      <x:c r="K306" s="131" t="n">
        <x:f>IF($H306="Independente",$F306,0)</x:f>
        <x:v>60158501.45</x:v>
      </x:c>
      <x:c r="L306" s="131" t="n">
        <x:f>IF($H306="Ligada a banco",$F306,0)</x:f>
        <x:v>0</x:v>
      </x:c>
      <x:c r="M306" s="114" t="n">
        <x:f>IF(K306&gt;0,RANK(K306,$K$6:$K$462)+COUNTIF($K$6:K306,K306)-1,9999)</x:f>
        <x:v>279</x:v>
      </x:c>
      <x:c r="N306" s="114" t="n">
        <x:f>IF(L306&gt;0,RANK(L306,$L$6:$L$462)+COUNTIF($L$6:L306,L306)-1,9999)</x:f>
        <x:v>9999</x:v>
      </x:c>
    </x:row>
    <x:row r="307">
      <x:c r="A307" s="111" t="str">
        <x:v>Real Investor Asset Management</x:v>
      </x:c>
      <x:c r="B307" s="131" t="n">
        <x:v>0</x:v>
      </x:c>
      <x:c r="C307" s="131" t="n">
        <x:v>0</x:v>
      </x:c>
      <x:c r="D307" s="131" t="n">
        <x:v>0</x:v>
      </x:c>
      <x:c r="E307" s="131" t="n">
        <x:v>58568051.99</x:v>
      </x:c>
      <x:c r="F307" s="131" t="n">
        <x:f>SUM(B307:E307)</x:f>
        <x:v>58568051.99</x:v>
      </x:c>
      <x:c r="G307" s="111" t="str">
        <x:v>Independente</x:v>
      </x:c>
      <x:c r="H307" s="140" t="str">
        <x:v>Independente</x:v>
      </x:c>
      <x:c r="I307" s="111" t="str">
        <x:v>Regra residual — revisar manualmente</x:v>
      </x:c>
      <x:c r="J307" s="149" t="str">
        <x:v>Sim</x:v>
      </x:c>
      <x:c r="K307" s="131" t="n">
        <x:f>IF($H307="Independente",$F307,0)</x:f>
        <x:v>58568051.99</x:v>
      </x:c>
      <x:c r="L307" s="131" t="n">
        <x:f>IF($H307="Ligada a banco",$F307,0)</x:f>
        <x:v>0</x:v>
      </x:c>
      <x:c r="M307" s="114" t="n">
        <x:f>IF(K307&gt;0,RANK(K307,$K$6:$K$462)+COUNTIF($K$6:K307,K307)-1,9999)</x:f>
        <x:v>280</x:v>
      </x:c>
      <x:c r="N307" s="114" t="n">
        <x:f>IF(L307&gt;0,RANK(L307,$L$6:$L$462)+COUNTIF($L$6:L307,L307)-1,9999)</x:f>
        <x:v>9999</x:v>
      </x:c>
    </x:row>
    <x:row r="308">
      <x:c r="A308" s="111" t="str">
        <x:v>Hyperion</x:v>
      </x:c>
      <x:c r="B308" s="131" t="n">
        <x:v>0</x:v>
      </x:c>
      <x:c r="C308" s="131" t="n">
        <x:v>0</x:v>
      </x:c>
      <x:c r="D308" s="131" t="n">
        <x:v>0</x:v>
      </x:c>
      <x:c r="E308" s="131" t="n">
        <x:v>58179701.62</x:v>
      </x:c>
      <x:c r="F308" s="131" t="n">
        <x:f>SUM(B308:E308)</x:f>
        <x:v>58179701.62</x:v>
      </x:c>
      <x:c r="G308" s="111" t="str">
        <x:v>Independente</x:v>
      </x:c>
      <x:c r="H308" s="140" t="str">
        <x:v>Independente</x:v>
      </x:c>
      <x:c r="I308" s="111" t="str">
        <x:v>Regra residual — revisar manualmente</x:v>
      </x:c>
      <x:c r="J308" s="149" t="str">
        <x:v>Sim</x:v>
      </x:c>
      <x:c r="K308" s="131" t="n">
        <x:f>IF($H308="Independente",$F308,0)</x:f>
        <x:v>58179701.62</x:v>
      </x:c>
      <x:c r="L308" s="131" t="n">
        <x:f>IF($H308="Ligada a banco",$F308,0)</x:f>
        <x:v>0</x:v>
      </x:c>
      <x:c r="M308" s="114" t="n">
        <x:f>IF(K308&gt;0,RANK(K308,$K$6:$K$462)+COUNTIF($K$6:K308,K308)-1,9999)</x:f>
        <x:v>281</x:v>
      </x:c>
      <x:c r="N308" s="114" t="n">
        <x:f>IF(L308&gt;0,RANK(L308,$L$6:$L$462)+COUNTIF($L$6:L308,L308)-1,9999)</x:f>
        <x:v>9999</x:v>
      </x:c>
    </x:row>
    <x:row r="309">
      <x:c r="A309" s="111" t="str">
        <x:v>KIJANI GESTORA DE RECURSOS LTDA.</x:v>
      </x:c>
      <x:c r="B309" s="131" t="n">
        <x:v>57300890.46</x:v>
      </x:c>
      <x:c r="C309" s="131" t="n">
        <x:v>0</x:v>
      </x:c>
      <x:c r="D309" s="131" t="n">
        <x:v>0</x:v>
      </x:c>
      <x:c r="E309" s="131" t="n">
        <x:v>0</x:v>
      </x:c>
      <x:c r="F309" s="131" t="n">
        <x:f>SUM(B309:E309)</x:f>
        <x:v>57300890.46</x:v>
      </x:c>
      <x:c r="G309" s="111" t="str">
        <x:v>Independente</x:v>
      </x:c>
      <x:c r="H309" s="140" t="str">
        <x:v>Independente</x:v>
      </x:c>
      <x:c r="I309" s="111" t="str">
        <x:v>Regra residual — revisar manualmente</x:v>
      </x:c>
      <x:c r="J309" s="149" t="str">
        <x:v>Sim</x:v>
      </x:c>
      <x:c r="K309" s="131" t="n">
        <x:f>IF($H309="Independente",$F309,0)</x:f>
        <x:v>57300890.46</x:v>
      </x:c>
      <x:c r="L309" s="131" t="n">
        <x:f>IF($H309="Ligada a banco",$F309,0)</x:f>
        <x:v>0</x:v>
      </x:c>
      <x:c r="M309" s="114" t="n">
        <x:f>IF(K309&gt;0,RANK(K309,$K$6:$K$462)+COUNTIF($K$6:K309,K309)-1,9999)</x:f>
        <x:v>282</x:v>
      </x:c>
      <x:c r="N309" s="114" t="n">
        <x:f>IF(L309&gt;0,RANK(L309,$L$6:$L$462)+COUNTIF($L$6:L309,L309)-1,9999)</x:f>
        <x:v>9999</x:v>
      </x:c>
    </x:row>
    <x:row r="310">
      <x:c r="A310" s="111" t="str">
        <x:v>GCB Capital</x:v>
      </x:c>
      <x:c r="B310" s="131" t="n">
        <x:v>0</x:v>
      </x:c>
      <x:c r="C310" s="131" t="n">
        <x:v>0</x:v>
      </x:c>
      <x:c r="D310" s="131" t="n">
        <x:v>0</x:v>
      </x:c>
      <x:c r="E310" s="131" t="n">
        <x:v>57284828.34</x:v>
      </x:c>
      <x:c r="F310" s="131" t="n">
        <x:f>SUM(B310:E310)</x:f>
        <x:v>57284828.34</x:v>
      </x:c>
      <x:c r="G310" s="111" t="str">
        <x:v>Independente</x:v>
      </x:c>
      <x:c r="H310" s="140" t="str">
        <x:v>Independente</x:v>
      </x:c>
      <x:c r="I310" s="111" t="str">
        <x:v>Regra residual — revisar manualmente</x:v>
      </x:c>
      <x:c r="J310" s="149" t="str">
        <x:v>Sim</x:v>
      </x:c>
      <x:c r="K310" s="131" t="n">
        <x:f>IF($H310="Independente",$F310,0)</x:f>
        <x:v>57284828.34</x:v>
      </x:c>
      <x:c r="L310" s="131" t="n">
        <x:f>IF($H310="Ligada a banco",$F310,0)</x:f>
        <x:v>0</x:v>
      </x:c>
      <x:c r="M310" s="114" t="n">
        <x:f>IF(K310&gt;0,RANK(K310,$K$6:$K$462)+COUNTIF($K$6:K310,K310)-1,9999)</x:f>
        <x:v>283</x:v>
      </x:c>
      <x:c r="N310" s="114" t="n">
        <x:f>IF(L310&gt;0,RANK(L310,$L$6:$L$462)+COUNTIF($L$6:L310,L310)-1,9999)</x:f>
        <x:v>9999</x:v>
      </x:c>
    </x:row>
    <x:row r="311">
      <x:c r="A311" s="111" t="str">
        <x:v>RJ Gestão de Recursos Ltda.</x:v>
      </x:c>
      <x:c r="B311" s="131" t="n">
        <x:v>0</x:v>
      </x:c>
      <x:c r="C311" s="131" t="n">
        <x:v>0</x:v>
      </x:c>
      <x:c r="D311" s="131" t="n">
        <x:v>22813654.839999996</x:v>
      </x:c>
      <x:c r="E311" s="131" t="n">
        <x:v>33760616.419999994</x:v>
      </x:c>
      <x:c r="F311" s="131" t="n">
        <x:f>SUM(B311:E311)</x:f>
        <x:v>56574271.25999999</x:v>
      </x:c>
      <x:c r="G311" s="111" t="str">
        <x:v>Independente</x:v>
      </x:c>
      <x:c r="H311" s="140" t="str">
        <x:v>Independente</x:v>
      </x:c>
      <x:c r="I311" s="111" t="str">
        <x:v>Regra residual — revisar manualmente</x:v>
      </x:c>
      <x:c r="J311" s="149" t="str">
        <x:v>Sim</x:v>
      </x:c>
      <x:c r="K311" s="131" t="n">
        <x:f>IF($H311="Independente",$F311,0)</x:f>
        <x:v>56574271.25999999</x:v>
      </x:c>
      <x:c r="L311" s="131" t="n">
        <x:f>IF($H311="Ligada a banco",$F311,0)</x:f>
        <x:v>0</x:v>
      </x:c>
      <x:c r="M311" s="114" t="n">
        <x:f>IF(K311&gt;0,RANK(K311,$K$6:$K$462)+COUNTIF($K$6:K311,K311)-1,9999)</x:f>
        <x:v>284</x:v>
      </x:c>
      <x:c r="N311" s="114" t="n">
        <x:f>IF(L311&gt;0,RANK(L311,$L$6:$L$462)+COUNTIF($L$6:L311,L311)-1,9999)</x:f>
        <x:v>9999</x:v>
      </x:c>
    </x:row>
    <x:row r="312">
      <x:c r="A312" s="111" t="str">
        <x:v>Moka Gestora de Recursos de Terceiros LTDA.</x:v>
      </x:c>
      <x:c r="B312" s="131" t="n">
        <x:v>11880071.67</x:v>
      </x:c>
      <x:c r="C312" s="131" t="n">
        <x:v>0</x:v>
      </x:c>
      <x:c r="D312" s="131" t="n">
        <x:v>40213460.52</x:v>
      </x:c>
      <x:c r="E312" s="131" t="n">
        <x:v>2887637.99</x:v>
      </x:c>
      <x:c r="F312" s="131" t="n">
        <x:f>SUM(B312:E312)</x:f>
        <x:v>54981170.18000001</x:v>
      </x:c>
      <x:c r="G312" s="111" t="str">
        <x:v>Independente</x:v>
      </x:c>
      <x:c r="H312" s="140" t="str">
        <x:v>Independente</x:v>
      </x:c>
      <x:c r="I312" s="111" t="str">
        <x:v>Regra residual — revisar manualmente</x:v>
      </x:c>
      <x:c r="J312" s="149" t="str">
        <x:v>Sim</x:v>
      </x:c>
      <x:c r="K312" s="131" t="n">
        <x:f>IF($H312="Independente",$F312,0)</x:f>
        <x:v>54981170.18000001</x:v>
      </x:c>
      <x:c r="L312" s="131" t="n">
        <x:f>IF($H312="Ligada a banco",$F312,0)</x:f>
        <x:v>0</x:v>
      </x:c>
      <x:c r="M312" s="114" t="n">
        <x:f>IF(K312&gt;0,RANK(K312,$K$6:$K$462)+COUNTIF($K$6:K312,K312)-1,9999)</x:f>
        <x:v>285</x:v>
      </x:c>
      <x:c r="N312" s="114" t="n">
        <x:f>IF(L312&gt;0,RANK(L312,$L$6:$L$462)+COUNTIF($L$6:L312,L312)-1,9999)</x:f>
        <x:v>9999</x:v>
      </x:c>
    </x:row>
    <x:row r="313">
      <x:c r="A313" s="111" t="str">
        <x:v>Mosaico Gestora de Recursos Ltda.</x:v>
      </x:c>
      <x:c r="B313" s="131" t="n">
        <x:v>0</x:v>
      </x:c>
      <x:c r="C313" s="131" t="n">
        <x:v>9795758.71</x:v>
      </x:c>
      <x:c r="D313" s="131" t="n">
        <x:v>25014795.379999995</x:v>
      </x:c>
      <x:c r="E313" s="131" t="n">
        <x:v>19895722.43</x:v>
      </x:c>
      <x:c r="F313" s="131" t="n">
        <x:f>SUM(B313:E313)</x:f>
        <x:v>54706276.519999996</x:v>
      </x:c>
      <x:c r="G313" s="111" t="str">
        <x:v>Independente</x:v>
      </x:c>
      <x:c r="H313" s="140" t="str">
        <x:v>Independente</x:v>
      </x:c>
      <x:c r="I313" s="111" t="str">
        <x:v>Regra residual — revisar manualmente</x:v>
      </x:c>
      <x:c r="J313" s="149" t="str">
        <x:v>Sim</x:v>
      </x:c>
      <x:c r="K313" s="131" t="n">
        <x:f>IF($H313="Independente",$F313,0)</x:f>
        <x:v>54706276.519999996</x:v>
      </x:c>
      <x:c r="L313" s="131" t="n">
        <x:f>IF($H313="Ligada a banco",$F313,0)</x:f>
        <x:v>0</x:v>
      </x:c>
      <x:c r="M313" s="114" t="n">
        <x:f>IF(K313&gt;0,RANK(K313,$K$6:$K$462)+COUNTIF($K$6:K313,K313)-1,9999)</x:f>
        <x:v>286</x:v>
      </x:c>
      <x:c r="N313" s="114" t="n">
        <x:f>IF(L313&gt;0,RANK(L313,$L$6:$L$462)+COUNTIF($L$6:L313,L313)-1,9999)</x:f>
        <x:v>9999</x:v>
      </x:c>
    </x:row>
    <x:row r="314">
      <x:c r="A314" s="111" t="str">
        <x:v>GBM BRASIL DTVM S.A.</x:v>
      </x:c>
      <x:c r="B314" s="131" t="n">
        <x:v>0</x:v>
      </x:c>
      <x:c r="C314" s="131" t="n">
        <x:v>0</x:v>
      </x:c>
      <x:c r="D314" s="131" t="n">
        <x:v>0</x:v>
      </x:c>
      <x:c r="E314" s="131" t="n">
        <x:v>54410149.58</x:v>
      </x:c>
      <x:c r="F314" s="131" t="n">
        <x:f>SUM(B314:E314)</x:f>
        <x:v>54410149.58</x:v>
      </x:c>
      <x:c r="G314" s="111" t="str">
        <x:v>Independente</x:v>
      </x:c>
      <x:c r="H314" s="140" t="str">
        <x:v>Independente</x:v>
      </x:c>
      <x:c r="I314" s="111" t="str">
        <x:v>Regra residual — revisar manualmente</x:v>
      </x:c>
      <x:c r="J314" s="149" t="str">
        <x:v>Sim</x:v>
      </x:c>
      <x:c r="K314" s="131" t="n">
        <x:f>IF($H314="Independente",$F314,0)</x:f>
        <x:v>54410149.58</x:v>
      </x:c>
      <x:c r="L314" s="131" t="n">
        <x:f>IF($H314="Ligada a banco",$F314,0)</x:f>
        <x:v>0</x:v>
      </x:c>
      <x:c r="M314" s="114" t="n">
        <x:f>IF(K314&gt;0,RANK(K314,$K$6:$K$462)+COUNTIF($K$6:K314,K314)-1,9999)</x:f>
        <x:v>287</x:v>
      </x:c>
      <x:c r="N314" s="114" t="n">
        <x:f>IF(L314&gt;0,RANK(L314,$L$6:$L$462)+COUNTIF($L$6:L314,L314)-1,9999)</x:f>
        <x:v>9999</x:v>
      </x:c>
    </x:row>
    <x:row r="315">
      <x:c r="A315" s="111" t="str">
        <x:v>Hectare Capital Gestora de Recursos Ltda</x:v>
      </x:c>
      <x:c r="B315" s="131" t="n">
        <x:v>0</x:v>
      </x:c>
      <x:c r="C315" s="131" t="n">
        <x:v>53118459.34</x:v>
      </x:c>
      <x:c r="D315" s="131" t="n">
        <x:v>0</x:v>
      </x:c>
      <x:c r="E315" s="131" t="n">
        <x:v>0</x:v>
      </x:c>
      <x:c r="F315" s="131" t="n">
        <x:f>SUM(B315:E315)</x:f>
        <x:v>53118459.34</x:v>
      </x:c>
      <x:c r="G315" s="111" t="str">
        <x:v>Independente</x:v>
      </x:c>
      <x:c r="H315" s="140" t="str">
        <x:v>Independente</x:v>
      </x:c>
      <x:c r="I315" s="111" t="str">
        <x:v>Regra residual — revisar manualmente</x:v>
      </x:c>
      <x:c r="J315" s="149" t="str">
        <x:v>Sim</x:v>
      </x:c>
      <x:c r="K315" s="131" t="n">
        <x:f>IF($H315="Independente",$F315,0)</x:f>
        <x:v>53118459.34</x:v>
      </x:c>
      <x:c r="L315" s="131" t="n">
        <x:f>IF($H315="Ligada a banco",$F315,0)</x:f>
        <x:v>0</x:v>
      </x:c>
      <x:c r="M315" s="114" t="n">
        <x:f>IF(K315&gt;0,RANK(K315,$K$6:$K$462)+COUNTIF($K$6:K315,K315)-1,9999)</x:f>
        <x:v>288</x:v>
      </x:c>
      <x:c r="N315" s="114" t="n">
        <x:f>IF(L315&gt;0,RANK(L315,$L$6:$L$462)+COUNTIF($L$6:L315,L315)-1,9999)</x:f>
        <x:v>9999</x:v>
      </x:c>
    </x:row>
    <x:row r="316">
      <x:c r="A316" s="111" t="str">
        <x:v>Capitânia Invest</x:v>
      </x:c>
      <x:c r="B316" s="131" t="n">
        <x:v>0</x:v>
      </x:c>
      <x:c r="C316" s="131" t="n">
        <x:v>0</x:v>
      </x:c>
      <x:c r="D316" s="131" t="n">
        <x:v>0</x:v>
      </x:c>
      <x:c r="E316" s="131" t="n">
        <x:v>52793121.79</x:v>
      </x:c>
      <x:c r="F316" s="131" t="n">
        <x:f>SUM(B316:E316)</x:f>
        <x:v>52793121.79</x:v>
      </x:c>
      <x:c r="G316" s="111" t="str">
        <x:v>Independente</x:v>
      </x:c>
      <x:c r="H316" s="140" t="str">
        <x:v>Independente</x:v>
      </x:c>
      <x:c r="I316" s="111" t="str">
        <x:v>Regra residual — revisar manualmente</x:v>
      </x:c>
      <x:c r="J316" s="149" t="str">
        <x:v>Sim</x:v>
      </x:c>
      <x:c r="K316" s="131" t="n">
        <x:f>IF($H316="Independente",$F316,0)</x:f>
        <x:v>52793121.79</x:v>
      </x:c>
      <x:c r="L316" s="131" t="n">
        <x:f>IF($H316="Ligada a banco",$F316,0)</x:f>
        <x:v>0</x:v>
      </x:c>
      <x:c r="M316" s="114" t="n">
        <x:f>IF(K316&gt;0,RANK(K316,$K$6:$K$462)+COUNTIF($K$6:K316,K316)-1,9999)</x:f>
        <x:v>289</x:v>
      </x:c>
      <x:c r="N316" s="114" t="n">
        <x:f>IF(L316&gt;0,RANK(L316,$L$6:$L$462)+COUNTIF($L$6:L316,L316)-1,9999)</x:f>
        <x:v>9999</x:v>
      </x:c>
    </x:row>
    <x:row r="317">
      <x:c r="A317" s="111" t="str">
        <x:v>PRX CAPITAL</x:v>
      </x:c>
      <x:c r="B317" s="131" t="n">
        <x:v>0</x:v>
      </x:c>
      <x:c r="C317" s="131" t="n">
        <x:v>42662204.86</x:v>
      </x:c>
      <x:c r="D317" s="131" t="n">
        <x:v>0</x:v>
      </x:c>
      <x:c r="E317" s="131" t="n">
        <x:v>9028402.58</x:v>
      </x:c>
      <x:c r="F317" s="131" t="n">
        <x:f>SUM(B317:E317)</x:f>
        <x:v>51690607.44</x:v>
      </x:c>
      <x:c r="G317" s="111" t="str">
        <x:v>Independente</x:v>
      </x:c>
      <x:c r="H317" s="140" t="str">
        <x:v>Independente</x:v>
      </x:c>
      <x:c r="I317" s="111" t="str">
        <x:v>Regra residual — revisar manualmente</x:v>
      </x:c>
      <x:c r="J317" s="149" t="str">
        <x:v>Sim</x:v>
      </x:c>
      <x:c r="K317" s="131" t="n">
        <x:f>IF($H317="Independente",$F317,0)</x:f>
        <x:v>51690607.44</x:v>
      </x:c>
      <x:c r="L317" s="131" t="n">
        <x:f>IF($H317="Ligada a banco",$F317,0)</x:f>
        <x:v>0</x:v>
      </x:c>
      <x:c r="M317" s="114" t="n">
        <x:f>IF(K317&gt;0,RANK(K317,$K$6:$K$462)+COUNTIF($K$6:K317,K317)-1,9999)</x:f>
        <x:v>290</x:v>
      </x:c>
      <x:c r="N317" s="114" t="n">
        <x:f>IF(L317&gt;0,RANK(L317,$L$6:$L$462)+COUNTIF($L$6:L317,L317)-1,9999)</x:f>
        <x:v>9999</x:v>
      </x:c>
    </x:row>
    <x:row r="318">
      <x:c r="A318" s="111" t="str">
        <x:v>Limine Trust Distribuidora de Titulos e Valores Mobiliá</x:v>
      </x:c>
      <x:c r="B318" s="131" t="n">
        <x:v>0</x:v>
      </x:c>
      <x:c r="C318" s="131" t="n">
        <x:v>51005841.55</x:v>
      </x:c>
      <x:c r="D318" s="131" t="n">
        <x:v>0</x:v>
      </x:c>
      <x:c r="E318" s="131" t="n">
        <x:v>0</x:v>
      </x:c>
      <x:c r="F318" s="131" t="n">
        <x:f>SUM(B318:E318)</x:f>
        <x:v>51005841.55</x:v>
      </x:c>
      <x:c r="G318" s="111" t="str">
        <x:v>Independente</x:v>
      </x:c>
      <x:c r="H318" s="140" t="str">
        <x:v>Independente</x:v>
      </x:c>
      <x:c r="I318" s="111" t="str">
        <x:v>Regra residual — revisar manualmente</x:v>
      </x:c>
      <x:c r="J318" s="149" t="str">
        <x:v>Sim</x:v>
      </x:c>
      <x:c r="K318" s="131" t="n">
        <x:f>IF($H318="Independente",$F318,0)</x:f>
        <x:v>51005841.55</x:v>
      </x:c>
      <x:c r="L318" s="131" t="n">
        <x:f>IF($H318="Ligada a banco",$F318,0)</x:f>
        <x:v>0</x:v>
      </x:c>
      <x:c r="M318" s="114" t="n">
        <x:f>IF(K318&gt;0,RANK(K318,$K$6:$K$462)+COUNTIF($K$6:K318,K318)-1,9999)</x:f>
        <x:v>291</x:v>
      </x:c>
      <x:c r="N318" s="114" t="n">
        <x:f>IF(L318&gt;0,RANK(L318,$L$6:$L$462)+COUNTIF($L$6:L318,L318)-1,9999)</x:f>
        <x:v>9999</x:v>
      </x:c>
    </x:row>
    <x:row r="319">
      <x:c r="A319" s="111" t="str">
        <x:v>Corcovado Investimentos</x:v>
      </x:c>
      <x:c r="B319" s="131" t="n">
        <x:v>0</x:v>
      </x:c>
      <x:c r="C319" s="131" t="n">
        <x:v>0</x:v>
      </x:c>
      <x:c r="D319" s="131" t="n">
        <x:v>0</x:v>
      </x:c>
      <x:c r="E319" s="131" t="n">
        <x:v>50672044.64</x:v>
      </x:c>
      <x:c r="F319" s="131" t="n">
        <x:f>SUM(B319:E319)</x:f>
        <x:v>50672044.64</x:v>
      </x:c>
      <x:c r="G319" s="111" t="str">
        <x:v>Independente</x:v>
      </x:c>
      <x:c r="H319" s="140" t="str">
        <x:v>Independente</x:v>
      </x:c>
      <x:c r="I319" s="111" t="str">
        <x:v>Regra residual — revisar manualmente</x:v>
      </x:c>
      <x:c r="J319" s="149" t="str">
        <x:v>Sim</x:v>
      </x:c>
      <x:c r="K319" s="131" t="n">
        <x:f>IF($H319="Independente",$F319,0)</x:f>
        <x:v>50672044.64</x:v>
      </x:c>
      <x:c r="L319" s="131" t="n">
        <x:f>IF($H319="Ligada a banco",$F319,0)</x:f>
        <x:v>0</x:v>
      </x:c>
      <x:c r="M319" s="114" t="n">
        <x:f>IF(K319&gt;0,RANK(K319,$K$6:$K$462)+COUNTIF($K$6:K319,K319)-1,9999)</x:f>
        <x:v>292</x:v>
      </x:c>
      <x:c r="N319" s="114" t="n">
        <x:f>IF(L319&gt;0,RANK(L319,$L$6:$L$462)+COUNTIF($L$6:L319,L319)-1,9999)</x:f>
        <x:v>9999</x:v>
      </x:c>
    </x:row>
    <x:row r="320">
      <x:c r="A320" s="111" t="str">
        <x:v>SETE ASSET MANAGEMENT LTDA</x:v>
      </x:c>
      <x:c r="B320" s="131" t="n">
        <x:v>0</x:v>
      </x:c>
      <x:c r="C320" s="131" t="n">
        <x:v>0</x:v>
      </x:c>
      <x:c r="D320" s="131" t="n">
        <x:v>50317772.02</x:v>
      </x:c>
      <x:c r="E320" s="131" t="n">
        <x:v>0</x:v>
      </x:c>
      <x:c r="F320" s="131" t="n">
        <x:f>SUM(B320:E320)</x:f>
        <x:v>50317772.02</x:v>
      </x:c>
      <x:c r="G320" s="111" t="str">
        <x:v>Independente</x:v>
      </x:c>
      <x:c r="H320" s="140" t="str">
        <x:v>Independente</x:v>
      </x:c>
      <x:c r="I320" s="111" t="str">
        <x:v>Regra residual — revisar manualmente</x:v>
      </x:c>
      <x:c r="J320" s="149" t="str">
        <x:v>Sim</x:v>
      </x:c>
      <x:c r="K320" s="131" t="n">
        <x:f>IF($H320="Independente",$F320,0)</x:f>
        <x:v>50317772.02</x:v>
      </x:c>
      <x:c r="L320" s="131" t="n">
        <x:f>IF($H320="Ligada a banco",$F320,0)</x:f>
        <x:v>0</x:v>
      </x:c>
      <x:c r="M320" s="114" t="n">
        <x:f>IF(K320&gt;0,RANK(K320,$K$6:$K$462)+COUNTIF($K$6:K320,K320)-1,9999)</x:f>
        <x:v>293</x:v>
      </x:c>
      <x:c r="N320" s="114" t="n">
        <x:f>IF(L320&gt;0,RANK(L320,$L$6:$L$462)+COUNTIF($L$6:L320,L320)-1,9999)</x:f>
        <x:v>9999</x:v>
      </x:c>
    </x:row>
    <x:row r="321">
      <x:c r="A321" s="111" t="str">
        <x:v>ATIVA ASSET LTDA</x:v>
      </x:c>
      <x:c r="B321" s="131" t="n">
        <x:v>0</x:v>
      </x:c>
      <x:c r="C321" s="131" t="n">
        <x:v>45842.8</x:v>
      </x:c>
      <x:c r="D321" s="131" t="n">
        <x:v>0</x:v>
      </x:c>
      <x:c r="E321" s="131" t="n">
        <x:v>49665320.20999999</x:v>
      </x:c>
      <x:c r="F321" s="131" t="n">
        <x:f>SUM(B321:E321)</x:f>
        <x:v>49711163.00999999</x:v>
      </x:c>
      <x:c r="G321" s="111" t="str">
        <x:v>Independente</x:v>
      </x:c>
      <x:c r="H321" s="140" t="str">
        <x:v>Independente</x:v>
      </x:c>
      <x:c r="I321" s="111" t="str">
        <x:v>Regra residual — revisar manualmente</x:v>
      </x:c>
      <x:c r="J321" s="149" t="str">
        <x:v>Sim</x:v>
      </x:c>
      <x:c r="K321" s="131" t="n">
        <x:f>IF($H321="Independente",$F321,0)</x:f>
        <x:v>49711163.00999999</x:v>
      </x:c>
      <x:c r="L321" s="131" t="n">
        <x:f>IF($H321="Ligada a banco",$F321,0)</x:f>
        <x:v>0</x:v>
      </x:c>
      <x:c r="M321" s="114" t="n">
        <x:f>IF(K321&gt;0,RANK(K321,$K$6:$K$462)+COUNTIF($K$6:K321,K321)-1,9999)</x:f>
        <x:v>294</x:v>
      </x:c>
      <x:c r="N321" s="114" t="n">
        <x:f>IF(L321&gt;0,RANK(L321,$L$6:$L$462)+COUNTIF($L$6:L321,L321)-1,9999)</x:f>
        <x:v>9999</x:v>
      </x:c>
    </x:row>
    <x:row r="322">
      <x:c r="A322" s="111" t="str">
        <x:v>LORINVEST GESTÃO DE RECURSOS LTDA</x:v>
      </x:c>
      <x:c r="B322" s="131" t="n">
        <x:v>0</x:v>
      </x:c>
      <x:c r="C322" s="131" t="n">
        <x:v>0</x:v>
      </x:c>
      <x:c r="D322" s="131" t="n">
        <x:v>0</x:v>
      </x:c>
      <x:c r="E322" s="131" t="n">
        <x:v>48807381.21</x:v>
      </x:c>
      <x:c r="F322" s="131" t="n">
        <x:f>SUM(B322:E322)</x:f>
        <x:v>48807381.21</x:v>
      </x:c>
      <x:c r="G322" s="111" t="str">
        <x:v>Independente</x:v>
      </x:c>
      <x:c r="H322" s="140" t="str">
        <x:v>Independente</x:v>
      </x:c>
      <x:c r="I322" s="111" t="str">
        <x:v>Regra residual — revisar manualmente</x:v>
      </x:c>
      <x:c r="J322" s="149" t="str">
        <x:v>Sim</x:v>
      </x:c>
      <x:c r="K322" s="131" t="n">
        <x:f>IF($H322="Independente",$F322,0)</x:f>
        <x:v>48807381.21</x:v>
      </x:c>
      <x:c r="L322" s="131" t="n">
        <x:f>IF($H322="Ligada a banco",$F322,0)</x:f>
        <x:v>0</x:v>
      </x:c>
      <x:c r="M322" s="114" t="n">
        <x:f>IF(K322&gt;0,RANK(K322,$K$6:$K$462)+COUNTIF($K$6:K322,K322)-1,9999)</x:f>
        <x:v>295</x:v>
      </x:c>
      <x:c r="N322" s="114" t="n">
        <x:f>IF(L322&gt;0,RANK(L322,$L$6:$L$462)+COUNTIF($L$6:L322,L322)-1,9999)</x:f>
        <x:v>9999</x:v>
      </x:c>
    </x:row>
    <x:row r="323">
      <x:c r="A323" s="111" t="str">
        <x:v>Onze Investimentos</x:v>
      </x:c>
      <x:c r="B323" s="131" t="n">
        <x:v>0</x:v>
      </x:c>
      <x:c r="C323" s="131" t="n">
        <x:v>48093819.25062</x:v>
      </x:c>
      <x:c r="D323" s="131" t="n">
        <x:v>0</x:v>
      </x:c>
      <x:c r="E323" s="131" t="n">
        <x:v>0</x:v>
      </x:c>
      <x:c r="F323" s="131" t="n">
        <x:f>SUM(B323:E323)</x:f>
        <x:v>48093819.25062</x:v>
      </x:c>
      <x:c r="G323" s="111" t="str">
        <x:v>Independente</x:v>
      </x:c>
      <x:c r="H323" s="140" t="str">
        <x:v>Independente</x:v>
      </x:c>
      <x:c r="I323" s="111" t="str">
        <x:v>Regra residual — revisar manualmente</x:v>
      </x:c>
      <x:c r="J323" s="149" t="str">
        <x:v>Sim</x:v>
      </x:c>
      <x:c r="K323" s="131" t="n">
        <x:f>IF($H323="Independente",$F323,0)</x:f>
        <x:v>48093819.25062</x:v>
      </x:c>
      <x:c r="L323" s="131" t="n">
        <x:f>IF($H323="Ligada a banco",$F323,0)</x:f>
        <x:v>0</x:v>
      </x:c>
      <x:c r="M323" s="114" t="n">
        <x:f>IF(K323&gt;0,RANK(K323,$K$6:$K$462)+COUNTIF($K$6:K323,K323)-1,9999)</x:f>
        <x:v>296</x:v>
      </x:c>
      <x:c r="N323" s="114" t="n">
        <x:f>IF(L323&gt;0,RANK(L323,$L$6:$L$462)+COUNTIF($L$6:L323,L323)-1,9999)</x:f>
        <x:v>9999</x:v>
      </x:c>
    </x:row>
    <x:row r="324">
      <x:c r="A324" s="111" t="str">
        <x:v>PROPRIO CAPITAL</x:v>
      </x:c>
      <x:c r="B324" s="131" t="n">
        <x:v>0</x:v>
      </x:c>
      <x:c r="C324" s="131" t="n">
        <x:v>0</x:v>
      </x:c>
      <x:c r="D324" s="131" t="n">
        <x:v>46647257.95</x:v>
      </x:c>
      <x:c r="E324" s="131" t="n">
        <x:v>0</x:v>
      </x:c>
      <x:c r="F324" s="131" t="n">
        <x:f>SUM(B324:E324)</x:f>
        <x:v>46647257.95</x:v>
      </x:c>
      <x:c r="G324" s="111" t="str">
        <x:v>Independente</x:v>
      </x:c>
      <x:c r="H324" s="140" t="str">
        <x:v>Independente</x:v>
      </x:c>
      <x:c r="I324" s="111" t="str">
        <x:v>Regra residual — revisar manualmente</x:v>
      </x:c>
      <x:c r="J324" s="149" t="str">
        <x:v>Sim</x:v>
      </x:c>
      <x:c r="K324" s="131" t="n">
        <x:f>IF($H324="Independente",$F324,0)</x:f>
        <x:v>46647257.95</x:v>
      </x:c>
      <x:c r="L324" s="131" t="n">
        <x:f>IF($H324="Ligada a banco",$F324,0)</x:f>
        <x:v>0</x:v>
      </x:c>
      <x:c r="M324" s="114" t="n">
        <x:f>IF(K324&gt;0,RANK(K324,$K$6:$K$462)+COUNTIF($K$6:K324,K324)-1,9999)</x:f>
        <x:v>297</x:v>
      </x:c>
      <x:c r="N324" s="114" t="n">
        <x:f>IF(L324&gt;0,RANK(L324,$L$6:$L$462)+COUNTIF($L$6:L324,L324)-1,9999)</x:f>
        <x:v>9999</x:v>
      </x:c>
    </x:row>
    <x:row r="325">
      <x:c r="A325" s="111" t="str">
        <x:v>MACAM ASSET</x:v>
      </x:c>
      <x:c r="B325" s="131" t="n">
        <x:v>0</x:v>
      </x:c>
      <x:c r="C325" s="131" t="n">
        <x:v>0</x:v>
      </x:c>
      <x:c r="D325" s="131" t="n">
        <x:v>0</x:v>
      </x:c>
      <x:c r="E325" s="131" t="n">
        <x:v>46527520.41</x:v>
      </x:c>
      <x:c r="F325" s="131" t="n">
        <x:f>SUM(B325:E325)</x:f>
        <x:v>46527520.41</x:v>
      </x:c>
      <x:c r="G325" s="111" t="str">
        <x:v>Independente</x:v>
      </x:c>
      <x:c r="H325" s="140" t="str">
        <x:v>Independente</x:v>
      </x:c>
      <x:c r="I325" s="111" t="str">
        <x:v>Regra residual — revisar manualmente</x:v>
      </x:c>
      <x:c r="J325" s="149" t="str">
        <x:v>Sim</x:v>
      </x:c>
      <x:c r="K325" s="131" t="n">
        <x:f>IF($H325="Independente",$F325,0)</x:f>
        <x:v>46527520.41</x:v>
      </x:c>
      <x:c r="L325" s="131" t="n">
        <x:f>IF($H325="Ligada a banco",$F325,0)</x:f>
        <x:v>0</x:v>
      </x:c>
      <x:c r="M325" s="114" t="n">
        <x:f>IF(K325&gt;0,RANK(K325,$K$6:$K$462)+COUNTIF($K$6:K325,K325)-1,9999)</x:f>
        <x:v>298</x:v>
      </x:c>
      <x:c r="N325" s="114" t="n">
        <x:f>IF(L325&gt;0,RANK(L325,$L$6:$L$462)+COUNTIF($L$6:L325,L325)-1,9999)</x:f>
        <x:v>9999</x:v>
      </x:c>
    </x:row>
    <x:row r="326">
      <x:c r="A326" s="111" t="str">
        <x:v>AGG Investimentos Ltda.</x:v>
      </x:c>
      <x:c r="B326" s="131" t="n">
        <x:v>7383443.170000002</x:v>
      </x:c>
      <x:c r="C326" s="131" t="n">
        <x:v>0</x:v>
      </x:c>
      <x:c r="D326" s="131" t="n">
        <x:v>0</x:v>
      </x:c>
      <x:c r="E326" s="131" t="n">
        <x:v>38750783.27</x:v>
      </x:c>
      <x:c r="F326" s="131" t="n">
        <x:f>SUM(B326:E326)</x:f>
        <x:v>46134226.440000005</x:v>
      </x:c>
      <x:c r="G326" s="111" t="str">
        <x:v>Independente</x:v>
      </x:c>
      <x:c r="H326" s="140" t="str">
        <x:v>Independente</x:v>
      </x:c>
      <x:c r="I326" s="111" t="str">
        <x:v>Regra residual — revisar manualmente</x:v>
      </x:c>
      <x:c r="J326" s="149" t="str">
        <x:v>Sim</x:v>
      </x:c>
      <x:c r="K326" s="131" t="n">
        <x:f>IF($H326="Independente",$F326,0)</x:f>
        <x:v>46134226.440000005</x:v>
      </x:c>
      <x:c r="L326" s="131" t="n">
        <x:f>IF($H326="Ligada a banco",$F326,0)</x:f>
        <x:v>0</x:v>
      </x:c>
      <x:c r="M326" s="114" t="n">
        <x:f>IF(K326&gt;0,RANK(K326,$K$6:$K$462)+COUNTIF($K$6:K326,K326)-1,9999)</x:f>
        <x:v>299</x:v>
      </x:c>
      <x:c r="N326" s="114" t="n">
        <x:f>IF(L326&gt;0,RANK(L326,$L$6:$L$462)+COUNTIF($L$6:L326,L326)-1,9999)</x:f>
        <x:v>9999</x:v>
      </x:c>
    </x:row>
    <x:row r="327">
      <x:c r="A327" s="111" t="str">
        <x:v>KMT ASSET MANAGEMENT</x:v>
      </x:c>
      <x:c r="B327" s="131" t="n">
        <x:v>0</x:v>
      </x:c>
      <x:c r="C327" s="131" t="n">
        <x:v>0</x:v>
      </x:c>
      <x:c r="D327" s="131" t="n">
        <x:v>45969692.45</x:v>
      </x:c>
      <x:c r="E327" s="131" t="n">
        <x:v>0</x:v>
      </x:c>
      <x:c r="F327" s="131" t="n">
        <x:f>SUM(B327:E327)</x:f>
        <x:v>45969692.45</x:v>
      </x:c>
      <x:c r="G327" s="111" t="str">
        <x:v>Independente</x:v>
      </x:c>
      <x:c r="H327" s="140" t="str">
        <x:v>Independente</x:v>
      </x:c>
      <x:c r="I327" s="111" t="str">
        <x:v>Regra residual — revisar manualmente</x:v>
      </x:c>
      <x:c r="J327" s="149" t="str">
        <x:v>Sim</x:v>
      </x:c>
      <x:c r="K327" s="131" t="n">
        <x:f>IF($H327="Independente",$F327,0)</x:f>
        <x:v>45969692.45</x:v>
      </x:c>
      <x:c r="L327" s="131" t="n">
        <x:f>IF($H327="Ligada a banco",$F327,0)</x:f>
        <x:v>0</x:v>
      </x:c>
      <x:c r="M327" s="114" t="n">
        <x:f>IF(K327&gt;0,RANK(K327,$K$6:$K$462)+COUNTIF($K$6:K327,K327)-1,9999)</x:f>
        <x:v>300</x:v>
      </x:c>
      <x:c r="N327" s="114" t="n">
        <x:f>IF(L327&gt;0,RANK(L327,$L$6:$L$462)+COUNTIF($L$6:L327,L327)-1,9999)</x:f>
        <x:v>9999</x:v>
      </x:c>
    </x:row>
    <x:row r="328">
      <x:c r="A328" s="111" t="str">
        <x:v>IBBRA GESTÃO</x:v>
      </x:c>
      <x:c r="B328" s="131" t="n">
        <x:v>0</x:v>
      </x:c>
      <x:c r="C328" s="131" t="n">
        <x:v>0</x:v>
      </x:c>
      <x:c r="D328" s="131" t="n">
        <x:v>0</x:v>
      </x:c>
      <x:c r="E328" s="131" t="n">
        <x:v>43351775.04</x:v>
      </x:c>
      <x:c r="F328" s="131" t="n">
        <x:f>SUM(B328:E328)</x:f>
        <x:v>43351775.04</x:v>
      </x:c>
      <x:c r="G328" s="111" t="str">
        <x:v>Independente</x:v>
      </x:c>
      <x:c r="H328" s="140" t="str">
        <x:v>Independente</x:v>
      </x:c>
      <x:c r="I328" s="111" t="str">
        <x:v>Regra residual — revisar manualmente</x:v>
      </x:c>
      <x:c r="J328" s="149" t="str">
        <x:v>Sim</x:v>
      </x:c>
      <x:c r="K328" s="131" t="n">
        <x:f>IF($H328="Independente",$F328,0)</x:f>
        <x:v>43351775.04</x:v>
      </x:c>
      <x:c r="L328" s="131" t="n">
        <x:f>IF($H328="Ligada a banco",$F328,0)</x:f>
        <x:v>0</x:v>
      </x:c>
      <x:c r="M328" s="114" t="n">
        <x:f>IF(K328&gt;0,RANK(K328,$K$6:$K$462)+COUNTIF($K$6:K328,K328)-1,9999)</x:f>
        <x:v>301</x:v>
      </x:c>
      <x:c r="N328" s="114" t="n">
        <x:f>IF(L328&gt;0,RANK(L328,$L$6:$L$462)+COUNTIF($L$6:L328,L328)-1,9999)</x:f>
        <x:v>9999</x:v>
      </x:c>
    </x:row>
    <x:row r="329">
      <x:c r="A329" s="111" t="str">
        <x:v>AF Invest</x:v>
      </x:c>
      <x:c r="B329" s="131" t="n">
        <x:v>0</x:v>
      </x:c>
      <x:c r="C329" s="131" t="n">
        <x:v>0</x:v>
      </x:c>
      <x:c r="D329" s="131" t="n">
        <x:v>12502184.680000002</x:v>
      </x:c>
      <x:c r="E329" s="131" t="n">
        <x:v>30640830</x:v>
      </x:c>
      <x:c r="F329" s="131" t="n">
        <x:f>SUM(B329:E329)</x:f>
        <x:v>43143014.68</x:v>
      </x:c>
      <x:c r="G329" s="111" t="str">
        <x:v>Independente</x:v>
      </x:c>
      <x:c r="H329" s="140" t="str">
        <x:v>Independente</x:v>
      </x:c>
      <x:c r="I329" s="111" t="str">
        <x:v>Regra residual — revisar manualmente</x:v>
      </x:c>
      <x:c r="J329" s="149" t="str">
        <x:v>Sim</x:v>
      </x:c>
      <x:c r="K329" s="131" t="n">
        <x:f>IF($H329="Independente",$F329,0)</x:f>
        <x:v>43143014.68</x:v>
      </x:c>
      <x:c r="L329" s="131" t="n">
        <x:f>IF($H329="Ligada a banco",$F329,0)</x:f>
        <x:v>0</x:v>
      </x:c>
      <x:c r="M329" s="114" t="n">
        <x:f>IF(K329&gt;0,RANK(K329,$K$6:$K$462)+COUNTIF($K$6:K329,K329)-1,9999)</x:f>
        <x:v>302</x:v>
      </x:c>
      <x:c r="N329" s="114" t="n">
        <x:f>IF(L329&gt;0,RANK(L329,$L$6:$L$462)+COUNTIF($L$6:L329,L329)-1,9999)</x:f>
        <x:v>9999</x:v>
      </x:c>
    </x:row>
    <x:row r="330">
      <x:c r="A330" s="111" t="str">
        <x:v>Quadrante Investimentos Ltda</x:v>
      </x:c>
      <x:c r="B330" s="131" t="n">
        <x:v>0</x:v>
      </x:c>
      <x:c r="C330" s="131" t="n">
        <x:v>0</x:v>
      </x:c>
      <x:c r="D330" s="131" t="n">
        <x:v>17791522.580000002</x:v>
      </x:c>
      <x:c r="E330" s="131" t="n">
        <x:v>23527146.14</x:v>
      </x:c>
      <x:c r="F330" s="131" t="n">
        <x:f>SUM(B330:E330)</x:f>
        <x:v>41318668.72</x:v>
      </x:c>
      <x:c r="G330" s="111" t="str">
        <x:v>Independente</x:v>
      </x:c>
      <x:c r="H330" s="140" t="str">
        <x:v>Independente</x:v>
      </x:c>
      <x:c r="I330" s="111" t="str">
        <x:v>Regra residual — revisar manualmente</x:v>
      </x:c>
      <x:c r="J330" s="149" t="str">
        <x:v>Sim</x:v>
      </x:c>
      <x:c r="K330" s="131" t="n">
        <x:f>IF($H330="Independente",$F330,0)</x:f>
        <x:v>41318668.72</x:v>
      </x:c>
      <x:c r="L330" s="131" t="n">
        <x:f>IF($H330="Ligada a banco",$F330,0)</x:f>
        <x:v>0</x:v>
      </x:c>
      <x:c r="M330" s="114" t="n">
        <x:f>IF(K330&gt;0,RANK(K330,$K$6:$K$462)+COUNTIF($K$6:K330,K330)-1,9999)</x:f>
        <x:v>303</x:v>
      </x:c>
      <x:c r="N330" s="114" t="n">
        <x:f>IF(L330&gt;0,RANK(L330,$L$6:$L$462)+COUNTIF($L$6:L330,L330)-1,9999)</x:f>
        <x:v>9999</x:v>
      </x:c>
    </x:row>
    <x:row r="331">
      <x:c r="A331" s="111" t="str">
        <x:v>A5 Capital Partners</x:v>
      </x:c>
      <x:c r="B331" s="131" t="n">
        <x:v>0</x:v>
      </x:c>
      <x:c r="C331" s="131" t="n">
        <x:v>40844097.92</x:v>
      </x:c>
      <x:c r="D331" s="131" t="n">
        <x:v>0</x:v>
      </x:c>
      <x:c r="E331" s="131" t="n">
        <x:v>0</x:v>
      </x:c>
      <x:c r="F331" s="131" t="n">
        <x:f>SUM(B331:E331)</x:f>
        <x:v>40844097.92</x:v>
      </x:c>
      <x:c r="G331" s="111" t="str">
        <x:v>Independente</x:v>
      </x:c>
      <x:c r="H331" s="140" t="str">
        <x:v>Independente</x:v>
      </x:c>
      <x:c r="I331" s="111" t="str">
        <x:v>Regra residual — revisar manualmente</x:v>
      </x:c>
      <x:c r="J331" s="149" t="str">
        <x:v>Sim</x:v>
      </x:c>
      <x:c r="K331" s="131" t="n">
        <x:f>IF($H331="Independente",$F331,0)</x:f>
        <x:v>40844097.92</x:v>
      </x:c>
      <x:c r="L331" s="131" t="n">
        <x:f>IF($H331="Ligada a banco",$F331,0)</x:f>
        <x:v>0</x:v>
      </x:c>
      <x:c r="M331" s="114" t="n">
        <x:f>IF(K331&gt;0,RANK(K331,$K$6:$K$462)+COUNTIF($K$6:K331,K331)-1,9999)</x:f>
        <x:v>304</x:v>
      </x:c>
      <x:c r="N331" s="114" t="n">
        <x:f>IF(L331&gt;0,RANK(L331,$L$6:$L$462)+COUNTIF($L$6:L331,L331)-1,9999)</x:f>
        <x:v>9999</x:v>
      </x:c>
    </x:row>
    <x:row r="332">
      <x:c r="A332" s="111" t="str">
        <x:v>Plural</x:v>
      </x:c>
      <x:c r="B332" s="131" t="n">
        <x:v>1325934.94</x:v>
      </x:c>
      <x:c r="C332" s="131" t="n">
        <x:v>0</x:v>
      </x:c>
      <x:c r="D332" s="131" t="n">
        <x:v>0</x:v>
      </x:c>
      <x:c r="E332" s="131" t="n">
        <x:v>38989008.79</x:v>
      </x:c>
      <x:c r="F332" s="131" t="n">
        <x:f>SUM(B332:E332)</x:f>
        <x:v>40314943.73</x:v>
      </x:c>
      <x:c r="G332" s="111" t="str">
        <x:v>Ligada a banco</x:v>
      </x:c>
      <x:c r="H332" s="140" t="str">
        <x:v>Ligada a banco</x:v>
      </x:c>
      <x:c r="I332" s="111" t="str">
        <x:v>Regra nominal: PLURAL</x:v>
      </x:c>
      <x:c r="J332" s="149" t="str">
        <x:v>Sim</x:v>
      </x:c>
      <x:c r="K332" s="131" t="n">
        <x:f>IF($H332="Independente",$F332,0)</x:f>
        <x:v>0</x:v>
      </x:c>
      <x:c r="L332" s="131" t="n">
        <x:f>IF($H332="Ligada a banco",$F332,0)</x:f>
        <x:v>40314943.73</x:v>
      </x:c>
      <x:c r="M332" s="114" t="n">
        <x:f>IF(K332&gt;0,RANK(K332,$K$6:$K$462)+COUNTIF($K$6:K332,K332)-1,9999)</x:f>
        <x:v>9999</x:v>
      </x:c>
      <x:c r="N332" s="114" t="n">
        <x:f>IF(L332&gt;0,RANK(L332,$L$6:$L$462)+COUNTIF($L$6:L332,L332)-1,9999)</x:f>
        <x:v>23</x:v>
      </x:c>
    </x:row>
    <x:row r="333">
      <x:c r="A333" s="111" t="str">
        <x:v>AWARE GESTÃO DE RECURSOS LTDA</x:v>
      </x:c>
      <x:c r="B333" s="131" t="n">
        <x:v>0</x:v>
      </x:c>
      <x:c r="C333" s="131" t="n">
        <x:v>0</x:v>
      </x:c>
      <x:c r="D333" s="131" t="n">
        <x:v>0</x:v>
      </x:c>
      <x:c r="E333" s="131" t="n">
        <x:v>39891540.349999994</x:v>
      </x:c>
      <x:c r="F333" s="131" t="n">
        <x:f>SUM(B333:E333)</x:f>
        <x:v>39891540.349999994</x:v>
      </x:c>
      <x:c r="G333" s="111" t="str">
        <x:v>Independente</x:v>
      </x:c>
      <x:c r="H333" s="140" t="str">
        <x:v>Independente</x:v>
      </x:c>
      <x:c r="I333" s="111" t="str">
        <x:v>Regra residual — revisar manualmente</x:v>
      </x:c>
      <x:c r="J333" s="149" t="str">
        <x:v>Sim</x:v>
      </x:c>
      <x:c r="K333" s="131" t="n">
        <x:f>IF($H333="Independente",$F333,0)</x:f>
        <x:v>39891540.349999994</x:v>
      </x:c>
      <x:c r="L333" s="131" t="n">
        <x:f>IF($H333="Ligada a banco",$F333,0)</x:f>
        <x:v>0</x:v>
      </x:c>
      <x:c r="M333" s="114" t="n">
        <x:f>IF(K333&gt;0,RANK(K333,$K$6:$K$462)+COUNTIF($K$6:K333,K333)-1,9999)</x:f>
        <x:v>305</x:v>
      </x:c>
      <x:c r="N333" s="114" t="n">
        <x:f>IF(L333&gt;0,RANK(L333,$L$6:$L$462)+COUNTIF($L$6:L333,L333)-1,9999)</x:f>
        <x:v>9999</x:v>
      </x:c>
    </x:row>
    <x:row r="334">
      <x:c r="A334" s="111" t="str">
        <x:v>Vórtx Capital Gestão de Recursos Ltda.</x:v>
      </x:c>
      <x:c r="B334" s="131" t="n">
        <x:v>0</x:v>
      </x:c>
      <x:c r="C334" s="131" t="n">
        <x:v>39648397.41</x:v>
      </x:c>
      <x:c r="D334" s="131" t="n">
        <x:v>0</x:v>
      </x:c>
      <x:c r="E334" s="131" t="n">
        <x:v>0</x:v>
      </x:c>
      <x:c r="F334" s="131" t="n">
        <x:f>SUM(B334:E334)</x:f>
        <x:v>39648397.41</x:v>
      </x:c>
      <x:c r="G334" s="111" t="str">
        <x:v>Independente</x:v>
      </x:c>
      <x:c r="H334" s="140" t="str">
        <x:v>Independente</x:v>
      </x:c>
      <x:c r="I334" s="111" t="str">
        <x:v>Regra residual — revisar manualmente</x:v>
      </x:c>
      <x:c r="J334" s="149" t="str">
        <x:v>Sim</x:v>
      </x:c>
      <x:c r="K334" s="131" t="n">
        <x:f>IF($H334="Independente",$F334,0)</x:f>
        <x:v>39648397.41</x:v>
      </x:c>
      <x:c r="L334" s="131" t="n">
        <x:f>IF($H334="Ligada a banco",$F334,0)</x:f>
        <x:v>0</x:v>
      </x:c>
      <x:c r="M334" s="114" t="n">
        <x:f>IF(K334&gt;0,RANK(K334,$K$6:$K$462)+COUNTIF($K$6:K334,K334)-1,9999)</x:f>
        <x:v>306</x:v>
      </x:c>
      <x:c r="N334" s="114" t="n">
        <x:f>IF(L334&gt;0,RANK(L334,$L$6:$L$462)+COUNTIF($L$6:L334,L334)-1,9999)</x:f>
        <x:v>9999</x:v>
      </x:c>
    </x:row>
    <x:row r="335">
      <x:c r="A335" s="111" t="str">
        <x:v>OKEAN INVEST</x:v>
      </x:c>
      <x:c r="B335" s="131" t="n">
        <x:v>0</x:v>
      </x:c>
      <x:c r="C335" s="131" t="n">
        <x:v>0</x:v>
      </x:c>
      <x:c r="D335" s="131" t="n">
        <x:v>10849379.47</x:v>
      </x:c>
      <x:c r="E335" s="131" t="n">
        <x:v>28579497.59999999</x:v>
      </x:c>
      <x:c r="F335" s="131" t="n">
        <x:f>SUM(B335:E335)</x:f>
        <x:v>39428877.06999999</x:v>
      </x:c>
      <x:c r="G335" s="111" t="str">
        <x:v>Independente</x:v>
      </x:c>
      <x:c r="H335" s="140" t="str">
        <x:v>Independente</x:v>
      </x:c>
      <x:c r="I335" s="111" t="str">
        <x:v>Regra residual — revisar manualmente</x:v>
      </x:c>
      <x:c r="J335" s="149" t="str">
        <x:v>Sim</x:v>
      </x:c>
      <x:c r="K335" s="131" t="n">
        <x:f>IF($H335="Independente",$F335,0)</x:f>
        <x:v>39428877.06999999</x:v>
      </x:c>
      <x:c r="L335" s="131" t="n">
        <x:f>IF($H335="Ligada a banco",$F335,0)</x:f>
        <x:v>0</x:v>
      </x:c>
      <x:c r="M335" s="114" t="n">
        <x:f>IF(K335&gt;0,RANK(K335,$K$6:$K$462)+COUNTIF($K$6:K335,K335)-1,9999)</x:f>
        <x:v>307</x:v>
      </x:c>
      <x:c r="N335" s="114" t="n">
        <x:f>IF(L335&gt;0,RANK(L335,$L$6:$L$462)+COUNTIF($L$6:L335,L335)-1,9999)</x:f>
        <x:v>9999</x:v>
      </x:c>
    </x:row>
    <x:row r="336">
      <x:c r="A336" s="111" t="str">
        <x:v>KILIMA ASSET MANAGEMENT</x:v>
      </x:c>
      <x:c r="B336" s="131" t="n">
        <x:v>0</x:v>
      </x:c>
      <x:c r="C336" s="131" t="n">
        <x:v>0</x:v>
      </x:c>
      <x:c r="D336" s="131" t="n">
        <x:v>37545904.18</x:v>
      </x:c>
      <x:c r="E336" s="131" t="n">
        <x:v>0</x:v>
      </x:c>
      <x:c r="F336" s="131" t="n">
        <x:f>SUM(B336:E336)</x:f>
        <x:v>37545904.18</x:v>
      </x:c>
      <x:c r="G336" s="111" t="str">
        <x:v>Independente</x:v>
      </x:c>
      <x:c r="H336" s="140" t="str">
        <x:v>Independente</x:v>
      </x:c>
      <x:c r="I336" s="111" t="str">
        <x:v>Regra residual — revisar manualmente</x:v>
      </x:c>
      <x:c r="J336" s="149" t="str">
        <x:v>Sim</x:v>
      </x:c>
      <x:c r="K336" s="131" t="n">
        <x:f>IF($H336="Independente",$F336,0)</x:f>
        <x:v>37545904.18</x:v>
      </x:c>
      <x:c r="L336" s="131" t="n">
        <x:f>IF($H336="Ligada a banco",$F336,0)</x:f>
        <x:v>0</x:v>
      </x:c>
      <x:c r="M336" s="114" t="n">
        <x:f>IF(K336&gt;0,RANK(K336,$K$6:$K$462)+COUNTIF($K$6:K336,K336)-1,9999)</x:f>
        <x:v>308</x:v>
      </x:c>
      <x:c r="N336" s="114" t="n">
        <x:f>IF(L336&gt;0,RANK(L336,$L$6:$L$462)+COUNTIF($L$6:L336,L336)-1,9999)</x:f>
        <x:v>9999</x:v>
      </x:c>
    </x:row>
    <x:row r="337">
      <x:c r="A337" s="111" t="str">
        <x:v>GAMA INVESTIMENTOS LTDA.</x:v>
      </x:c>
      <x:c r="B337" s="131" t="n">
        <x:v>0</x:v>
      </x:c>
      <x:c r="C337" s="131" t="n">
        <x:v>0</x:v>
      </x:c>
      <x:c r="D337" s="131" t="n">
        <x:v>0</x:v>
      </x:c>
      <x:c r="E337" s="131" t="n">
        <x:v>35655669.42999999</x:v>
      </x:c>
      <x:c r="F337" s="131" t="n">
        <x:f>SUM(B337:E337)</x:f>
        <x:v>35655669.42999999</x:v>
      </x:c>
      <x:c r="G337" s="111" t="str">
        <x:v>Independente</x:v>
      </x:c>
      <x:c r="H337" s="140" t="str">
        <x:v>Independente</x:v>
      </x:c>
      <x:c r="I337" s="111" t="str">
        <x:v>Regra residual — revisar manualmente</x:v>
      </x:c>
      <x:c r="J337" s="149" t="str">
        <x:v>Sim</x:v>
      </x:c>
      <x:c r="K337" s="131" t="n">
        <x:f>IF($H337="Independente",$F337,0)</x:f>
        <x:v>35655669.42999999</x:v>
      </x:c>
      <x:c r="L337" s="131" t="n">
        <x:f>IF($H337="Ligada a banco",$F337,0)</x:f>
        <x:v>0</x:v>
      </x:c>
      <x:c r="M337" s="114" t="n">
        <x:f>IF(K337&gt;0,RANK(K337,$K$6:$K$462)+COUNTIF($K$6:K337,K337)-1,9999)</x:f>
        <x:v>309</x:v>
      </x:c>
      <x:c r="N337" s="114" t="n">
        <x:f>IF(L337&gt;0,RANK(L337,$L$6:$L$462)+COUNTIF($L$6:L337,L337)-1,9999)</x:f>
        <x:v>9999</x:v>
      </x:c>
    </x:row>
    <x:row r="338">
      <x:c r="A338" s="111" t="str">
        <x:v>Geribá Investimentos Ltda.</x:v>
      </x:c>
      <x:c r="B338" s="131" t="n">
        <x:v>0</x:v>
      </x:c>
      <x:c r="C338" s="131" t="n">
        <x:v>0</x:v>
      </x:c>
      <x:c r="D338" s="131" t="n">
        <x:v>0</x:v>
      </x:c>
      <x:c r="E338" s="131" t="n">
        <x:v>35173655.370000005</x:v>
      </x:c>
      <x:c r="F338" s="131" t="n">
        <x:f>SUM(B338:E338)</x:f>
        <x:v>35173655.370000005</x:v>
      </x:c>
      <x:c r="G338" s="111" t="str">
        <x:v>Independente</x:v>
      </x:c>
      <x:c r="H338" s="140" t="str">
        <x:v>Independente</x:v>
      </x:c>
      <x:c r="I338" s="111" t="str">
        <x:v>Regra residual — revisar manualmente</x:v>
      </x:c>
      <x:c r="J338" s="149" t="str">
        <x:v>Sim</x:v>
      </x:c>
      <x:c r="K338" s="131" t="n">
        <x:f>IF($H338="Independente",$F338,0)</x:f>
        <x:v>35173655.370000005</x:v>
      </x:c>
      <x:c r="L338" s="131" t="n">
        <x:f>IF($H338="Ligada a banco",$F338,0)</x:f>
        <x:v>0</x:v>
      </x:c>
      <x:c r="M338" s="114" t="n">
        <x:f>IF(K338&gt;0,RANK(K338,$K$6:$K$462)+COUNTIF($K$6:K338,K338)-1,9999)</x:f>
        <x:v>310</x:v>
      </x:c>
      <x:c r="N338" s="114" t="n">
        <x:f>IF(L338&gt;0,RANK(L338,$L$6:$L$462)+COUNTIF($L$6:L338,L338)-1,9999)</x:f>
        <x:v>9999</x:v>
      </x:c>
    </x:row>
    <x:row r="339">
      <x:c r="A339" s="111" t="str">
        <x:v>HSO Capital</x:v>
      </x:c>
      <x:c r="B339" s="131" t="n">
        <x:v>0</x:v>
      </x:c>
      <x:c r="C339" s="131" t="n">
        <x:v>0</x:v>
      </x:c>
      <x:c r="D339" s="131" t="n">
        <x:v>0</x:v>
      </x:c>
      <x:c r="E339" s="131" t="n">
        <x:v>33903828.910000004</x:v>
      </x:c>
      <x:c r="F339" s="131" t="n">
        <x:f>SUM(B339:E339)</x:f>
        <x:v>33903828.910000004</x:v>
      </x:c>
      <x:c r="G339" s="111" t="str">
        <x:v>Independente</x:v>
      </x:c>
      <x:c r="H339" s="140" t="str">
        <x:v>Independente</x:v>
      </x:c>
      <x:c r="I339" s="111" t="str">
        <x:v>Regra residual — revisar manualmente</x:v>
      </x:c>
      <x:c r="J339" s="149" t="str">
        <x:v>Sim</x:v>
      </x:c>
      <x:c r="K339" s="131" t="n">
        <x:f>IF($H339="Independente",$F339,0)</x:f>
        <x:v>33903828.910000004</x:v>
      </x:c>
      <x:c r="L339" s="131" t="n">
        <x:f>IF($H339="Ligada a banco",$F339,0)</x:f>
        <x:v>0</x:v>
      </x:c>
      <x:c r="M339" s="114" t="n">
        <x:f>IF(K339&gt;0,RANK(K339,$K$6:$K$462)+COUNTIF($K$6:K339,K339)-1,9999)</x:f>
        <x:v>311</x:v>
      </x:c>
      <x:c r="N339" s="114" t="n">
        <x:f>IF(L339&gt;0,RANK(L339,$L$6:$L$462)+COUNTIF($L$6:L339,L339)-1,9999)</x:f>
        <x:v>9999</x:v>
      </x:c>
    </x:row>
    <x:row r="340">
      <x:c r="A340" s="111" t="str">
        <x:v>Vectis Gestão</x:v>
      </x:c>
      <x:c r="B340" s="131" t="n">
        <x:v>0</x:v>
      </x:c>
      <x:c r="C340" s="131" t="n">
        <x:v>0</x:v>
      </x:c>
      <x:c r="D340" s="131" t="n">
        <x:v>0</x:v>
      </x:c>
      <x:c r="E340" s="131" t="n">
        <x:v>33402143.74</x:v>
      </x:c>
      <x:c r="F340" s="131" t="n">
        <x:f>SUM(B340:E340)</x:f>
        <x:v>33402143.74</x:v>
      </x:c>
      <x:c r="G340" s="111" t="str">
        <x:v>Independente</x:v>
      </x:c>
      <x:c r="H340" s="140" t="str">
        <x:v>Independente</x:v>
      </x:c>
      <x:c r="I340" s="111" t="str">
        <x:v>Regra residual — revisar manualmente</x:v>
      </x:c>
      <x:c r="J340" s="149" t="str">
        <x:v>Sim</x:v>
      </x:c>
      <x:c r="K340" s="131" t="n">
        <x:f>IF($H340="Independente",$F340,0)</x:f>
        <x:v>33402143.74</x:v>
      </x:c>
      <x:c r="L340" s="131" t="n">
        <x:f>IF($H340="Ligada a banco",$F340,0)</x:f>
        <x:v>0</x:v>
      </x:c>
      <x:c r="M340" s="114" t="n">
        <x:f>IF(K340&gt;0,RANK(K340,$K$6:$K$462)+COUNTIF($K$6:K340,K340)-1,9999)</x:f>
        <x:v>312</x:v>
      </x:c>
      <x:c r="N340" s="114" t="n">
        <x:f>IF(L340&gt;0,RANK(L340,$L$6:$L$462)+COUNTIF($L$6:L340,L340)-1,9999)</x:f>
        <x:v>9999</x:v>
      </x:c>
    </x:row>
    <x:row r="341">
      <x:c r="A341" s="111" t="str">
        <x:v>Dhama Capital Ltda</x:v>
      </x:c>
      <x:c r="B341" s="131" t="n">
        <x:v>0</x:v>
      </x:c>
      <x:c r="C341" s="131" t="n">
        <x:v>0</x:v>
      </x:c>
      <x:c r="D341" s="131" t="n">
        <x:v>0</x:v>
      </x:c>
      <x:c r="E341" s="131" t="n">
        <x:v>33015553.6</x:v>
      </x:c>
      <x:c r="F341" s="131" t="n">
        <x:f>SUM(B341:E341)</x:f>
        <x:v>33015553.6</x:v>
      </x:c>
      <x:c r="G341" s="111" t="str">
        <x:v>Independente</x:v>
      </x:c>
      <x:c r="H341" s="140" t="str">
        <x:v>Independente</x:v>
      </x:c>
      <x:c r="I341" s="111" t="str">
        <x:v>Regra residual — revisar manualmente</x:v>
      </x:c>
      <x:c r="J341" s="149" t="str">
        <x:v>Sim</x:v>
      </x:c>
      <x:c r="K341" s="131" t="n">
        <x:f>IF($H341="Independente",$F341,0)</x:f>
        <x:v>33015553.6</x:v>
      </x:c>
      <x:c r="L341" s="131" t="n">
        <x:f>IF($H341="Ligada a banco",$F341,0)</x:f>
        <x:v>0</x:v>
      </x:c>
      <x:c r="M341" s="114" t="n">
        <x:f>IF(K341&gt;0,RANK(K341,$K$6:$K$462)+COUNTIF($K$6:K341,K341)-1,9999)</x:f>
        <x:v>313</x:v>
      </x:c>
      <x:c r="N341" s="114" t="n">
        <x:f>IF(L341&gt;0,RANK(L341,$L$6:$L$462)+COUNTIF($L$6:L341,L341)-1,9999)</x:f>
        <x:v>9999</x:v>
      </x:c>
    </x:row>
    <x:row r="342">
      <x:c r="A342" s="111" t="str">
        <x:v>CATALUNYA GESTÃO DE RECURSOS LTDA .</x:v>
      </x:c>
      <x:c r="B342" s="131" t="n">
        <x:v>0</x:v>
      </x:c>
      <x:c r="C342" s="131" t="n">
        <x:v>0</x:v>
      </x:c>
      <x:c r="D342" s="131" t="n">
        <x:v>0</x:v>
      </x:c>
      <x:c r="E342" s="131" t="n">
        <x:v>31607068.36</x:v>
      </x:c>
      <x:c r="F342" s="131" t="n">
        <x:f>SUM(B342:E342)</x:f>
        <x:v>31607068.36</x:v>
      </x:c>
      <x:c r="G342" s="111" t="str">
        <x:v>Independente</x:v>
      </x:c>
      <x:c r="H342" s="140" t="str">
        <x:v>Independente</x:v>
      </x:c>
      <x:c r="I342" s="111" t="str">
        <x:v>Regra residual — revisar manualmente</x:v>
      </x:c>
      <x:c r="J342" s="149" t="str">
        <x:v>Sim</x:v>
      </x:c>
      <x:c r="K342" s="131" t="n">
        <x:f>IF($H342="Independente",$F342,0)</x:f>
        <x:v>31607068.36</x:v>
      </x:c>
      <x:c r="L342" s="131" t="n">
        <x:f>IF($H342="Ligada a banco",$F342,0)</x:f>
        <x:v>0</x:v>
      </x:c>
      <x:c r="M342" s="114" t="n">
        <x:f>IF(K342&gt;0,RANK(K342,$K$6:$K$462)+COUNTIF($K$6:K342,K342)-1,9999)</x:f>
        <x:v>314</x:v>
      </x:c>
      <x:c r="N342" s="114" t="n">
        <x:f>IF(L342&gt;0,RANK(L342,$L$6:$L$462)+COUNTIF($L$6:L342,L342)-1,9999)</x:f>
        <x:v>9999</x:v>
      </x:c>
    </x:row>
    <x:row r="343">
      <x:c r="A343" s="111" t="str">
        <x:v>Exante Asset Management</x:v>
      </x:c>
      <x:c r="B343" s="131" t="n">
        <x:v>0</x:v>
      </x:c>
      <x:c r="C343" s="131" t="n">
        <x:v>0</x:v>
      </x:c>
      <x:c r="D343" s="131" t="n">
        <x:v>0</x:v>
      </x:c>
      <x:c r="E343" s="131" t="n">
        <x:v>31357233.13</x:v>
      </x:c>
      <x:c r="F343" s="131" t="n">
        <x:f>SUM(B343:E343)</x:f>
        <x:v>31357233.13</x:v>
      </x:c>
      <x:c r="G343" s="111" t="str">
        <x:v>Independente</x:v>
      </x:c>
      <x:c r="H343" s="140" t="str">
        <x:v>Independente</x:v>
      </x:c>
      <x:c r="I343" s="111" t="str">
        <x:v>Regra residual — revisar manualmente</x:v>
      </x:c>
      <x:c r="J343" s="149" t="str">
        <x:v>Sim</x:v>
      </x:c>
      <x:c r="K343" s="131" t="n">
        <x:f>IF($H343="Independente",$F343,0)</x:f>
        <x:v>31357233.13</x:v>
      </x:c>
      <x:c r="L343" s="131" t="n">
        <x:f>IF($H343="Ligada a banco",$F343,0)</x:f>
        <x:v>0</x:v>
      </x:c>
      <x:c r="M343" s="114" t="n">
        <x:f>IF(K343&gt;0,RANK(K343,$K$6:$K$462)+COUNTIF($K$6:K343,K343)-1,9999)</x:f>
        <x:v>315</x:v>
      </x:c>
      <x:c r="N343" s="114" t="n">
        <x:f>IF(L343&gt;0,RANK(L343,$L$6:$L$462)+COUNTIF($L$6:L343,L343)-1,9999)</x:f>
        <x:v>9999</x:v>
      </x:c>
    </x:row>
    <x:row r="344">
      <x:c r="A344" s="111" t="str">
        <x:v>INVESTCOOP ASSET MANAGEMENT LTDA</x:v>
      </x:c>
      <x:c r="B344" s="131" t="n">
        <x:v>31204912.36</x:v>
      </x:c>
      <x:c r="C344" s="131" t="n">
        <x:v>0</x:v>
      </x:c>
      <x:c r="D344" s="131" t="n">
        <x:v>0</x:v>
      </x:c>
      <x:c r="E344" s="131" t="n">
        <x:v>0</x:v>
      </x:c>
      <x:c r="F344" s="131" t="n">
        <x:f>SUM(B344:E344)</x:f>
        <x:v>31204912.36</x:v>
      </x:c>
      <x:c r="G344" s="111" t="str">
        <x:v>Independente</x:v>
      </x:c>
      <x:c r="H344" s="140" t="str">
        <x:v>Independente</x:v>
      </x:c>
      <x:c r="I344" s="111" t="str">
        <x:v>Regra residual — revisar manualmente</x:v>
      </x:c>
      <x:c r="J344" s="149" t="str">
        <x:v>Sim</x:v>
      </x:c>
      <x:c r="K344" s="131" t="n">
        <x:f>IF($H344="Independente",$F344,0)</x:f>
        <x:v>31204912.36</x:v>
      </x:c>
      <x:c r="L344" s="131" t="n">
        <x:f>IF($H344="Ligada a banco",$F344,0)</x:f>
        <x:v>0</x:v>
      </x:c>
      <x:c r="M344" s="114" t="n">
        <x:f>IF(K344&gt;0,RANK(K344,$K$6:$K$462)+COUNTIF($K$6:K344,K344)-1,9999)</x:f>
        <x:v>316</x:v>
      </x:c>
      <x:c r="N344" s="114" t="n">
        <x:f>IF(L344&gt;0,RANK(L344,$L$6:$L$462)+COUNTIF($L$6:L344,L344)-1,9999)</x:f>
        <x:v>9999</x:v>
      </x:c>
    </x:row>
    <x:row r="345">
      <x:c r="A345" s="111" t="str">
        <x:v>Maud Capital</x:v>
      </x:c>
      <x:c r="B345" s="131" t="n">
        <x:v>30667232.43</x:v>
      </x:c>
      <x:c r="C345" s="131" t="n">
        <x:v>0</x:v>
      </x:c>
      <x:c r="D345" s="131" t="n">
        <x:v>0</x:v>
      </x:c>
      <x:c r="E345" s="131" t="n">
        <x:v>0</x:v>
      </x:c>
      <x:c r="F345" s="131" t="n">
        <x:f>SUM(B345:E345)</x:f>
        <x:v>30667232.43</x:v>
      </x:c>
      <x:c r="G345" s="111" t="str">
        <x:v>Independente</x:v>
      </x:c>
      <x:c r="H345" s="140" t="str">
        <x:v>Independente</x:v>
      </x:c>
      <x:c r="I345" s="111" t="str">
        <x:v>Regra residual — revisar manualmente</x:v>
      </x:c>
      <x:c r="J345" s="149" t="str">
        <x:v>Sim</x:v>
      </x:c>
      <x:c r="K345" s="131" t="n">
        <x:f>IF($H345="Independente",$F345,0)</x:f>
        <x:v>30667232.43</x:v>
      </x:c>
      <x:c r="L345" s="131" t="n">
        <x:f>IF($H345="Ligada a banco",$F345,0)</x:f>
        <x:v>0</x:v>
      </x:c>
      <x:c r="M345" s="114" t="n">
        <x:f>IF(K345&gt;0,RANK(K345,$K$6:$K$462)+COUNTIF($K$6:K345,K345)-1,9999)</x:f>
        <x:v>317</x:v>
      </x:c>
      <x:c r="N345" s="114" t="n">
        <x:f>IF(L345&gt;0,RANK(L345,$L$6:$L$462)+COUNTIF($L$6:L345,L345)-1,9999)</x:f>
        <x:v>9999</x:v>
      </x:c>
    </x:row>
    <x:row r="346">
      <x:c r="A346" s="111" t="str">
        <x:v>HEADINVEST ASSET</x:v>
      </x:c>
      <x:c r="B346" s="131" t="n">
        <x:v>0</x:v>
      </x:c>
      <x:c r="C346" s="131" t="n">
        <x:v>2279409.94</x:v>
      </x:c>
      <x:c r="D346" s="131" t="n">
        <x:v>0</x:v>
      </x:c>
      <x:c r="E346" s="131" t="n">
        <x:v>27208019.84</x:v>
      </x:c>
      <x:c r="F346" s="131" t="n">
        <x:f>SUM(B346:E346)</x:f>
        <x:v>29487429.78</x:v>
      </x:c>
      <x:c r="G346" s="111" t="str">
        <x:v>Independente</x:v>
      </x:c>
      <x:c r="H346" s="140" t="str">
        <x:v>Independente</x:v>
      </x:c>
      <x:c r="I346" s="111" t="str">
        <x:v>Regra residual — revisar manualmente</x:v>
      </x:c>
      <x:c r="J346" s="149" t="str">
        <x:v>Sim</x:v>
      </x:c>
      <x:c r="K346" s="131" t="n">
        <x:f>IF($H346="Independente",$F346,0)</x:f>
        <x:v>29487429.78</x:v>
      </x:c>
      <x:c r="L346" s="131" t="n">
        <x:f>IF($H346="Ligada a banco",$F346,0)</x:f>
        <x:v>0</x:v>
      </x:c>
      <x:c r="M346" s="114" t="n">
        <x:f>IF(K346&gt;0,RANK(K346,$K$6:$K$462)+COUNTIF($K$6:K346,K346)-1,9999)</x:f>
        <x:v>318</x:v>
      </x:c>
      <x:c r="N346" s="114" t="n">
        <x:f>IF(L346&gt;0,RANK(L346,$L$6:$L$462)+COUNTIF($L$6:L346,L346)-1,9999)</x:f>
        <x:v>9999</x:v>
      </x:c>
    </x:row>
    <x:row r="347">
      <x:c r="A347" s="111" t="str">
        <x:v>LEGEND WM</x:v>
      </x:c>
      <x:c r="B347" s="131" t="n">
        <x:v>0</x:v>
      </x:c>
      <x:c r="C347" s="131" t="n">
        <x:v>0</x:v>
      </x:c>
      <x:c r="D347" s="131" t="n">
        <x:v>0</x:v>
      </x:c>
      <x:c r="E347" s="131" t="n">
        <x:v>29320441.55</x:v>
      </x:c>
      <x:c r="F347" s="131" t="n">
        <x:f>SUM(B347:E347)</x:f>
        <x:v>29320441.55</x:v>
      </x:c>
      <x:c r="G347" s="111" t="str">
        <x:v>Independente</x:v>
      </x:c>
      <x:c r="H347" s="140" t="str">
        <x:v>Independente</x:v>
      </x:c>
      <x:c r="I347" s="111" t="str">
        <x:v>Regra residual — revisar manualmente</x:v>
      </x:c>
      <x:c r="J347" s="149" t="str">
        <x:v>Sim</x:v>
      </x:c>
      <x:c r="K347" s="131" t="n">
        <x:f>IF($H347="Independente",$F347,0)</x:f>
        <x:v>29320441.55</x:v>
      </x:c>
      <x:c r="L347" s="131" t="n">
        <x:f>IF($H347="Ligada a banco",$F347,0)</x:f>
        <x:v>0</x:v>
      </x:c>
      <x:c r="M347" s="114" t="n">
        <x:f>IF(K347&gt;0,RANK(K347,$K$6:$K$462)+COUNTIF($K$6:K347,K347)-1,9999)</x:f>
        <x:v>319</x:v>
      </x:c>
      <x:c r="N347" s="114" t="n">
        <x:f>IF(L347&gt;0,RANK(L347,$L$6:$L$462)+COUNTIF($L$6:L347,L347)-1,9999)</x:f>
        <x:v>9999</x:v>
      </x:c>
    </x:row>
    <x:row r="348">
      <x:c r="A348" s="111" t="str">
        <x:v>Horizonte Capital Gestão de Investimentos LTDA</x:v>
      </x:c>
      <x:c r="B348" s="131" t="n">
        <x:v>27530820.569999997</x:v>
      </x:c>
      <x:c r="C348" s="131" t="n">
        <x:v>0</x:v>
      </x:c>
      <x:c r="D348" s="131" t="n">
        <x:v>0</x:v>
      </x:c>
      <x:c r="E348" s="131" t="n">
        <x:v>0</x:v>
      </x:c>
      <x:c r="F348" s="131" t="n">
        <x:f>SUM(B348:E348)</x:f>
        <x:v>27530820.569999997</x:v>
      </x:c>
      <x:c r="G348" s="111" t="str">
        <x:v>Independente</x:v>
      </x:c>
      <x:c r="H348" s="140" t="str">
        <x:v>Independente</x:v>
      </x:c>
      <x:c r="I348" s="111" t="str">
        <x:v>Regra residual — revisar manualmente</x:v>
      </x:c>
      <x:c r="J348" s="149" t="str">
        <x:v>Sim</x:v>
      </x:c>
      <x:c r="K348" s="131" t="n">
        <x:f>IF($H348="Independente",$F348,0)</x:f>
        <x:v>27530820.569999997</x:v>
      </x:c>
      <x:c r="L348" s="131" t="n">
        <x:f>IF($H348="Ligada a banco",$F348,0)</x:f>
        <x:v>0</x:v>
      </x:c>
      <x:c r="M348" s="114" t="n">
        <x:f>IF(K348&gt;0,RANK(K348,$K$6:$K$462)+COUNTIF($K$6:K348,K348)-1,9999)</x:f>
        <x:v>320</x:v>
      </x:c>
      <x:c r="N348" s="114" t="n">
        <x:f>IF(L348&gt;0,RANK(L348,$L$6:$L$462)+COUNTIF($L$6:L348,L348)-1,9999)</x:f>
        <x:v>9999</x:v>
      </x:c>
    </x:row>
    <x:row r="349">
      <x:c r="A349" s="111" t="str">
        <x:v>Quartzo Invest</x:v>
      </x:c>
      <x:c r="B349" s="131" t="n">
        <x:v>0</x:v>
      </x:c>
      <x:c r="C349" s="131" t="n">
        <x:v>0</x:v>
      </x:c>
      <x:c r="D349" s="131" t="n">
        <x:v>24451613.69</x:v>
      </x:c>
      <x:c r="E349" s="131" t="n">
        <x:v>2879261.2699999996</x:v>
      </x:c>
      <x:c r="F349" s="131" t="n">
        <x:f>SUM(B349:E349)</x:f>
        <x:v>27330874.96</x:v>
      </x:c>
      <x:c r="G349" s="111" t="str">
        <x:v>Independente</x:v>
      </x:c>
      <x:c r="H349" s="140" t="str">
        <x:v>Independente</x:v>
      </x:c>
      <x:c r="I349" s="111" t="str">
        <x:v>Regra residual — revisar manualmente</x:v>
      </x:c>
      <x:c r="J349" s="149" t="str">
        <x:v>Sim</x:v>
      </x:c>
      <x:c r="K349" s="131" t="n">
        <x:f>IF($H349="Independente",$F349,0)</x:f>
        <x:v>27330874.96</x:v>
      </x:c>
      <x:c r="L349" s="131" t="n">
        <x:f>IF($H349="Ligada a banco",$F349,0)</x:f>
        <x:v>0</x:v>
      </x:c>
      <x:c r="M349" s="114" t="n">
        <x:f>IF(K349&gt;0,RANK(K349,$K$6:$K$462)+COUNTIF($K$6:K349,K349)-1,9999)</x:f>
        <x:v>321</x:v>
      </x:c>
      <x:c r="N349" s="114" t="n">
        <x:f>IF(L349&gt;0,RANK(L349,$L$6:$L$462)+COUNTIF($L$6:L349,L349)-1,9999)</x:f>
        <x:v>9999</x:v>
      </x:c>
    </x:row>
    <x:row r="350">
      <x:c r="A350" s="111" t="str">
        <x:v>FUNDO GARANTIDOR DE CREDITOS - FGC</x:v>
      </x:c>
      <x:c r="B350" s="131" t="n">
        <x:v>0</x:v>
      </x:c>
      <x:c r="C350" s="131" t="n">
        <x:v>26743602.3</x:v>
      </x:c>
      <x:c r="D350" s="131" t="n">
        <x:v>0</x:v>
      </x:c>
      <x:c r="E350" s="131" t="n">
        <x:v>0</x:v>
      </x:c>
      <x:c r="F350" s="131" t="n">
        <x:f>SUM(B350:E350)</x:f>
        <x:v>26743602.3</x:v>
      </x:c>
      <x:c r="G350" s="111" t="str">
        <x:v>Independente</x:v>
      </x:c>
      <x:c r="H350" s="140" t="str">
        <x:v>Independente</x:v>
      </x:c>
      <x:c r="I350" s="111" t="str">
        <x:v>Regra residual — revisar manualmente</x:v>
      </x:c>
      <x:c r="J350" s="149" t="str">
        <x:v>Sim</x:v>
      </x:c>
      <x:c r="K350" s="131" t="n">
        <x:f>IF($H350="Independente",$F350,0)</x:f>
        <x:v>26743602.3</x:v>
      </x:c>
      <x:c r="L350" s="131" t="n">
        <x:f>IF($H350="Ligada a banco",$F350,0)</x:f>
        <x:v>0</x:v>
      </x:c>
      <x:c r="M350" s="114" t="n">
        <x:f>IF(K350&gt;0,RANK(K350,$K$6:$K$462)+COUNTIF($K$6:K350,K350)-1,9999)</x:f>
        <x:v>322</x:v>
      </x:c>
      <x:c r="N350" s="114" t="n">
        <x:f>IF(L350&gt;0,RANK(L350,$L$6:$L$462)+COUNTIF($L$6:L350,L350)-1,9999)</x:f>
        <x:v>9999</x:v>
      </x:c>
    </x:row>
    <x:row r="351">
      <x:c r="A351" s="111" t="str">
        <x:v>W Capital</x:v>
      </x:c>
      <x:c r="B351" s="131" t="n">
        <x:v>26320613.880000006</x:v>
      </x:c>
      <x:c r="C351" s="131" t="n">
        <x:v>0</x:v>
      </x:c>
      <x:c r="D351" s="131" t="n">
        <x:v>0</x:v>
      </x:c>
      <x:c r="E351" s="131" t="n">
        <x:v>0</x:v>
      </x:c>
      <x:c r="F351" s="131" t="n">
        <x:f>SUM(B351:E351)</x:f>
        <x:v>26320613.880000006</x:v>
      </x:c>
      <x:c r="G351" s="111" t="str">
        <x:v>Independente</x:v>
      </x:c>
      <x:c r="H351" s="140" t="str">
        <x:v>Independente</x:v>
      </x:c>
      <x:c r="I351" s="111" t="str">
        <x:v>Regra residual — revisar manualmente</x:v>
      </x:c>
      <x:c r="J351" s="149" t="str">
        <x:v>Sim</x:v>
      </x:c>
      <x:c r="K351" s="131" t="n">
        <x:f>IF($H351="Independente",$F351,0)</x:f>
        <x:v>26320613.880000006</x:v>
      </x:c>
      <x:c r="L351" s="131" t="n">
        <x:f>IF($H351="Ligada a banco",$F351,0)</x:f>
        <x:v>0</x:v>
      </x:c>
      <x:c r="M351" s="114" t="n">
        <x:f>IF(K351&gt;0,RANK(K351,$K$6:$K$462)+COUNTIF($K$6:K351,K351)-1,9999)</x:f>
        <x:v>323</x:v>
      </x:c>
      <x:c r="N351" s="114" t="n">
        <x:f>IF(L351&gt;0,RANK(L351,$L$6:$L$462)+COUNTIF($L$6:L351,L351)-1,9999)</x:f>
        <x:v>9999</x:v>
      </x:c>
    </x:row>
    <x:row r="352">
      <x:c r="A352" s="111" t="str">
        <x:v>TG CORE ASSET</x:v>
      </x:c>
      <x:c r="B352" s="131" t="n">
        <x:v>0</x:v>
      </x:c>
      <x:c r="C352" s="131" t="n">
        <x:v>0</x:v>
      </x:c>
      <x:c r="D352" s="131" t="n">
        <x:v>0</x:v>
      </x:c>
      <x:c r="E352" s="131" t="n">
        <x:v>26056408.99</x:v>
      </x:c>
      <x:c r="F352" s="131" t="n">
        <x:f>SUM(B352:E352)</x:f>
        <x:v>26056408.99</x:v>
      </x:c>
      <x:c r="G352" s="111" t="str">
        <x:v>Independente</x:v>
      </x:c>
      <x:c r="H352" s="140" t="str">
        <x:v>Independente</x:v>
      </x:c>
      <x:c r="I352" s="111" t="str">
        <x:v>Regra residual — revisar manualmente</x:v>
      </x:c>
      <x:c r="J352" s="149" t="str">
        <x:v>Sim</x:v>
      </x:c>
      <x:c r="K352" s="131" t="n">
        <x:f>IF($H352="Independente",$F352,0)</x:f>
        <x:v>26056408.99</x:v>
      </x:c>
      <x:c r="L352" s="131" t="n">
        <x:f>IF($H352="Ligada a banco",$F352,0)</x:f>
        <x:v>0</x:v>
      </x:c>
      <x:c r="M352" s="114" t="n">
        <x:f>IF(K352&gt;0,RANK(K352,$K$6:$K$462)+COUNTIF($K$6:K352,K352)-1,9999)</x:f>
        <x:v>324</x:v>
      </x:c>
      <x:c r="N352" s="114" t="n">
        <x:f>IF(L352&gt;0,RANK(L352,$L$6:$L$462)+COUNTIF($L$6:L352,L352)-1,9999)</x:f>
        <x:v>9999</x:v>
      </x:c>
    </x:row>
    <x:row r="353">
      <x:c r="A353" s="111" t="str">
        <x:v>WIT ASSET MANAGEMENT</x:v>
      </x:c>
      <x:c r="B353" s="131" t="n">
        <x:v>0</x:v>
      </x:c>
      <x:c r="C353" s="131" t="n">
        <x:v>0</x:v>
      </x:c>
      <x:c r="D353" s="131" t="n">
        <x:v>0</x:v>
      </x:c>
      <x:c r="E353" s="131" t="n">
        <x:v>25979018.44</x:v>
      </x:c>
      <x:c r="F353" s="131" t="n">
        <x:f>SUM(B353:E353)</x:f>
        <x:v>25979018.44</x:v>
      </x:c>
      <x:c r="G353" s="111" t="str">
        <x:v>Independente</x:v>
      </x:c>
      <x:c r="H353" s="140" t="str">
        <x:v>Independente</x:v>
      </x:c>
      <x:c r="I353" s="111" t="str">
        <x:v>Regra residual — revisar manualmente</x:v>
      </x:c>
      <x:c r="J353" s="149" t="str">
        <x:v>Sim</x:v>
      </x:c>
      <x:c r="K353" s="131" t="n">
        <x:f>IF($H353="Independente",$F353,0)</x:f>
        <x:v>25979018.44</x:v>
      </x:c>
      <x:c r="L353" s="131" t="n">
        <x:f>IF($H353="Ligada a banco",$F353,0)</x:f>
        <x:v>0</x:v>
      </x:c>
      <x:c r="M353" s="114" t="n">
        <x:f>IF(K353&gt;0,RANK(K353,$K$6:$K$462)+COUNTIF($K$6:K353,K353)-1,9999)</x:f>
        <x:v>325</x:v>
      </x:c>
      <x:c r="N353" s="114" t="n">
        <x:f>IF(L353&gt;0,RANK(L353,$L$6:$L$462)+COUNTIF($L$6:L353,L353)-1,9999)</x:f>
        <x:v>9999</x:v>
      </x:c>
    </x:row>
    <x:row r="354">
      <x:c r="A354" s="111" t="str">
        <x:v>QUELUZ ASSET</x:v>
      </x:c>
      <x:c r="B354" s="131" t="n">
        <x:v>0</x:v>
      </x:c>
      <x:c r="C354" s="131" t="n">
        <x:v>0</x:v>
      </x:c>
      <x:c r="D354" s="131" t="n">
        <x:v>0</x:v>
      </x:c>
      <x:c r="E354" s="131" t="n">
        <x:v>25755110.120000005</x:v>
      </x:c>
      <x:c r="F354" s="131" t="n">
        <x:f>SUM(B354:E354)</x:f>
        <x:v>25755110.120000005</x:v>
      </x:c>
      <x:c r="G354" s="111" t="str">
        <x:v>Independente</x:v>
      </x:c>
      <x:c r="H354" s="140" t="str">
        <x:v>Independente</x:v>
      </x:c>
      <x:c r="I354" s="111" t="str">
        <x:v>Regra residual — revisar manualmente</x:v>
      </x:c>
      <x:c r="J354" s="149" t="str">
        <x:v>Sim</x:v>
      </x:c>
      <x:c r="K354" s="131" t="n">
        <x:f>IF($H354="Independente",$F354,0)</x:f>
        <x:v>25755110.120000005</x:v>
      </x:c>
      <x:c r="L354" s="131" t="n">
        <x:f>IF($H354="Ligada a banco",$F354,0)</x:f>
        <x:v>0</x:v>
      </x:c>
      <x:c r="M354" s="114" t="n">
        <x:f>IF(K354&gt;0,RANK(K354,$K$6:$K$462)+COUNTIF($K$6:K354,K354)-1,9999)</x:f>
        <x:v>326</x:v>
      </x:c>
      <x:c r="N354" s="114" t="n">
        <x:f>IF(L354&gt;0,RANK(L354,$L$6:$L$462)+COUNTIF($L$6:L354,L354)-1,9999)</x:f>
        <x:v>9999</x:v>
      </x:c>
    </x:row>
    <x:row r="355">
      <x:c r="A355" s="111" t="str">
        <x:v>Latinoamericana de Investimentos e Capital Ltda</x:v>
      </x:c>
      <x:c r="B355" s="131" t="n">
        <x:v>0</x:v>
      </x:c>
      <x:c r="C355" s="131" t="n">
        <x:v>0</x:v>
      </x:c>
      <x:c r="D355" s="131" t="n">
        <x:v>0</x:v>
      </x:c>
      <x:c r="E355" s="131" t="n">
        <x:v>25657161.72</x:v>
      </x:c>
      <x:c r="F355" s="131" t="n">
        <x:f>SUM(B355:E355)</x:f>
        <x:v>25657161.72</x:v>
      </x:c>
      <x:c r="G355" s="111" t="str">
        <x:v>Independente</x:v>
      </x:c>
      <x:c r="H355" s="140" t="str">
        <x:v>Independente</x:v>
      </x:c>
      <x:c r="I355" s="111" t="str">
        <x:v>Regra residual — revisar manualmente</x:v>
      </x:c>
      <x:c r="J355" s="149" t="str">
        <x:v>Sim</x:v>
      </x:c>
      <x:c r="K355" s="131" t="n">
        <x:f>IF($H355="Independente",$F355,0)</x:f>
        <x:v>25657161.72</x:v>
      </x:c>
      <x:c r="L355" s="131" t="n">
        <x:f>IF($H355="Ligada a banco",$F355,0)</x:f>
        <x:v>0</x:v>
      </x:c>
      <x:c r="M355" s="114" t="n">
        <x:f>IF(K355&gt;0,RANK(K355,$K$6:$K$462)+COUNTIF($K$6:K355,K355)-1,9999)</x:f>
        <x:v>327</x:v>
      </x:c>
      <x:c r="N355" s="114" t="n">
        <x:f>IF(L355&gt;0,RANK(L355,$L$6:$L$462)+COUNTIF($L$6:L355,L355)-1,9999)</x:f>
        <x:v>9999</x:v>
      </x:c>
    </x:row>
    <x:row r="356">
      <x:c r="A356" s="111" t="str">
        <x:v>Lakewood Investment Management</x:v>
      </x:c>
      <x:c r="B356" s="131" t="n">
        <x:v>0</x:v>
      </x:c>
      <x:c r="C356" s="131" t="n">
        <x:v>0</x:v>
      </x:c>
      <x:c r="D356" s="131" t="n">
        <x:v>0</x:v>
      </x:c>
      <x:c r="E356" s="131" t="n">
        <x:v>23080434.58</x:v>
      </x:c>
      <x:c r="F356" s="131" t="n">
        <x:f>SUM(B356:E356)</x:f>
        <x:v>23080434.58</x:v>
      </x:c>
      <x:c r="G356" s="111" t="str">
        <x:v>Independente</x:v>
      </x:c>
      <x:c r="H356" s="140" t="str">
        <x:v>Independente</x:v>
      </x:c>
      <x:c r="I356" s="111" t="str">
        <x:v>Regra residual — revisar manualmente</x:v>
      </x:c>
      <x:c r="J356" s="149" t="str">
        <x:v>Sim</x:v>
      </x:c>
      <x:c r="K356" s="131" t="n">
        <x:f>IF($H356="Independente",$F356,0)</x:f>
        <x:v>23080434.58</x:v>
      </x:c>
      <x:c r="L356" s="131" t="n">
        <x:f>IF($H356="Ligada a banco",$F356,0)</x:f>
        <x:v>0</x:v>
      </x:c>
      <x:c r="M356" s="114" t="n">
        <x:f>IF(K356&gt;0,RANK(K356,$K$6:$K$462)+COUNTIF($K$6:K356,K356)-1,9999)</x:f>
        <x:v>328</x:v>
      </x:c>
      <x:c r="N356" s="114" t="n">
        <x:f>IF(L356&gt;0,RANK(L356,$L$6:$L$462)+COUNTIF($L$6:L356,L356)-1,9999)</x:f>
        <x:v>9999</x:v>
      </x:c>
    </x:row>
    <x:row r="357">
      <x:c r="A357" s="111" t="str">
        <x:v>RB Investimentos Gestão de Recursos</x:v>
      </x:c>
      <x:c r="B357" s="131" t="n">
        <x:v>22431466.65</x:v>
      </x:c>
      <x:c r="C357" s="131" t="n">
        <x:v>0</x:v>
      </x:c>
      <x:c r="D357" s="131" t="n">
        <x:v>0</x:v>
      </x:c>
      <x:c r="E357" s="131" t="n">
        <x:v>0</x:v>
      </x:c>
      <x:c r="F357" s="131" t="n">
        <x:f>SUM(B357:E357)</x:f>
        <x:v>22431466.65</x:v>
      </x:c>
      <x:c r="G357" s="111" t="str">
        <x:v>Independente</x:v>
      </x:c>
      <x:c r="H357" s="140" t="str">
        <x:v>Independente</x:v>
      </x:c>
      <x:c r="I357" s="111" t="str">
        <x:v>Regra residual — revisar manualmente</x:v>
      </x:c>
      <x:c r="J357" s="149" t="str">
        <x:v>Sim</x:v>
      </x:c>
      <x:c r="K357" s="131" t="n">
        <x:f>IF($H357="Independente",$F357,0)</x:f>
        <x:v>22431466.65</x:v>
      </x:c>
      <x:c r="L357" s="131" t="n">
        <x:f>IF($H357="Ligada a banco",$F357,0)</x:f>
        <x:v>0</x:v>
      </x:c>
      <x:c r="M357" s="114" t="n">
        <x:f>IF(K357&gt;0,RANK(K357,$K$6:$K$462)+COUNTIF($K$6:K357,K357)-1,9999)</x:f>
        <x:v>329</x:v>
      </x:c>
      <x:c r="N357" s="114" t="n">
        <x:f>IF(L357&gt;0,RANK(L357,$L$6:$L$462)+COUNTIF($L$6:L357,L357)-1,9999)</x:f>
        <x:v>9999</x:v>
      </x:c>
    </x:row>
    <x:row r="358">
      <x:c r="A358" s="111" t="str">
        <x:v>Nero Capital</x:v>
      </x:c>
      <x:c r="B358" s="131" t="n">
        <x:v>0</x:v>
      </x:c>
      <x:c r="C358" s="131" t="n">
        <x:v>0</x:v>
      </x:c>
      <x:c r="D358" s="131" t="n">
        <x:v>22307624.00001</x:v>
      </x:c>
      <x:c r="E358" s="131" t="n">
        <x:v>0</x:v>
      </x:c>
      <x:c r="F358" s="131" t="n">
        <x:f>SUM(B358:E358)</x:f>
        <x:v>22307624.00001</x:v>
      </x:c>
      <x:c r="G358" s="111" t="str">
        <x:v>Independente</x:v>
      </x:c>
      <x:c r="H358" s="140" t="str">
        <x:v>Independente</x:v>
      </x:c>
      <x:c r="I358" s="111" t="str">
        <x:v>Regra residual — revisar manualmente</x:v>
      </x:c>
      <x:c r="J358" s="149" t="str">
        <x:v>Sim</x:v>
      </x:c>
      <x:c r="K358" s="131" t="n">
        <x:f>IF($H358="Independente",$F358,0)</x:f>
        <x:v>22307624.00001</x:v>
      </x:c>
      <x:c r="L358" s="131" t="n">
        <x:f>IF($H358="Ligada a banco",$F358,0)</x:f>
        <x:v>0</x:v>
      </x:c>
      <x:c r="M358" s="114" t="n">
        <x:f>IF(K358&gt;0,RANK(K358,$K$6:$K$462)+COUNTIF($K$6:K358,K358)-1,9999)</x:f>
        <x:v>330</x:v>
      </x:c>
      <x:c r="N358" s="114" t="n">
        <x:f>IF(L358&gt;0,RANK(L358,$L$6:$L$462)+COUNTIF($L$6:L358,L358)-1,9999)</x:f>
        <x:v>9999</x:v>
      </x:c>
    </x:row>
    <x:row r="359">
      <x:c r="A359" s="111" t="str">
        <x:v>XVI Capital</x:v>
      </x:c>
      <x:c r="B359" s="131" t="n">
        <x:v>0</x:v>
      </x:c>
      <x:c r="C359" s="131" t="n">
        <x:v>0</x:v>
      </x:c>
      <x:c r="D359" s="131" t="n">
        <x:v>0</x:v>
      </x:c>
      <x:c r="E359" s="131" t="n">
        <x:v>21336602.35</x:v>
      </x:c>
      <x:c r="F359" s="131" t="n">
        <x:f>SUM(B359:E359)</x:f>
        <x:v>21336602.35</x:v>
      </x:c>
      <x:c r="G359" s="111" t="str">
        <x:v>Independente</x:v>
      </x:c>
      <x:c r="H359" s="140" t="str">
        <x:v>Independente</x:v>
      </x:c>
      <x:c r="I359" s="111" t="str">
        <x:v>Regra residual — revisar manualmente</x:v>
      </x:c>
      <x:c r="J359" s="149" t="str">
        <x:v>Sim</x:v>
      </x:c>
      <x:c r="K359" s="131" t="n">
        <x:f>IF($H359="Independente",$F359,0)</x:f>
        <x:v>21336602.35</x:v>
      </x:c>
      <x:c r="L359" s="131" t="n">
        <x:f>IF($H359="Ligada a banco",$F359,0)</x:f>
        <x:v>0</x:v>
      </x:c>
      <x:c r="M359" s="114" t="n">
        <x:f>IF(K359&gt;0,RANK(K359,$K$6:$K$462)+COUNTIF($K$6:K359,K359)-1,9999)</x:f>
        <x:v>331</x:v>
      </x:c>
      <x:c r="N359" s="114" t="n">
        <x:f>IF(L359&gt;0,RANK(L359,$L$6:$L$462)+COUNTIF($L$6:L359,L359)-1,9999)</x:f>
        <x:v>9999</x:v>
      </x:c>
    </x:row>
    <x:row r="360">
      <x:c r="A360" s="111" t="str">
        <x:v>REAG HIERON</x:v>
      </x:c>
      <x:c r="B360" s="131" t="n">
        <x:v>0</x:v>
      </x:c>
      <x:c r="C360" s="131" t="n">
        <x:v>0</x:v>
      </x:c>
      <x:c r="D360" s="131" t="n">
        <x:v>0</x:v>
      </x:c>
      <x:c r="E360" s="131" t="n">
        <x:v>20779010.700000003</x:v>
      </x:c>
      <x:c r="F360" s="131" t="n">
        <x:f>SUM(B360:E360)</x:f>
        <x:v>20779010.700000003</x:v>
      </x:c>
      <x:c r="G360" s="111" t="str">
        <x:v>Independente</x:v>
      </x:c>
      <x:c r="H360" s="140" t="str">
        <x:v>Independente</x:v>
      </x:c>
      <x:c r="I360" s="111" t="str">
        <x:v>Regra residual — revisar manualmente</x:v>
      </x:c>
      <x:c r="J360" s="149" t="str">
        <x:v>Sim</x:v>
      </x:c>
      <x:c r="K360" s="131" t="n">
        <x:f>IF($H360="Independente",$F360,0)</x:f>
        <x:v>20779010.700000003</x:v>
      </x:c>
      <x:c r="L360" s="131" t="n">
        <x:f>IF($H360="Ligada a banco",$F360,0)</x:f>
        <x:v>0</x:v>
      </x:c>
      <x:c r="M360" s="114" t="n">
        <x:f>IF(K360&gt;0,RANK(K360,$K$6:$K$462)+COUNTIF($K$6:K360,K360)-1,9999)</x:f>
        <x:v>332</x:v>
      </x:c>
      <x:c r="N360" s="114" t="n">
        <x:f>IF(L360&gt;0,RANK(L360,$L$6:$L$462)+COUNTIF($L$6:L360,L360)-1,9999)</x:f>
        <x:v>9999</x:v>
      </x:c>
    </x:row>
    <x:row r="361">
      <x:c r="A361" s="111" t="str">
        <x:v>Signal Capital</x:v>
      </x:c>
      <x:c r="B361" s="131" t="n">
        <x:v>0</x:v>
      </x:c>
      <x:c r="C361" s="131" t="n">
        <x:v>0</x:v>
      </x:c>
      <x:c r="D361" s="131" t="n">
        <x:v>0</x:v>
      </x:c>
      <x:c r="E361" s="131" t="n">
        <x:v>20657214.19</x:v>
      </x:c>
      <x:c r="F361" s="131" t="n">
        <x:f>SUM(B361:E361)</x:f>
        <x:v>20657214.19</x:v>
      </x:c>
      <x:c r="G361" s="111" t="str">
        <x:v>Independente</x:v>
      </x:c>
      <x:c r="H361" s="140" t="str">
        <x:v>Independente</x:v>
      </x:c>
      <x:c r="I361" s="111" t="str">
        <x:v>Regra residual — revisar manualmente</x:v>
      </x:c>
      <x:c r="J361" s="149" t="str">
        <x:v>Sim</x:v>
      </x:c>
      <x:c r="K361" s="131" t="n">
        <x:f>IF($H361="Independente",$F361,0)</x:f>
        <x:v>20657214.19</x:v>
      </x:c>
      <x:c r="L361" s="131" t="n">
        <x:f>IF($H361="Ligada a banco",$F361,0)</x:f>
        <x:v>0</x:v>
      </x:c>
      <x:c r="M361" s="114" t="n">
        <x:f>IF(K361&gt;0,RANK(K361,$K$6:$K$462)+COUNTIF($K$6:K361,K361)-1,9999)</x:f>
        <x:v>333</x:v>
      </x:c>
      <x:c r="N361" s="114" t="n">
        <x:f>IF(L361&gt;0,RANK(L361,$L$6:$L$462)+COUNTIF($L$6:L361,L361)-1,9999)</x:f>
        <x:v>9999</x:v>
      </x:c>
    </x:row>
    <x:row r="362">
      <x:c r="A362" s="111" t="str">
        <x:v>4UM GESTÃO DE RECURSOS LTDA.</x:v>
      </x:c>
      <x:c r="B362" s="131" t="n">
        <x:v>0</x:v>
      </x:c>
      <x:c r="C362" s="131" t="n">
        <x:v>0</x:v>
      </x:c>
      <x:c r="D362" s="131" t="n">
        <x:v>0</x:v>
      </x:c>
      <x:c r="E362" s="131" t="n">
        <x:v>20291127.41</x:v>
      </x:c>
      <x:c r="F362" s="131" t="n">
        <x:f>SUM(B362:E362)</x:f>
        <x:v>20291127.41</x:v>
      </x:c>
      <x:c r="G362" s="111" t="str">
        <x:v>Independente</x:v>
      </x:c>
      <x:c r="H362" s="140" t="str">
        <x:v>Independente</x:v>
      </x:c>
      <x:c r="I362" s="111" t="str">
        <x:v>Regra residual — revisar manualmente</x:v>
      </x:c>
      <x:c r="J362" s="149" t="str">
        <x:v>Sim</x:v>
      </x:c>
      <x:c r="K362" s="131" t="n">
        <x:f>IF($H362="Independente",$F362,0)</x:f>
        <x:v>20291127.41</x:v>
      </x:c>
      <x:c r="L362" s="131" t="n">
        <x:f>IF($H362="Ligada a banco",$F362,0)</x:f>
        <x:v>0</x:v>
      </x:c>
      <x:c r="M362" s="114" t="n">
        <x:f>IF(K362&gt;0,RANK(K362,$K$6:$K$462)+COUNTIF($K$6:K362,K362)-1,9999)</x:f>
        <x:v>334</x:v>
      </x:c>
      <x:c r="N362" s="114" t="n">
        <x:f>IF(L362&gt;0,RANK(L362,$L$6:$L$462)+COUNTIF($L$6:L362,L362)-1,9999)</x:f>
        <x:v>9999</x:v>
      </x:c>
    </x:row>
    <x:row r="363">
      <x:c r="A363" s="111" t="str">
        <x:v>ARM Capital</x:v>
      </x:c>
      <x:c r="B363" s="131" t="n">
        <x:v>0</x:v>
      </x:c>
      <x:c r="C363" s="131" t="n">
        <x:v>0</x:v>
      </x:c>
      <x:c r="D363" s="131" t="n">
        <x:v>0</x:v>
      </x:c>
      <x:c r="E363" s="131" t="n">
        <x:v>19962409.54</x:v>
      </x:c>
      <x:c r="F363" s="131" t="n">
        <x:f>SUM(B363:E363)</x:f>
        <x:v>19962409.54</x:v>
      </x:c>
      <x:c r="G363" s="111" t="str">
        <x:v>Independente</x:v>
      </x:c>
      <x:c r="H363" s="140" t="str">
        <x:v>Independente</x:v>
      </x:c>
      <x:c r="I363" s="111" t="str">
        <x:v>Regra residual — revisar manualmente</x:v>
      </x:c>
      <x:c r="J363" s="149" t="str">
        <x:v>Sim</x:v>
      </x:c>
      <x:c r="K363" s="131" t="n">
        <x:f>IF($H363="Independente",$F363,0)</x:f>
        <x:v>19962409.54</x:v>
      </x:c>
      <x:c r="L363" s="131" t="n">
        <x:f>IF($H363="Ligada a banco",$F363,0)</x:f>
        <x:v>0</x:v>
      </x:c>
      <x:c r="M363" s="114" t="n">
        <x:f>IF(K363&gt;0,RANK(K363,$K$6:$K$462)+COUNTIF($K$6:K363,K363)-1,9999)</x:f>
        <x:v>335</x:v>
      </x:c>
      <x:c r="N363" s="114" t="n">
        <x:f>IF(L363&gt;0,RANK(L363,$L$6:$L$462)+COUNTIF($L$6:L363,L363)-1,9999)</x:f>
        <x:v>9999</x:v>
      </x:c>
    </x:row>
    <x:row r="364">
      <x:c r="A364" s="111" t="str">
        <x:v>B6 GESTORA DE RECURSOS LTDA</x:v>
      </x:c>
      <x:c r="B364" s="131" t="n">
        <x:v>0</x:v>
      </x:c>
      <x:c r="C364" s="131" t="n">
        <x:v>0</x:v>
      </x:c>
      <x:c r="D364" s="131" t="n">
        <x:v>0</x:v>
      </x:c>
      <x:c r="E364" s="131" t="n">
        <x:v>19677883.99</x:v>
      </x:c>
      <x:c r="F364" s="131" t="n">
        <x:f>SUM(B364:E364)</x:f>
        <x:v>19677883.99</x:v>
      </x:c>
      <x:c r="G364" s="111" t="str">
        <x:v>Independente</x:v>
      </x:c>
      <x:c r="H364" s="140" t="str">
        <x:v>Independente</x:v>
      </x:c>
      <x:c r="I364" s="111" t="str">
        <x:v>Regra residual — revisar manualmente</x:v>
      </x:c>
      <x:c r="J364" s="149" t="str">
        <x:v>Sim</x:v>
      </x:c>
      <x:c r="K364" s="131" t="n">
        <x:f>IF($H364="Independente",$F364,0)</x:f>
        <x:v>19677883.99</x:v>
      </x:c>
      <x:c r="L364" s="131" t="n">
        <x:f>IF($H364="Ligada a banco",$F364,0)</x:f>
        <x:v>0</x:v>
      </x:c>
      <x:c r="M364" s="114" t="n">
        <x:f>IF(K364&gt;0,RANK(K364,$K$6:$K$462)+COUNTIF($K$6:K364,K364)-1,9999)</x:f>
        <x:v>336</x:v>
      </x:c>
      <x:c r="N364" s="114" t="n">
        <x:f>IF(L364&gt;0,RANK(L364,$L$6:$L$462)+COUNTIF($L$6:L364,L364)-1,9999)</x:f>
        <x:v>9999</x:v>
      </x:c>
    </x:row>
    <x:row r="365">
      <x:c r="A365" s="111" t="str">
        <x:v>Legatus Asset Management</x:v>
      </x:c>
      <x:c r="B365" s="131" t="n">
        <x:v>2586543.4800000004</x:v>
      </x:c>
      <x:c r="C365" s="131" t="n">
        <x:v>0</x:v>
      </x:c>
      <x:c r="D365" s="131" t="n">
        <x:v>0</x:v>
      </x:c>
      <x:c r="E365" s="131" t="n">
        <x:v>16515852.45</x:v>
      </x:c>
      <x:c r="F365" s="131" t="n">
        <x:f>SUM(B365:E365)</x:f>
        <x:v>19102395.93</x:v>
      </x:c>
      <x:c r="G365" s="111" t="str">
        <x:v>Independente</x:v>
      </x:c>
      <x:c r="H365" s="140" t="str">
        <x:v>Independente</x:v>
      </x:c>
      <x:c r="I365" s="111" t="str">
        <x:v>Regra residual — revisar manualmente</x:v>
      </x:c>
      <x:c r="J365" s="149" t="str">
        <x:v>Sim</x:v>
      </x:c>
      <x:c r="K365" s="131" t="n">
        <x:f>IF($H365="Independente",$F365,0)</x:f>
        <x:v>19102395.93</x:v>
      </x:c>
      <x:c r="L365" s="131" t="n">
        <x:f>IF($H365="Ligada a banco",$F365,0)</x:f>
        <x:v>0</x:v>
      </x:c>
      <x:c r="M365" s="114" t="n">
        <x:f>IF(K365&gt;0,RANK(K365,$K$6:$K$462)+COUNTIF($K$6:K365,K365)-1,9999)</x:f>
        <x:v>337</x:v>
      </x:c>
      <x:c r="N365" s="114" t="n">
        <x:f>IF(L365&gt;0,RANK(L365,$L$6:$L$462)+COUNTIF($L$6:L365,L365)-1,9999)</x:f>
        <x:v>9999</x:v>
      </x:c>
    </x:row>
    <x:row r="366">
      <x:c r="A366" s="111" t="str">
        <x:v>1618 INVESTIMENTOS</x:v>
      </x:c>
      <x:c r="B366" s="131" t="n">
        <x:v>0</x:v>
      </x:c>
      <x:c r="C366" s="131" t="n">
        <x:v>0</x:v>
      </x:c>
      <x:c r="D366" s="131" t="n">
        <x:v>0</x:v>
      </x:c>
      <x:c r="E366" s="131" t="n">
        <x:v>18925146.9</x:v>
      </x:c>
      <x:c r="F366" s="131" t="n">
        <x:f>SUM(B366:E366)</x:f>
        <x:v>18925146.9</x:v>
      </x:c>
      <x:c r="G366" s="111" t="str">
        <x:v>Independente</x:v>
      </x:c>
      <x:c r="H366" s="140" t="str">
        <x:v>Independente</x:v>
      </x:c>
      <x:c r="I366" s="111" t="str">
        <x:v>Regra residual — revisar manualmente</x:v>
      </x:c>
      <x:c r="J366" s="149" t="str">
        <x:v>Sim</x:v>
      </x:c>
      <x:c r="K366" s="131" t="n">
        <x:f>IF($H366="Independente",$F366,0)</x:f>
        <x:v>18925146.9</x:v>
      </x:c>
      <x:c r="L366" s="131" t="n">
        <x:f>IF($H366="Ligada a banco",$F366,0)</x:f>
        <x:v>0</x:v>
      </x:c>
      <x:c r="M366" s="114" t="n">
        <x:f>IF(K366&gt;0,RANK(K366,$K$6:$K$462)+COUNTIF($K$6:K366,K366)-1,9999)</x:f>
        <x:v>338</x:v>
      </x:c>
      <x:c r="N366" s="114" t="n">
        <x:f>IF(L366&gt;0,RANK(L366,$L$6:$L$462)+COUNTIF($L$6:L366,L366)-1,9999)</x:f>
        <x:v>9999</x:v>
      </x:c>
    </x:row>
    <x:row r="367">
      <x:c r="A367" s="111" t="str">
        <x:v>H2 ASSET MANAGEMENT LTDA</x:v>
      </x:c>
      <x:c r="B367" s="131" t="n">
        <x:v>0</x:v>
      </x:c>
      <x:c r="C367" s="131" t="n">
        <x:v>0</x:v>
      </x:c>
      <x:c r="D367" s="131" t="n">
        <x:v>0</x:v>
      </x:c>
      <x:c r="E367" s="131" t="n">
        <x:v>18749749.06</x:v>
      </x:c>
      <x:c r="F367" s="131" t="n">
        <x:f>SUM(B367:E367)</x:f>
        <x:v>18749749.06</x:v>
      </x:c>
      <x:c r="G367" s="111" t="str">
        <x:v>Independente</x:v>
      </x:c>
      <x:c r="H367" s="140" t="str">
        <x:v>Independente</x:v>
      </x:c>
      <x:c r="I367" s="111" t="str">
        <x:v>Regra residual — revisar manualmente</x:v>
      </x:c>
      <x:c r="J367" s="149" t="str">
        <x:v>Sim</x:v>
      </x:c>
      <x:c r="K367" s="131" t="n">
        <x:f>IF($H367="Independente",$F367,0)</x:f>
        <x:v>18749749.06</x:v>
      </x:c>
      <x:c r="L367" s="131" t="n">
        <x:f>IF($H367="Ligada a banco",$F367,0)</x:f>
        <x:v>0</x:v>
      </x:c>
      <x:c r="M367" s="114" t="n">
        <x:f>IF(K367&gt;0,RANK(K367,$K$6:$K$462)+COUNTIF($K$6:K367,K367)-1,9999)</x:f>
        <x:v>339</x:v>
      </x:c>
      <x:c r="N367" s="114" t="n">
        <x:f>IF(L367&gt;0,RANK(L367,$L$6:$L$462)+COUNTIF($L$6:L367,L367)-1,9999)</x:f>
        <x:v>9999</x:v>
      </x:c>
    </x:row>
    <x:row r="368">
      <x:c r="A368" s="111" t="str">
        <x:v>JGP GESTAO DE RECURS</x:v>
      </x:c>
      <x:c r="B368" s="131" t="n">
        <x:v>0</x:v>
      </x:c>
      <x:c r="C368" s="131" t="n">
        <x:v>18469873.66</x:v>
      </x:c>
      <x:c r="D368" s="131" t="n">
        <x:v>0</x:v>
      </x:c>
      <x:c r="E368" s="131" t="n">
        <x:v>0</x:v>
      </x:c>
      <x:c r="F368" s="131" t="n">
        <x:f>SUM(B368:E368)</x:f>
        <x:v>18469873.66</x:v>
      </x:c>
      <x:c r="G368" s="111" t="str">
        <x:v>Independente</x:v>
      </x:c>
      <x:c r="H368" s="140" t="str">
        <x:v>Independente</x:v>
      </x:c>
      <x:c r="I368" s="111" t="str">
        <x:v>Regra residual — revisar manualmente</x:v>
      </x:c>
      <x:c r="J368" s="149" t="str">
        <x:v>Sim</x:v>
      </x:c>
      <x:c r="K368" s="131" t="n">
        <x:f>IF($H368="Independente",$F368,0)</x:f>
        <x:v>18469873.66</x:v>
      </x:c>
      <x:c r="L368" s="131" t="n">
        <x:f>IF($H368="Ligada a banco",$F368,0)</x:f>
        <x:v>0</x:v>
      </x:c>
      <x:c r="M368" s="114" t="n">
        <x:f>IF(K368&gt;0,RANK(K368,$K$6:$K$462)+COUNTIF($K$6:K368,K368)-1,9999)</x:f>
        <x:v>340</x:v>
      </x:c>
      <x:c r="N368" s="114" t="n">
        <x:f>IF(L368&gt;0,RANK(L368,$L$6:$L$462)+COUNTIF($L$6:L368,L368)-1,9999)</x:f>
        <x:v>9999</x:v>
      </x:c>
    </x:row>
    <x:row r="369">
      <x:c r="A369" s="111" t="str">
        <x:v>Ponta Sul Investimentos Ltda.</x:v>
      </x:c>
      <x:c r="B369" s="131" t="n">
        <x:v>0</x:v>
      </x:c>
      <x:c r="C369" s="131" t="n">
        <x:v>0</x:v>
      </x:c>
      <x:c r="D369" s="131" t="n">
        <x:v>0</x:v>
      </x:c>
      <x:c r="E369" s="131" t="n">
        <x:v>18312916.0321</x:v>
      </x:c>
      <x:c r="F369" s="131" t="n">
        <x:f>SUM(B369:E369)</x:f>
        <x:v>18312916.0321</x:v>
      </x:c>
      <x:c r="G369" s="111" t="str">
        <x:v>Independente</x:v>
      </x:c>
      <x:c r="H369" s="140" t="str">
        <x:v>Independente</x:v>
      </x:c>
      <x:c r="I369" s="111" t="str">
        <x:v>Regra residual — revisar manualmente</x:v>
      </x:c>
      <x:c r="J369" s="149" t="str">
        <x:v>Sim</x:v>
      </x:c>
      <x:c r="K369" s="131" t="n">
        <x:f>IF($H369="Independente",$F369,0)</x:f>
        <x:v>18312916.0321</x:v>
      </x:c>
      <x:c r="L369" s="131" t="n">
        <x:f>IF($H369="Ligada a banco",$F369,0)</x:f>
        <x:v>0</x:v>
      </x:c>
      <x:c r="M369" s="114" t="n">
        <x:f>IF(K369&gt;0,RANK(K369,$K$6:$K$462)+COUNTIF($K$6:K369,K369)-1,9999)</x:f>
        <x:v>341</x:v>
      </x:c>
      <x:c r="N369" s="114" t="n">
        <x:f>IF(L369&gt;0,RANK(L369,$L$6:$L$462)+COUNTIF($L$6:L369,L369)-1,9999)</x:f>
        <x:v>9999</x:v>
      </x:c>
    </x:row>
    <x:row r="370">
      <x:c r="A370" s="111" t="str">
        <x:v>Neves Asset Management</x:v>
      </x:c>
      <x:c r="B370" s="131" t="n">
        <x:v>0</x:v>
      </x:c>
      <x:c r="C370" s="131" t="n">
        <x:v>0</x:v>
      </x:c>
      <x:c r="D370" s="131" t="n">
        <x:v>0</x:v>
      </x:c>
      <x:c r="E370" s="131" t="n">
        <x:v>18005790.84</x:v>
      </x:c>
      <x:c r="F370" s="131" t="n">
        <x:f>SUM(B370:E370)</x:f>
        <x:v>18005790.84</x:v>
      </x:c>
      <x:c r="G370" s="111" t="str">
        <x:v>Independente</x:v>
      </x:c>
      <x:c r="H370" s="140" t="str">
        <x:v>Independente</x:v>
      </x:c>
      <x:c r="I370" s="111" t="str">
        <x:v>Regra residual — revisar manualmente</x:v>
      </x:c>
      <x:c r="J370" s="149" t="str">
        <x:v>Sim</x:v>
      </x:c>
      <x:c r="K370" s="131" t="n">
        <x:f>IF($H370="Independente",$F370,0)</x:f>
        <x:v>18005790.84</x:v>
      </x:c>
      <x:c r="L370" s="131" t="n">
        <x:f>IF($H370="Ligada a banco",$F370,0)</x:f>
        <x:v>0</x:v>
      </x:c>
      <x:c r="M370" s="114" t="n">
        <x:f>IF(K370&gt;0,RANK(K370,$K$6:$K$462)+COUNTIF($K$6:K370,K370)-1,9999)</x:f>
        <x:v>342</x:v>
      </x:c>
      <x:c r="N370" s="114" t="n">
        <x:f>IF(L370&gt;0,RANK(L370,$L$6:$L$462)+COUNTIF($L$6:L370,L370)-1,9999)</x:f>
        <x:v>9999</x:v>
      </x:c>
    </x:row>
    <x:row r="371">
      <x:c r="A371" s="111" t="str">
        <x:v>SQUALO CAPITAL GESTORA DE RECURSOS LTDA.</x:v>
      </x:c>
      <x:c r="B371" s="131" t="n">
        <x:v>0</x:v>
      </x:c>
      <x:c r="C371" s="131" t="n">
        <x:v>0</x:v>
      </x:c>
      <x:c r="D371" s="131" t="n">
        <x:v>0</x:v>
      </x:c>
      <x:c r="E371" s="131" t="n">
        <x:v>17983423.69</x:v>
      </x:c>
      <x:c r="F371" s="131" t="n">
        <x:f>SUM(B371:E371)</x:f>
        <x:v>17983423.69</x:v>
      </x:c>
      <x:c r="G371" s="111" t="str">
        <x:v>Independente</x:v>
      </x:c>
      <x:c r="H371" s="140" t="str">
        <x:v>Independente</x:v>
      </x:c>
      <x:c r="I371" s="111" t="str">
        <x:v>Regra residual — revisar manualmente</x:v>
      </x:c>
      <x:c r="J371" s="149" t="str">
        <x:v>Sim</x:v>
      </x:c>
      <x:c r="K371" s="131" t="n">
        <x:f>IF($H371="Independente",$F371,0)</x:f>
        <x:v>17983423.69</x:v>
      </x:c>
      <x:c r="L371" s="131" t="n">
        <x:f>IF($H371="Ligada a banco",$F371,0)</x:f>
        <x:v>0</x:v>
      </x:c>
      <x:c r="M371" s="114" t="n">
        <x:f>IF(K371&gt;0,RANK(K371,$K$6:$K$462)+COUNTIF($K$6:K371,K371)-1,9999)</x:f>
        <x:v>343</x:v>
      </x:c>
      <x:c r="N371" s="114" t="n">
        <x:f>IF(L371&gt;0,RANK(L371,$L$6:$L$462)+COUNTIF($L$6:L371,L371)-1,9999)</x:f>
        <x:v>9999</x:v>
      </x:c>
    </x:row>
    <x:row r="372">
      <x:c r="A372" s="111" t="str">
        <x:v>ALTAVISTA CAPITAL</x:v>
      </x:c>
      <x:c r="B372" s="131" t="n">
        <x:v>0</x:v>
      </x:c>
      <x:c r="C372" s="131" t="n">
        <x:v>0</x:v>
      </x:c>
      <x:c r="D372" s="131" t="n">
        <x:v>0</x:v>
      </x:c>
      <x:c r="E372" s="131" t="n">
        <x:v>16839913.57</x:v>
      </x:c>
      <x:c r="F372" s="131" t="n">
        <x:f>SUM(B372:E372)</x:f>
        <x:v>16839913.57</x:v>
      </x:c>
      <x:c r="G372" s="111" t="str">
        <x:v>Independente</x:v>
      </x:c>
      <x:c r="H372" s="140" t="str">
        <x:v>Independente</x:v>
      </x:c>
      <x:c r="I372" s="111" t="str">
        <x:v>Regra residual — revisar manualmente</x:v>
      </x:c>
      <x:c r="J372" s="149" t="str">
        <x:v>Sim</x:v>
      </x:c>
      <x:c r="K372" s="131" t="n">
        <x:f>IF($H372="Independente",$F372,0)</x:f>
        <x:v>16839913.57</x:v>
      </x:c>
      <x:c r="L372" s="131" t="n">
        <x:f>IF($H372="Ligada a banco",$F372,0)</x:f>
        <x:v>0</x:v>
      </x:c>
      <x:c r="M372" s="114" t="n">
        <x:f>IF(K372&gt;0,RANK(K372,$K$6:$K$462)+COUNTIF($K$6:K372,K372)-1,9999)</x:f>
        <x:v>344</x:v>
      </x:c>
      <x:c r="N372" s="114" t="n">
        <x:f>IF(L372&gt;0,RANK(L372,$L$6:$L$462)+COUNTIF($L$6:L372,L372)-1,9999)</x:f>
        <x:v>9999</x:v>
      </x:c>
    </x:row>
    <x:row r="373">
      <x:c r="A373" s="111" t="str">
        <x:v>VBR Capital Ltda.</x:v>
      </x:c>
      <x:c r="B373" s="131" t="n">
        <x:v>0</x:v>
      </x:c>
      <x:c r="C373" s="131" t="n">
        <x:v>0</x:v>
      </x:c>
      <x:c r="D373" s="131" t="n">
        <x:v>0</x:v>
      </x:c>
      <x:c r="E373" s="131" t="n">
        <x:v>16707884.880000005</x:v>
      </x:c>
      <x:c r="F373" s="131" t="n">
        <x:f>SUM(B373:E373)</x:f>
        <x:v>16707884.880000005</x:v>
      </x:c>
      <x:c r="G373" s="111" t="str">
        <x:v>Independente</x:v>
      </x:c>
      <x:c r="H373" s="140" t="str">
        <x:v>Independente</x:v>
      </x:c>
      <x:c r="I373" s="111" t="str">
        <x:v>Regra residual — revisar manualmente</x:v>
      </x:c>
      <x:c r="J373" s="149" t="str">
        <x:v>Sim</x:v>
      </x:c>
      <x:c r="K373" s="131" t="n">
        <x:f>IF($H373="Independente",$F373,0)</x:f>
        <x:v>16707884.880000005</x:v>
      </x:c>
      <x:c r="L373" s="131" t="n">
        <x:f>IF($H373="Ligada a banco",$F373,0)</x:f>
        <x:v>0</x:v>
      </x:c>
      <x:c r="M373" s="114" t="n">
        <x:f>IF(K373&gt;0,RANK(K373,$K$6:$K$462)+COUNTIF($K$6:K373,K373)-1,9999)</x:f>
        <x:v>345</x:v>
      </x:c>
      <x:c r="N373" s="114" t="n">
        <x:f>IF(L373&gt;0,RANK(L373,$L$6:$L$462)+COUNTIF($L$6:L373,L373)-1,9999)</x:f>
        <x:v>9999</x:v>
      </x:c>
    </x:row>
    <x:row r="374">
      <x:c r="A374" s="111" t="str">
        <x:v>MORRO CAPITAL GESTORA DE RECURSOS LTDA</x:v>
      </x:c>
      <x:c r="B374" s="131" t="n">
        <x:v>0</x:v>
      </x:c>
      <x:c r="C374" s="131" t="n">
        <x:v>0</x:v>
      </x:c>
      <x:c r="D374" s="131" t="n">
        <x:v>0</x:v>
      </x:c>
      <x:c r="E374" s="131" t="n">
        <x:v>15511359.239999998</x:v>
      </x:c>
      <x:c r="F374" s="131" t="n">
        <x:f>SUM(B374:E374)</x:f>
        <x:v>15511359.239999998</x:v>
      </x:c>
      <x:c r="G374" s="111" t="str">
        <x:v>Independente</x:v>
      </x:c>
      <x:c r="H374" s="140" t="str">
        <x:v>Independente</x:v>
      </x:c>
      <x:c r="I374" s="111" t="str">
        <x:v>Regra residual — revisar manualmente</x:v>
      </x:c>
      <x:c r="J374" s="149" t="str">
        <x:v>Sim</x:v>
      </x:c>
      <x:c r="K374" s="131" t="n">
        <x:f>IF($H374="Independente",$F374,0)</x:f>
        <x:v>15511359.239999998</x:v>
      </x:c>
      <x:c r="L374" s="131" t="n">
        <x:f>IF($H374="Ligada a banco",$F374,0)</x:f>
        <x:v>0</x:v>
      </x:c>
      <x:c r="M374" s="114" t="n">
        <x:f>IF(K374&gt;0,RANK(K374,$K$6:$K$462)+COUNTIF($K$6:K374,K374)-1,9999)</x:f>
        <x:v>346</x:v>
      </x:c>
      <x:c r="N374" s="114" t="n">
        <x:f>IF(L374&gt;0,RANK(L374,$L$6:$L$462)+COUNTIF($L$6:L374,L374)-1,9999)</x:f>
        <x:v>9999</x:v>
      </x:c>
    </x:row>
    <x:row r="375">
      <x:c r="A375" s="111" t="str">
        <x:v>Springs Capital Ltda.</x:v>
      </x:c>
      <x:c r="B375" s="131" t="n">
        <x:v>0</x:v>
      </x:c>
      <x:c r="C375" s="131" t="n">
        <x:v>0</x:v>
      </x:c>
      <x:c r="D375" s="131" t="n">
        <x:v>0</x:v>
      </x:c>
      <x:c r="E375" s="131" t="n">
        <x:v>15328311.720000004</x:v>
      </x:c>
      <x:c r="F375" s="131" t="n">
        <x:f>SUM(B375:E375)</x:f>
        <x:v>15328311.720000004</x:v>
      </x:c>
      <x:c r="G375" s="111" t="str">
        <x:v>Independente</x:v>
      </x:c>
      <x:c r="H375" s="140" t="str">
        <x:v>Independente</x:v>
      </x:c>
      <x:c r="I375" s="111" t="str">
        <x:v>Regra residual — revisar manualmente</x:v>
      </x:c>
      <x:c r="J375" s="149" t="str">
        <x:v>Sim</x:v>
      </x:c>
      <x:c r="K375" s="131" t="n">
        <x:f>IF($H375="Independente",$F375,0)</x:f>
        <x:v>15328311.720000004</x:v>
      </x:c>
      <x:c r="L375" s="131" t="n">
        <x:f>IF($H375="Ligada a banco",$F375,0)</x:f>
        <x:v>0</x:v>
      </x:c>
      <x:c r="M375" s="114" t="n">
        <x:f>IF(K375&gt;0,RANK(K375,$K$6:$K$462)+COUNTIF($K$6:K375,K375)-1,9999)</x:f>
        <x:v>347</x:v>
      </x:c>
      <x:c r="N375" s="114" t="n">
        <x:f>IF(L375&gt;0,RANK(L375,$L$6:$L$462)+COUNTIF($L$6:L375,L375)-1,9999)</x:f>
        <x:v>9999</x:v>
      </x:c>
    </x:row>
    <x:row r="376">
      <x:c r="A376" s="111" t="str">
        <x:v>SINAI ASSET</x:v>
      </x:c>
      <x:c r="B376" s="131" t="n">
        <x:v>0</x:v>
      </x:c>
      <x:c r="C376" s="131" t="n">
        <x:v>0</x:v>
      </x:c>
      <x:c r="D376" s="131" t="n">
        <x:v>0</x:v>
      </x:c>
      <x:c r="E376" s="131" t="n">
        <x:v>15271605.44</x:v>
      </x:c>
      <x:c r="F376" s="131" t="n">
        <x:f>SUM(B376:E376)</x:f>
        <x:v>15271605.44</x:v>
      </x:c>
      <x:c r="G376" s="111" t="str">
        <x:v>Independente</x:v>
      </x:c>
      <x:c r="H376" s="140" t="str">
        <x:v>Independente</x:v>
      </x:c>
      <x:c r="I376" s="111" t="str">
        <x:v>Regra residual — revisar manualmente</x:v>
      </x:c>
      <x:c r="J376" s="149" t="str">
        <x:v>Sim</x:v>
      </x:c>
      <x:c r="K376" s="131" t="n">
        <x:f>IF($H376="Independente",$F376,0)</x:f>
        <x:v>15271605.44</x:v>
      </x:c>
      <x:c r="L376" s="131" t="n">
        <x:f>IF($H376="Ligada a banco",$F376,0)</x:f>
        <x:v>0</x:v>
      </x:c>
      <x:c r="M376" s="114" t="n">
        <x:f>IF(K376&gt;0,RANK(K376,$K$6:$K$462)+COUNTIF($K$6:K376,K376)-1,9999)</x:f>
        <x:v>348</x:v>
      </x:c>
      <x:c r="N376" s="114" t="n">
        <x:f>IF(L376&gt;0,RANK(L376,$L$6:$L$462)+COUNTIF($L$6:L376,L376)-1,9999)</x:f>
        <x:v>9999</x:v>
      </x:c>
    </x:row>
    <x:row r="377">
      <x:c r="A377" s="111" t="str">
        <x:v>ATF</x:v>
      </x:c>
      <x:c r="B377" s="131" t="n">
        <x:v>0</x:v>
      </x:c>
      <x:c r="C377" s="131" t="n">
        <x:v>0</x:v>
      </x:c>
      <x:c r="D377" s="131" t="n">
        <x:v>0</x:v>
      </x:c>
      <x:c r="E377" s="131" t="n">
        <x:v>14159488.8</x:v>
      </x:c>
      <x:c r="F377" s="131" t="n">
        <x:f>SUM(B377:E377)</x:f>
        <x:v>14159488.8</x:v>
      </x:c>
      <x:c r="G377" s="111" t="str">
        <x:v>Independente</x:v>
      </x:c>
      <x:c r="H377" s="140" t="str">
        <x:v>Independente</x:v>
      </x:c>
      <x:c r="I377" s="111" t="str">
        <x:v>Regra residual — revisar manualmente</x:v>
      </x:c>
      <x:c r="J377" s="149" t="str">
        <x:v>Sim</x:v>
      </x:c>
      <x:c r="K377" s="131" t="n">
        <x:f>IF($H377="Independente",$F377,0)</x:f>
        <x:v>14159488.8</x:v>
      </x:c>
      <x:c r="L377" s="131" t="n">
        <x:f>IF($H377="Ligada a banco",$F377,0)</x:f>
        <x:v>0</x:v>
      </x:c>
      <x:c r="M377" s="114" t="n">
        <x:f>IF(K377&gt;0,RANK(K377,$K$6:$K$462)+COUNTIF($K$6:K377,K377)-1,9999)</x:f>
        <x:v>349</x:v>
      </x:c>
      <x:c r="N377" s="114" t="n">
        <x:f>IF(L377&gt;0,RANK(L377,$L$6:$L$462)+COUNTIF($L$6:L377,L377)-1,9999)</x:f>
        <x:v>9999</x:v>
      </x:c>
    </x:row>
    <x:row r="378">
      <x:c r="A378" s="111" t="str">
        <x:v>Ujay Capital Investimentos Ltda</x:v>
      </x:c>
      <x:c r="B378" s="131" t="n">
        <x:v>0</x:v>
      </x:c>
      <x:c r="C378" s="131" t="n">
        <x:v>0</x:v>
      </x:c>
      <x:c r="D378" s="131" t="n">
        <x:v>0</x:v>
      </x:c>
      <x:c r="E378" s="131" t="n">
        <x:v>13780664.12</x:v>
      </x:c>
      <x:c r="F378" s="131" t="n">
        <x:f>SUM(B378:E378)</x:f>
        <x:v>13780664.12</x:v>
      </x:c>
      <x:c r="G378" s="111" t="str">
        <x:v>Independente</x:v>
      </x:c>
      <x:c r="H378" s="140" t="str">
        <x:v>Independente</x:v>
      </x:c>
      <x:c r="I378" s="111" t="str">
        <x:v>Regra residual — revisar manualmente</x:v>
      </x:c>
      <x:c r="J378" s="149" t="str">
        <x:v>Sim</x:v>
      </x:c>
      <x:c r="K378" s="131" t="n">
        <x:f>IF($H378="Independente",$F378,0)</x:f>
        <x:v>13780664.12</x:v>
      </x:c>
      <x:c r="L378" s="131" t="n">
        <x:f>IF($H378="Ligada a banco",$F378,0)</x:f>
        <x:v>0</x:v>
      </x:c>
      <x:c r="M378" s="114" t="n">
        <x:f>IF(K378&gt;0,RANK(K378,$K$6:$K$462)+COUNTIF($K$6:K378,K378)-1,9999)</x:f>
        <x:v>350</x:v>
      </x:c>
      <x:c r="N378" s="114" t="n">
        <x:f>IF(L378&gt;0,RANK(L378,$L$6:$L$462)+COUNTIF($L$6:L378,L378)-1,9999)</x:f>
        <x:v>9999</x:v>
      </x:c>
    </x:row>
    <x:row r="379">
      <x:c r="A379" s="111" t="str">
        <x:v>Litus Gestão de Recursos LTDA</x:v>
      </x:c>
      <x:c r="B379" s="131" t="n">
        <x:v>0</x:v>
      </x:c>
      <x:c r="C379" s="131" t="n">
        <x:v>0</x:v>
      </x:c>
      <x:c r="D379" s="131" t="n">
        <x:v>0</x:v>
      </x:c>
      <x:c r="E379" s="131" t="n">
        <x:v>13428930.909999998</x:v>
      </x:c>
      <x:c r="F379" s="131" t="n">
        <x:f>SUM(B379:E379)</x:f>
        <x:v>13428930.909999998</x:v>
      </x:c>
      <x:c r="G379" s="111" t="str">
        <x:v>Independente</x:v>
      </x:c>
      <x:c r="H379" s="140" t="str">
        <x:v>Independente</x:v>
      </x:c>
      <x:c r="I379" s="111" t="str">
        <x:v>Regra residual — revisar manualmente</x:v>
      </x:c>
      <x:c r="J379" s="149" t="str">
        <x:v>Sim</x:v>
      </x:c>
      <x:c r="K379" s="131" t="n">
        <x:f>IF($H379="Independente",$F379,0)</x:f>
        <x:v>13428930.909999998</x:v>
      </x:c>
      <x:c r="L379" s="131" t="n">
        <x:f>IF($H379="Ligada a banco",$F379,0)</x:f>
        <x:v>0</x:v>
      </x:c>
      <x:c r="M379" s="114" t="n">
        <x:f>IF(K379&gt;0,RANK(K379,$K$6:$K$462)+COUNTIF($K$6:K379,K379)-1,9999)</x:f>
        <x:v>351</x:v>
      </x:c>
      <x:c r="N379" s="114" t="n">
        <x:f>IF(L379&gt;0,RANK(L379,$L$6:$L$462)+COUNTIF($L$6:L379,L379)-1,9999)</x:f>
        <x:v>9999</x:v>
      </x:c>
    </x:row>
    <x:row r="380">
      <x:c r="A380" s="111" t="str">
        <x:v>HÍBRIDO PARTNERS GESTORA DE RECURSOS LTDA.</x:v>
      </x:c>
      <x:c r="B380" s="131" t="n">
        <x:v>0</x:v>
      </x:c>
      <x:c r="C380" s="131" t="n">
        <x:v>0</x:v>
      </x:c>
      <x:c r="D380" s="131" t="n">
        <x:v>0</x:v>
      </x:c>
      <x:c r="E380" s="131" t="n">
        <x:v>13063202.489999998</x:v>
      </x:c>
      <x:c r="F380" s="131" t="n">
        <x:f>SUM(B380:E380)</x:f>
        <x:v>13063202.489999998</x:v>
      </x:c>
      <x:c r="G380" s="111" t="str">
        <x:v>Independente</x:v>
      </x:c>
      <x:c r="H380" s="140" t="str">
        <x:v>Independente</x:v>
      </x:c>
      <x:c r="I380" s="111" t="str">
        <x:v>Regra residual — revisar manualmente</x:v>
      </x:c>
      <x:c r="J380" s="149" t="str">
        <x:v>Sim</x:v>
      </x:c>
      <x:c r="K380" s="131" t="n">
        <x:f>IF($H380="Independente",$F380,0)</x:f>
        <x:v>13063202.489999998</x:v>
      </x:c>
      <x:c r="L380" s="131" t="n">
        <x:f>IF($H380="Ligada a banco",$F380,0)</x:f>
        <x:v>0</x:v>
      </x:c>
      <x:c r="M380" s="114" t="n">
        <x:f>IF(K380&gt;0,RANK(K380,$K$6:$K$462)+COUNTIF($K$6:K380,K380)-1,9999)</x:f>
        <x:v>352</x:v>
      </x:c>
      <x:c r="N380" s="114" t="n">
        <x:f>IF(L380&gt;0,RANK(L380,$L$6:$L$462)+COUNTIF($L$6:L380,L380)-1,9999)</x:f>
        <x:v>9999</x:v>
      </x:c>
    </x:row>
    <x:row r="381">
      <x:c r="A381" s="111" t="str">
        <x:v>Fyto Capital</x:v>
      </x:c>
      <x:c r="B381" s="131" t="n">
        <x:v>0</x:v>
      </x:c>
      <x:c r="C381" s="131" t="n">
        <x:v>0</x:v>
      </x:c>
      <x:c r="D381" s="131" t="n">
        <x:v>0</x:v>
      </x:c>
      <x:c r="E381" s="131" t="n">
        <x:v>12899086.23</x:v>
      </x:c>
      <x:c r="F381" s="131" t="n">
        <x:f>SUM(B381:E381)</x:f>
        <x:v>12899086.23</x:v>
      </x:c>
      <x:c r="G381" s="111" t="str">
        <x:v>Independente</x:v>
      </x:c>
      <x:c r="H381" s="140" t="str">
        <x:v>Independente</x:v>
      </x:c>
      <x:c r="I381" s="111" t="str">
        <x:v>Regra residual — revisar manualmente</x:v>
      </x:c>
      <x:c r="J381" s="149" t="str">
        <x:v>Sim</x:v>
      </x:c>
      <x:c r="K381" s="131" t="n">
        <x:f>IF($H381="Independente",$F381,0)</x:f>
        <x:v>12899086.23</x:v>
      </x:c>
      <x:c r="L381" s="131" t="n">
        <x:f>IF($H381="Ligada a banco",$F381,0)</x:f>
        <x:v>0</x:v>
      </x:c>
      <x:c r="M381" s="114" t="n">
        <x:f>IF(K381&gt;0,RANK(K381,$K$6:$K$462)+COUNTIF($K$6:K381,K381)-1,9999)</x:f>
        <x:v>353</x:v>
      </x:c>
      <x:c r="N381" s="114" t="n">
        <x:f>IF(L381&gt;0,RANK(L381,$L$6:$L$462)+COUNTIF($L$6:L381,L381)-1,9999)</x:f>
        <x:v>9999</x:v>
      </x:c>
    </x:row>
    <x:row r="382">
      <x:c r="A382" s="111" t="str">
        <x:v>PESSOAS FISICAS</x:v>
      </x:c>
      <x:c r="B382" s="131" t="n">
        <x:v>0</x:v>
      </x:c>
      <x:c r="C382" s="131" t="n">
        <x:v>0</x:v>
      </x:c>
      <x:c r="D382" s="131" t="n">
        <x:v>0</x:v>
      </x:c>
      <x:c r="E382" s="131" t="n">
        <x:v>12407100.4521</x:v>
      </x:c>
      <x:c r="F382" s="131" t="n">
        <x:f>SUM(B382:E382)</x:f>
        <x:v>12407100.4521</x:v>
      </x:c>
      <x:c r="G382" s="111" t="str">
        <x:v>Independente</x:v>
      </x:c>
      <x:c r="H382" s="140" t="str">
        <x:v>Independente</x:v>
      </x:c>
      <x:c r="I382" s="111" t="str">
        <x:v>Regra residual — revisar manualmente</x:v>
      </x:c>
      <x:c r="J382" s="149" t="str">
        <x:v>Sim</x:v>
      </x:c>
      <x:c r="K382" s="131" t="n">
        <x:f>IF($H382="Independente",$F382,0)</x:f>
        <x:v>12407100.4521</x:v>
      </x:c>
      <x:c r="L382" s="131" t="n">
        <x:f>IF($H382="Ligada a banco",$F382,0)</x:f>
        <x:v>0</x:v>
      </x:c>
      <x:c r="M382" s="114" t="n">
        <x:f>IF(K382&gt;0,RANK(K382,$K$6:$K$462)+COUNTIF($K$6:K382,K382)-1,9999)</x:f>
        <x:v>354</x:v>
      </x:c>
      <x:c r="N382" s="114" t="n">
        <x:f>IF(L382&gt;0,RANK(L382,$L$6:$L$462)+COUNTIF($L$6:L382,L382)-1,9999)</x:f>
        <x:v>9999</x:v>
      </x:c>
    </x:row>
    <x:row r="383">
      <x:c r="A383" s="111" t="str">
        <x:v>Gustavo Henrique Fonseca de Oliveira</x:v>
      </x:c>
      <x:c r="B383" s="131" t="n">
        <x:v>1029422.74</x:v>
      </x:c>
      <x:c r="C383" s="131" t="n">
        <x:v>0</x:v>
      </x:c>
      <x:c r="D383" s="131" t="n">
        <x:v>0</x:v>
      </x:c>
      <x:c r="E383" s="131" t="n">
        <x:v>10616542.39</x:v>
      </x:c>
      <x:c r="F383" s="131" t="n">
        <x:f>SUM(B383:E383)</x:f>
        <x:v>11645965.13</x:v>
      </x:c>
      <x:c r="G383" s="111" t="str">
        <x:v>Independente</x:v>
      </x:c>
      <x:c r="H383" s="140" t="str">
        <x:v>Independente</x:v>
      </x:c>
      <x:c r="I383" s="111" t="str">
        <x:v>Regra residual — revisar manualmente</x:v>
      </x:c>
      <x:c r="J383" s="149" t="str">
        <x:v>Sim</x:v>
      </x:c>
      <x:c r="K383" s="131" t="n">
        <x:f>IF($H383="Independente",$F383,0)</x:f>
        <x:v>11645965.13</x:v>
      </x:c>
      <x:c r="L383" s="131" t="n">
        <x:f>IF($H383="Ligada a banco",$F383,0)</x:f>
        <x:v>0</x:v>
      </x:c>
      <x:c r="M383" s="114" t="n">
        <x:f>IF(K383&gt;0,RANK(K383,$K$6:$K$462)+COUNTIF($K$6:K383,K383)-1,9999)</x:f>
        <x:v>355</x:v>
      </x:c>
      <x:c r="N383" s="114" t="n">
        <x:f>IF(L383&gt;0,RANK(L383,$L$6:$L$462)+COUNTIF($L$6:L383,L383)-1,9999)</x:f>
        <x:v>9999</x:v>
      </x:c>
    </x:row>
    <x:row r="384">
      <x:c r="A384" s="111" t="str">
        <x:v>HGI Capital</x:v>
      </x:c>
      <x:c r="B384" s="131" t="n">
        <x:v>0</x:v>
      </x:c>
      <x:c r="C384" s="131" t="n">
        <x:v>11190799.21</x:v>
      </x:c>
      <x:c r="D384" s="131" t="n">
        <x:v>0</x:v>
      </x:c>
      <x:c r="E384" s="131" t="n">
        <x:v>0</x:v>
      </x:c>
      <x:c r="F384" s="131" t="n">
        <x:f>SUM(B384:E384)</x:f>
        <x:v>11190799.21</x:v>
      </x:c>
      <x:c r="G384" s="111" t="str">
        <x:v>Independente</x:v>
      </x:c>
      <x:c r="H384" s="140" t="str">
        <x:v>Independente</x:v>
      </x:c>
      <x:c r="I384" s="111" t="str">
        <x:v>Regra residual — revisar manualmente</x:v>
      </x:c>
      <x:c r="J384" s="149" t="str">
        <x:v>Sim</x:v>
      </x:c>
      <x:c r="K384" s="131" t="n">
        <x:f>IF($H384="Independente",$F384,0)</x:f>
        <x:v>11190799.21</x:v>
      </x:c>
      <x:c r="L384" s="131" t="n">
        <x:f>IF($H384="Ligada a banco",$F384,0)</x:f>
        <x:v>0</x:v>
      </x:c>
      <x:c r="M384" s="114" t="n">
        <x:f>IF(K384&gt;0,RANK(K384,$K$6:$K$462)+COUNTIF($K$6:K384,K384)-1,9999)</x:f>
        <x:v>356</x:v>
      </x:c>
      <x:c r="N384" s="114" t="n">
        <x:f>IF(L384&gt;0,RANK(L384,$L$6:$L$462)+COUNTIF($L$6:L384,L384)-1,9999)</x:f>
        <x:v>9999</x:v>
      </x:c>
    </x:row>
    <x:row r="385">
      <x:c r="A385" s="111" t="str">
        <x:v>Reag WM Gestora de Patrimônio Ltda</x:v>
      </x:c>
      <x:c r="B385" s="131" t="n">
        <x:v>0</x:v>
      </x:c>
      <x:c r="C385" s="131" t="n">
        <x:v>0</x:v>
      </x:c>
      <x:c r="D385" s="131" t="n">
        <x:v>0</x:v>
      </x:c>
      <x:c r="E385" s="131" t="n">
        <x:v>10872796.64</x:v>
      </x:c>
      <x:c r="F385" s="131" t="n">
        <x:f>SUM(B385:E385)</x:f>
        <x:v>10872796.64</x:v>
      </x:c>
      <x:c r="G385" s="111" t="str">
        <x:v>Independente</x:v>
      </x:c>
      <x:c r="H385" s="140" t="str">
        <x:v>Independente</x:v>
      </x:c>
      <x:c r="I385" s="111" t="str">
        <x:v>Regra residual — revisar manualmente</x:v>
      </x:c>
      <x:c r="J385" s="149" t="str">
        <x:v>Sim</x:v>
      </x:c>
      <x:c r="K385" s="131" t="n">
        <x:f>IF($H385="Independente",$F385,0)</x:f>
        <x:v>10872796.64</x:v>
      </x:c>
      <x:c r="L385" s="131" t="n">
        <x:f>IF($H385="Ligada a banco",$F385,0)</x:f>
        <x:v>0</x:v>
      </x:c>
      <x:c r="M385" s="114" t="n">
        <x:f>IF(K385&gt;0,RANK(K385,$K$6:$K$462)+COUNTIF($K$6:K385,K385)-1,9999)</x:f>
        <x:v>357</x:v>
      </x:c>
      <x:c r="N385" s="114" t="n">
        <x:f>IF(L385&gt;0,RANK(L385,$L$6:$L$462)+COUNTIF($L$6:L385,L385)-1,9999)</x:f>
        <x:v>9999</x:v>
      </x:c>
    </x:row>
    <x:row r="386">
      <x:c r="A386" s="111" t="str">
        <x:v>Genial Investimentos Corretora de Valores Mobiliários S.A.</x:v>
      </x:c>
      <x:c r="B386" s="131" t="n">
        <x:v>0</x:v>
      </x:c>
      <x:c r="C386" s="131" t="n">
        <x:v>0</x:v>
      </x:c>
      <x:c r="D386" s="131" t="n">
        <x:v>0</x:v>
      </x:c>
      <x:c r="E386" s="131" t="n">
        <x:v>10589161.66</x:v>
      </x:c>
      <x:c r="F386" s="131" t="n">
        <x:f>SUM(B386:E386)</x:f>
        <x:v>10589161.66</x:v>
      </x:c>
      <x:c r="G386" s="111" t="str">
        <x:v>Ligada a banco</x:v>
      </x:c>
      <x:c r="H386" s="140" t="str">
        <x:v>Ligada a banco</x:v>
      </x:c>
      <x:c r="I386" s="111" t="str">
        <x:v>Regra nominal: GENIAL</x:v>
      </x:c>
      <x:c r="J386" s="149" t="str">
        <x:v>Sim</x:v>
      </x:c>
      <x:c r="K386" s="131" t="n">
        <x:f>IF($H386="Independente",$F386,0)</x:f>
        <x:v>0</x:v>
      </x:c>
      <x:c r="L386" s="131" t="n">
        <x:f>IF($H386="Ligada a banco",$F386,0)</x:f>
        <x:v>10589161.66</x:v>
      </x:c>
      <x:c r="M386" s="114" t="n">
        <x:f>IF(K386&gt;0,RANK(K386,$K$6:$K$462)+COUNTIF($K$6:K386,K386)-1,9999)</x:f>
        <x:v>9999</x:v>
      </x:c>
      <x:c r="N386" s="114" t="n">
        <x:f>IF(L386&gt;0,RANK(L386,$L$6:$L$462)+COUNTIF($L$6:L386,L386)-1,9999)</x:f>
        <x:v>24</x:v>
      </x:c>
    </x:row>
    <x:row r="387">
      <x:c r="A387" s="111" t="str">
        <x:v>CAPSICUM ASSETS GESTÃO DE RECURSOS LTDA</x:v>
      </x:c>
      <x:c r="B387" s="131" t="n">
        <x:v>10437059.34</x:v>
      </x:c>
      <x:c r="C387" s="131" t="n">
        <x:v>0</x:v>
      </x:c>
      <x:c r="D387" s="131" t="n">
        <x:v>0</x:v>
      </x:c>
      <x:c r="E387" s="131" t="n">
        <x:v>0</x:v>
      </x:c>
      <x:c r="F387" s="131" t="n">
        <x:f>SUM(B387:E387)</x:f>
        <x:v>10437059.34</x:v>
      </x:c>
      <x:c r="G387" s="111" t="str">
        <x:v>Independente</x:v>
      </x:c>
      <x:c r="H387" s="140" t="str">
        <x:v>Independente</x:v>
      </x:c>
      <x:c r="I387" s="111" t="str">
        <x:v>Regra residual — revisar manualmente</x:v>
      </x:c>
      <x:c r="J387" s="149" t="str">
        <x:v>Sim</x:v>
      </x:c>
      <x:c r="K387" s="131" t="n">
        <x:f>IF($H387="Independente",$F387,0)</x:f>
        <x:v>10437059.34</x:v>
      </x:c>
      <x:c r="L387" s="131" t="n">
        <x:f>IF($H387="Ligada a banco",$F387,0)</x:f>
        <x:v>0</x:v>
      </x:c>
      <x:c r="M387" s="114" t="n">
        <x:f>IF(K387&gt;0,RANK(K387,$K$6:$K$462)+COUNTIF($K$6:K387,K387)-1,9999)</x:f>
        <x:v>358</x:v>
      </x:c>
      <x:c r="N387" s="114" t="n">
        <x:f>IF(L387&gt;0,RANK(L387,$L$6:$L$462)+COUNTIF($L$6:L387,L387)-1,9999)</x:f>
        <x:v>9999</x:v>
      </x:c>
    </x:row>
    <x:row r="388">
      <x:c r="A388" s="111" t="str">
        <x:v>Mauá Capital Real Estate LTDA.</x:v>
      </x:c>
      <x:c r="B388" s="131" t="n">
        <x:v>0</x:v>
      </x:c>
      <x:c r="C388" s="131" t="n">
        <x:v>9574734.01</x:v>
      </x:c>
      <x:c r="D388" s="131" t="n">
        <x:v>0</x:v>
      </x:c>
      <x:c r="E388" s="131" t="n">
        <x:v>0</x:v>
      </x:c>
      <x:c r="F388" s="131" t="n">
        <x:f>SUM(B388:E388)</x:f>
        <x:v>9574734.01</x:v>
      </x:c>
      <x:c r="G388" s="111" t="str">
        <x:v>Independente</x:v>
      </x:c>
      <x:c r="H388" s="140" t="str">
        <x:v>Independente</x:v>
      </x:c>
      <x:c r="I388" s="111" t="str">
        <x:v>Regra residual — revisar manualmente</x:v>
      </x:c>
      <x:c r="J388" s="149" t="str">
        <x:v>Sim</x:v>
      </x:c>
      <x:c r="K388" s="131" t="n">
        <x:f>IF($H388="Independente",$F388,0)</x:f>
        <x:v>9574734.01</x:v>
      </x:c>
      <x:c r="L388" s="131" t="n">
        <x:f>IF($H388="Ligada a banco",$F388,0)</x:f>
        <x:v>0</x:v>
      </x:c>
      <x:c r="M388" s="114" t="n">
        <x:f>IF(K388&gt;0,RANK(K388,$K$6:$K$462)+COUNTIF($K$6:K388,K388)-1,9999)</x:f>
        <x:v>359</x:v>
      </x:c>
      <x:c r="N388" s="114" t="n">
        <x:f>IF(L388&gt;0,RANK(L388,$L$6:$L$462)+COUNTIF($L$6:L388,L388)-1,9999)</x:f>
        <x:v>9999</x:v>
      </x:c>
    </x:row>
    <x:row r="389">
      <x:c r="A389" s="111" t="str">
        <x:v>Vinci Soluções de Investimentos</x:v>
      </x:c>
      <x:c r="B389" s="131" t="n">
        <x:v>0</x:v>
      </x:c>
      <x:c r="C389" s="131" t="n">
        <x:v>0</x:v>
      </x:c>
      <x:c r="D389" s="131" t="n">
        <x:v>0</x:v>
      </x:c>
      <x:c r="E389" s="131" t="n">
        <x:v>9509697.81</x:v>
      </x:c>
      <x:c r="F389" s="131" t="n">
        <x:f>SUM(B389:E389)</x:f>
        <x:v>9509697.81</x:v>
      </x:c>
      <x:c r="G389" s="111" t="str">
        <x:v>Independente</x:v>
      </x:c>
      <x:c r="H389" s="140" t="str">
        <x:v>Independente</x:v>
      </x:c>
      <x:c r="I389" s="111" t="str">
        <x:v>Regra residual — revisar manualmente</x:v>
      </x:c>
      <x:c r="J389" s="149" t="str">
        <x:v>Sim</x:v>
      </x:c>
      <x:c r="K389" s="131" t="n">
        <x:f>IF($H389="Independente",$F389,0)</x:f>
        <x:v>9509697.81</x:v>
      </x:c>
      <x:c r="L389" s="131" t="n">
        <x:f>IF($H389="Ligada a banco",$F389,0)</x:f>
        <x:v>0</x:v>
      </x:c>
      <x:c r="M389" s="114" t="n">
        <x:f>IF(K389&gt;0,RANK(K389,$K$6:$K$462)+COUNTIF($K$6:K389,K389)-1,9999)</x:f>
        <x:v>360</x:v>
      </x:c>
      <x:c r="N389" s="114" t="n">
        <x:f>IF(L389&gt;0,RANK(L389,$L$6:$L$462)+COUNTIF($L$6:L389,L389)-1,9999)</x:f>
        <x:v>9999</x:v>
      </x:c>
    </x:row>
    <x:row r="390">
      <x:c r="A390" s="111" t="str">
        <x:v>RJI Investimentos</x:v>
      </x:c>
      <x:c r="B390" s="131" t="n">
        <x:v>3629773.65</x:v>
      </x:c>
      <x:c r="C390" s="131" t="n">
        <x:v>5810594.12</x:v>
      </x:c>
      <x:c r="D390" s="131" t="n">
        <x:v>0</x:v>
      </x:c>
      <x:c r="E390" s="131" t="n">
        <x:v>0</x:v>
      </x:c>
      <x:c r="F390" s="131" t="n">
        <x:f>SUM(B390:E390)</x:f>
        <x:v>9440367.77</x:v>
      </x:c>
      <x:c r="G390" s="111" t="str">
        <x:v>Independente</x:v>
      </x:c>
      <x:c r="H390" s="140" t="str">
        <x:v>Independente</x:v>
      </x:c>
      <x:c r="I390" s="111" t="str">
        <x:v>Regra residual — revisar manualmente</x:v>
      </x:c>
      <x:c r="J390" s="149" t="str">
        <x:v>Sim</x:v>
      </x:c>
      <x:c r="K390" s="131" t="n">
        <x:f>IF($H390="Independente",$F390,0)</x:f>
        <x:v>9440367.77</x:v>
      </x:c>
      <x:c r="L390" s="131" t="n">
        <x:f>IF($H390="Ligada a banco",$F390,0)</x:f>
        <x:v>0</x:v>
      </x:c>
      <x:c r="M390" s="114" t="n">
        <x:f>IF(K390&gt;0,RANK(K390,$K$6:$K$462)+COUNTIF($K$6:K390,K390)-1,9999)</x:f>
        <x:v>361</x:v>
      </x:c>
      <x:c r="N390" s="114" t="n">
        <x:f>IF(L390&gt;0,RANK(L390,$L$6:$L$462)+COUNTIF($L$6:L390,L390)-1,9999)</x:f>
        <x:v>9999</x:v>
      </x:c>
    </x:row>
    <x:row r="391">
      <x:c r="A391" s="111" t="str">
        <x:v>fama re.capital</x:v>
      </x:c>
      <x:c r="B391" s="131" t="n">
        <x:v>0</x:v>
      </x:c>
      <x:c r="C391" s="131" t="n">
        <x:v>0</x:v>
      </x:c>
      <x:c r="D391" s="131" t="n">
        <x:v>0</x:v>
      </x:c>
      <x:c r="E391" s="131" t="n">
        <x:v>8613875.54</x:v>
      </x:c>
      <x:c r="F391" s="131" t="n">
        <x:f>SUM(B391:E391)</x:f>
        <x:v>8613875.54</x:v>
      </x:c>
      <x:c r="G391" s="111" t="str">
        <x:v>Independente</x:v>
      </x:c>
      <x:c r="H391" s="140" t="str">
        <x:v>Independente</x:v>
      </x:c>
      <x:c r="I391" s="111" t="str">
        <x:v>Regra residual — revisar manualmente</x:v>
      </x:c>
      <x:c r="J391" s="149" t="str">
        <x:v>Sim</x:v>
      </x:c>
      <x:c r="K391" s="131" t="n">
        <x:f>IF($H391="Independente",$F391,0)</x:f>
        <x:v>8613875.54</x:v>
      </x:c>
      <x:c r="L391" s="131" t="n">
        <x:f>IF($H391="Ligada a banco",$F391,0)</x:f>
        <x:v>0</x:v>
      </x:c>
      <x:c r="M391" s="114" t="n">
        <x:f>IF(K391&gt;0,RANK(K391,$K$6:$K$462)+COUNTIF($K$6:K391,K391)-1,9999)</x:f>
        <x:v>362</x:v>
      </x:c>
      <x:c r="N391" s="114" t="n">
        <x:f>IF(L391&gt;0,RANK(L391,$L$6:$L$462)+COUNTIF($L$6:L391,L391)-1,9999)</x:f>
        <x:v>9999</x:v>
      </x:c>
    </x:row>
    <x:row r="392">
      <x:c r="A392" s="111" t="str">
        <x:v>ERFOLG</x:v>
      </x:c>
      <x:c r="B392" s="131" t="n">
        <x:v>0</x:v>
      </x:c>
      <x:c r="C392" s="131" t="n">
        <x:v>0</x:v>
      </x:c>
      <x:c r="D392" s="131" t="n">
        <x:v>0</x:v>
      </x:c>
      <x:c r="E392" s="131" t="n">
        <x:v>8437907.540000001</x:v>
      </x:c>
      <x:c r="F392" s="131" t="n">
        <x:f>SUM(B392:E392)</x:f>
        <x:v>8437907.540000001</x:v>
      </x:c>
      <x:c r="G392" s="111" t="str">
        <x:v>Independente</x:v>
      </x:c>
      <x:c r="H392" s="140" t="str">
        <x:v>Independente</x:v>
      </x:c>
      <x:c r="I392" s="111" t="str">
        <x:v>Regra residual — revisar manualmente</x:v>
      </x:c>
      <x:c r="J392" s="149" t="str">
        <x:v>Sim</x:v>
      </x:c>
      <x:c r="K392" s="131" t="n">
        <x:f>IF($H392="Independente",$F392,0)</x:f>
        <x:v>8437907.540000001</x:v>
      </x:c>
      <x:c r="L392" s="131" t="n">
        <x:f>IF($H392="Ligada a banco",$F392,0)</x:f>
        <x:v>0</x:v>
      </x:c>
      <x:c r="M392" s="114" t="n">
        <x:f>IF(K392&gt;0,RANK(K392,$K$6:$K$462)+COUNTIF($K$6:K392,K392)-1,9999)</x:f>
        <x:v>363</x:v>
      </x:c>
      <x:c r="N392" s="114" t="n">
        <x:f>IF(L392&gt;0,RANK(L392,$L$6:$L$462)+COUNTIF($L$6:L392,L392)-1,9999)</x:f>
        <x:v>9999</x:v>
      </x:c>
    </x:row>
    <x:row r="393">
      <x:c r="A393" s="111" t="str">
        <x:v>Novus Capital</x:v>
      </x:c>
      <x:c r="B393" s="131" t="n">
        <x:v>0</x:v>
      </x:c>
      <x:c r="C393" s="131" t="n">
        <x:v>0</x:v>
      </x:c>
      <x:c r="D393" s="131" t="n">
        <x:v>8293387.14</x:v>
      </x:c>
      <x:c r="E393" s="131" t="n">
        <x:v>0</x:v>
      </x:c>
      <x:c r="F393" s="131" t="n">
        <x:f>SUM(B393:E393)</x:f>
        <x:v>8293387.14</x:v>
      </x:c>
      <x:c r="G393" s="111" t="str">
        <x:v>Independente</x:v>
      </x:c>
      <x:c r="H393" s="140" t="str">
        <x:v>Independente</x:v>
      </x:c>
      <x:c r="I393" s="111" t="str">
        <x:v>Regra residual — revisar manualmente</x:v>
      </x:c>
      <x:c r="J393" s="149" t="str">
        <x:v>Sim</x:v>
      </x:c>
      <x:c r="K393" s="131" t="n">
        <x:f>IF($H393="Independente",$F393,0)</x:f>
        <x:v>8293387.14</x:v>
      </x:c>
      <x:c r="L393" s="131" t="n">
        <x:f>IF($H393="Ligada a banco",$F393,0)</x:f>
        <x:v>0</x:v>
      </x:c>
      <x:c r="M393" s="114" t="n">
        <x:f>IF(K393&gt;0,RANK(K393,$K$6:$K$462)+COUNTIF($K$6:K393,K393)-1,9999)</x:f>
        <x:v>364</x:v>
      </x:c>
      <x:c r="N393" s="114" t="n">
        <x:f>IF(L393&gt;0,RANK(L393,$L$6:$L$462)+COUNTIF($L$6:L393,L393)-1,9999)</x:f>
        <x:v>9999</x:v>
      </x:c>
    </x:row>
    <x:row r="394">
      <x:c r="A394" s="111" t="str">
        <x:v>SKADE Capital</x:v>
      </x:c>
      <x:c r="B394" s="131" t="n">
        <x:v>0</x:v>
      </x:c>
      <x:c r="C394" s="131" t="n">
        <x:v>0</x:v>
      </x:c>
      <x:c r="D394" s="131" t="n">
        <x:v>6961865.65</x:v>
      </x:c>
      <x:c r="E394" s="131" t="n">
        <x:v>0</x:v>
      </x:c>
      <x:c r="F394" s="131" t="n">
        <x:f>SUM(B394:E394)</x:f>
        <x:v>6961865.65</x:v>
      </x:c>
      <x:c r="G394" s="111" t="str">
        <x:v>Independente</x:v>
      </x:c>
      <x:c r="H394" s="140" t="str">
        <x:v>Independente</x:v>
      </x:c>
      <x:c r="I394" s="111" t="str">
        <x:v>Regra residual — revisar manualmente</x:v>
      </x:c>
      <x:c r="J394" s="149" t="str">
        <x:v>Sim</x:v>
      </x:c>
      <x:c r="K394" s="131" t="n">
        <x:f>IF($H394="Independente",$F394,0)</x:f>
        <x:v>6961865.65</x:v>
      </x:c>
      <x:c r="L394" s="131" t="n">
        <x:f>IF($H394="Ligada a banco",$F394,0)</x:f>
        <x:v>0</x:v>
      </x:c>
      <x:c r="M394" s="114" t="n">
        <x:f>IF(K394&gt;0,RANK(K394,$K$6:$K$462)+COUNTIF($K$6:K394,K394)-1,9999)</x:f>
        <x:v>365</x:v>
      </x:c>
      <x:c r="N394" s="114" t="n">
        <x:f>IF(L394&gt;0,RANK(L394,$L$6:$L$462)+COUNTIF($L$6:L394,L394)-1,9999)</x:f>
        <x:v>9999</x:v>
      </x:c>
    </x:row>
    <x:row r="395">
      <x:c r="A395" s="111" t="str">
        <x:v>PARAMIS INVESTIMENTOS</x:v>
      </x:c>
      <x:c r="B395" s="131" t="n">
        <x:v>0</x:v>
      </x:c>
      <x:c r="C395" s="131" t="n">
        <x:v>6518418.75</x:v>
      </x:c>
      <x:c r="D395" s="131" t="n">
        <x:v>0</x:v>
      </x:c>
      <x:c r="E395" s="131" t="n">
        <x:v>0</x:v>
      </x:c>
      <x:c r="F395" s="131" t="n">
        <x:f>SUM(B395:E395)</x:f>
        <x:v>6518418.75</x:v>
      </x:c>
      <x:c r="G395" s="111" t="str">
        <x:v>Independente</x:v>
      </x:c>
      <x:c r="H395" s="140" t="str">
        <x:v>Independente</x:v>
      </x:c>
      <x:c r="I395" s="111" t="str">
        <x:v>Regra residual — revisar manualmente</x:v>
      </x:c>
      <x:c r="J395" s="149" t="str">
        <x:v>Sim</x:v>
      </x:c>
      <x:c r="K395" s="131" t="n">
        <x:f>IF($H395="Independente",$F395,0)</x:f>
        <x:v>6518418.75</x:v>
      </x:c>
      <x:c r="L395" s="131" t="n">
        <x:f>IF($H395="Ligada a banco",$F395,0)</x:f>
        <x:v>0</x:v>
      </x:c>
      <x:c r="M395" s="114" t="n">
        <x:f>IF(K395&gt;0,RANK(K395,$K$6:$K$462)+COUNTIF($K$6:K395,K395)-1,9999)</x:f>
        <x:v>366</x:v>
      </x:c>
      <x:c r="N395" s="114" t="n">
        <x:f>IF(L395&gt;0,RANK(L395,$L$6:$L$462)+COUNTIF($L$6:L395,L395)-1,9999)</x:f>
        <x:v>9999</x:v>
      </x:c>
    </x:row>
    <x:row r="396">
      <x:c r="A396" s="111" t="str">
        <x:v>V-CAPITAL GESTAO DE RECURSOS E INVESTIMENTOS LTDA</x:v>
      </x:c>
      <x:c r="B396" s="131" t="n">
        <x:v>0</x:v>
      </x:c>
      <x:c r="C396" s="131" t="n">
        <x:v>0</x:v>
      </x:c>
      <x:c r="D396" s="131" t="n">
        <x:v>6300390.1</x:v>
      </x:c>
      <x:c r="E396" s="131" t="n">
        <x:v>0</x:v>
      </x:c>
      <x:c r="F396" s="131" t="n">
        <x:f>SUM(B396:E396)</x:f>
        <x:v>6300390.1</x:v>
      </x:c>
      <x:c r="G396" s="111" t="str">
        <x:v>Independente</x:v>
      </x:c>
      <x:c r="H396" s="140" t="str">
        <x:v>Independente</x:v>
      </x:c>
      <x:c r="I396" s="111" t="str">
        <x:v>Regra residual — revisar manualmente</x:v>
      </x:c>
      <x:c r="J396" s="149" t="str">
        <x:v>Sim</x:v>
      </x:c>
      <x:c r="K396" s="131" t="n">
        <x:f>IF($H396="Independente",$F396,0)</x:f>
        <x:v>6300390.1</x:v>
      </x:c>
      <x:c r="L396" s="131" t="n">
        <x:f>IF($H396="Ligada a banco",$F396,0)</x:f>
        <x:v>0</x:v>
      </x:c>
      <x:c r="M396" s="114" t="n">
        <x:f>IF(K396&gt;0,RANK(K396,$K$6:$K$462)+COUNTIF($K$6:K396,K396)-1,9999)</x:f>
        <x:v>367</x:v>
      </x:c>
      <x:c r="N396" s="114" t="n">
        <x:f>IF(L396&gt;0,RANK(L396,$L$6:$L$462)+COUNTIF($L$6:L396,L396)-1,9999)</x:f>
        <x:v>9999</x:v>
      </x:c>
    </x:row>
    <x:row r="397">
      <x:c r="A397" s="111" t="str">
        <x:v>LCP GESTORA DE RECURSOS LTDA</x:v>
      </x:c>
      <x:c r="B397" s="131" t="n">
        <x:v>0</x:v>
      </x:c>
      <x:c r="C397" s="131" t="n">
        <x:v>6135746.41</x:v>
      </x:c>
      <x:c r="D397" s="131" t="n">
        <x:v>0</x:v>
      </x:c>
      <x:c r="E397" s="131" t="n">
        <x:v>0</x:v>
      </x:c>
      <x:c r="F397" s="131" t="n">
        <x:f>SUM(B397:E397)</x:f>
        <x:v>6135746.41</x:v>
      </x:c>
      <x:c r="G397" s="111" t="str">
        <x:v>Independente</x:v>
      </x:c>
      <x:c r="H397" s="140" t="str">
        <x:v>Independente</x:v>
      </x:c>
      <x:c r="I397" s="111" t="str">
        <x:v>Regra residual — revisar manualmente</x:v>
      </x:c>
      <x:c r="J397" s="149" t="str">
        <x:v>Sim</x:v>
      </x:c>
      <x:c r="K397" s="131" t="n">
        <x:f>IF($H397="Independente",$F397,0)</x:f>
        <x:v>6135746.41</x:v>
      </x:c>
      <x:c r="L397" s="131" t="n">
        <x:f>IF($H397="Ligada a banco",$F397,0)</x:f>
        <x:v>0</x:v>
      </x:c>
      <x:c r="M397" s="114" t="n">
        <x:f>IF(K397&gt;0,RANK(K397,$K$6:$K$462)+COUNTIF($K$6:K397,K397)-1,9999)</x:f>
        <x:v>368</x:v>
      </x:c>
      <x:c r="N397" s="114" t="n">
        <x:f>IF(L397&gt;0,RANK(L397,$L$6:$L$462)+COUNTIF($L$6:L397,L397)-1,9999)</x:f>
        <x:v>9999</x:v>
      </x:c>
    </x:row>
    <x:row r="398">
      <x:c r="A398" s="111" t="str">
        <x:v>Featbank Asset Management</x:v>
      </x:c>
      <x:c r="B398" s="131" t="n">
        <x:v>0</x:v>
      </x:c>
      <x:c r="C398" s="131" t="n">
        <x:v>0</x:v>
      </x:c>
      <x:c r="D398" s="131" t="n">
        <x:v>0</x:v>
      </x:c>
      <x:c r="E398" s="131" t="n">
        <x:v>5676141.4799999995</x:v>
      </x:c>
      <x:c r="F398" s="131" t="n">
        <x:f>SUM(B398:E398)</x:f>
        <x:v>5676141.4799999995</x:v>
      </x:c>
      <x:c r="G398" s="111" t="str">
        <x:v>Independente</x:v>
      </x:c>
      <x:c r="H398" s="140" t="str">
        <x:v>Independente</x:v>
      </x:c>
      <x:c r="I398" s="111" t="str">
        <x:v>Regra residual — revisar manualmente</x:v>
      </x:c>
      <x:c r="J398" s="149" t="str">
        <x:v>Sim</x:v>
      </x:c>
      <x:c r="K398" s="131" t="n">
        <x:f>IF($H398="Independente",$F398,0)</x:f>
        <x:v>5676141.4799999995</x:v>
      </x:c>
      <x:c r="L398" s="131" t="n">
        <x:f>IF($H398="Ligada a banco",$F398,0)</x:f>
        <x:v>0</x:v>
      </x:c>
      <x:c r="M398" s="114" t="n">
        <x:f>IF(K398&gt;0,RANK(K398,$K$6:$K$462)+COUNTIF($K$6:K398,K398)-1,9999)</x:f>
        <x:v>369</x:v>
      </x:c>
      <x:c r="N398" s="114" t="n">
        <x:f>IF(L398&gt;0,RANK(L398,$L$6:$L$462)+COUNTIF($L$6:L398,L398)-1,9999)</x:f>
        <x:v>9999</x:v>
      </x:c>
    </x:row>
    <x:row r="399">
      <x:c r="A399" s="111" t="str">
        <x:v>ROCHA OPÇÕES DE INVESTIMENTOS</x:v>
      </x:c>
      <x:c r="B399" s="131" t="n">
        <x:v>0</x:v>
      </x:c>
      <x:c r="C399" s="131" t="n">
        <x:v>0</x:v>
      </x:c>
      <x:c r="D399" s="131" t="n">
        <x:v>0</x:v>
      </x:c>
      <x:c r="E399" s="131" t="n">
        <x:v>5477055.15</x:v>
      </x:c>
      <x:c r="F399" s="131" t="n">
        <x:f>SUM(B399:E399)</x:f>
        <x:v>5477055.15</x:v>
      </x:c>
      <x:c r="G399" s="111" t="str">
        <x:v>Independente</x:v>
      </x:c>
      <x:c r="H399" s="140" t="str">
        <x:v>Independente</x:v>
      </x:c>
      <x:c r="I399" s="111" t="str">
        <x:v>Regra residual — revisar manualmente</x:v>
      </x:c>
      <x:c r="J399" s="149" t="str">
        <x:v>Sim</x:v>
      </x:c>
      <x:c r="K399" s="131" t="n">
        <x:f>IF($H399="Independente",$F399,0)</x:f>
        <x:v>5477055.15</x:v>
      </x:c>
      <x:c r="L399" s="131" t="n">
        <x:f>IF($H399="Ligada a banco",$F399,0)</x:f>
        <x:v>0</x:v>
      </x:c>
      <x:c r="M399" s="114" t="n">
        <x:f>IF(K399&gt;0,RANK(K399,$K$6:$K$462)+COUNTIF($K$6:K399,K399)-1,9999)</x:f>
        <x:v>370</x:v>
      </x:c>
      <x:c r="N399" s="114" t="n">
        <x:f>IF(L399&gt;0,RANK(L399,$L$6:$L$462)+COUNTIF($L$6:L399,L399)-1,9999)</x:f>
        <x:v>9999</x:v>
      </x:c>
    </x:row>
    <x:row r="400">
      <x:c r="A400" s="111" t="str">
        <x:v>XMS Investimentos</x:v>
      </x:c>
      <x:c r="B400" s="131" t="n">
        <x:v>0</x:v>
      </x:c>
      <x:c r="C400" s="131" t="n">
        <x:v>0</x:v>
      </x:c>
      <x:c r="D400" s="131" t="n">
        <x:v>5311876.87</x:v>
      </x:c>
      <x:c r="E400" s="131" t="n">
        <x:v>0</x:v>
      </x:c>
      <x:c r="F400" s="131" t="n">
        <x:f>SUM(B400:E400)</x:f>
        <x:v>5311876.87</x:v>
      </x:c>
      <x:c r="G400" s="111" t="str">
        <x:v>Independente</x:v>
      </x:c>
      <x:c r="H400" s="140" t="str">
        <x:v>Independente</x:v>
      </x:c>
      <x:c r="I400" s="111" t="str">
        <x:v>Regra residual — revisar manualmente</x:v>
      </x:c>
      <x:c r="J400" s="149" t="str">
        <x:v>Sim</x:v>
      </x:c>
      <x:c r="K400" s="131" t="n">
        <x:f>IF($H400="Independente",$F400,0)</x:f>
        <x:v>5311876.87</x:v>
      </x:c>
      <x:c r="L400" s="131" t="n">
        <x:f>IF($H400="Ligada a banco",$F400,0)</x:f>
        <x:v>0</x:v>
      </x:c>
      <x:c r="M400" s="114" t="n">
        <x:f>IF(K400&gt;0,RANK(K400,$K$6:$K$462)+COUNTIF($K$6:K400,K400)-1,9999)</x:f>
        <x:v>371</x:v>
      </x:c>
      <x:c r="N400" s="114" t="n">
        <x:f>IF(L400&gt;0,RANK(L400,$L$6:$L$462)+COUNTIF($L$6:L400,L400)-1,9999)</x:f>
        <x:v>9999</x:v>
      </x:c>
    </x:row>
    <x:row r="401">
      <x:c r="A401" s="111" t="str">
        <x:v>Porto Real Investimentos</x:v>
      </x:c>
      <x:c r="B401" s="131" t="n">
        <x:v>5164615.74</x:v>
      </x:c>
      <x:c r="C401" s="131" t="n">
        <x:v>0</x:v>
      </x:c>
      <x:c r="D401" s="131" t="n">
        <x:v>0</x:v>
      </x:c>
      <x:c r="E401" s="131" t="n">
        <x:v>0</x:v>
      </x:c>
      <x:c r="F401" s="131" t="n">
        <x:f>SUM(B401:E401)</x:f>
        <x:v>5164615.74</x:v>
      </x:c>
      <x:c r="G401" s="111" t="str">
        <x:v>Independente</x:v>
      </x:c>
      <x:c r="H401" s="140" t="str">
        <x:v>Independente</x:v>
      </x:c>
      <x:c r="I401" s="111" t="str">
        <x:v>Regra residual — revisar manualmente</x:v>
      </x:c>
      <x:c r="J401" s="149" t="str">
        <x:v>Sim</x:v>
      </x:c>
      <x:c r="K401" s="131" t="n">
        <x:f>IF($H401="Independente",$F401,0)</x:f>
        <x:v>5164615.74</x:v>
      </x:c>
      <x:c r="L401" s="131" t="n">
        <x:f>IF($H401="Ligada a banco",$F401,0)</x:f>
        <x:v>0</x:v>
      </x:c>
      <x:c r="M401" s="114" t="n">
        <x:f>IF(K401&gt;0,RANK(K401,$K$6:$K$462)+COUNTIF($K$6:K401,K401)-1,9999)</x:f>
        <x:v>372</x:v>
      </x:c>
      <x:c r="N401" s="114" t="n">
        <x:f>IF(L401&gt;0,RANK(L401,$L$6:$L$462)+COUNTIF($L$6:L401,L401)-1,9999)</x:f>
        <x:v>9999</x:v>
      </x:c>
    </x:row>
    <x:row r="402">
      <x:c r="A402" s="111" t="str">
        <x:v>BNY MELLON SERVICOS</x:v>
      </x:c>
      <x:c r="B402" s="131" t="n">
        <x:v>0</x:v>
      </x:c>
      <x:c r="C402" s="131" t="n">
        <x:v>0</x:v>
      </x:c>
      <x:c r="D402" s="131" t="n">
        <x:v>4905112.620000001</x:v>
      </x:c>
      <x:c r="E402" s="131" t="n">
        <x:v>0</x:v>
      </x:c>
      <x:c r="F402" s="131" t="n">
        <x:f>SUM(B402:E402)</x:f>
        <x:v>4905112.620000001</x:v>
      </x:c>
      <x:c r="G402" s="111" t="str">
        <x:v>Independente</x:v>
      </x:c>
      <x:c r="H402" s="140" t="str">
        <x:v>Independente</x:v>
      </x:c>
      <x:c r="I402" s="111" t="str">
        <x:v>Regra residual — revisar manualmente</x:v>
      </x:c>
      <x:c r="J402" s="149" t="str">
        <x:v>Sim</x:v>
      </x:c>
      <x:c r="K402" s="131" t="n">
        <x:f>IF($H402="Independente",$F402,0)</x:f>
        <x:v>4905112.620000001</x:v>
      </x:c>
      <x:c r="L402" s="131" t="n">
        <x:f>IF($H402="Ligada a banco",$F402,0)</x:f>
        <x:v>0</x:v>
      </x:c>
      <x:c r="M402" s="114" t="n">
        <x:f>IF(K402&gt;0,RANK(K402,$K$6:$K$462)+COUNTIF($K$6:K402,K402)-1,9999)</x:f>
        <x:v>373</x:v>
      </x:c>
      <x:c r="N402" s="114" t="n">
        <x:f>IF(L402&gt;0,RANK(L402,$L$6:$L$462)+COUNTIF($L$6:L402,L402)-1,9999)</x:f>
        <x:v>9999</x:v>
      </x:c>
    </x:row>
    <x:row r="403">
      <x:c r="A403" s="111" t="str">
        <x:v>Etti Partners</x:v>
      </x:c>
      <x:c r="B403" s="131" t="n">
        <x:v>0</x:v>
      </x:c>
      <x:c r="C403" s="131" t="n">
        <x:v>0</x:v>
      </x:c>
      <x:c r="D403" s="131" t="n">
        <x:v>0</x:v>
      </x:c>
      <x:c r="E403" s="131" t="n">
        <x:v>4685859.29</x:v>
      </x:c>
      <x:c r="F403" s="131" t="n">
        <x:f>SUM(B403:E403)</x:f>
        <x:v>4685859.29</x:v>
      </x:c>
      <x:c r="G403" s="111" t="str">
        <x:v>Independente</x:v>
      </x:c>
      <x:c r="H403" s="140" t="str">
        <x:v>Independente</x:v>
      </x:c>
      <x:c r="I403" s="111" t="str">
        <x:v>Regra residual — revisar manualmente</x:v>
      </x:c>
      <x:c r="J403" s="149" t="str">
        <x:v>Sim</x:v>
      </x:c>
      <x:c r="K403" s="131" t="n">
        <x:f>IF($H403="Independente",$F403,0)</x:f>
        <x:v>4685859.29</x:v>
      </x:c>
      <x:c r="L403" s="131" t="n">
        <x:f>IF($H403="Ligada a banco",$F403,0)</x:f>
        <x:v>0</x:v>
      </x:c>
      <x:c r="M403" s="114" t="n">
        <x:f>IF(K403&gt;0,RANK(K403,$K$6:$K$462)+COUNTIF($K$6:K403,K403)-1,9999)</x:f>
        <x:v>374</x:v>
      </x:c>
      <x:c r="N403" s="114" t="n">
        <x:f>IF(L403&gt;0,RANK(L403,$L$6:$L$462)+COUNTIF($L$6:L403,L403)-1,9999)</x:f>
        <x:v>9999</x:v>
      </x:c>
    </x:row>
    <x:row r="404">
      <x:c r="A404" s="111" t="str">
        <x:v>AWR Gestão de Recursos</x:v>
      </x:c>
      <x:c r="B404" s="131" t="n">
        <x:v>3808327.44</x:v>
      </x:c>
      <x:c r="C404" s="131" t="n">
        <x:v>0</x:v>
      </x:c>
      <x:c r="D404" s="131" t="n">
        <x:v>0</x:v>
      </x:c>
      <x:c r="E404" s="131" t="n">
        <x:v>0</x:v>
      </x:c>
      <x:c r="F404" s="131" t="n">
        <x:f>SUM(B404:E404)</x:f>
        <x:v>3808327.44</x:v>
      </x:c>
      <x:c r="G404" s="111" t="str">
        <x:v>Independente</x:v>
      </x:c>
      <x:c r="H404" s="140" t="str">
        <x:v>Independente</x:v>
      </x:c>
      <x:c r="I404" s="111" t="str">
        <x:v>Regra residual — revisar manualmente</x:v>
      </x:c>
      <x:c r="J404" s="149" t="str">
        <x:v>Sim</x:v>
      </x:c>
      <x:c r="K404" s="131" t="n">
        <x:f>IF($H404="Independente",$F404,0)</x:f>
        <x:v>3808327.44</x:v>
      </x:c>
      <x:c r="L404" s="131" t="n">
        <x:f>IF($H404="Ligada a banco",$F404,0)</x:f>
        <x:v>0</x:v>
      </x:c>
      <x:c r="M404" s="114" t="n">
        <x:f>IF(K404&gt;0,RANK(K404,$K$6:$K$462)+COUNTIF($K$6:K404,K404)-1,9999)</x:f>
        <x:v>375</x:v>
      </x:c>
      <x:c r="N404" s="114" t="n">
        <x:f>IF(L404&gt;0,RANK(L404,$L$6:$L$462)+COUNTIF($L$6:L404,L404)-1,9999)</x:f>
        <x:v>9999</x:v>
      </x:c>
    </x:row>
    <x:row r="405">
      <x:c r="A405" s="111" t="str">
        <x:v>MARIN INVESTIMENTOS</x:v>
      </x:c>
      <x:c r="B405" s="131" t="n">
        <x:v>0</x:v>
      </x:c>
      <x:c r="C405" s="131" t="n">
        <x:v>0</x:v>
      </x:c>
      <x:c r="D405" s="131" t="n">
        <x:v>3784822.37</x:v>
      </x:c>
      <x:c r="E405" s="131" t="n">
        <x:v>0</x:v>
      </x:c>
      <x:c r="F405" s="131" t="n">
        <x:f>SUM(B405:E405)</x:f>
        <x:v>3784822.37</x:v>
      </x:c>
      <x:c r="G405" s="111" t="str">
        <x:v>Independente</x:v>
      </x:c>
      <x:c r="H405" s="140" t="str">
        <x:v>Independente</x:v>
      </x:c>
      <x:c r="I405" s="111" t="str">
        <x:v>Regra residual — revisar manualmente</x:v>
      </x:c>
      <x:c r="J405" s="149" t="str">
        <x:v>Sim</x:v>
      </x:c>
      <x:c r="K405" s="131" t="n">
        <x:f>IF($H405="Independente",$F405,0)</x:f>
        <x:v>3784822.37</x:v>
      </x:c>
      <x:c r="L405" s="131" t="n">
        <x:f>IF($H405="Ligada a banco",$F405,0)</x:f>
        <x:v>0</x:v>
      </x:c>
      <x:c r="M405" s="114" t="n">
        <x:f>IF(K405&gt;0,RANK(K405,$K$6:$K$462)+COUNTIF($K$6:K405,K405)-1,9999)</x:f>
        <x:v>376</x:v>
      </x:c>
      <x:c r="N405" s="114" t="n">
        <x:f>IF(L405&gt;0,RANK(L405,$L$6:$L$462)+COUNTIF($L$6:L405,L405)-1,9999)</x:f>
        <x:v>9999</x:v>
      </x:c>
    </x:row>
    <x:row r="406">
      <x:c r="A406" s="111" t="str">
        <x:v>3J Gestora de Recursos Ltda.</x:v>
      </x:c>
      <x:c r="B406" s="131" t="n">
        <x:v>0</x:v>
      </x:c>
      <x:c r="C406" s="131" t="n">
        <x:v>0</x:v>
      </x:c>
      <x:c r="D406" s="131" t="n">
        <x:v>0</x:v>
      </x:c>
      <x:c r="E406" s="131" t="n">
        <x:v>3229682.060000001</x:v>
      </x:c>
      <x:c r="F406" s="131" t="n">
        <x:f>SUM(B406:E406)</x:f>
        <x:v>3229682.060000001</x:v>
      </x:c>
      <x:c r="G406" s="111" t="str">
        <x:v>Independente</x:v>
      </x:c>
      <x:c r="H406" s="140" t="str">
        <x:v>Independente</x:v>
      </x:c>
      <x:c r="I406" s="111" t="str">
        <x:v>Regra residual — revisar manualmente</x:v>
      </x:c>
      <x:c r="J406" s="149" t="str">
        <x:v>Sim</x:v>
      </x:c>
      <x:c r="K406" s="131" t="n">
        <x:f>IF($H406="Independente",$F406,0)</x:f>
        <x:v>3229682.060000001</x:v>
      </x:c>
      <x:c r="L406" s="131" t="n">
        <x:f>IF($H406="Ligada a banco",$F406,0)</x:f>
        <x:v>0</x:v>
      </x:c>
      <x:c r="M406" s="114" t="n">
        <x:f>IF(K406&gt;0,RANK(K406,$K$6:$K$462)+COUNTIF($K$6:K406,K406)-1,9999)</x:f>
        <x:v>377</x:v>
      </x:c>
      <x:c r="N406" s="114" t="n">
        <x:f>IF(L406&gt;0,RANK(L406,$L$6:$L$462)+COUNTIF($L$6:L406,L406)-1,9999)</x:f>
        <x:v>9999</x:v>
      </x:c>
    </x:row>
    <x:row r="407">
      <x:c r="A407" s="111" t="str">
        <x:v>Merito DTVM</x:v>
      </x:c>
      <x:c r="B407" s="131" t="n">
        <x:v>0</x:v>
      </x:c>
      <x:c r="C407" s="131" t="n">
        <x:v>0</x:v>
      </x:c>
      <x:c r="D407" s="131" t="n">
        <x:v>0</x:v>
      </x:c>
      <x:c r="E407" s="131" t="n">
        <x:v>3199595.12</x:v>
      </x:c>
      <x:c r="F407" s="131" t="n">
        <x:f>SUM(B407:E407)</x:f>
        <x:v>3199595.12</x:v>
      </x:c>
      <x:c r="G407" s="111" t="str">
        <x:v>Independente</x:v>
      </x:c>
      <x:c r="H407" s="140" t="str">
        <x:v>Independente</x:v>
      </x:c>
      <x:c r="I407" s="111" t="str">
        <x:v>Regra residual — revisar manualmente</x:v>
      </x:c>
      <x:c r="J407" s="149" t="str">
        <x:v>Sim</x:v>
      </x:c>
      <x:c r="K407" s="131" t="n">
        <x:f>IF($H407="Independente",$F407,0)</x:f>
        <x:v>3199595.12</x:v>
      </x:c>
      <x:c r="L407" s="131" t="n">
        <x:f>IF($H407="Ligada a banco",$F407,0)</x:f>
        <x:v>0</x:v>
      </x:c>
      <x:c r="M407" s="114" t="n">
        <x:f>IF(K407&gt;0,RANK(K407,$K$6:$K$462)+COUNTIF($K$6:K407,K407)-1,9999)</x:f>
        <x:v>378</x:v>
      </x:c>
      <x:c r="N407" s="114" t="n">
        <x:f>IF(L407&gt;0,RANK(L407,$L$6:$L$462)+COUNTIF($L$6:L407,L407)-1,9999)</x:f>
        <x:v>9999</x:v>
      </x:c>
    </x:row>
    <x:row r="408">
      <x:c r="A408" s="111" t="str">
        <x:v>Fronteira Invest</x:v>
      </x:c>
      <x:c r="B408" s="131" t="n">
        <x:v>0</x:v>
      </x:c>
      <x:c r="C408" s="131" t="n">
        <x:v>2083377.6</x:v>
      </x:c>
      <x:c r="D408" s="131" t="n">
        <x:v>0</x:v>
      </x:c>
      <x:c r="E408" s="131" t="n">
        <x:v>1000663.07</x:v>
      </x:c>
      <x:c r="F408" s="131" t="n">
        <x:f>SUM(B408:E408)</x:f>
        <x:v>3084040.67</x:v>
      </x:c>
      <x:c r="G408" s="111" t="str">
        <x:v>Independente</x:v>
      </x:c>
      <x:c r="H408" s="140" t="str">
        <x:v>Independente</x:v>
      </x:c>
      <x:c r="I408" s="111" t="str">
        <x:v>Regra residual — revisar manualmente</x:v>
      </x:c>
      <x:c r="J408" s="149" t="str">
        <x:v>Sim</x:v>
      </x:c>
      <x:c r="K408" s="131" t="n">
        <x:f>IF($H408="Independente",$F408,0)</x:f>
        <x:v>3084040.67</x:v>
      </x:c>
      <x:c r="L408" s="131" t="n">
        <x:f>IF($H408="Ligada a banco",$F408,0)</x:f>
        <x:v>0</x:v>
      </x:c>
      <x:c r="M408" s="114" t="n">
        <x:f>IF(K408&gt;0,RANK(K408,$K$6:$K$462)+COUNTIF($K$6:K408,K408)-1,9999)</x:f>
        <x:v>379</x:v>
      </x:c>
      <x:c r="N408" s="114" t="n">
        <x:f>IF(L408&gt;0,RANK(L408,$L$6:$L$462)+COUNTIF($L$6:L408,L408)-1,9999)</x:f>
        <x:v>9999</x:v>
      </x:c>
    </x:row>
    <x:row r="409">
      <x:c r="A409" s="111" t="str">
        <x:v>Iter</x:v>
      </x:c>
      <x:c r="B409" s="131" t="n">
        <x:v>0</x:v>
      </x:c>
      <x:c r="C409" s="131" t="n">
        <x:v>3018031.71</x:v>
      </x:c>
      <x:c r="D409" s="131" t="n">
        <x:v>0</x:v>
      </x:c>
      <x:c r="E409" s="131" t="n">
        <x:v>0</x:v>
      </x:c>
      <x:c r="F409" s="131" t="n">
        <x:f>SUM(B409:E409)</x:f>
        <x:v>3018031.71</x:v>
      </x:c>
      <x:c r="G409" s="111" t="str">
        <x:v>Independente</x:v>
      </x:c>
      <x:c r="H409" s="140" t="str">
        <x:v>Independente</x:v>
      </x:c>
      <x:c r="I409" s="111" t="str">
        <x:v>Regra residual — revisar manualmente</x:v>
      </x:c>
      <x:c r="J409" s="149" t="str">
        <x:v>Sim</x:v>
      </x:c>
      <x:c r="K409" s="131" t="n">
        <x:f>IF($H409="Independente",$F409,0)</x:f>
        <x:v>3018031.71</x:v>
      </x:c>
      <x:c r="L409" s="131" t="n">
        <x:f>IF($H409="Ligada a banco",$F409,0)</x:f>
        <x:v>0</x:v>
      </x:c>
      <x:c r="M409" s="114" t="n">
        <x:f>IF(K409&gt;0,RANK(K409,$K$6:$K$462)+COUNTIF($K$6:K409,K409)-1,9999)</x:f>
        <x:v>380</x:v>
      </x:c>
      <x:c r="N409" s="114" t="n">
        <x:f>IF(L409&gt;0,RANK(L409,$L$6:$L$462)+COUNTIF($L$6:L409,L409)-1,9999)</x:f>
        <x:v>9999</x:v>
      </x:c>
    </x:row>
    <x:row r="410">
      <x:c r="A410" s="111" t="str">
        <x:v>Planalto Capital</x:v>
      </x:c>
      <x:c r="B410" s="131" t="n">
        <x:v>0</x:v>
      </x:c>
      <x:c r="C410" s="131" t="n">
        <x:v>0</x:v>
      </x:c>
      <x:c r="D410" s="131" t="n">
        <x:v>0</x:v>
      </x:c>
      <x:c r="E410" s="131" t="n">
        <x:v>2738167.5300000003</x:v>
      </x:c>
      <x:c r="F410" s="131" t="n">
        <x:f>SUM(B410:E410)</x:f>
        <x:v>2738167.5300000003</x:v>
      </x:c>
      <x:c r="G410" s="111" t="str">
        <x:v>Independente</x:v>
      </x:c>
      <x:c r="H410" s="140" t="str">
        <x:v>Independente</x:v>
      </x:c>
      <x:c r="I410" s="111" t="str">
        <x:v>Regra residual — revisar manualmente</x:v>
      </x:c>
      <x:c r="J410" s="149" t="str">
        <x:v>Sim</x:v>
      </x:c>
      <x:c r="K410" s="131" t="n">
        <x:f>IF($H410="Independente",$F410,0)</x:f>
        <x:v>2738167.5300000003</x:v>
      </x:c>
      <x:c r="L410" s="131" t="n">
        <x:f>IF($H410="Ligada a banco",$F410,0)</x:f>
        <x:v>0</x:v>
      </x:c>
      <x:c r="M410" s="114" t="n">
        <x:f>IF(K410&gt;0,RANK(K410,$K$6:$K$462)+COUNTIF($K$6:K410,K410)-1,9999)</x:f>
        <x:v>381</x:v>
      </x:c>
      <x:c r="N410" s="114" t="n">
        <x:f>IF(L410&gt;0,RANK(L410,$L$6:$L$462)+COUNTIF($L$6:L410,L410)-1,9999)</x:f>
        <x:v>9999</x:v>
      </x:c>
    </x:row>
    <x:row r="411">
      <x:c r="A411" s="111" t="str">
        <x:v>Bradesco Asset</x:v>
      </x:c>
      <x:c r="B411" s="131" t="n">
        <x:v>0</x:v>
      </x:c>
      <x:c r="C411" s="131" t="n">
        <x:v>2492691.93</x:v>
      </x:c>
      <x:c r="D411" s="131" t="n">
        <x:v>0</x:v>
      </x:c>
      <x:c r="E411" s="131" t="n">
        <x:v>0</x:v>
      </x:c>
      <x:c r="F411" s="131" t="n">
        <x:f>SUM(B411:E411)</x:f>
        <x:v>2492691.93</x:v>
      </x:c>
      <x:c r="G411" s="111" t="str">
        <x:v>Ligada a banco</x:v>
      </x:c>
      <x:c r="H411" s="140" t="str">
        <x:v>Ligada a banco</x:v>
      </x:c>
      <x:c r="I411" s="111" t="str">
        <x:v>Regra nominal: BRADESCO</x:v>
      </x:c>
      <x:c r="J411" s="149" t="str">
        <x:v>Sim</x:v>
      </x:c>
      <x:c r="K411" s="131" t="n">
        <x:f>IF($H411="Independente",$F411,0)</x:f>
        <x:v>0</x:v>
      </x:c>
      <x:c r="L411" s="131" t="n">
        <x:f>IF($H411="Ligada a banco",$F411,0)</x:f>
        <x:v>2492691.93</x:v>
      </x:c>
      <x:c r="M411" s="114" t="n">
        <x:f>IF(K411&gt;0,RANK(K411,$K$6:$K$462)+COUNTIF($K$6:K411,K411)-1,9999)</x:f>
        <x:v>9999</x:v>
      </x:c>
      <x:c r="N411" s="114" t="n">
        <x:f>IF(L411&gt;0,RANK(L411,$L$6:$L$462)+COUNTIF($L$6:L411,L411)-1,9999)</x:f>
        <x:v>25</x:v>
      </x:c>
    </x:row>
    <x:row r="412">
      <x:c r="A412" s="111" t="str">
        <x:v>Pátria VBI Real Estate Gestão de Carteiras S.A.</x:v>
      </x:c>
      <x:c r="B412" s="131" t="n">
        <x:v>0</x:v>
      </x:c>
      <x:c r="C412" s="131" t="n">
        <x:v>0</x:v>
      </x:c>
      <x:c r="D412" s="131" t="n">
        <x:v>0</x:v>
      </x:c>
      <x:c r="E412" s="131" t="n">
        <x:v>1841163.96</x:v>
      </x:c>
      <x:c r="F412" s="131" t="n">
        <x:f>SUM(B412:E412)</x:f>
        <x:v>1841163.96</x:v>
      </x:c>
      <x:c r="G412" s="111" t="str">
        <x:v>Independente</x:v>
      </x:c>
      <x:c r="H412" s="140" t="str">
        <x:v>Independente</x:v>
      </x:c>
      <x:c r="I412" s="111" t="str">
        <x:v>Regra residual — revisar manualmente</x:v>
      </x:c>
      <x:c r="J412" s="149" t="str">
        <x:v>Sim</x:v>
      </x:c>
      <x:c r="K412" s="131" t="n">
        <x:f>IF($H412="Independente",$F412,0)</x:f>
        <x:v>1841163.96</x:v>
      </x:c>
      <x:c r="L412" s="131" t="n">
        <x:f>IF($H412="Ligada a banco",$F412,0)</x:f>
        <x:v>0</x:v>
      </x:c>
      <x:c r="M412" s="114" t="n">
        <x:f>IF(K412&gt;0,RANK(K412,$K$6:$K$462)+COUNTIF($K$6:K412,K412)-1,9999)</x:f>
        <x:v>382</x:v>
      </x:c>
      <x:c r="N412" s="114" t="n">
        <x:f>IF(L412&gt;0,RANK(L412,$L$6:$L$462)+COUNTIF($L$6:L412,L412)-1,9999)</x:f>
        <x:v>9999</x:v>
      </x:c>
    </x:row>
    <x:row r="413">
      <x:c r="A413" s="111" t="str">
        <x:v>Fortis Gestora de Recursos LTDA</x:v>
      </x:c>
      <x:c r="B413" s="131" t="n">
        <x:v>0</x:v>
      </x:c>
      <x:c r="C413" s="131" t="n">
        <x:v>0</x:v>
      </x:c>
      <x:c r="D413" s="131" t="n">
        <x:v>0</x:v>
      </x:c>
      <x:c r="E413" s="131" t="n">
        <x:v>1696183.37</x:v>
      </x:c>
      <x:c r="F413" s="131" t="n">
        <x:f>SUM(B413:E413)</x:f>
        <x:v>1696183.37</x:v>
      </x:c>
      <x:c r="G413" s="111" t="str">
        <x:v>Independente</x:v>
      </x:c>
      <x:c r="H413" s="140" t="str">
        <x:v>Independente</x:v>
      </x:c>
      <x:c r="I413" s="111" t="str">
        <x:v>Regra residual — revisar manualmente</x:v>
      </x:c>
      <x:c r="J413" s="149" t="str">
        <x:v>Sim</x:v>
      </x:c>
      <x:c r="K413" s="131" t="n">
        <x:f>IF($H413="Independente",$F413,0)</x:f>
        <x:v>1696183.37</x:v>
      </x:c>
      <x:c r="L413" s="131" t="n">
        <x:f>IF($H413="Ligada a banco",$F413,0)</x:f>
        <x:v>0</x:v>
      </x:c>
      <x:c r="M413" s="114" t="n">
        <x:f>IF(K413&gt;0,RANK(K413,$K$6:$K$462)+COUNTIF($K$6:K413,K413)-1,9999)</x:f>
        <x:v>383</x:v>
      </x:c>
      <x:c r="N413" s="114" t="n">
        <x:f>IF(L413&gt;0,RANK(L413,$L$6:$L$462)+COUNTIF($L$6:L413,L413)-1,9999)</x:f>
        <x:v>9999</x:v>
      </x:c>
    </x:row>
    <x:row r="414">
      <x:c r="A414" s="111" t="str">
        <x:v>QR Asset</x:v>
      </x:c>
      <x:c r="B414" s="131" t="n">
        <x:v>0</x:v>
      </x:c>
      <x:c r="C414" s="131" t="n">
        <x:v>0</x:v>
      </x:c>
      <x:c r="D414" s="131" t="n">
        <x:v>1626200.8299999998</x:v>
      </x:c>
      <x:c r="E414" s="131" t="n">
        <x:v>0</x:v>
      </x:c>
      <x:c r="F414" s="131" t="n">
        <x:f>SUM(B414:E414)</x:f>
        <x:v>1626200.8299999998</x:v>
      </x:c>
      <x:c r="G414" s="111" t="str">
        <x:v>Independente</x:v>
      </x:c>
      <x:c r="H414" s="140" t="str">
        <x:v>Independente</x:v>
      </x:c>
      <x:c r="I414" s="111" t="str">
        <x:v>Regra residual — revisar manualmente</x:v>
      </x:c>
      <x:c r="J414" s="149" t="str">
        <x:v>Sim</x:v>
      </x:c>
      <x:c r="K414" s="131" t="n">
        <x:f>IF($H414="Independente",$F414,0)</x:f>
        <x:v>1626200.8299999998</x:v>
      </x:c>
      <x:c r="L414" s="131" t="n">
        <x:f>IF($H414="Ligada a banco",$F414,0)</x:f>
        <x:v>0</x:v>
      </x:c>
      <x:c r="M414" s="114" t="n">
        <x:f>IF(K414&gt;0,RANK(K414,$K$6:$K$462)+COUNTIF($K$6:K414,K414)-1,9999)</x:f>
        <x:v>384</x:v>
      </x:c>
      <x:c r="N414" s="114" t="n">
        <x:f>IF(L414&gt;0,RANK(L414,$L$6:$L$462)+COUNTIF($L$6:L414,L414)-1,9999)</x:f>
        <x:v>9999</x:v>
      </x:c>
    </x:row>
    <x:row r="415">
      <x:c r="A415" s="111" t="str">
        <x:v>R CAPITAL ASSET MANAGEMENT INVESTIMENTOS S.A.</x:v>
      </x:c>
      <x:c r="B415" s="131" t="n">
        <x:v>0</x:v>
      </x:c>
      <x:c r="C415" s="131" t="n">
        <x:v>0</x:v>
      </x:c>
      <x:c r="D415" s="131" t="n">
        <x:v>0</x:v>
      </x:c>
      <x:c r="E415" s="131" t="n">
        <x:v>1136622.69</x:v>
      </x:c>
      <x:c r="F415" s="131" t="n">
        <x:f>SUM(B415:E415)</x:f>
        <x:v>1136622.69</x:v>
      </x:c>
      <x:c r="G415" s="111" t="str">
        <x:v>Independente</x:v>
      </x:c>
      <x:c r="H415" s="140" t="str">
        <x:v>Independente</x:v>
      </x:c>
      <x:c r="I415" s="111" t="str">
        <x:v>Regra residual — revisar manualmente</x:v>
      </x:c>
      <x:c r="J415" s="149" t="str">
        <x:v>Sim</x:v>
      </x:c>
      <x:c r="K415" s="131" t="n">
        <x:f>IF($H415="Independente",$F415,0)</x:f>
        <x:v>1136622.69</x:v>
      </x:c>
      <x:c r="L415" s="131" t="n">
        <x:f>IF($H415="Ligada a banco",$F415,0)</x:f>
        <x:v>0</x:v>
      </x:c>
      <x:c r="M415" s="114" t="n">
        <x:f>IF(K415&gt;0,RANK(K415,$K$6:$K$462)+COUNTIF($K$6:K415,K415)-1,9999)</x:f>
        <x:v>385</x:v>
      </x:c>
      <x:c r="N415" s="114" t="n">
        <x:f>IF(L415&gt;0,RANK(L415,$L$6:$L$462)+COUNTIF($L$6:L415,L415)-1,9999)</x:f>
        <x:v>9999</x:v>
      </x:c>
    </x:row>
    <x:row r="416">
      <x:c r="A416" s="111" t="str">
        <x:v>FOURCE GESTAO DE RECURSOS LTDA</x:v>
      </x:c>
      <x:c r="B416" s="131" t="n">
        <x:v>0</x:v>
      </x:c>
      <x:c r="C416" s="131" t="n">
        <x:v>0</x:v>
      </x:c>
      <x:c r="D416" s="131" t="n">
        <x:v>0</x:v>
      </x:c>
      <x:c r="E416" s="131" t="n">
        <x:v>1066676.88</x:v>
      </x:c>
      <x:c r="F416" s="131" t="n">
        <x:f>SUM(B416:E416)</x:f>
        <x:v>1066676.88</x:v>
      </x:c>
      <x:c r="G416" s="111" t="str">
        <x:v>Independente</x:v>
      </x:c>
      <x:c r="H416" s="140" t="str">
        <x:v>Independente</x:v>
      </x:c>
      <x:c r="I416" s="111" t="str">
        <x:v>Regra residual — revisar manualmente</x:v>
      </x:c>
      <x:c r="J416" s="149" t="str">
        <x:v>Sim</x:v>
      </x:c>
      <x:c r="K416" s="131" t="n">
        <x:f>IF($H416="Independente",$F416,0)</x:f>
        <x:v>1066676.88</x:v>
      </x:c>
      <x:c r="L416" s="131" t="n">
        <x:f>IF($H416="Ligada a banco",$F416,0)</x:f>
        <x:v>0</x:v>
      </x:c>
      <x:c r="M416" s="114" t="n">
        <x:f>IF(K416&gt;0,RANK(K416,$K$6:$K$462)+COUNTIF($K$6:K416,K416)-1,9999)</x:f>
        <x:v>386</x:v>
      </x:c>
      <x:c r="N416" s="114" t="n">
        <x:f>IF(L416&gt;0,RANK(L416,$L$6:$L$462)+COUNTIF($L$6:L416,L416)-1,9999)</x:f>
        <x:v>9999</x:v>
      </x:c>
    </x:row>
    <x:row r="417">
      <x:c r="A417" s="111" t="str">
        <x:v>Bloxs Asset</x:v>
      </x:c>
      <x:c r="B417" s="131" t="n">
        <x:v>0</x:v>
      </x:c>
      <x:c r="C417" s="131" t="n">
        <x:v>0</x:v>
      </x:c>
      <x:c r="D417" s="131" t="n">
        <x:v>0</x:v>
      </x:c>
      <x:c r="E417" s="131" t="n">
        <x:v>835072.15</x:v>
      </x:c>
      <x:c r="F417" s="131" t="n">
        <x:f>SUM(B417:E417)</x:f>
        <x:v>835072.15</x:v>
      </x:c>
      <x:c r="G417" s="111" t="str">
        <x:v>Independente</x:v>
      </x:c>
      <x:c r="H417" s="140" t="str">
        <x:v>Independente</x:v>
      </x:c>
      <x:c r="I417" s="111" t="str">
        <x:v>Regra residual — revisar manualmente</x:v>
      </x:c>
      <x:c r="J417" s="149" t="str">
        <x:v>Sim</x:v>
      </x:c>
      <x:c r="K417" s="131" t="n">
        <x:f>IF($H417="Independente",$F417,0)</x:f>
        <x:v>835072.15</x:v>
      </x:c>
      <x:c r="L417" s="131" t="n">
        <x:f>IF($H417="Ligada a banco",$F417,0)</x:f>
        <x:v>0</x:v>
      </x:c>
      <x:c r="M417" s="114" t="n">
        <x:f>IF(K417&gt;0,RANK(K417,$K$6:$K$462)+COUNTIF($K$6:K417,K417)-1,9999)</x:f>
        <x:v>387</x:v>
      </x:c>
      <x:c r="N417" s="114" t="n">
        <x:f>IF(L417&gt;0,RANK(L417,$L$6:$L$462)+COUNTIF($L$6:L417,L417)-1,9999)</x:f>
        <x:v>9999</x:v>
      </x:c>
    </x:row>
    <x:row r="418">
      <x:c r="A418" s="111" t="str">
        <x:v>Mont Capital Gestão e Administração</x:v>
      </x:c>
      <x:c r="B418" s="131" t="n">
        <x:v>0</x:v>
      </x:c>
      <x:c r="C418" s="131" t="n">
        <x:v>0</x:v>
      </x:c>
      <x:c r="D418" s="131" t="n">
        <x:v>745363.78</x:v>
      </x:c>
      <x:c r="E418" s="131" t="n">
        <x:v>0</x:v>
      </x:c>
      <x:c r="F418" s="131" t="n">
        <x:f>SUM(B418:E418)</x:f>
        <x:v>745363.78</x:v>
      </x:c>
      <x:c r="G418" s="111" t="str">
        <x:v>Independente</x:v>
      </x:c>
      <x:c r="H418" s="140" t="str">
        <x:v>Independente</x:v>
      </x:c>
      <x:c r="I418" s="111" t="str">
        <x:v>Regra residual — revisar manualmente</x:v>
      </x:c>
      <x:c r="J418" s="149" t="str">
        <x:v>Sim</x:v>
      </x:c>
      <x:c r="K418" s="131" t="n">
        <x:f>IF($H418="Independente",$F418,0)</x:f>
        <x:v>745363.78</x:v>
      </x:c>
      <x:c r="L418" s="131" t="n">
        <x:f>IF($H418="Ligada a banco",$F418,0)</x:f>
        <x:v>0</x:v>
      </x:c>
      <x:c r="M418" s="114" t="n">
        <x:f>IF(K418&gt;0,RANK(K418,$K$6:$K$462)+COUNTIF($K$6:K418,K418)-1,9999)</x:f>
        <x:v>388</x:v>
      </x:c>
      <x:c r="N418" s="114" t="n">
        <x:f>IF(L418&gt;0,RANK(L418,$L$6:$L$462)+COUNTIF($L$6:L418,L418)-1,9999)</x:f>
        <x:v>9999</x:v>
      </x:c>
    </x:row>
    <x:row r="419">
      <x:c r="A419" s="111" t="str">
        <x:v>SZ CAPITAL LTDA</x:v>
      </x:c>
      <x:c r="B419" s="131" t="n">
        <x:v>0</x:v>
      </x:c>
      <x:c r="C419" s="131" t="n">
        <x:v>0</x:v>
      </x:c>
      <x:c r="D419" s="131" t="n">
        <x:v>0</x:v>
      </x:c>
      <x:c r="E419" s="131" t="n">
        <x:v>275574.19</x:v>
      </x:c>
      <x:c r="F419" s="131" t="n">
        <x:f>SUM(B419:E419)</x:f>
        <x:v>275574.19</x:v>
      </x:c>
      <x:c r="G419" s="111" t="str">
        <x:v>Independente</x:v>
      </x:c>
      <x:c r="H419" s="140" t="str">
        <x:v>Independente</x:v>
      </x:c>
      <x:c r="I419" s="111" t="str">
        <x:v>Regra residual — revisar manualmente</x:v>
      </x:c>
      <x:c r="J419" s="149" t="str">
        <x:v>Sim</x:v>
      </x:c>
      <x:c r="K419" s="131" t="n">
        <x:f>IF($H419="Independente",$F419,0)</x:f>
        <x:v>275574.19</x:v>
      </x:c>
      <x:c r="L419" s="131" t="n">
        <x:f>IF($H419="Ligada a banco",$F419,0)</x:f>
        <x:v>0</x:v>
      </x:c>
      <x:c r="M419" s="114" t="n">
        <x:f>IF(K419&gt;0,RANK(K419,$K$6:$K$462)+COUNTIF($K$6:K419,K419)-1,9999)</x:f>
        <x:v>389</x:v>
      </x:c>
      <x:c r="N419" s="114" t="n">
        <x:f>IF(L419&gt;0,RANK(L419,$L$6:$L$462)+COUNTIF($L$6:L419,L419)-1,9999)</x:f>
        <x:v>9999</x:v>
      </x:c>
    </x:row>
    <x:row r="420">
      <x:c r="A420" s="111" t="str">
        <x:v>Privatto Administração de Patrimonio Ltda</x:v>
      </x:c>
      <x:c r="B420" s="131" t="n">
        <x:v>0</x:v>
      </x:c>
      <x:c r="C420" s="131" t="n">
        <x:v>0</x:v>
      </x:c>
      <x:c r="D420" s="131" t="n">
        <x:v>0.05</x:v>
      </x:c>
      <x:c r="E420" s="131" t="n">
        <x:v>0</x:v>
      </x:c>
      <x:c r="F420" s="131" t="n">
        <x:f>SUM(B420:E420)</x:f>
        <x:v>0.05</x:v>
      </x:c>
      <x:c r="G420" s="111" t="str">
        <x:v>Independente</x:v>
      </x:c>
      <x:c r="H420" s="140" t="str">
        <x:v>Independente</x:v>
      </x:c>
      <x:c r="I420" s="111" t="str">
        <x:v>Regra residual — revisar manualmente</x:v>
      </x:c>
      <x:c r="J420" s="149" t="str">
        <x:v>Sim</x:v>
      </x:c>
      <x:c r="K420" s="131" t="n">
        <x:f>IF($H420="Independente",$F420,0)</x:f>
        <x:v>0.05</x:v>
      </x:c>
      <x:c r="L420" s="131" t="n">
        <x:f>IF($H420="Ligada a banco",$F420,0)</x:f>
        <x:v>0</x:v>
      </x:c>
      <x:c r="M420" s="114" t="n">
        <x:f>IF(K420&gt;0,RANK(K420,$K$6:$K$462)+COUNTIF($K$6:K420,K420)-1,9999)</x:f>
        <x:v>390</x:v>
      </x:c>
      <x:c r="N420" s="114" t="n">
        <x:f>IF(L420&gt;0,RANK(L420,$L$6:$L$462)+COUNTIF($L$6:L420,L420)-1,9999)</x:f>
        <x:v>9999</x:v>
      </x:c>
    </x:row>
    <x:row r="421">
      <x:c r="A421" s="111" t="str">
        <x:v>BRAX INVESTIMENTOS</x:v>
      </x:c>
      <x:c r="B421" s="131" t="n">
        <x:v>0</x:v>
      </x:c>
      <x:c r="C421" s="131" t="n">
        <x:v>0</x:v>
      </x:c>
      <x:c r="D421" s="131" t="n">
        <x:v>0.02</x:v>
      </x:c>
      <x:c r="E421" s="131" t="n">
        <x:v>0</x:v>
      </x:c>
      <x:c r="F421" s="131" t="n">
        <x:f>SUM(B421:E421)</x:f>
        <x:v>0.02</x:v>
      </x:c>
      <x:c r="G421" s="111" t="str">
        <x:v>Independente</x:v>
      </x:c>
      <x:c r="H421" s="140" t="str">
        <x:v>Independente</x:v>
      </x:c>
      <x:c r="I421" s="111" t="str">
        <x:v>Regra residual — revisar manualmente</x:v>
      </x:c>
      <x:c r="J421" s="149" t="str">
        <x:v>Sim</x:v>
      </x:c>
      <x:c r="K421" s="131" t="n">
        <x:f>IF($H421="Independente",$F421,0)</x:f>
        <x:v>0.02</x:v>
      </x:c>
      <x:c r="L421" s="131" t="n">
        <x:f>IF($H421="Ligada a banco",$F421,0)</x:f>
        <x:v>0</x:v>
      </x:c>
      <x:c r="M421" s="114" t="n">
        <x:f>IF(K421&gt;0,RANK(K421,$K$6:$K$462)+COUNTIF($K$6:K421,K421)-1,9999)</x:f>
        <x:v>391</x:v>
      </x:c>
      <x:c r="N421" s="114" t="n">
        <x:f>IF(L421&gt;0,RANK(L421,$L$6:$L$462)+COUNTIF($L$6:L421,L421)-1,9999)</x:f>
        <x:v>9999</x:v>
      </x:c>
    </x:row>
    <x:row r="422">
      <x:c r="A422" s="111" t="str">
        <x:v>ARAM CAPITAL GESTÃO DE RECURSOS LTDA.</x:v>
      </x:c>
      <x:c r="B422" s="131" t="n">
        <x:v>0</x:v>
      </x:c>
      <x:c r="C422" s="131" t="n">
        <x:v>0</x:v>
      </x:c>
      <x:c r="D422" s="131" t="n">
        <x:v>0</x:v>
      </x:c>
      <x:c r="E422" s="131" t="n">
        <x:v>0</x:v>
      </x:c>
      <x:c r="F422" s="131" t="n">
        <x:f>SUM(B422:E422)</x:f>
        <x:v>0</x:v>
      </x:c>
      <x:c r="G422" s="111" t="str">
        <x:v>Independente</x:v>
      </x:c>
      <x:c r="H422" s="140" t="str">
        <x:v>Independente</x:v>
      </x:c>
      <x:c r="I422" s="111" t="str">
        <x:v>Regra residual — revisar manualmente</x:v>
      </x:c>
      <x:c r="J422" s="149" t="str">
        <x:v>Sim</x:v>
      </x:c>
      <x:c r="K422" s="131" t="n">
        <x:f>IF($H422="Independente",$F422,0)</x:f>
        <x:v>0</x:v>
      </x:c>
      <x:c r="L422" s="131" t="n">
        <x:f>IF($H422="Ligada a banco",$F422,0)</x:f>
        <x:v>0</x:v>
      </x:c>
      <x:c r="M422" s="114" t="n">
        <x:f>IF(K422&gt;0,RANK(K422,$K$6:$K$462)+COUNTIF($K$6:K422,K422)-1,9999)</x:f>
        <x:v>9999</x:v>
      </x:c>
      <x:c r="N422" s="114" t="n">
        <x:f>IF(L422&gt;0,RANK(L422,$L$6:$L$462)+COUNTIF($L$6:L422,L422)-1,9999)</x:f>
        <x:v>9999</x:v>
      </x:c>
    </x:row>
    <x:row r="423">
      <x:c r="A423" s="111" t="str">
        <x:v>Guide Gestão</x:v>
      </x:c>
      <x:c r="B423" s="131" t="n">
        <x:v>0</x:v>
      </x:c>
      <x:c r="C423" s="131" t="n">
        <x:v>0</x:v>
      </x:c>
      <x:c r="D423" s="131" t="n">
        <x:v>0</x:v>
      </x:c>
      <x:c r="E423" s="131" t="n">
        <x:v>0</x:v>
      </x:c>
      <x:c r="F423" s="131" t="n">
        <x:f>SUM(B423:E423)</x:f>
        <x:v>0</x:v>
      </x:c>
      <x:c r="G423" s="111" t="str">
        <x:v>Independente</x:v>
      </x:c>
      <x:c r="H423" s="140" t="str">
        <x:v>Independente</x:v>
      </x:c>
      <x:c r="I423" s="111" t="str">
        <x:v>Regra residual — revisar manualmente</x:v>
      </x:c>
      <x:c r="J423" s="149" t="str">
        <x:v>Sim</x:v>
      </x:c>
      <x:c r="K423" s="131" t="n">
        <x:f>IF($H423="Independente",$F423,0)</x:f>
        <x:v>0</x:v>
      </x:c>
      <x:c r="L423" s="131" t="n">
        <x:f>IF($H423="Ligada a banco",$F423,0)</x:f>
        <x:v>0</x:v>
      </x:c>
      <x:c r="M423" s="114" t="n">
        <x:f>IF(K423&gt;0,RANK(K423,$K$6:$K$462)+COUNTIF($K$6:K423,K423)-1,9999)</x:f>
        <x:v>9999</x:v>
      </x:c>
      <x:c r="N423" s="114" t="n">
        <x:f>IF(L423&gt;0,RANK(L423,$L$6:$L$462)+COUNTIF($L$6:L423,L423)-1,9999)</x:f>
        <x:v>9999</x:v>
      </x:c>
    </x:row>
    <x:row r="424">
      <x:c r="A424" s="111" t="str">
        <x:v>Lucas Esperança Napolitano</x:v>
      </x:c>
      <x:c r="B424" s="131" t="n">
        <x:v>0</x:v>
      </x:c>
      <x:c r="C424" s="131" t="n">
        <x:v>0</x:v>
      </x:c>
      <x:c r="D424" s="131" t="n">
        <x:v>0</x:v>
      </x:c>
      <x:c r="E424" s="131" t="n">
        <x:v>0</x:v>
      </x:c>
      <x:c r="F424" s="131" t="n">
        <x:f>SUM(B424:E424)</x:f>
        <x:v>0</x:v>
      </x:c>
      <x:c r="G424" s="111" t="str">
        <x:v>Independente</x:v>
      </x:c>
      <x:c r="H424" s="140" t="str">
        <x:v>Independente</x:v>
      </x:c>
      <x:c r="I424" s="111" t="str">
        <x:v>Regra residual — revisar manualmente</x:v>
      </x:c>
      <x:c r="J424" s="149" t="str">
        <x:v>Sim</x:v>
      </x:c>
      <x:c r="K424" s="131" t="n">
        <x:f>IF($H424="Independente",$F424,0)</x:f>
        <x:v>0</x:v>
      </x:c>
      <x:c r="L424" s="131" t="n">
        <x:f>IF($H424="Ligada a banco",$F424,0)</x:f>
        <x:v>0</x:v>
      </x:c>
      <x:c r="M424" s="114" t="n">
        <x:f>IF(K424&gt;0,RANK(K424,$K$6:$K$462)+COUNTIF($K$6:K424,K424)-1,9999)</x:f>
        <x:v>9999</x:v>
      </x:c>
      <x:c r="N424" s="114" t="n">
        <x:f>IF(L424&gt;0,RANK(L424,$L$6:$L$462)+COUNTIF($L$6:L424,L424)-1,9999)</x:f>
        <x:v>9999</x:v>
      </x:c>
    </x:row>
    <x:row r="425">
      <x:c r="A425" s="111" t="str">
        <x:v>Jazz Capital</x:v>
      </x:c>
      <x:c r="B425" s="131" t="n">
        <x:v>0</x:v>
      </x:c>
      <x:c r="C425" s="131" t="n">
        <x:v>0</x:v>
      </x:c>
      <x:c r="D425" s="131" t="n">
        <x:v>0</x:v>
      </x:c>
      <x:c r="E425" s="131" t="n">
        <x:v>0</x:v>
      </x:c>
      <x:c r="F425" s="131" t="n">
        <x:f>SUM(B425:E425)</x:f>
        <x:v>0</x:v>
      </x:c>
      <x:c r="G425" s="111" t="str">
        <x:v>Independente</x:v>
      </x:c>
      <x:c r="H425" s="140" t="str">
        <x:v>Independente</x:v>
      </x:c>
      <x:c r="I425" s="111" t="str">
        <x:v>Regra residual — revisar manualmente</x:v>
      </x:c>
      <x:c r="J425" s="149" t="str">
        <x:v>Sim</x:v>
      </x:c>
      <x:c r="K425" s="131" t="n">
        <x:f>IF($H425="Independente",$F425,0)</x:f>
        <x:v>0</x:v>
      </x:c>
      <x:c r="L425" s="131" t="n">
        <x:f>IF($H425="Ligada a banco",$F425,0)</x:f>
        <x:v>0</x:v>
      </x:c>
      <x:c r="M425" s="114" t="n">
        <x:f>IF(K425&gt;0,RANK(K425,$K$6:$K$462)+COUNTIF($K$6:K425,K425)-1,9999)</x:f>
        <x:v>9999</x:v>
      </x:c>
      <x:c r="N425" s="114" t="n">
        <x:f>IF(L425&gt;0,RANK(L425,$L$6:$L$462)+COUNTIF($L$6:L425,L425)-1,9999)</x:f>
        <x:v>9999</x:v>
      </x:c>
    </x:row>
    <x:row r="426">
      <x:c r="A426" s="111" t="str">
        <x:v>Hedge Alternative Investments</x:v>
      </x:c>
      <x:c r="B426" s="131" t="n">
        <x:v>0</x:v>
      </x:c>
      <x:c r="C426" s="131" t="n">
        <x:v>0</x:v>
      </x:c>
      <x:c r="D426" s="131" t="n">
        <x:v>0</x:v>
      </x:c>
      <x:c r="E426" s="131" t="n">
        <x:v>0</x:v>
      </x:c>
      <x:c r="F426" s="131" t="n">
        <x:f>SUM(B426:E426)</x:f>
        <x:v>0</x:v>
      </x:c>
      <x:c r="G426" s="111" t="str">
        <x:v>Independente</x:v>
      </x:c>
      <x:c r="H426" s="140" t="str">
        <x:v>Independente</x:v>
      </x:c>
      <x:c r="I426" s="111" t="str">
        <x:v>Regra residual — revisar manualmente</x:v>
      </x:c>
      <x:c r="J426" s="149" t="str">
        <x:v>Sim</x:v>
      </x:c>
      <x:c r="K426" s="131" t="n">
        <x:f>IF($H426="Independente",$F426,0)</x:f>
        <x:v>0</x:v>
      </x:c>
      <x:c r="L426" s="131" t="n">
        <x:f>IF($H426="Ligada a banco",$F426,0)</x:f>
        <x:v>0</x:v>
      </x:c>
      <x:c r="M426" s="114" t="n">
        <x:f>IF(K426&gt;0,RANK(K426,$K$6:$K$462)+COUNTIF($K$6:K426,K426)-1,9999)</x:f>
        <x:v>9999</x:v>
      </x:c>
      <x:c r="N426" s="114" t="n">
        <x:f>IF(L426&gt;0,RANK(L426,$L$6:$L$462)+COUNTIF($L$6:L426,L426)-1,9999)</x:f>
        <x:v>9999</x:v>
      </x:c>
    </x:row>
    <x:row r="427">
      <x:c r="A427" s="111" t="str">
        <x:v>ASK GESTORA DE RECURSOS LTDA</x:v>
      </x:c>
      <x:c r="B427" s="131" t="n">
        <x:v>0</x:v>
      </x:c>
      <x:c r="C427" s="131" t="n">
        <x:v>0</x:v>
      </x:c>
      <x:c r="D427" s="131" t="n">
        <x:v>0</x:v>
      </x:c>
      <x:c r="E427" s="131" t="n">
        <x:v>0</x:v>
      </x:c>
      <x:c r="F427" s="131" t="n">
        <x:f>SUM(B427:E427)</x:f>
        <x:v>0</x:v>
      </x:c>
      <x:c r="G427" s="111" t="str">
        <x:v>Independente</x:v>
      </x:c>
      <x:c r="H427" s="140" t="str">
        <x:v>Independente</x:v>
      </x:c>
      <x:c r="I427" s="111" t="str">
        <x:v>Regra residual — revisar manualmente</x:v>
      </x:c>
      <x:c r="J427" s="149" t="str">
        <x:v>Sim</x:v>
      </x:c>
      <x:c r="K427" s="131" t="n">
        <x:f>IF($H427="Independente",$F427,0)</x:f>
        <x:v>0</x:v>
      </x:c>
      <x:c r="L427" s="131" t="n">
        <x:f>IF($H427="Ligada a banco",$F427,0)</x:f>
        <x:v>0</x:v>
      </x:c>
      <x:c r="M427" s="114" t="n">
        <x:f>IF(K427&gt;0,RANK(K427,$K$6:$K$462)+COUNTIF($K$6:K427,K427)-1,9999)</x:f>
        <x:v>9999</x:v>
      </x:c>
      <x:c r="N427" s="114" t="n">
        <x:f>IF(L427&gt;0,RANK(L427,$L$6:$L$462)+COUNTIF($L$6:L427,L427)-1,9999)</x:f>
        <x:v>9999</x:v>
      </x:c>
    </x:row>
    <x:row r="428">
      <x:c r="A428" s="111" t="str">
        <x:v>Naia Capital Gestão e Consultoria Financeira Ltda.</x:v>
      </x:c>
      <x:c r="B428" s="131" t="n">
        <x:v>0</x:v>
      </x:c>
      <x:c r="C428" s="131" t="n">
        <x:v>0</x:v>
      </x:c>
      <x:c r="D428" s="131" t="n">
        <x:v>0</x:v>
      </x:c>
      <x:c r="E428" s="131" t="n">
        <x:v>0</x:v>
      </x:c>
      <x:c r="F428" s="131" t="n">
        <x:f>SUM(B428:E428)</x:f>
        <x:v>0</x:v>
      </x:c>
      <x:c r="G428" s="111" t="str">
        <x:v>Independente</x:v>
      </x:c>
      <x:c r="H428" s="140" t="str">
        <x:v>Independente</x:v>
      </x:c>
      <x:c r="I428" s="111" t="str">
        <x:v>Regra residual — revisar manualmente</x:v>
      </x:c>
      <x:c r="J428" s="149" t="str">
        <x:v>Sim</x:v>
      </x:c>
      <x:c r="K428" s="131" t="n">
        <x:f>IF($H428="Independente",$F428,0)</x:f>
        <x:v>0</x:v>
      </x:c>
      <x:c r="L428" s="131" t="n">
        <x:f>IF($H428="Ligada a banco",$F428,0)</x:f>
        <x:v>0</x:v>
      </x:c>
      <x:c r="M428" s="114" t="n">
        <x:f>IF(K428&gt;0,RANK(K428,$K$6:$K$462)+COUNTIF($K$6:K428,K428)-1,9999)</x:f>
        <x:v>9999</x:v>
      </x:c>
      <x:c r="N428" s="114" t="n">
        <x:f>IF(L428&gt;0,RANK(L428,$L$6:$L$462)+COUNTIF($L$6:L428,L428)-1,9999)</x:f>
        <x:v>9999</x:v>
      </x:c>
    </x:row>
    <x:row r="429">
      <x:c r="A429" s="111" t="str">
        <x:v>GGP GESTÃO DE PATRIMÔNIO LTDA.</x:v>
      </x:c>
      <x:c r="B429" s="131" t="n">
        <x:v>0</x:v>
      </x:c>
      <x:c r="C429" s="131" t="n">
        <x:v>0</x:v>
      </x:c>
      <x:c r="D429" s="131" t="n">
        <x:v>0</x:v>
      </x:c>
      <x:c r="E429" s="131" t="n">
        <x:v>0</x:v>
      </x:c>
      <x:c r="F429" s="131" t="n">
        <x:f>SUM(B429:E429)</x:f>
        <x:v>0</x:v>
      </x:c>
      <x:c r="G429" s="111" t="str">
        <x:v>Independente</x:v>
      </x:c>
      <x:c r="H429" s="140" t="str">
        <x:v>Independente</x:v>
      </x:c>
      <x:c r="I429" s="111" t="str">
        <x:v>Regra residual — revisar manualmente</x:v>
      </x:c>
      <x:c r="J429" s="149" t="str">
        <x:v>Sim</x:v>
      </x:c>
      <x:c r="K429" s="131" t="n">
        <x:f>IF($H429="Independente",$F429,0)</x:f>
        <x:v>0</x:v>
      </x:c>
      <x:c r="L429" s="131" t="n">
        <x:f>IF($H429="Ligada a banco",$F429,0)</x:f>
        <x:v>0</x:v>
      </x:c>
      <x:c r="M429" s="114" t="n">
        <x:f>IF(K429&gt;0,RANK(K429,$K$6:$K$462)+COUNTIF($K$6:K429,K429)-1,9999)</x:f>
        <x:v>9999</x:v>
      </x:c>
      <x:c r="N429" s="114" t="n">
        <x:f>IF(L429&gt;0,RANK(L429,$L$6:$L$462)+COUNTIF($L$6:L429,L429)-1,9999)</x:f>
        <x:v>9999</x:v>
      </x:c>
    </x:row>
    <x:row r="430">
      <x:c r="A430" s="111" t="str">
        <x:v>Violet</x:v>
      </x:c>
      <x:c r="B430" s="131" t="n">
        <x:v>0</x:v>
      </x:c>
      <x:c r="C430" s="131" t="n">
        <x:v>0</x:v>
      </x:c>
      <x:c r="D430" s="131" t="n">
        <x:v>0</x:v>
      </x:c>
      <x:c r="E430" s="131" t="n">
        <x:v>0</x:v>
      </x:c>
      <x:c r="F430" s="131" t="n">
        <x:f>SUM(B430:E430)</x:f>
        <x:v>0</x:v>
      </x:c>
      <x:c r="G430" s="111" t="str">
        <x:v>Independente</x:v>
      </x:c>
      <x:c r="H430" s="140" t="str">
        <x:v>Independente</x:v>
      </x:c>
      <x:c r="I430" s="111" t="str">
        <x:v>Regra residual — revisar manualmente</x:v>
      </x:c>
      <x:c r="J430" s="149" t="str">
        <x:v>Sim</x:v>
      </x:c>
      <x:c r="K430" s="131" t="n">
        <x:f>IF($H430="Independente",$F430,0)</x:f>
        <x:v>0</x:v>
      </x:c>
      <x:c r="L430" s="131" t="n">
        <x:f>IF($H430="Ligada a banco",$F430,0)</x:f>
        <x:v>0</x:v>
      </x:c>
      <x:c r="M430" s="114" t="n">
        <x:f>IF(K430&gt;0,RANK(K430,$K$6:$K$462)+COUNTIF($K$6:K430,K430)-1,9999)</x:f>
        <x:v>9999</x:v>
      </x:c>
      <x:c r="N430" s="114" t="n">
        <x:f>IF(L430&gt;0,RANK(L430,$L$6:$L$462)+COUNTIF($L$6:L430,L430)-1,9999)</x:f>
        <x:v>9999</x:v>
      </x:c>
    </x:row>
    <x:row r="431">
      <x:c r="A431" s="111" t="str">
        <x:v>ABC CAPITAL MFO</x:v>
      </x:c>
      <x:c r="B431" s="131" t="n">
        <x:v>0</x:v>
      </x:c>
      <x:c r="C431" s="131" t="n">
        <x:v>0</x:v>
      </x:c>
      <x:c r="D431" s="131" t="n">
        <x:v>0</x:v>
      </x:c>
      <x:c r="E431" s="131" t="n">
        <x:v>0</x:v>
      </x:c>
      <x:c r="F431" s="131" t="n">
        <x:f>SUM(B431:E431)</x:f>
        <x:v>0</x:v>
      </x:c>
      <x:c r="G431" s="111" t="str">
        <x:v>Independente</x:v>
      </x:c>
      <x:c r="H431" s="140" t="str">
        <x:v>Independente</x:v>
      </x:c>
      <x:c r="I431" s="111" t="str">
        <x:v>Regra residual — revisar manualmente</x:v>
      </x:c>
      <x:c r="J431" s="149" t="str">
        <x:v>Sim</x:v>
      </x:c>
      <x:c r="K431" s="131" t="n">
        <x:f>IF($H431="Independente",$F431,0)</x:f>
        <x:v>0</x:v>
      </x:c>
      <x:c r="L431" s="131" t="n">
        <x:f>IF($H431="Ligada a banco",$F431,0)</x:f>
        <x:v>0</x:v>
      </x:c>
      <x:c r="M431" s="114" t="n">
        <x:f>IF(K431&gt;0,RANK(K431,$K$6:$K$462)+COUNTIF($K$6:K431,K431)-1,9999)</x:f>
        <x:v>9999</x:v>
      </x:c>
      <x:c r="N431" s="114" t="n">
        <x:f>IF(L431&gt;0,RANK(L431,$L$6:$L$462)+COUNTIF($L$6:L431,L431)-1,9999)</x:f>
        <x:v>9999</x:v>
      </x:c>
    </x:row>
    <x:row r="432">
      <x:c r="A432" s="111" t="str">
        <x:v>ZEUS CAPITAL</x:v>
      </x:c>
      <x:c r="B432" s="131" t="n">
        <x:v>0</x:v>
      </x:c>
      <x:c r="C432" s="131" t="n">
        <x:v>0</x:v>
      </x:c>
      <x:c r="D432" s="131" t="n">
        <x:v>0</x:v>
      </x:c>
      <x:c r="E432" s="131" t="n">
        <x:v>0</x:v>
      </x:c>
      <x:c r="F432" s="131" t="n">
        <x:f>SUM(B432:E432)</x:f>
        <x:v>0</x:v>
      </x:c>
      <x:c r="G432" s="111" t="str">
        <x:v>Independente</x:v>
      </x:c>
      <x:c r="H432" s="140" t="str">
        <x:v>Independente</x:v>
      </x:c>
      <x:c r="I432" s="111" t="str">
        <x:v>Regra residual — revisar manualmente</x:v>
      </x:c>
      <x:c r="J432" s="149" t="str">
        <x:v>Sim</x:v>
      </x:c>
      <x:c r="K432" s="131" t="n">
        <x:f>IF($H432="Independente",$F432,0)</x:f>
        <x:v>0</x:v>
      </x:c>
      <x:c r="L432" s="131" t="n">
        <x:f>IF($H432="Ligada a banco",$F432,0)</x:f>
        <x:v>0</x:v>
      </x:c>
      <x:c r="M432" s="114" t="n">
        <x:f>IF(K432&gt;0,RANK(K432,$K$6:$K$462)+COUNTIF($K$6:K432,K432)-1,9999)</x:f>
        <x:v>9999</x:v>
      </x:c>
      <x:c r="N432" s="114" t="n">
        <x:f>IF(L432&gt;0,RANK(L432,$L$6:$L$462)+COUNTIF($L$6:L432,L432)-1,9999)</x:f>
        <x:v>9999</x:v>
      </x:c>
    </x:row>
    <x:row r="433">
      <x:c r="A433" s="111" t="str">
        <x:v>Reditus Investimentos LTDA</x:v>
      </x:c>
      <x:c r="B433" s="131" t="n">
        <x:v>0</x:v>
      </x:c>
      <x:c r="C433" s="131" t="n">
        <x:v>0</x:v>
      </x:c>
      <x:c r="D433" s="131" t="n">
        <x:v>0</x:v>
      </x:c>
      <x:c r="E433" s="131" t="n">
        <x:v>0</x:v>
      </x:c>
      <x:c r="F433" s="131" t="n">
        <x:f>SUM(B433:E433)</x:f>
        <x:v>0</x:v>
      </x:c>
      <x:c r="G433" s="111" t="str">
        <x:v>Independente</x:v>
      </x:c>
      <x:c r="H433" s="140" t="str">
        <x:v>Independente</x:v>
      </x:c>
      <x:c r="I433" s="111" t="str">
        <x:v>Regra residual — revisar manualmente</x:v>
      </x:c>
      <x:c r="J433" s="149" t="str">
        <x:v>Sim</x:v>
      </x:c>
      <x:c r="K433" s="131" t="n">
        <x:f>IF($H433="Independente",$F433,0)</x:f>
        <x:v>0</x:v>
      </x:c>
      <x:c r="L433" s="131" t="n">
        <x:f>IF($H433="Ligada a banco",$F433,0)</x:f>
        <x:v>0</x:v>
      </x:c>
      <x:c r="M433" s="114" t="n">
        <x:f>IF(K433&gt;0,RANK(K433,$K$6:$K$462)+COUNTIF($K$6:K433,K433)-1,9999)</x:f>
        <x:v>9999</x:v>
      </x:c>
      <x:c r="N433" s="114" t="n">
        <x:f>IF(L433&gt;0,RANK(L433,$L$6:$L$462)+COUNTIF($L$6:L433,L433)-1,9999)</x:f>
        <x:v>9999</x:v>
      </x:c>
    </x:row>
    <x:row r="434">
      <x:c r="A434" s="111" t="str">
        <x:v>Trafalgar Investimentos</x:v>
      </x:c>
      <x:c r="B434" s="131" t="n">
        <x:v>0</x:v>
      </x:c>
      <x:c r="C434" s="131" t="n">
        <x:v>0</x:v>
      </x:c>
      <x:c r="D434" s="131" t="n">
        <x:v>0</x:v>
      </x:c>
      <x:c r="E434" s="131" t="n">
        <x:v>0</x:v>
      </x:c>
      <x:c r="F434" s="131" t="n">
        <x:f>SUM(B434:E434)</x:f>
        <x:v>0</x:v>
      </x:c>
      <x:c r="G434" s="111" t="str">
        <x:v>Independente</x:v>
      </x:c>
      <x:c r="H434" s="140" t="str">
        <x:v>Independente</x:v>
      </x:c>
      <x:c r="I434" s="111" t="str">
        <x:v>Regra residual — revisar manualmente</x:v>
      </x:c>
      <x:c r="J434" s="149" t="str">
        <x:v>Sim</x:v>
      </x:c>
      <x:c r="K434" s="131" t="n">
        <x:f>IF($H434="Independente",$F434,0)</x:f>
        <x:v>0</x:v>
      </x:c>
      <x:c r="L434" s="131" t="n">
        <x:f>IF($H434="Ligada a banco",$F434,0)</x:f>
        <x:v>0</x:v>
      </x:c>
      <x:c r="M434" s="114" t="n">
        <x:f>IF(K434&gt;0,RANK(K434,$K$6:$K$462)+COUNTIF($K$6:K434,K434)-1,9999)</x:f>
        <x:v>9999</x:v>
      </x:c>
      <x:c r="N434" s="114" t="n">
        <x:f>IF(L434&gt;0,RANK(L434,$L$6:$L$462)+COUNTIF($L$6:L434,L434)-1,9999)</x:f>
        <x:v>9999</x:v>
      </x:c>
    </x:row>
    <x:row r="435">
      <x:c r="A435" s="111" t="str">
        <x:v>ATRIO GESTAO DE RECURSOS</x:v>
      </x:c>
      <x:c r="B435" s="131" t="n">
        <x:v>0</x:v>
      </x:c>
      <x:c r="C435" s="131" t="n">
        <x:v>0</x:v>
      </x:c>
      <x:c r="D435" s="131" t="n">
        <x:v>0</x:v>
      </x:c>
      <x:c r="E435" s="131" t="n">
        <x:v>0</x:v>
      </x:c>
      <x:c r="F435" s="131" t="n">
        <x:f>SUM(B435:E435)</x:f>
        <x:v>0</x:v>
      </x:c>
      <x:c r="G435" s="111" t="str">
        <x:v>Independente</x:v>
      </x:c>
      <x:c r="H435" s="140" t="str">
        <x:v>Independente</x:v>
      </x:c>
      <x:c r="I435" s="111" t="str">
        <x:v>Regra residual — revisar manualmente</x:v>
      </x:c>
      <x:c r="J435" s="149" t="str">
        <x:v>Sim</x:v>
      </x:c>
      <x:c r="K435" s="131" t="n">
        <x:f>IF($H435="Independente",$F435,0)</x:f>
        <x:v>0</x:v>
      </x:c>
      <x:c r="L435" s="131" t="n">
        <x:f>IF($H435="Ligada a banco",$F435,0)</x:f>
        <x:v>0</x:v>
      </x:c>
      <x:c r="M435" s="114" t="n">
        <x:f>IF(K435&gt;0,RANK(K435,$K$6:$K$462)+COUNTIF($K$6:K435,K435)-1,9999)</x:f>
        <x:v>9999</x:v>
      </x:c>
      <x:c r="N435" s="114" t="n">
        <x:f>IF(L435&gt;0,RANK(L435,$L$6:$L$462)+COUNTIF($L$6:L435,L435)-1,9999)</x:f>
        <x:v>9999</x:v>
      </x:c>
    </x:row>
    <x:row r="436">
      <x:c r="A436" s="111" t="str">
        <x:v>Fors Capital</x:v>
      </x:c>
      <x:c r="B436" s="131" t="n">
        <x:v>0</x:v>
      </x:c>
      <x:c r="C436" s="131" t="n">
        <x:v>0</x:v>
      </x:c>
      <x:c r="D436" s="131" t="n">
        <x:v>0</x:v>
      </x:c>
      <x:c r="E436" s="131" t="n">
        <x:v>0</x:v>
      </x:c>
      <x:c r="F436" s="131" t="n">
        <x:f>SUM(B436:E436)</x:f>
        <x:v>0</x:v>
      </x:c>
      <x:c r="G436" s="111" t="str">
        <x:v>Independente</x:v>
      </x:c>
      <x:c r="H436" s="140" t="str">
        <x:v>Independente</x:v>
      </x:c>
      <x:c r="I436" s="111" t="str">
        <x:v>Regra residual — revisar manualmente</x:v>
      </x:c>
      <x:c r="J436" s="149" t="str">
        <x:v>Sim</x:v>
      </x:c>
      <x:c r="K436" s="131" t="n">
        <x:f>IF($H436="Independente",$F436,0)</x:f>
        <x:v>0</x:v>
      </x:c>
      <x:c r="L436" s="131" t="n">
        <x:f>IF($H436="Ligada a banco",$F436,0)</x:f>
        <x:v>0</x:v>
      </x:c>
      <x:c r="M436" s="114" t="n">
        <x:f>IF(K436&gt;0,RANK(K436,$K$6:$K$462)+COUNTIF($K$6:K436,K436)-1,9999)</x:f>
        <x:v>9999</x:v>
      </x:c>
      <x:c r="N436" s="114" t="n">
        <x:f>IF(L436&gt;0,RANK(L436,$L$6:$L$462)+COUNTIF($L$6:L436,L436)-1,9999)</x:f>
        <x:v>9999</x:v>
      </x:c>
    </x:row>
    <x:row r="437">
      <x:c r="A437" s="111" t="str">
        <x:v>Reag Venture Capital &amp; Growth Equities</x:v>
      </x:c>
      <x:c r="B437" s="131" t="n">
        <x:v>0</x:v>
      </x:c>
      <x:c r="C437" s="131" t="n">
        <x:v>0</x:v>
      </x:c>
      <x:c r="D437" s="131" t="n">
        <x:v>0</x:v>
      </x:c>
      <x:c r="E437" s="131" t="n">
        <x:v>0</x:v>
      </x:c>
      <x:c r="F437" s="131" t="n">
        <x:f>SUM(B437:E437)</x:f>
        <x:v>0</x:v>
      </x:c>
      <x:c r="G437" s="111" t="str">
        <x:v>Independente</x:v>
      </x:c>
      <x:c r="H437" s="140" t="str">
        <x:v>Independente</x:v>
      </x:c>
      <x:c r="I437" s="111" t="str">
        <x:v>Regra residual — revisar manualmente</x:v>
      </x:c>
      <x:c r="J437" s="149" t="str">
        <x:v>Sim</x:v>
      </x:c>
      <x:c r="K437" s="131" t="n">
        <x:f>IF($H437="Independente",$F437,0)</x:f>
        <x:v>0</x:v>
      </x:c>
      <x:c r="L437" s="131" t="n">
        <x:f>IF($H437="Ligada a banco",$F437,0)</x:f>
        <x:v>0</x:v>
      </x:c>
      <x:c r="M437" s="114" t="n">
        <x:f>IF(K437&gt;0,RANK(K437,$K$6:$K$462)+COUNTIF($K$6:K437,K437)-1,9999)</x:f>
        <x:v>9999</x:v>
      </x:c>
      <x:c r="N437" s="114" t="n">
        <x:f>IF(L437&gt;0,RANK(L437,$L$6:$L$462)+COUNTIF($L$6:L437,L437)-1,9999)</x:f>
        <x:v>9999</x:v>
      </x:c>
    </x:row>
    <x:row r="438">
      <x:c r="A438" s="111" t="str">
        <x:v>CCF INVESTIMENTOS</x:v>
      </x:c>
      <x:c r="B438" s="131" t="n">
        <x:v>0</x:v>
      </x:c>
      <x:c r="C438" s="131" t="n">
        <x:v>0</x:v>
      </x:c>
      <x:c r="D438" s="131" t="n">
        <x:v>0</x:v>
      </x:c>
      <x:c r="E438" s="131" t="n">
        <x:v>0</x:v>
      </x:c>
      <x:c r="F438" s="131" t="n">
        <x:f>SUM(B438:E438)</x:f>
        <x:v>0</x:v>
      </x:c>
      <x:c r="G438" s="111" t="str">
        <x:v>Independente</x:v>
      </x:c>
      <x:c r="H438" s="140" t="str">
        <x:v>Independente</x:v>
      </x:c>
      <x:c r="I438" s="111" t="str">
        <x:v>Regra residual — revisar manualmente</x:v>
      </x:c>
      <x:c r="J438" s="149" t="str">
        <x:v>Sim</x:v>
      </x:c>
      <x:c r="K438" s="131" t="n">
        <x:f>IF($H438="Independente",$F438,0)</x:f>
        <x:v>0</x:v>
      </x:c>
      <x:c r="L438" s="131" t="n">
        <x:f>IF($H438="Ligada a banco",$F438,0)</x:f>
        <x:v>0</x:v>
      </x:c>
      <x:c r="M438" s="114" t="n">
        <x:f>IF(K438&gt;0,RANK(K438,$K$6:$K$462)+COUNTIF($K$6:K438,K438)-1,9999)</x:f>
        <x:v>9999</x:v>
      </x:c>
      <x:c r="N438" s="114" t="n">
        <x:f>IF(L438&gt;0,RANK(L438,$L$6:$L$462)+COUNTIF($L$6:L438,L438)-1,9999)</x:f>
        <x:v>9999</x:v>
      </x:c>
    </x:row>
    <x:row r="439">
      <x:c r="A439" s="111" t="str">
        <x:v>Reag Jus</x:v>
      </x:c>
      <x:c r="B439" s="131" t="n">
        <x:v>0</x:v>
      </x:c>
      <x:c r="C439" s="131" t="n">
        <x:v>0</x:v>
      </x:c>
      <x:c r="D439" s="131" t="n">
        <x:v>0</x:v>
      </x:c>
      <x:c r="E439" s="131" t="n">
        <x:v>0</x:v>
      </x:c>
      <x:c r="F439" s="131" t="n">
        <x:f>SUM(B439:E439)</x:f>
        <x:v>0</x:v>
      </x:c>
      <x:c r="G439" s="111" t="str">
        <x:v>Independente</x:v>
      </x:c>
      <x:c r="H439" s="140" t="str">
        <x:v>Independente</x:v>
      </x:c>
      <x:c r="I439" s="111" t="str">
        <x:v>Regra residual — revisar manualmente</x:v>
      </x:c>
      <x:c r="J439" s="149" t="str">
        <x:v>Sim</x:v>
      </x:c>
      <x:c r="K439" s="131" t="n">
        <x:f>IF($H439="Independente",$F439,0)</x:f>
        <x:v>0</x:v>
      </x:c>
      <x:c r="L439" s="131" t="n">
        <x:f>IF($H439="Ligada a banco",$F439,0)</x:f>
        <x:v>0</x:v>
      </x:c>
      <x:c r="M439" s="114" t="n">
        <x:f>IF(K439&gt;0,RANK(K439,$K$6:$K$462)+COUNTIF($K$6:K439,K439)-1,9999)</x:f>
        <x:v>9999</x:v>
      </x:c>
      <x:c r="N439" s="114" t="n">
        <x:f>IF(L439&gt;0,RANK(L439,$L$6:$L$462)+COUNTIF($L$6:L439,L439)-1,9999)</x:f>
        <x:v>9999</x:v>
      </x:c>
    </x:row>
    <x:row r="440">
      <x:c r="A440" s="111" t="str">
        <x:v>Reag Administradora de Recursos Ltda</x:v>
      </x:c>
      <x:c r="B440" s="131" t="n">
        <x:v>0</x:v>
      </x:c>
      <x:c r="C440" s="131" t="n">
        <x:v>0</x:v>
      </x:c>
      <x:c r="D440" s="131" t="n">
        <x:v>0</x:v>
      </x:c>
      <x:c r="E440" s="131" t="n">
        <x:v>0</x:v>
      </x:c>
      <x:c r="F440" s="131" t="n">
        <x:f>SUM(B440:E440)</x:f>
        <x:v>0</x:v>
      </x:c>
      <x:c r="G440" s="111" t="str">
        <x:v>Independente</x:v>
      </x:c>
      <x:c r="H440" s="140" t="str">
        <x:v>Independente</x:v>
      </x:c>
      <x:c r="I440" s="111" t="str">
        <x:v>Regra residual — revisar manualmente</x:v>
      </x:c>
      <x:c r="J440" s="149" t="str">
        <x:v>Sim</x:v>
      </x:c>
      <x:c r="K440" s="131" t="n">
        <x:f>IF($H440="Independente",$F440,0)</x:f>
        <x:v>0</x:v>
      </x:c>
      <x:c r="L440" s="131" t="n">
        <x:f>IF($H440="Ligada a banco",$F440,0)</x:f>
        <x:v>0</x:v>
      </x:c>
      <x:c r="M440" s="114" t="n">
        <x:f>IF(K440&gt;0,RANK(K440,$K$6:$K$462)+COUNTIF($K$6:K440,K440)-1,9999)</x:f>
        <x:v>9999</x:v>
      </x:c>
      <x:c r="N440" s="114" t="n">
        <x:f>IF(L440&gt;0,RANK(L440,$L$6:$L$462)+COUNTIF($L$6:L440,L440)-1,9999)</x:f>
        <x:v>9999</x:v>
      </x:c>
    </x:row>
    <x:row r="441">
      <x:c r="A441" s="111" t="str">
        <x:v>Cedro Asset Management LTDA.</x:v>
      </x:c>
      <x:c r="B441" s="131" t="n">
        <x:v>0</x:v>
      </x:c>
      <x:c r="C441" s="131" t="n">
        <x:v>0</x:v>
      </x:c>
      <x:c r="D441" s="131" t="n">
        <x:v>0</x:v>
      </x:c>
      <x:c r="E441" s="131" t="n">
        <x:v>0</x:v>
      </x:c>
      <x:c r="F441" s="131" t="n">
        <x:f>SUM(B441:E441)</x:f>
        <x:v>0</x:v>
      </x:c>
      <x:c r="G441" s="111" t="str">
        <x:v>Independente</x:v>
      </x:c>
      <x:c r="H441" s="140" t="str">
        <x:v>Independente</x:v>
      </x:c>
      <x:c r="I441" s="111" t="str">
        <x:v>Regra residual — revisar manualmente</x:v>
      </x:c>
      <x:c r="J441" s="149" t="str">
        <x:v>Sim</x:v>
      </x:c>
      <x:c r="K441" s="131" t="n">
        <x:f>IF($H441="Independente",$F441,0)</x:f>
        <x:v>0</x:v>
      </x:c>
      <x:c r="L441" s="131" t="n">
        <x:f>IF($H441="Ligada a banco",$F441,0)</x:f>
        <x:v>0</x:v>
      </x:c>
      <x:c r="M441" s="114" t="n">
        <x:f>IF(K441&gt;0,RANK(K441,$K$6:$K$462)+COUNTIF($K$6:K441,K441)-1,9999)</x:f>
        <x:v>9999</x:v>
      </x:c>
      <x:c r="N441" s="114" t="n">
        <x:f>IF(L441&gt;0,RANK(L441,$L$6:$L$462)+COUNTIF($L$6:L441,L441)-1,9999)</x:f>
        <x:v>9999</x:v>
      </x:c>
    </x:row>
    <x:row r="442">
      <x:c r="A442" s="111" t="str">
        <x:v>SHORE CAPITAL GESTÃO DE RECURSOS LTDA</x:v>
      </x:c>
      <x:c r="B442" s="131" t="n">
        <x:v>0</x:v>
      </x:c>
      <x:c r="C442" s="131" t="n">
        <x:v>0</x:v>
      </x:c>
      <x:c r="D442" s="131" t="n">
        <x:v>0</x:v>
      </x:c>
      <x:c r="E442" s="131" t="n">
        <x:v>0</x:v>
      </x:c>
      <x:c r="F442" s="131" t="n">
        <x:f>SUM(B442:E442)</x:f>
        <x:v>0</x:v>
      </x:c>
      <x:c r="G442" s="111" t="str">
        <x:v>Independente</x:v>
      </x:c>
      <x:c r="H442" s="140" t="str">
        <x:v>Independente</x:v>
      </x:c>
      <x:c r="I442" s="111" t="str">
        <x:v>Regra residual — revisar manualmente</x:v>
      </x:c>
      <x:c r="J442" s="149" t="str">
        <x:v>Sim</x:v>
      </x:c>
      <x:c r="K442" s="131" t="n">
        <x:f>IF($H442="Independente",$F442,0)</x:f>
        <x:v>0</x:v>
      </x:c>
      <x:c r="L442" s="131" t="n">
        <x:f>IF($H442="Ligada a banco",$F442,0)</x:f>
        <x:v>0</x:v>
      </x:c>
      <x:c r="M442" s="114" t="n">
        <x:f>IF(K442&gt;0,RANK(K442,$K$6:$K$462)+COUNTIF($K$6:K442,K442)-1,9999)</x:f>
        <x:v>9999</x:v>
      </x:c>
      <x:c r="N442" s="114" t="n">
        <x:f>IF(L442&gt;0,RANK(L442,$L$6:$L$462)+COUNTIF($L$6:L442,L442)-1,9999)</x:f>
        <x:v>9999</x:v>
      </x:c>
    </x:row>
    <x:row r="443">
      <x:c r="A443" s="111" t="str">
        <x:v>RIOS ASSET</x:v>
      </x:c>
      <x:c r="B443" s="131" t="n">
        <x:v>0</x:v>
      </x:c>
      <x:c r="C443" s="131" t="n">
        <x:v>0</x:v>
      </x:c>
      <x:c r="D443" s="131" t="n">
        <x:v>0</x:v>
      </x:c>
      <x:c r="E443" s="131" t="n">
        <x:v>0</x:v>
      </x:c>
      <x:c r="F443" s="131" t="n">
        <x:f>SUM(B443:E443)</x:f>
        <x:v>0</x:v>
      </x:c>
      <x:c r="G443" s="111" t="str">
        <x:v>Independente</x:v>
      </x:c>
      <x:c r="H443" s="140" t="str">
        <x:v>Independente</x:v>
      </x:c>
      <x:c r="I443" s="111" t="str">
        <x:v>Regra residual — revisar manualmente</x:v>
      </x:c>
      <x:c r="J443" s="149" t="str">
        <x:v>Sim</x:v>
      </x:c>
      <x:c r="K443" s="131" t="n">
        <x:f>IF($H443="Independente",$F443,0)</x:f>
        <x:v>0</x:v>
      </x:c>
      <x:c r="L443" s="131" t="n">
        <x:f>IF($H443="Ligada a banco",$F443,0)</x:f>
        <x:v>0</x:v>
      </x:c>
      <x:c r="M443" s="114" t="n">
        <x:f>IF(K443&gt;0,RANK(K443,$K$6:$K$462)+COUNTIF($K$6:K443,K443)-1,9999)</x:f>
        <x:v>9999</x:v>
      </x:c>
      <x:c r="N443" s="114" t="n">
        <x:f>IF(L443&gt;0,RANK(L443,$L$6:$L$462)+COUNTIF($L$6:L443,L443)-1,9999)</x:f>
        <x:v>9999</x:v>
      </x:c>
    </x:row>
    <x:row r="444">
      <x:c r="A444" s="111" t="str">
        <x:v>REAG SPECIALTY FINANCE</x:v>
      </x:c>
      <x:c r="B444" s="131" t="n">
        <x:v>0</x:v>
      </x:c>
      <x:c r="C444" s="131" t="n">
        <x:v>0</x:v>
      </x:c>
      <x:c r="D444" s="131" t="n">
        <x:v>0</x:v>
      </x:c>
      <x:c r="E444" s="131" t="n">
        <x:v>0</x:v>
      </x:c>
      <x:c r="F444" s="131" t="n">
        <x:f>SUM(B444:E444)</x:f>
        <x:v>0</x:v>
      </x:c>
      <x:c r="G444" s="111" t="str">
        <x:v>Independente</x:v>
      </x:c>
      <x:c r="H444" s="140" t="str">
        <x:v>Independente</x:v>
      </x:c>
      <x:c r="I444" s="111" t="str">
        <x:v>Regra residual — revisar manualmente</x:v>
      </x:c>
      <x:c r="J444" s="149" t="str">
        <x:v>Sim</x:v>
      </x:c>
      <x:c r="K444" s="131" t="n">
        <x:f>IF($H444="Independente",$F444,0)</x:f>
        <x:v>0</x:v>
      </x:c>
      <x:c r="L444" s="131" t="n">
        <x:f>IF($H444="Ligada a banco",$F444,0)</x:f>
        <x:v>0</x:v>
      </x:c>
      <x:c r="M444" s="114" t="n">
        <x:f>IF(K444&gt;0,RANK(K444,$K$6:$K$462)+COUNTIF($K$6:K444,K444)-1,9999)</x:f>
        <x:v>9999</x:v>
      </x:c>
      <x:c r="N444" s="114" t="n">
        <x:f>IF(L444&gt;0,RANK(L444,$L$6:$L$462)+COUNTIF($L$6:L444,L444)-1,9999)</x:f>
        <x:v>9999</x:v>
      </x:c>
    </x:row>
    <x:row r="445">
      <x:c r="A445" s="111" t="str">
        <x:v>REAG PORTFOLIO SOLUTIONS</x:v>
      </x:c>
      <x:c r="B445" s="131" t="n">
        <x:v>0</x:v>
      </x:c>
      <x:c r="C445" s="131" t="n">
        <x:v>0</x:v>
      </x:c>
      <x:c r="D445" s="131" t="n">
        <x:v>0</x:v>
      </x:c>
      <x:c r="E445" s="131" t="n">
        <x:v>0</x:v>
      </x:c>
      <x:c r="F445" s="131" t="n">
        <x:f>SUM(B445:E445)</x:f>
        <x:v>0</x:v>
      </x:c>
      <x:c r="G445" s="111" t="str">
        <x:v>Independente</x:v>
      </x:c>
      <x:c r="H445" s="140" t="str">
        <x:v>Independente</x:v>
      </x:c>
      <x:c r="I445" s="111" t="str">
        <x:v>Regra residual — revisar manualmente</x:v>
      </x:c>
      <x:c r="J445" s="149" t="str">
        <x:v>Sim</x:v>
      </x:c>
      <x:c r="K445" s="131" t="n">
        <x:f>IF($H445="Independente",$F445,0)</x:f>
        <x:v>0</x:v>
      </x:c>
      <x:c r="L445" s="131" t="n">
        <x:f>IF($H445="Ligada a banco",$F445,0)</x:f>
        <x:v>0</x:v>
      </x:c>
      <x:c r="M445" s="114" t="n">
        <x:f>IF(K445&gt;0,RANK(K445,$K$6:$K$462)+COUNTIF($K$6:K445,K445)-1,9999)</x:f>
        <x:v>9999</x:v>
      </x:c>
      <x:c r="N445" s="114" t="n">
        <x:f>IF(L445&gt;0,RANK(L445,$L$6:$L$462)+COUNTIF($L$6:L445,L445)-1,9999)</x:f>
        <x:v>9999</x:v>
      </x:c>
    </x:row>
    <x:row r="446">
      <x:c r="A446" s="111" t="str">
        <x:v>REAG GESTÃO DE FUNDOS IMOBILIÁRIOS</x:v>
      </x:c>
      <x:c r="B446" s="131" t="n">
        <x:v>0</x:v>
      </x:c>
      <x:c r="C446" s="131" t="n">
        <x:v>0</x:v>
      </x:c>
      <x:c r="D446" s="131" t="n">
        <x:v>0</x:v>
      </x:c>
      <x:c r="E446" s="131" t="n">
        <x:v>0</x:v>
      </x:c>
      <x:c r="F446" s="131" t="n">
        <x:f>SUM(B446:E446)</x:f>
        <x:v>0</x:v>
      </x:c>
      <x:c r="G446" s="111" t="str">
        <x:v>Independente</x:v>
      </x:c>
      <x:c r="H446" s="140" t="str">
        <x:v>Independente</x:v>
      </x:c>
      <x:c r="I446" s="111" t="str">
        <x:v>Regra residual — revisar manualmente</x:v>
      </x:c>
      <x:c r="J446" s="149" t="str">
        <x:v>Sim</x:v>
      </x:c>
      <x:c r="K446" s="131" t="n">
        <x:f>IF($H446="Independente",$F446,0)</x:f>
        <x:v>0</x:v>
      </x:c>
      <x:c r="L446" s="131" t="n">
        <x:f>IF($H446="Ligada a banco",$F446,0)</x:f>
        <x:v>0</x:v>
      </x:c>
      <x:c r="M446" s="114" t="n">
        <x:f>IF(K446&gt;0,RANK(K446,$K$6:$K$462)+COUNTIF($K$6:K446,K446)-1,9999)</x:f>
        <x:v>9999</x:v>
      </x:c>
      <x:c r="N446" s="114" t="n">
        <x:f>IF(L446&gt;0,RANK(L446,$L$6:$L$462)+COUNTIF($L$6:L446,L446)-1,9999)</x:f>
        <x:v>9999</x:v>
      </x:c>
    </x:row>
    <x:row r="447">
      <x:c r="A447" s="111" t="str">
        <x:v>Clave Alternativos</x:v>
      </x:c>
      <x:c r="B447" s="131" t="n">
        <x:v>0</x:v>
      </x:c>
      <x:c r="C447" s="131" t="n">
        <x:v>0</x:v>
      </x:c>
      <x:c r="D447" s="131" t="n">
        <x:v>0</x:v>
      </x:c>
      <x:c r="E447" s="131" t="n">
        <x:v>0</x:v>
      </x:c>
      <x:c r="F447" s="131" t="n">
        <x:f>SUM(B447:E447)</x:f>
        <x:v>0</x:v>
      </x:c>
      <x:c r="G447" s="111" t="str">
        <x:v>Independente</x:v>
      </x:c>
      <x:c r="H447" s="140" t="str">
        <x:v>Independente</x:v>
      </x:c>
      <x:c r="I447" s="111" t="str">
        <x:v>Regra residual — revisar manualmente</x:v>
      </x:c>
      <x:c r="J447" s="149" t="str">
        <x:v>Sim</x:v>
      </x:c>
      <x:c r="K447" s="131" t="n">
        <x:f>IF($H447="Independente",$F447,0)</x:f>
        <x:v>0</x:v>
      </x:c>
      <x:c r="L447" s="131" t="n">
        <x:f>IF($H447="Ligada a banco",$F447,0)</x:f>
        <x:v>0</x:v>
      </x:c>
      <x:c r="M447" s="114" t="n">
        <x:f>IF(K447&gt;0,RANK(K447,$K$6:$K$462)+COUNTIF($K$6:K447,K447)-1,9999)</x:f>
        <x:v>9999</x:v>
      </x:c>
      <x:c r="N447" s="114" t="n">
        <x:f>IF(L447&gt;0,RANK(L447,$L$6:$L$462)+COUNTIF($L$6:L447,L447)-1,9999)</x:f>
        <x:v>9999</x:v>
      </x:c>
    </x:row>
    <x:row r="448">
      <x:c r="A448" s="111" t="str">
        <x:v>REAG ASSET MANAGEMENT</x:v>
      </x:c>
      <x:c r="B448" s="131" t="n">
        <x:v>0</x:v>
      </x:c>
      <x:c r="C448" s="131" t="n">
        <x:v>0</x:v>
      </x:c>
      <x:c r="D448" s="131" t="n">
        <x:v>0</x:v>
      </x:c>
      <x:c r="E448" s="131" t="n">
        <x:v>0</x:v>
      </x:c>
      <x:c r="F448" s="131" t="n">
        <x:f>SUM(B448:E448)</x:f>
        <x:v>0</x:v>
      </x:c>
      <x:c r="G448" s="111" t="str">
        <x:v>Independente</x:v>
      </x:c>
      <x:c r="H448" s="140" t="str">
        <x:v>Independente</x:v>
      </x:c>
      <x:c r="I448" s="111" t="str">
        <x:v>Regra residual — revisar manualmente</x:v>
      </x:c>
      <x:c r="J448" s="149" t="str">
        <x:v>Sim</x:v>
      </x:c>
      <x:c r="K448" s="131" t="n">
        <x:f>IF($H448="Independente",$F448,0)</x:f>
        <x:v>0</x:v>
      </x:c>
      <x:c r="L448" s="131" t="n">
        <x:f>IF($H448="Ligada a banco",$F448,0)</x:f>
        <x:v>0</x:v>
      </x:c>
      <x:c r="M448" s="114" t="n">
        <x:f>IF(K448&gt;0,RANK(K448,$K$6:$K$462)+COUNTIF($K$6:K448,K448)-1,9999)</x:f>
        <x:v>9999</x:v>
      </x:c>
      <x:c r="N448" s="114" t="n">
        <x:f>IF(L448&gt;0,RANK(L448,$L$6:$L$462)+COUNTIF($L$6:L448,L448)-1,9999)</x:f>
        <x:v>9999</x:v>
      </x:c>
    </x:row>
    <x:row r="449">
      <x:c r="A449" s="111" t="str">
        <x:v>REAG AMBIENTAL GESTÃO DE RECURSOS LTDA.</x:v>
      </x:c>
      <x:c r="B449" s="131" t="n">
        <x:v>0</x:v>
      </x:c>
      <x:c r="C449" s="131" t="n">
        <x:v>0</x:v>
      </x:c>
      <x:c r="D449" s="131" t="n">
        <x:v>0</x:v>
      </x:c>
      <x:c r="E449" s="131" t="n">
        <x:v>0</x:v>
      </x:c>
      <x:c r="F449" s="131" t="n">
        <x:f>SUM(B449:E449)</x:f>
        <x:v>0</x:v>
      </x:c>
      <x:c r="G449" s="111" t="str">
        <x:v>Independente</x:v>
      </x:c>
      <x:c r="H449" s="140" t="str">
        <x:v>Independente</x:v>
      </x:c>
      <x:c r="I449" s="111" t="str">
        <x:v>Regra residual — revisar manualmente</x:v>
      </x:c>
      <x:c r="J449" s="149" t="str">
        <x:v>Sim</x:v>
      </x:c>
      <x:c r="K449" s="131" t="n">
        <x:f>IF($H449="Independente",$F449,0)</x:f>
        <x:v>0</x:v>
      </x:c>
      <x:c r="L449" s="131" t="n">
        <x:f>IF($H449="Ligada a banco",$F449,0)</x:f>
        <x:v>0</x:v>
      </x:c>
      <x:c r="M449" s="114" t="n">
        <x:f>IF(K449&gt;0,RANK(K449,$K$6:$K$462)+COUNTIF($K$6:K449,K449)-1,9999)</x:f>
        <x:v>9999</x:v>
      </x:c>
      <x:c r="N449" s="114" t="n">
        <x:f>IF(L449&gt;0,RANK(L449,$L$6:$L$462)+COUNTIF($L$6:L449,L449)-1,9999)</x:f>
        <x:v>9999</x:v>
      </x:c>
    </x:row>
    <x:row r="450">
      <x:c r="A450" s="111" t="str">
        <x:v>BTG Gestora</x:v>
      </x:c>
      <x:c r="B450" s="131" t="n">
        <x:v>0</x:v>
      </x:c>
      <x:c r="C450" s="131" t="n">
        <x:v>0</x:v>
      </x:c>
      <x:c r="D450" s="131" t="n">
        <x:v>0</x:v>
      </x:c>
      <x:c r="E450" s="131" t="n">
        <x:v>0</x:v>
      </x:c>
      <x:c r="F450" s="131" t="n">
        <x:f>SUM(B450:E450)</x:f>
        <x:v>0</x:v>
      </x:c>
      <x:c r="G450" s="111" t="str">
        <x:v>Ligada a banco</x:v>
      </x:c>
      <x:c r="H450" s="140" t="str">
        <x:v>Ligada a banco</x:v>
      </x:c>
      <x:c r="I450" s="111" t="str">
        <x:v>Regra nominal: BTG</x:v>
      </x:c>
      <x:c r="J450" s="149" t="str">
        <x:v>Sim</x:v>
      </x:c>
      <x:c r="K450" s="131" t="n">
        <x:f>IF($H450="Independente",$F450,0)</x:f>
        <x:v>0</x:v>
      </x:c>
      <x:c r="L450" s="131" t="n">
        <x:f>IF($H450="Ligada a banco",$F450,0)</x:f>
        <x:v>0</x:v>
      </x:c>
      <x:c r="M450" s="114" t="n">
        <x:f>IF(K450&gt;0,RANK(K450,$K$6:$K$462)+COUNTIF($K$6:K450,K450)-1,9999)</x:f>
        <x:v>9999</x:v>
      </x:c>
      <x:c r="N450" s="114" t="n">
        <x:f>IF(L450&gt;0,RANK(L450,$L$6:$L$462)+COUNTIF($L$6:L450,L450)-1,9999)</x:f>
        <x:v>9999</x:v>
      </x:c>
    </x:row>
    <x:row r="451">
      <x:c r="A451" s="111" t="str">
        <x:v>BROADEN CAPITAL GESTÃO DE INVESTIMENTOS LTDA.</x:v>
      </x:c>
      <x:c r="B451" s="131" t="n">
        <x:v>0</x:v>
      </x:c>
      <x:c r="C451" s="131" t="n">
        <x:v>0</x:v>
      </x:c>
      <x:c r="D451" s="131" t="n">
        <x:v>0</x:v>
      </x:c>
      <x:c r="E451" s="131" t="n">
        <x:v>0</x:v>
      </x:c>
      <x:c r="F451" s="131" t="n">
        <x:f>SUM(B451:E451)</x:f>
        <x:v>0</x:v>
      </x:c>
      <x:c r="G451" s="111" t="str">
        <x:v>Independente</x:v>
      </x:c>
      <x:c r="H451" s="140" t="str">
        <x:v>Independente</x:v>
      </x:c>
      <x:c r="I451" s="111" t="str">
        <x:v>Regra residual — revisar manualmente</x:v>
      </x:c>
      <x:c r="J451" s="149" t="str">
        <x:v>Sim</x:v>
      </x:c>
      <x:c r="K451" s="131" t="n">
        <x:f>IF($H451="Independente",$F451,0)</x:f>
        <x:v>0</x:v>
      </x:c>
      <x:c r="L451" s="131" t="n">
        <x:f>IF($H451="Ligada a banco",$F451,0)</x:f>
        <x:v>0</x:v>
      </x:c>
      <x:c r="M451" s="114" t="n">
        <x:f>IF(K451&gt;0,RANK(K451,$K$6:$K$462)+COUNTIF($K$6:K451,K451)-1,9999)</x:f>
        <x:v>9999</x:v>
      </x:c>
      <x:c r="N451" s="114" t="n">
        <x:f>IF(L451&gt;0,RANK(L451,$L$6:$L$462)+COUNTIF($L$6:L451,L451)-1,9999)</x:f>
        <x:v>9999</x:v>
      </x:c>
    </x:row>
    <x:row r="452">
      <x:c r="A452" s="111" t="str">
        <x:v>Shift Capital Gestão de Recursos LTDA.</x:v>
      </x:c>
      <x:c r="B452" s="131" t="n">
        <x:v>0</x:v>
      </x:c>
      <x:c r="C452" s="131" t="n">
        <x:v>0</x:v>
      </x:c>
      <x:c r="D452" s="131" t="n">
        <x:v>0</x:v>
      </x:c>
      <x:c r="E452" s="131" t="n">
        <x:v>0</x:v>
      </x:c>
      <x:c r="F452" s="131" t="n">
        <x:f>SUM(B452:E452)</x:f>
        <x:v>0</x:v>
      </x:c>
      <x:c r="G452" s="111" t="str">
        <x:v>Independente</x:v>
      </x:c>
      <x:c r="H452" s="140" t="str">
        <x:v>Independente</x:v>
      </x:c>
      <x:c r="I452" s="111" t="str">
        <x:v>Regra residual — revisar manualmente</x:v>
      </x:c>
      <x:c r="J452" s="149" t="str">
        <x:v>Sim</x:v>
      </x:c>
      <x:c r="K452" s="131" t="n">
        <x:f>IF($H452="Independente",$F452,0)</x:f>
        <x:v>0</x:v>
      </x:c>
      <x:c r="L452" s="131" t="n">
        <x:f>IF($H452="Ligada a banco",$F452,0)</x:f>
        <x:v>0</x:v>
      </x:c>
      <x:c r="M452" s="114" t="n">
        <x:f>IF(K452&gt;0,RANK(K452,$K$6:$K$462)+COUNTIF($K$6:K452,K452)-1,9999)</x:f>
        <x:v>9999</x:v>
      </x:c>
      <x:c r="N452" s="114" t="n">
        <x:f>IF(L452&gt;0,RANK(L452,$L$6:$L$462)+COUNTIF($L$6:L452,L452)-1,9999)</x:f>
        <x:v>9999</x:v>
      </x:c>
    </x:row>
    <x:row r="453">
      <x:c r="A453" s="111" t="str">
        <x:v>JERA CAPITAL</x:v>
      </x:c>
      <x:c r="B453" s="131" t="n">
        <x:v>0</x:v>
      </x:c>
      <x:c r="C453" s="131" t="n">
        <x:v>0</x:v>
      </x:c>
      <x:c r="D453" s="131" t="n">
        <x:v>0</x:v>
      </x:c>
      <x:c r="E453" s="131" t="n">
        <x:v>0</x:v>
      </x:c>
      <x:c r="F453" s="131" t="n">
        <x:f>SUM(B453:E453)</x:f>
        <x:v>0</x:v>
      </x:c>
      <x:c r="G453" s="111" t="str">
        <x:v>Independente</x:v>
      </x:c>
      <x:c r="H453" s="140" t="str">
        <x:v>Independente</x:v>
      </x:c>
      <x:c r="I453" s="111" t="str">
        <x:v>Regra residual — revisar manualmente</x:v>
      </x:c>
      <x:c r="J453" s="149" t="str">
        <x:v>Sim</x:v>
      </x:c>
      <x:c r="K453" s="131" t="n">
        <x:f>IF($H453="Independente",$F453,0)</x:f>
        <x:v>0</x:v>
      </x:c>
      <x:c r="L453" s="131" t="n">
        <x:f>IF($H453="Ligada a banco",$F453,0)</x:f>
        <x:v>0</x:v>
      </x:c>
      <x:c r="M453" s="114" t="n">
        <x:f>IF(K453&gt;0,RANK(K453,$K$6:$K$462)+COUNTIF($K$6:K453,K453)-1,9999)</x:f>
        <x:v>9999</x:v>
      </x:c>
      <x:c r="N453" s="114" t="n">
        <x:f>IF(L453&gt;0,RANK(L453,$L$6:$L$462)+COUNTIF($L$6:L453,L453)-1,9999)</x:f>
        <x:v>9999</x:v>
      </x:c>
    </x:row>
    <x:row r="454">
      <x:c r="A454" s="111" t="str">
        <x:v>Sonar Investimentos</x:v>
      </x:c>
      <x:c r="B454" s="131" t="n">
        <x:v>0</x:v>
      </x:c>
      <x:c r="C454" s="131" t="n">
        <x:v>0</x:v>
      </x:c>
      <x:c r="D454" s="131" t="n">
        <x:v>0</x:v>
      </x:c>
      <x:c r="E454" s="131" t="n">
        <x:v>0</x:v>
      </x:c>
      <x:c r="F454" s="131" t="n">
        <x:f>SUM(B454:E454)</x:f>
        <x:v>0</x:v>
      </x:c>
      <x:c r="G454" s="111" t="str">
        <x:v>Independente</x:v>
      </x:c>
      <x:c r="H454" s="140" t="str">
        <x:v>Independente</x:v>
      </x:c>
      <x:c r="I454" s="111" t="str">
        <x:v>Regra residual — revisar manualmente</x:v>
      </x:c>
      <x:c r="J454" s="149" t="str">
        <x:v>Sim</x:v>
      </x:c>
      <x:c r="K454" s="131" t="n">
        <x:f>IF($H454="Independente",$F454,0)</x:f>
        <x:v>0</x:v>
      </x:c>
      <x:c r="L454" s="131" t="n">
        <x:f>IF($H454="Ligada a banco",$F454,0)</x:f>
        <x:v>0</x:v>
      </x:c>
      <x:c r="M454" s="114" t="n">
        <x:f>IF(K454&gt;0,RANK(K454,$K$6:$K$462)+COUNTIF($K$6:K454,K454)-1,9999)</x:f>
        <x:v>9999</x:v>
      </x:c>
      <x:c r="N454" s="114" t="n">
        <x:f>IF(L454&gt;0,RANK(L454,$L$6:$L$462)+COUNTIF($L$6:L454,L454)-1,9999)</x:f>
        <x:v>9999</x:v>
      </x:c>
    </x:row>
    <x:row r="455">
      <x:c r="A455" s="111" t="str">
        <x:v>Eternia Gestora de Recursos Ltda.</x:v>
      </x:c>
      <x:c r="B455" s="131" t="n">
        <x:v>0</x:v>
      </x:c>
      <x:c r="C455" s="131" t="n">
        <x:v>0</x:v>
      </x:c>
      <x:c r="D455" s="131" t="n">
        <x:v>0</x:v>
      </x:c>
      <x:c r="E455" s="131" t="n">
        <x:v>0</x:v>
      </x:c>
      <x:c r="F455" s="131" t="n">
        <x:f>SUM(B455:E455)</x:f>
        <x:v>0</x:v>
      </x:c>
      <x:c r="G455" s="111" t="str">
        <x:v>Independente</x:v>
      </x:c>
      <x:c r="H455" s="140" t="str">
        <x:v>Independente</x:v>
      </x:c>
      <x:c r="I455" s="111" t="str">
        <x:v>Regra residual — revisar manualmente</x:v>
      </x:c>
      <x:c r="J455" s="149" t="str">
        <x:v>Sim</x:v>
      </x:c>
      <x:c r="K455" s="131" t="n">
        <x:f>IF($H455="Independente",$F455,0)</x:f>
        <x:v>0</x:v>
      </x:c>
      <x:c r="L455" s="131" t="n">
        <x:f>IF($H455="Ligada a banco",$F455,0)</x:f>
        <x:v>0</x:v>
      </x:c>
      <x:c r="M455" s="114" t="n">
        <x:f>IF(K455&gt;0,RANK(K455,$K$6:$K$462)+COUNTIF($K$6:K455,K455)-1,9999)</x:f>
        <x:v>9999</x:v>
      </x:c>
      <x:c r="N455" s="114" t="n">
        <x:f>IF(L455&gt;0,RANK(L455,$L$6:$L$462)+COUNTIF($L$6:L455,L455)-1,9999)</x:f>
        <x:v>9999</x:v>
      </x:c>
    </x:row>
    <x:row r="456">
      <x:c r="A456" s="111" t="str">
        <x:v>BAYCAP</x:v>
      </x:c>
      <x:c r="B456" s="131" t="n">
        <x:v>0</x:v>
      </x:c>
      <x:c r="C456" s="131" t="n">
        <x:v>0</x:v>
      </x:c>
      <x:c r="D456" s="131" t="n">
        <x:v>0</x:v>
      </x:c>
      <x:c r="E456" s="131" t="n">
        <x:v>0</x:v>
      </x:c>
      <x:c r="F456" s="131" t="n">
        <x:f>SUM(B456:E456)</x:f>
        <x:v>0</x:v>
      </x:c>
      <x:c r="G456" s="111" t="str">
        <x:v>Independente</x:v>
      </x:c>
      <x:c r="H456" s="140" t="str">
        <x:v>Independente</x:v>
      </x:c>
      <x:c r="I456" s="111" t="str">
        <x:v>Regra residual — revisar manualmente</x:v>
      </x:c>
      <x:c r="J456" s="149" t="str">
        <x:v>Sim</x:v>
      </x:c>
      <x:c r="K456" s="131" t="n">
        <x:f>IF($H456="Independente",$F456,0)</x:f>
        <x:v>0</x:v>
      </x:c>
      <x:c r="L456" s="131" t="n">
        <x:f>IF($H456="Ligada a banco",$F456,0)</x:f>
        <x:v>0</x:v>
      </x:c>
      <x:c r="M456" s="114" t="n">
        <x:f>IF(K456&gt;0,RANK(K456,$K$6:$K$462)+COUNTIF($K$6:K456,K456)-1,9999)</x:f>
        <x:v>9999</x:v>
      </x:c>
      <x:c r="N456" s="114" t="n">
        <x:f>IF(L456&gt;0,RANK(L456,$L$6:$L$462)+COUNTIF($L$6:L456,L456)-1,9999)</x:f>
        <x:v>9999</x:v>
      </x:c>
    </x:row>
    <x:row r="457">
      <x:c r="A457" s="111" t="str">
        <x:v>PRISMA OIL&amp;GAS LTDA</x:v>
      </x:c>
      <x:c r="B457" s="131" t="n">
        <x:v>0</x:v>
      </x:c>
      <x:c r="C457" s="131" t="n">
        <x:v>0</x:v>
      </x:c>
      <x:c r="D457" s="131" t="n">
        <x:v>0</x:v>
      </x:c>
      <x:c r="E457" s="131" t="n">
        <x:v>0</x:v>
      </x:c>
      <x:c r="F457" s="131" t="n">
        <x:f>SUM(B457:E457)</x:f>
        <x:v>0</x:v>
      </x:c>
      <x:c r="G457" s="111" t="str">
        <x:v>Independente</x:v>
      </x:c>
      <x:c r="H457" s="140" t="str">
        <x:v>Independente</x:v>
      </x:c>
      <x:c r="I457" s="111" t="str">
        <x:v>Regra residual — revisar manualmente</x:v>
      </x:c>
      <x:c r="J457" s="149" t="str">
        <x:v>Sim</x:v>
      </x:c>
      <x:c r="K457" s="131" t="n">
        <x:f>IF($H457="Independente",$F457,0)</x:f>
        <x:v>0</x:v>
      </x:c>
      <x:c r="L457" s="131" t="n">
        <x:f>IF($H457="Ligada a banco",$F457,0)</x:f>
        <x:v>0</x:v>
      </x:c>
      <x:c r="M457" s="114" t="n">
        <x:f>IF(K457&gt;0,RANK(K457,$K$6:$K$462)+COUNTIF($K$6:K457,K457)-1,9999)</x:f>
        <x:v>9999</x:v>
      </x:c>
      <x:c r="N457" s="114" t="n">
        <x:f>IF(L457&gt;0,RANK(L457,$L$6:$L$462)+COUNTIF($L$6:L457,L457)-1,9999)</x:f>
        <x:v>9999</x:v>
      </x:c>
    </x:row>
    <x:row r="458">
      <x:c r="A458" s="111" t="str">
        <x:v>PRADA FINANCEIRA</x:v>
      </x:c>
      <x:c r="B458" s="131" t="n">
        <x:v>0</x:v>
      </x:c>
      <x:c r="C458" s="131" t="n">
        <x:v>0</x:v>
      </x:c>
      <x:c r="D458" s="131" t="n">
        <x:v>0</x:v>
      </x:c>
      <x:c r="E458" s="131" t="n">
        <x:v>0</x:v>
      </x:c>
      <x:c r="F458" s="131" t="n">
        <x:f>SUM(B458:E458)</x:f>
        <x:v>0</x:v>
      </x:c>
      <x:c r="G458" s="111" t="str">
        <x:v>Independente</x:v>
      </x:c>
      <x:c r="H458" s="140" t="str">
        <x:v>Independente</x:v>
      </x:c>
      <x:c r="I458" s="111" t="str">
        <x:v>Regra residual — revisar manualmente</x:v>
      </x:c>
      <x:c r="J458" s="149" t="str">
        <x:v>Sim</x:v>
      </x:c>
      <x:c r="K458" s="131" t="n">
        <x:f>IF($H458="Independente",$F458,0)</x:f>
        <x:v>0</x:v>
      </x:c>
      <x:c r="L458" s="131" t="n">
        <x:f>IF($H458="Ligada a banco",$F458,0)</x:f>
        <x:v>0</x:v>
      </x:c>
      <x:c r="M458" s="114" t="n">
        <x:f>IF(K458&gt;0,RANK(K458,$K$6:$K$462)+COUNTIF($K$6:K458,K458)-1,9999)</x:f>
        <x:v>9999</x:v>
      </x:c>
      <x:c r="N458" s="114" t="n">
        <x:f>IF(L458&gt;0,RANK(L458,$L$6:$L$462)+COUNTIF($L$6:L458,L458)-1,9999)</x:f>
        <x:v>9999</x:v>
      </x:c>
    </x:row>
    <x:row r="459">
      <x:c r="A459" s="111" t="str">
        <x:v>PMFO ESPORTES, ARTES E ENTRETENIMENTO</x:v>
      </x:c>
      <x:c r="B459" s="131" t="n">
        <x:v>0</x:v>
      </x:c>
      <x:c r="C459" s="131" t="n">
        <x:v>0</x:v>
      </x:c>
      <x:c r="D459" s="131" t="n">
        <x:v>0</x:v>
      </x:c>
      <x:c r="E459" s="131" t="n">
        <x:v>0</x:v>
      </x:c>
      <x:c r="F459" s="131" t="n">
        <x:f>SUM(B459:E459)</x:f>
        <x:v>0</x:v>
      </x:c>
      <x:c r="G459" s="111" t="str">
        <x:v>Independente</x:v>
      </x:c>
      <x:c r="H459" s="140" t="str">
        <x:v>Independente</x:v>
      </x:c>
      <x:c r="I459" s="111" t="str">
        <x:v>Regra residual — revisar manualmente</x:v>
      </x:c>
      <x:c r="J459" s="149" t="str">
        <x:v>Sim</x:v>
      </x:c>
      <x:c r="K459" s="131" t="n">
        <x:f>IF($H459="Independente",$F459,0)</x:f>
        <x:v>0</x:v>
      </x:c>
      <x:c r="L459" s="131" t="n">
        <x:f>IF($H459="Ligada a banco",$F459,0)</x:f>
        <x:v>0</x:v>
      </x:c>
      <x:c r="M459" s="114" t="n">
        <x:f>IF(K459&gt;0,RANK(K459,$K$6:$K$462)+COUNTIF($K$6:K459,K459)-1,9999)</x:f>
        <x:v>9999</x:v>
      </x:c>
      <x:c r="N459" s="114" t="n">
        <x:f>IF(L459&gt;0,RANK(L459,$L$6:$L$462)+COUNTIF($L$6:L459,L459)-1,9999)</x:f>
        <x:v>9999</x:v>
      </x:c>
    </x:row>
    <x:row r="460">
      <x:c r="A460" s="111" t="str">
        <x:v>Arazul Capital</x:v>
      </x:c>
      <x:c r="B460" s="131" t="n">
        <x:v>0</x:v>
      </x:c>
      <x:c r="C460" s="131" t="n">
        <x:v>0</x:v>
      </x:c>
      <x:c r="D460" s="131" t="n">
        <x:v>0</x:v>
      </x:c>
      <x:c r="E460" s="131" t="n">
        <x:v>0</x:v>
      </x:c>
      <x:c r="F460" s="131" t="n">
        <x:f>SUM(B460:E460)</x:f>
        <x:v>0</x:v>
      </x:c>
      <x:c r="G460" s="111" t="str">
        <x:v>Independente</x:v>
      </x:c>
      <x:c r="H460" s="140" t="str">
        <x:v>Independente</x:v>
      </x:c>
      <x:c r="I460" s="111" t="str">
        <x:v>Regra residual — revisar manualmente</x:v>
      </x:c>
      <x:c r="J460" s="149" t="str">
        <x:v>Sim</x:v>
      </x:c>
      <x:c r="K460" s="131" t="n">
        <x:f>IF($H460="Independente",$F460,0)</x:f>
        <x:v>0</x:v>
      </x:c>
      <x:c r="L460" s="131" t="n">
        <x:f>IF($H460="Ligada a banco",$F460,0)</x:f>
        <x:v>0</x:v>
      </x:c>
      <x:c r="M460" s="114" t="n">
        <x:f>IF(K460&gt;0,RANK(K460,$K$6:$K$462)+COUNTIF($K$6:K460,K460)-1,9999)</x:f>
        <x:v>9999</x:v>
      </x:c>
      <x:c r="N460" s="114" t="n">
        <x:f>IF(L460&gt;0,RANK(L460,$L$6:$L$462)+COUNTIF($L$6:L460,L460)-1,9999)</x:f>
        <x:v>9999</x:v>
      </x:c>
    </x:row>
    <x:row r="461">
      <x:c r="A461" s="111" t="str">
        <x:v>Florida Investimentos</x:v>
      </x:c>
      <x:c r="B461" s="131" t="n">
        <x:v>0</x:v>
      </x:c>
      <x:c r="C461" s="131" t="n">
        <x:v>0</x:v>
      </x:c>
      <x:c r="D461" s="131" t="n">
        <x:v>0</x:v>
      </x:c>
      <x:c r="E461" s="131" t="n">
        <x:v>0</x:v>
      </x:c>
      <x:c r="F461" s="131" t="n">
        <x:f>SUM(B461:E461)</x:f>
        <x:v>0</x:v>
      </x:c>
      <x:c r="G461" s="111" t="str">
        <x:v>Independente</x:v>
      </x:c>
      <x:c r="H461" s="140" t="str">
        <x:v>Independente</x:v>
      </x:c>
      <x:c r="I461" s="111" t="str">
        <x:v>Regra residual — revisar manualmente</x:v>
      </x:c>
      <x:c r="J461" s="149" t="str">
        <x:v>Sim</x:v>
      </x:c>
      <x:c r="K461" s="131" t="n">
        <x:f>IF($H461="Independente",$F461,0)</x:f>
        <x:v>0</x:v>
      </x:c>
      <x:c r="L461" s="131" t="n">
        <x:f>IF($H461="Ligada a banco",$F461,0)</x:f>
        <x:v>0</x:v>
      </x:c>
      <x:c r="M461" s="114" t="n">
        <x:f>IF(K461&gt;0,RANK(K461,$K$6:$K$462)+COUNTIF($K$6:K461,K461)-1,9999)</x:f>
        <x:v>9999</x:v>
      </x:c>
      <x:c r="N461" s="114" t="n">
        <x:f>IF(L461&gt;0,RANK(L461,$L$6:$L$462)+COUNTIF($L$6:L461,L461)-1,9999)</x:f>
        <x:v>9999</x:v>
      </x:c>
    </x:row>
    <x:row r="462">
      <x:c r="A462" s="112" t="str">
        <x:v>Quartzo Asset</x:v>
      </x:c>
      <x:c r="B462" s="132" t="n">
        <x:v>0</x:v>
      </x:c>
      <x:c r="C462" s="132" t="n">
        <x:v>0</x:v>
      </x:c>
      <x:c r="D462" s="132" t="n">
        <x:v>0</x:v>
      </x:c>
      <x:c r="E462" s="132" t="n">
        <x:v>0</x:v>
      </x:c>
      <x:c r="F462" s="132" t="n">
        <x:f>SUM(B462:E462)</x:f>
        <x:v>0</x:v>
      </x:c>
      <x:c r="G462" s="112" t="str">
        <x:v>Independente</x:v>
      </x:c>
      <x:c r="H462" s="141" t="str">
        <x:v>Independente</x:v>
      </x:c>
      <x:c r="I462" s="112" t="str">
        <x:v>Regra residual — revisar manualmente</x:v>
      </x:c>
      <x:c r="J462" s="150" t="str">
        <x:v>Sim</x:v>
      </x:c>
      <x:c r="K462" s="132" t="n">
        <x:f>IF($H462="Independente",$F462,0)</x:f>
        <x:v>0</x:v>
      </x:c>
      <x:c r="L462" s="132" t="n">
        <x:f>IF($H462="Ligada a banco",$F462,0)</x:f>
        <x:v>0</x:v>
      </x:c>
      <x:c r="M462" s="115" t="n">
        <x:f>IF(K462&gt;0,RANK(K462,$K$6:$K$462)+COUNTIF($K$6:K462,K462)-1,9999)</x:f>
        <x:v>9999</x:v>
      </x:c>
      <x:c r="N462" s="115" t="n">
        <x:f>IF(L462&gt;0,RANK(L462,$L$6:$L$462)+COUNTIF($L$6:L462,L462)-1,9999)</x:f>
        <x:v>9999</x:v>
      </x:c>
    </x:row>
  </x:sheetData>
  <x:mergeCells>
    <x:mergeCell ref="A1:N2"/>
    <x:mergeCell ref="A3:N3"/>
  </x:mergeCells>
  <x:dataValidations count="1">
    <x:dataValidation type="list" sqref="H6:H462">
      <x:formula1>"Ligada a banco,Independente,Não classificada"</x:formula1>
    </x:dataValidation>
  </x:dataValidations>
  <x:pageMargins left="0.7" right="0.7" top="0.75" bottom="0.75" header="0.3" footer="0.3"/>
  <x:legacyDrawing xmlns:r="http://schemas.openxmlformats.org/officeDocument/2006/relationships" r:id="R05cd854c1edb4dc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7" hidden="0" customWidth="1"/>
    <x:col min="3" max="3" width="15" hidden="0" customWidth="1"/>
    <x:col min="5" max="5" width="5" hidden="0" customWidth="1"/>
    <x:col min="6" max="6" width="37" hidden="0" customWidth="1"/>
    <x:col min="7" max="7" width="15" hidden="0" customWidth="1"/>
    <x:col min="9" max="9" width="5" hidden="0" customWidth="1"/>
    <x:col min="10" max="10" width="37" hidden="0" customWidth="1"/>
    <x:col min="11" max="11" width="15" hidden="0" customWidth="1"/>
  </x:cols>
  <x:sheetData>
    <x:row r="1" ht="30" customHeight="1">
      <x:c r="A1" s="4" t="str">
        <x:v>Gestoras independentes concentram a maior parcela do PL pela regra inicial</x:v>
      </x:c>
      <x:c r="B1" s="4" t="str">
        <x:v>Gestoras independentes concentram a maior parcela do PL pela regra inicial</x:v>
      </x:c>
      <x:c r="C1" s="4" t="str">
        <x:v>Gestoras independentes concentram a maior parcela do PL pela regra inicial</x:v>
      </x:c>
      <x:c r="D1" s="4" t="str">
        <x:v>Gestoras independentes concentram a maior parcela do PL pela regra inicial</x:v>
      </x:c>
      <x:c r="E1" s="4" t="str">
        <x:v>Gestoras independentes concentram a maior parcela do PL pela regra inicial</x:v>
      </x:c>
      <x:c r="F1" s="4" t="str">
        <x:v>Gestoras independentes concentram a maior parcela do PL pela regra inicial</x:v>
      </x:c>
      <x:c r="G1" s="4" t="str">
        <x:v>Gestoras independentes concentram a maior parcela do PL pela regra inicial</x:v>
      </x:c>
      <x:c r="H1" s="4" t="str">
        <x:v>Gestoras independentes concentram a maior parcela do PL pela regra inicial</x:v>
      </x:c>
      <x:c r="I1" s="4" t="str">
        <x:v>Gestoras independentes concentram a maior parcela do PL pela regra inicial</x:v>
      </x:c>
      <x:c r="J1" s="4" t="str">
        <x:v>Gestoras independentes concentram a maior parcela do PL pela regra inicial</x:v>
      </x:c>
      <x:c r="K1" s="4" t="str">
        <x:v>Gestoras independentes concentram a maior parcela do PL pela regra inicial</x:v>
      </x:c>
      <x:c r="L1" s="4" t="str">
        <x:v>Gestoras independentes concentram a maior parcela do PL pela regra inicial</x:v>
      </x:c>
      <x:c r="M1" s="4" t="str">
        <x:v>Gestoras independentes concentram a maior parcela do PL pela regra inicial</x:v>
      </x:c>
      <x:c r="N1" s="4" t="str">
        <x:v>Gestoras independentes concentram a maior parcela do PL pela regra inicial</x:v>
      </x:c>
    </x:row>
    <x:row r="2" ht="30" customHeight="1">
      <x:c r="A2" s="4" t="str">
        <x:v>Gestoras independentes concentram a maior parcela do PL pela regra inicial</x:v>
      </x:c>
      <x:c r="B2" s="4" t="str">
        <x:v>Gestoras independentes concentram a maior parcela do PL pela regra inicial</x:v>
      </x:c>
      <x:c r="C2" s="4" t="str">
        <x:v>Gestoras independentes concentram a maior parcela do PL pela regra inicial</x:v>
      </x:c>
      <x:c r="D2" s="4" t="str">
        <x:v>Gestoras independentes concentram a maior parcela do PL pela regra inicial</x:v>
      </x:c>
      <x:c r="E2" s="4" t="str">
        <x:v>Gestoras independentes concentram a maior parcela do PL pela regra inicial</x:v>
      </x:c>
      <x:c r="F2" s="4" t="str">
        <x:v>Gestoras independentes concentram a maior parcela do PL pela regra inicial</x:v>
      </x:c>
      <x:c r="G2" s="4" t="str">
        <x:v>Gestoras independentes concentram a maior parcela do PL pela regra inicial</x:v>
      </x:c>
      <x:c r="H2" s="4" t="str">
        <x:v>Gestoras independentes concentram a maior parcela do PL pela regra inicial</x:v>
      </x:c>
      <x:c r="I2" s="4" t="str">
        <x:v>Gestoras independentes concentram a maior parcela do PL pela regra inicial</x:v>
      </x:c>
      <x:c r="J2" s="4" t="str">
        <x:v>Gestoras independentes concentram a maior parcela do PL pela regra inicial</x:v>
      </x:c>
      <x:c r="K2" s="4" t="str">
        <x:v>Gestoras independentes concentram a maior parcela do PL pela regra inicial</x:v>
      </x:c>
      <x:c r="L2" s="4" t="str">
        <x:v>Gestoras independentes concentram a maior parcela do PL pela regra inicial</x:v>
      </x:c>
      <x:c r="M2" s="4" t="str">
        <x:v>Gestoras independentes concentram a maior parcela do PL pela regra inicial</x:v>
      </x:c>
      <x:c r="N2" s="4" t="str">
        <x:v>Gestoras independentes concentram a maior parcela do PL pela regra inicial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Tipo ANBIMA</x:v>
      </x:c>
      <x:c r="B4" s="21" t="str">
        <x:v>Independente</x:v>
      </x:c>
      <x:c r="C4" s="21" t="str">
        <x:v>Ligada a banco</x:v>
      </x:c>
      <x:c r="D4" s="22" t="str">
        <x:v>Total</x:v>
      </x:c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</x:row>
    <x:row r="5">
      <x:c r="A5" s="110" t="str">
        <x:v>Agro, Indústria e Comércio</x:v>
      </x:c>
      <x:c r="B5" s="119" t="n">
        <x:f>SUMIFS('Classif Gestoras'!$B$6:$B$462,'Classif Gestoras'!$H$6:$H$462,"Independente")/1000000000</x:f>
        <x:v>70.01134149304488</x:v>
      </x:c>
      <x:c r="C5" s="119" t="n">
        <x:f>SUMIFS('Classif Gestoras'!$B$6:$B$462,'Classif Gestoras'!$H$6:$H$462,"Ligada a banco")/1000000000</x:f>
        <x:v>84.80783606384</x:v>
      </x:c>
      <x:c r="D5" s="119" t="n">
        <x:f>SUM(B5:C5)</x:f>
        <x:v>154.81917755688488</x:v>
      </x:c>
      <x:c r="E5" s="198"/>
      <x:c r="F5" s="198"/>
      <x:c r="G5" s="198"/>
      <x:c r="H5" s="198"/>
      <x:c r="I5" s="198"/>
      <x:c r="J5" s="198"/>
      <x:c r="K5" s="198"/>
      <x:c r="L5" s="198"/>
      <x:c r="M5" s="198"/>
      <x:c r="N5" s="198"/>
    </x:row>
    <x:row r="6">
      <x:c r="A6" s="111" t="str">
        <x:v>Financeiro</x:v>
      </x:c>
      <x:c r="B6" s="124" t="n">
        <x:f>SUMIFS('Classif Gestoras'!$C$6:$C$462,'Classif Gestoras'!$H$6:$H$462,"Independente")/1000000000</x:f>
        <x:v>147.14851642834105</x:v>
      </x:c>
      <x:c r="C6" s="124" t="n">
        <x:f>SUMIFS('Classif Gestoras'!$C$6:$C$462,'Classif Gestoras'!$H$6:$H$462,"Ligada a banco")/1000000000</x:f>
        <x:v>66.27744437099892</x:v>
      </x:c>
      <x:c r="D6" s="124" t="n">
        <x:f>SUM(B6:C6)</x:f>
        <x:v>213.42596079933998</x:v>
      </x:c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>
      <x:c r="A7" s="111" t="str">
        <x:v>Fomento Mercantil</x:v>
      </x:c>
      <x:c r="B7" s="124" t="n">
        <x:f>SUMIFS('Classif Gestoras'!$D$6:$D$462,'Classif Gestoras'!$H$6:$H$462,"Independente")/1000000000</x:f>
        <x:v>83.2324839199147</x:v>
      </x:c>
      <x:c r="C7" s="124" t="n">
        <x:f>SUMIFS('Classif Gestoras'!$D$6:$D$462,'Classif Gestoras'!$H$6:$H$462,"Ligada a banco")/1000000000</x:f>
        <x:v>2.57888981195</x:v>
      </x:c>
      <x:c r="D7" s="124" t="n">
        <x:f>SUM(B7:C7)</x:f>
        <x:v>85.8113737318647</x:v>
      </x:c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2" t="str">
        <x:v>Outros</x:v>
      </x:c>
      <x:c r="B8" s="120" t="n">
        <x:f>SUMIFS('Classif Gestoras'!$E$6:$E$462,'Classif Gestoras'!$H$6:$H$462,"Independente")/1000000000</x:f>
        <x:v>232.85411987734426</x:v>
      </x:c>
      <x:c r="C8" s="120" t="n">
        <x:f>SUMIFS('Classif Gestoras'!$E$6:$E$462,'Classif Gestoras'!$H$6:$H$462,"Ligada a banco")/1000000000</x:f>
        <x:v>65.28165072115992</x:v>
      </x:c>
      <x:c r="D8" s="120" t="n">
        <x:f>SUM(B8:C8)</x:f>
        <x:v>298.13577059850417</x:v>
      </x:c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98"/>
      <x:c r="B9" s="198"/>
      <x:c r="C9" s="198"/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98"/>
      <x:c r="B10" s="198"/>
      <x:c r="C10" s="198"/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 ht="23" customHeight="1">
      <x:c r="A11" s="8" t="str">
        <x:v>Top 25 independentes — dinâmico</x:v>
      </x:c>
      <x:c r="B11" s="8" t="str">
        <x:v>Top 25 independentes — dinâmico</x:v>
      </x:c>
      <x:c r="C11" s="8" t="str">
        <x:v>Top 25 independentes — dinâmico</x:v>
      </x:c>
      <x:c r="D11" s="198"/>
      <x:c r="E11" s="8" t="str">
        <x:v>Top 25 total</x:v>
      </x:c>
      <x:c r="F11" s="8" t="str">
        <x:v>Top 25 total</x:v>
      </x:c>
      <x:c r="G11" s="8" t="str">
        <x:v>Top 25 total</x:v>
      </x:c>
      <x:c r="H11" s="198"/>
      <x:c r="I11" s="8" t="str">
        <x:v>Top 25 ligadas a banco — dinâmico</x:v>
      </x:c>
      <x:c r="J11" s="8" t="str">
        <x:v>Top 25 ligadas a banco — dinâmico</x:v>
      </x:c>
      <x:c r="K11" s="8" t="str">
        <x:v>Top 25 ligadas a banco — dinâmico</x:v>
      </x:c>
      <x:c r="L11" s="198"/>
      <x:c r="M11" s="198"/>
      <x:c r="N11" s="198"/>
    </x:row>
    <x:row r="12" ht="28" customHeight="1">
      <x:c r="A12" s="20" t="str">
        <x:v>#</x:v>
      </x:c>
      <x:c r="B12" s="21" t="str">
        <x:v>Gestora</x:v>
      </x:c>
      <x:c r="C12" s="22" t="str">
        <x:v>PL (R$ bi)</x:v>
      </x:c>
      <x:c r="D12" s="198"/>
      <x:c r="E12" s="20" t="str">
        <x:v>#</x:v>
      </x:c>
      <x:c r="F12" s="21" t="str">
        <x:v>Gestora</x:v>
      </x:c>
      <x:c r="G12" s="22" t="str">
        <x:v>PL (R$ bi)</x:v>
      </x:c>
      <x:c r="H12" s="198"/>
      <x:c r="I12" s="20" t="str">
        <x:v>#</x:v>
      </x:c>
      <x:c r="J12" s="21" t="str">
        <x:v>Gestora</x:v>
      </x:c>
      <x:c r="K12" s="22" t="str">
        <x:v>PL (R$ bi)</x:v>
      </x:c>
      <x:c r="L12" s="198"/>
      <x:c r="M12" s="198"/>
      <x:c r="N12" s="198"/>
    </x:row>
    <x:row r="13">
      <x:c r="A13" s="110" t="n">
        <x:v>1</x:v>
      </x:c>
      <x:c r="B13" s="110" t="str">
        <x:f>IFERROR(INDEX('Classif Gestoras'!$A$6:$A$462,MATCH(A13,'Classif Gestoras'!$M$6:$M$462,0)),"")</x:f>
        <x:v>Oliveira Trust Servicer</x:v>
      </x:c>
      <x:c r="C13" s="119" t="n">
        <x:f>IFERROR(INDEX('Classif Gestoras'!$K$6:$K$462,MATCH(A13,'Classif Gestoras'!$M$6:$M$462,0))/1000000000,0)</x:f>
        <x:v>72.42585698972</x:v>
      </x:c>
      <x:c r="D13" s="198"/>
      <x:c r="E13" s="110" t="n">
        <x:v>1</x:v>
      </x:c>
      <x:c r="F13" s="110" t="str">
        <x:v>Oliveira Trust Servicer</x:v>
      </x:c>
      <x:c r="G13" s="119" t="n">
        <x:v>72.42585698972</x:v>
      </x:c>
      <x:c r="H13" s="198"/>
      <x:c r="I13" s="110" t="n">
        <x:v>1</x:v>
      </x:c>
      <x:c r="J13" s="110" t="str">
        <x:f>IFERROR(INDEX('Classif Gestoras'!$A$6:$A$462,MATCH(I13,'Classif Gestoras'!$N$6:$N$462,0)),"")</x:f>
        <x:v>BB Asset Management</x:v>
      </x:c>
      <x:c r="K13" s="119" t="n">
        <x:f>IFERROR(INDEX('Classif Gestoras'!$L$6:$L$462,MATCH(I13,'Classif Gestoras'!$N$6:$N$462,0))/1000000000,0)</x:f>
        <x:v>60.892601464269994</x:v>
      </x:c>
      <x:c r="L13" s="198"/>
      <x:c r="M13" s="198"/>
      <x:c r="N13" s="198"/>
    </x:row>
    <x:row r="14">
      <x:c r="A14" s="111" t="n">
        <x:v>2</x:v>
      </x:c>
      <x:c r="B14" s="111" t="str">
        <x:f>IFERROR(INDEX('Classif Gestoras'!$A$6:$A$462,MATCH(A14,'Classif Gestoras'!$M$6:$M$462,0)),"")</x:f>
        <x:v>TERCON ASSET MANAGEMENT</x:v>
      </x:c>
      <x:c r="C14" s="124" t="n">
        <x:f>IFERROR(INDEX('Classif Gestoras'!$K$6:$K$462,MATCH(A14,'Classif Gestoras'!$M$6:$M$462,0))/1000000000,0)</x:f>
        <x:v>21.345144152257205</x:v>
      </x:c>
      <x:c r="D14" s="198"/>
      <x:c r="E14" s="111" t="n">
        <x:v>2</x:v>
      </x:c>
      <x:c r="F14" s="111" t="str">
        <x:v>BB Asset Management</x:v>
      </x:c>
      <x:c r="G14" s="124" t="n">
        <x:v>60.892601464269994</x:v>
      </x:c>
      <x:c r="H14" s="198"/>
      <x:c r="I14" s="111" t="n">
        <x:v>2</x:v>
      </x:c>
      <x:c r="J14" s="111" t="str">
        <x:f>IFERROR(INDEX('Classif Gestoras'!$A$6:$A$462,MATCH(I14,'Classif Gestoras'!$N$6:$N$462,0)),"")</x:f>
        <x:v>Banco Bradesco S/A</x:v>
      </x:c>
      <x:c r="K14" s="124" t="n">
        <x:f>IFERROR(INDEX('Classif Gestoras'!$L$6:$L$462,MATCH(I14,'Classif Gestoras'!$N$6:$N$462,0))/1000000000,0)</x:f>
        <x:v>40.271118357169996</x:v>
      </x:c>
      <x:c r="L14" s="198"/>
      <x:c r="M14" s="198"/>
      <x:c r="N14" s="198"/>
    </x:row>
    <x:row r="15">
      <x:c r="A15" s="111" t="n">
        <x:v>3</x:v>
      </x:c>
      <x:c r="B15" s="111" t="str">
        <x:f>IFERROR(INDEX('Classif Gestoras'!$A$6:$A$462,MATCH(A15,'Classif Gestoras'!$M$6:$M$462,0)),"")</x:f>
        <x:v>Integral Investimentos</x:v>
      </x:c>
      <x:c r="C15" s="124" t="n">
        <x:f>IFERROR(INDEX('Classif Gestoras'!$K$6:$K$462,MATCH(A15,'Classif Gestoras'!$M$6:$M$462,0))/1000000000,0)</x:f>
        <x:v>14.69575334935086</x:v>
      </x:c>
      <x:c r="D15" s="198"/>
      <x:c r="E15" s="111" t="n">
        <x:v>3</x:v>
      </x:c>
      <x:c r="F15" s="111" t="str">
        <x:v>Banco Bradesco S/A</x:v>
      </x:c>
      <x:c r="G15" s="124" t="n">
        <x:v>40.271118357169996</x:v>
      </x:c>
      <x:c r="H15" s="198"/>
      <x:c r="I15" s="111" t="n">
        <x:v>3</x:v>
      </x:c>
      <x:c r="J15" s="111" t="str">
        <x:f>IFERROR(INDEX('Classif Gestoras'!$A$6:$A$462,MATCH(I15,'Classif Gestoras'!$N$6:$N$462,0)),"")</x:f>
        <x:v>GENIAL GESTÃO LTDA.</x:v>
      </x:c>
      <x:c r="K15" s="124" t="n">
        <x:f>IFERROR(INDEX('Classif Gestoras'!$L$6:$L$462,MATCH(I15,'Classif Gestoras'!$N$6:$N$462,0))/1000000000,0)</x:f>
        <x:v>26.90253950507891</x:v>
      </x:c>
      <x:c r="L15" s="198"/>
      <x:c r="M15" s="198"/>
      <x:c r="N15" s="198"/>
    </x:row>
    <x:row r="16">
      <x:c r="A16" s="111" t="n">
        <x:v>4</x:v>
      </x:c>
      <x:c r="B16" s="111" t="str">
        <x:f>IFERROR(INDEX('Classif Gestoras'!$A$6:$A$462,MATCH(A16,'Classif Gestoras'!$M$6:$M$462,0)),"")</x:f>
        <x:v>VERT Gestora de Recursos Financeiros Ltda.</x:v>
      </x:c>
      <x:c r="C16" s="124" t="n">
        <x:f>IFERROR(INDEX('Classif Gestoras'!$K$6:$K$462,MATCH(A16,'Classif Gestoras'!$M$6:$M$462,0))/1000000000,0)</x:f>
        <x:v>13.579469196570889</x:v>
      </x:c>
      <x:c r="D16" s="198"/>
      <x:c r="E16" s="111" t="n">
        <x:v>4</x:v>
      </x:c>
      <x:c r="F16" s="111" t="str">
        <x:v>GENIAL GESTÃO LTDA.</x:v>
      </x:c>
      <x:c r="G16" s="124" t="n">
        <x:v>26.90253950507891</x:v>
      </x:c>
      <x:c r="H16" s="198"/>
      <x:c r="I16" s="111" t="n">
        <x:v>4</x:v>
      </x:c>
      <x:c r="J16" s="111" t="str">
        <x:f>IFERROR(INDEX('Classif Gestoras'!$A$6:$A$462,MATCH(I16,'Classif Gestoras'!$N$6:$N$462,0)),"")</x:f>
        <x:v>BTG Pactual Asset</x:v>
      </x:c>
      <x:c r="K16" s="124" t="n">
        <x:f>IFERROR(INDEX('Classif Gestoras'!$L$6:$L$462,MATCH(I16,'Classif Gestoras'!$N$6:$N$462,0))/1000000000,0)</x:f>
        <x:v>25.420690641900006</x:v>
      </x:c>
      <x:c r="L16" s="198"/>
      <x:c r="M16" s="198"/>
      <x:c r="N16" s="198"/>
    </x:row>
    <x:row r="17">
      <x:c r="A17" s="111" t="n">
        <x:v>5</x:v>
      </x:c>
      <x:c r="B17" s="111" t="str">
        <x:f>IFERROR(INDEX('Classif Gestoras'!$A$6:$A$462,MATCH(A17,'Classif Gestoras'!$M$6:$M$462,0)),"")</x:f>
        <x:v>Solis</x:v>
      </x:c>
      <x:c r="C17" s="124" t="n">
        <x:f>IFERROR(INDEX('Classif Gestoras'!$K$6:$K$462,MATCH(A17,'Classif Gestoras'!$M$6:$M$462,0))/1000000000,0)</x:f>
        <x:v>12.96954850552</x:v>
      </x:c>
      <x:c r="D17" s="198"/>
      <x:c r="E17" s="111" t="n">
        <x:v>5</x:v>
      </x:c>
      <x:c r="F17" s="111" t="str">
        <x:v>BTG Pactual Asset</x:v>
      </x:c>
      <x:c r="G17" s="124" t="n">
        <x:v>25.420690641900006</x:v>
      </x:c>
      <x:c r="H17" s="198"/>
      <x:c r="I17" s="111" t="n">
        <x:v>5</x:v>
      </x:c>
      <x:c r="J17" s="111" t="str">
        <x:f>IFERROR(INDEX('Classif Gestoras'!$A$6:$A$462,MATCH(I17,'Classif Gestoras'!$N$6:$N$462,0)),"")</x:f>
        <x:v>Banco BTG Pactual</x:v>
      </x:c>
      <x:c r="K17" s="124" t="n">
        <x:f>IFERROR(INDEX('Classif Gestoras'!$L$6:$L$462,MATCH(I17,'Classif Gestoras'!$N$6:$N$462,0))/1000000000,0)</x:f>
        <x:v>24.9623761472657</x:v>
      </x:c>
      <x:c r="L17" s="198"/>
      <x:c r="M17" s="198"/>
      <x:c r="N17" s="198"/>
    </x:row>
    <x:row r="18">
      <x:c r="A18" s="111" t="n">
        <x:v>6</x:v>
      </x:c>
      <x:c r="B18" s="111" t="str">
        <x:f>IFERROR(INDEX('Classif Gestoras'!$A$6:$A$462,MATCH(A18,'Classif Gestoras'!$M$6:$M$462,0)),"")</x:f>
        <x:v>Petra Capital</x:v>
      </x:c>
      <x:c r="C18" s="124" t="n">
        <x:f>IFERROR(INDEX('Classif Gestoras'!$K$6:$K$462,MATCH(A18,'Classif Gestoras'!$M$6:$M$462,0))/1000000000,0)</x:f>
        <x:v>12.42540878526</x:v>
      </x:c>
      <x:c r="D18" s="198"/>
      <x:c r="E18" s="111" t="n">
        <x:v>6</x:v>
      </x:c>
      <x:c r="F18" s="111" t="str">
        <x:v>Banco BTG Pactual</x:v>
      </x:c>
      <x:c r="G18" s="124" t="n">
        <x:v>24.9623761472657</x:v>
      </x:c>
      <x:c r="H18" s="198"/>
      <x:c r="I18" s="111" t="n">
        <x:v>6</x:v>
      </x:c>
      <x:c r="J18" s="111" t="str">
        <x:f>IFERROR(INDEX('Classif Gestoras'!$A$6:$A$462,MATCH(I18,'Classif Gestoras'!$N$6:$N$462,0)),"")</x:f>
        <x:v>ITAU ASSET</x:v>
      </x:c>
      <x:c r="K18" s="124" t="n">
        <x:f>IFERROR(INDEX('Classif Gestoras'!$L$6:$L$462,MATCH(I18,'Classif Gestoras'!$N$6:$N$462,0))/1000000000,0)</x:f>
        <x:v>14.78114576528001</x:v>
      </x:c>
      <x:c r="L18" s="198"/>
      <x:c r="M18" s="198"/>
      <x:c r="N18" s="198"/>
    </x:row>
    <x:row r="19">
      <x:c r="A19" s="111" t="n">
        <x:v>7</x:v>
      </x:c>
      <x:c r="B19" s="111" t="str">
        <x:f>IFERROR(INDEX('Classif Gestoras'!$A$6:$A$462,MATCH(A19,'Classif Gestoras'!$M$6:$M$462,0)),"")</x:f>
        <x:v>Kanastra</x:v>
      </x:c>
      <x:c r="C19" s="124" t="n">
        <x:f>IFERROR(INDEX('Classif Gestoras'!$K$6:$K$462,MATCH(A19,'Classif Gestoras'!$M$6:$M$462,0))/1000000000,0)</x:f>
        <x:v>12.281784110259998</x:v>
      </x:c>
      <x:c r="D19" s="198"/>
      <x:c r="E19" s="111" t="n">
        <x:v>7</x:v>
      </x:c>
      <x:c r="F19" s="111" t="str">
        <x:v>TERCON ASSET MANAGEMENT</x:v>
      </x:c>
      <x:c r="G19" s="124" t="n">
        <x:v>21.34514415225721</x:v>
      </x:c>
      <x:c r="H19" s="198"/>
      <x:c r="I19" s="111" t="n">
        <x:v>7</x:v>
      </x:c>
      <x:c r="J19" s="111" t="str">
        <x:f>IFERROR(INDEX('Classif Gestoras'!$A$6:$A$462,MATCH(I19,'Classif Gestoras'!$N$6:$N$462,0)),"")</x:f>
        <x:v>DAYCOVAL ASSET MANAG</x:v>
      </x:c>
      <x:c r="K19" s="124" t="n">
        <x:f>IFERROR(INDEX('Classif Gestoras'!$L$6:$L$462,MATCH(I19,'Classif Gestoras'!$N$6:$N$462,0))/1000000000,0)</x:f>
        <x:v>7.9344462021</x:v>
      </x:c>
      <x:c r="L19" s="198"/>
      <x:c r="M19" s="198"/>
      <x:c r="N19" s="198"/>
    </x:row>
    <x:row r="20">
      <x:c r="A20" s="111" t="n">
        <x:v>8</x:v>
      </x:c>
      <x:c r="B20" s="111" t="str">
        <x:f>IFERROR(INDEX('Classif Gestoras'!$A$6:$A$462,MATCH(A20,'Classif Gestoras'!$M$6:$M$462,0)),"")</x:f>
        <x:v>VALORA RENDA FIXA LTDA.</x:v>
      </x:c>
      <x:c r="C20" s="124" t="n">
        <x:f>IFERROR(INDEX('Classif Gestoras'!$K$6:$K$462,MATCH(A20,'Classif Gestoras'!$M$6:$M$462,0))/1000000000,0)</x:f>
        <x:v>11.052121795664199</x:v>
      </x:c>
      <x:c r="D20" s="198"/>
      <x:c r="E20" s="111" t="n">
        <x:v>8</x:v>
      </x:c>
      <x:c r="F20" s="111" t="str">
        <x:v>ITAU ASSET</x:v>
      </x:c>
      <x:c r="G20" s="124" t="n">
        <x:v>14.78114576528001</x:v>
      </x:c>
      <x:c r="H20" s="198"/>
      <x:c r="I20" s="111" t="n">
        <x:v>8</x:v>
      </x:c>
      <x:c r="J20" s="111" t="str">
        <x:f>IFERROR(INDEX('Classif Gestoras'!$A$6:$A$462,MATCH(I20,'Classif Gestoras'!$N$6:$N$462,0)),"")</x:f>
        <x:v>Itau Unibanco</x:v>
      </x:c>
      <x:c r="K20" s="124" t="n">
        <x:f>IFERROR(INDEX('Classif Gestoras'!$L$6:$L$462,MATCH(I20,'Classif Gestoras'!$N$6:$N$462,0))/1000000000,0)</x:f>
        <x:v>4.194346733720001</x:v>
      </x:c>
      <x:c r="L20" s="198"/>
      <x:c r="M20" s="198"/>
      <x:c r="N20" s="198"/>
    </x:row>
    <x:row r="21">
      <x:c r="A21" s="111" t="n">
        <x:v>9</x:v>
      </x:c>
      <x:c r="B21" s="111" t="str">
        <x:f>IFERROR(INDEX('Classif Gestoras'!$A$6:$A$462,MATCH(A21,'Classif Gestoras'!$M$6:$M$462,0)),"")</x:f>
        <x:v>ANGÁ ASSET MANAGEMENT</x:v>
      </x:c>
      <x:c r="C21" s="124" t="n">
        <x:f>IFERROR(INDEX('Classif Gestoras'!$K$6:$K$462,MATCH(A21,'Classif Gestoras'!$M$6:$M$462,0))/1000000000,0)</x:f>
        <x:v>10.15282976539</x:v>
      </x:c>
      <x:c r="D21" s="198"/>
      <x:c r="E21" s="111" t="n">
        <x:v>9</x:v>
      </x:c>
      <x:c r="F21" s="111" t="str">
        <x:v>Integral Investimentos</x:v>
      </x:c>
      <x:c r="G21" s="124" t="n">
        <x:v>14.695753349350861</x:v>
      </x:c>
      <x:c r="H21" s="198"/>
      <x:c r="I21" s="111" t="n">
        <x:v>9</x:v>
      </x:c>
      <x:c r="J21" s="111" t="str">
        <x:f>IFERROR(INDEX('Classif Gestoras'!$A$6:$A$462,MATCH(I21,'Classif Gestoras'!$N$6:$N$462,0)),"")</x:f>
        <x:v>Bank of America</x:v>
      </x:c>
      <x:c r="K21" s="124" t="n">
        <x:f>IFERROR(INDEX('Classif Gestoras'!$L$6:$L$462,MATCH(I21,'Classif Gestoras'!$N$6:$N$462,0))/1000000000,0)</x:f>
        <x:v>3.0895354141199998</x:v>
      </x:c>
      <x:c r="L21" s="198"/>
      <x:c r="M21" s="198"/>
      <x:c r="N21" s="198"/>
    </x:row>
    <x:row r="22">
      <x:c r="A22" s="111" t="n">
        <x:v>10</x:v>
      </x:c>
      <x:c r="B22" s="111" t="str">
        <x:f>IFERROR(INDEX('Classif Gestoras'!$A$6:$A$462,MATCH(A22,'Classif Gestoras'!$M$6:$M$462,0)),"")</x:f>
        <x:v>OURO PRETO INVESTIMENTOS</x:v>
      </x:c>
      <x:c r="C22" s="124" t="n">
        <x:f>IFERROR(INDEX('Classif Gestoras'!$K$6:$K$462,MATCH(A22,'Classif Gestoras'!$M$6:$M$462,0))/1000000000,0)</x:f>
        <x:v>8.784503639675002</x:v>
      </x:c>
      <x:c r="D22" s="198"/>
      <x:c r="E22" s="111" t="n">
        <x:v>10</x:v>
      </x:c>
      <x:c r="F22" s="111" t="str">
        <x:v>VERT Gestora de Recursos Financeiros Ltda.</x:v>
      </x:c>
      <x:c r="G22" s="124" t="n">
        <x:v>13.579469196570889</x:v>
      </x:c>
      <x:c r="H22" s="198"/>
      <x:c r="I22" s="111" t="n">
        <x:v>10</x:v>
      </x:c>
      <x:c r="J22" s="111" t="str">
        <x:f>IFERROR(INDEX('Classif Gestoras'!$A$6:$A$462,MATCH(I22,'Classif Gestoras'!$N$6:$N$462,0)),"")</x:f>
        <x:v>KINEA INVESTIMENTOS</x:v>
      </x:c>
      <x:c r="K22" s="124" t="n">
        <x:f>IFERROR(INDEX('Classif Gestoras'!$L$6:$L$462,MATCH(I22,'Classif Gestoras'!$N$6:$N$462,0))/1000000000,0)</x:f>
        <x:v>1.97819965356</x:v>
      </x:c>
      <x:c r="L22" s="198"/>
      <x:c r="M22" s="198"/>
      <x:c r="N22" s="198"/>
    </x:row>
    <x:row r="23">
      <x:c r="A23" s="111" t="n">
        <x:v>11</x:v>
      </x:c>
      <x:c r="B23" s="111" t="str">
        <x:f>IFERROR(INDEX('Classif Gestoras'!$A$6:$A$462,MATCH(A23,'Classif Gestoras'!$M$6:$M$462,0)),"")</x:f>
        <x:v>M8 Partners</x:v>
      </x:c>
      <x:c r="C23" s="124" t="n">
        <x:f>IFERROR(INDEX('Classif Gestoras'!$K$6:$K$462,MATCH(A23,'Classif Gestoras'!$M$6:$M$462,0))/1000000000,0)</x:f>
        <x:v>8.37214698992975</x:v>
      </x:c>
      <x:c r="D23" s="198"/>
      <x:c r="E23" s="111" t="n">
        <x:v>11</x:v>
      </x:c>
      <x:c r="F23" s="111" t="str">
        <x:v>Solis</x:v>
      </x:c>
      <x:c r="G23" s="124" t="n">
        <x:v>12.96954850552</x:v>
      </x:c>
      <x:c r="H23" s="198"/>
      <x:c r="I23" s="111" t="n">
        <x:v>11</x:v>
      </x:c>
      <x:c r="J23" s="111" t="str">
        <x:f>IFERROR(INDEX('Classif Gestoras'!$A$6:$A$462,MATCH(I23,'Classif Gestoras'!$N$6:$N$462,0)),"")</x:f>
        <x:v>XPI CCTVM S/A</x:v>
      </x:c>
      <x:c r="K23" s="124" t="n">
        <x:f>IFERROR(INDEX('Classif Gestoras'!$L$6:$L$462,MATCH(I23,'Classif Gestoras'!$N$6:$N$462,0))/1000000000,0)</x:f>
        <x:v>1.892082541</x:v>
      </x:c>
      <x:c r="L23" s="198"/>
      <x:c r="M23" s="198"/>
      <x:c r="N23" s="198"/>
    </x:row>
    <x:row r="24">
      <x:c r="A24" s="111" t="n">
        <x:v>12</x:v>
      </x:c>
      <x:c r="B24" s="111" t="str">
        <x:f>IFERROR(INDEX('Classif Gestoras'!$A$6:$A$462,MATCH(A24,'Classif Gestoras'!$M$6:$M$462,0)),"")</x:f>
        <x:v>JIVE INVESTMENTS</x:v>
      </x:c>
      <x:c r="C24" s="124" t="n">
        <x:f>IFERROR(INDEX('Classif Gestoras'!$K$6:$K$462,MATCH(A24,'Classif Gestoras'!$M$6:$M$462,0))/1000000000,0)</x:f>
        <x:v>8.3142915831204</x:v>
      </x:c>
      <x:c r="D24" s="198"/>
      <x:c r="E24" s="111" t="n">
        <x:v>12</x:v>
      </x:c>
      <x:c r="F24" s="111" t="str">
        <x:v>Petra Capital</x:v>
      </x:c>
      <x:c r="G24" s="124" t="n">
        <x:v>12.42540878526</x:v>
      </x:c>
      <x:c r="H24" s="198"/>
      <x:c r="I24" s="111" t="n">
        <x:v>12</x:v>
      </x:c>
      <x:c r="J24" s="111" t="str">
        <x:f>IFERROR(INDEX('Classif Gestoras'!$A$6:$A$462,MATCH(I24,'Classif Gestoras'!$N$6:$N$462,0)),"")</x:f>
        <x:v>Caixa Econ. Federal</x:v>
      </x:c>
      <x:c r="K24" s="124" t="n">
        <x:f>IFERROR(INDEX('Classif Gestoras'!$L$6:$L$462,MATCH(I24,'Classif Gestoras'!$N$6:$N$462,0))/1000000000,0)</x:f>
        <x:v>1.1290737225899998</x:v>
      </x:c>
      <x:c r="L24" s="198"/>
      <x:c r="M24" s="198"/>
      <x:c r="N24" s="198"/>
    </x:row>
    <x:row r="25">
      <x:c r="A25" s="111" t="n">
        <x:v>13</x:v>
      </x:c>
      <x:c r="B25" s="111" t="str">
        <x:f>IFERROR(INDEX('Classif Gestoras'!$A$6:$A$462,MATCH(A25,'Classif Gestoras'!$M$6:$M$462,0)),"")</x:f>
        <x:v>Multiplica Capital</x:v>
      </x:c>
      <x:c r="C25" s="124" t="n">
        <x:f>IFERROR(INDEX('Classif Gestoras'!$K$6:$K$462,MATCH(A25,'Classif Gestoras'!$M$6:$M$462,0))/1000000000,0)</x:f>
        <x:v>7.741256760098272</x:v>
      </x:c>
      <x:c r="D25" s="198"/>
      <x:c r="E25" s="111" t="n">
        <x:v>13</x:v>
      </x:c>
      <x:c r="F25" s="111" t="str">
        <x:v>Kanastra</x:v>
      </x:c>
      <x:c r="G25" s="124" t="n">
        <x:v>12.281784110259998</x:v>
      </x:c>
      <x:c r="H25" s="198"/>
      <x:c r="I25" s="111" t="n">
        <x:v>13</x:v>
      </x:c>
      <x:c r="J25" s="111" t="str">
        <x:f>IFERROR(INDEX('Classif Gestoras'!$A$6:$A$462,MATCH(I25,'Classif Gestoras'!$N$6:$N$462,0)),"")</x:f>
        <x:v>Plural Investimentos Gestão de Recursos Ltda.</x:v>
      </x:c>
      <x:c r="K25" s="124" t="n">
        <x:f>IFERROR(INDEX('Classif Gestoras'!$L$6:$L$462,MATCH(I25,'Classif Gestoras'!$N$6:$N$462,0))/1000000000,0)</x:f>
        <x:v>1.08027469395</x:v>
      </x:c>
      <x:c r="L25" s="198"/>
      <x:c r="M25" s="198"/>
      <x:c r="N25" s="198"/>
    </x:row>
    <x:row r="26">
      <x:c r="A26" s="111" t="n">
        <x:v>14</x:v>
      </x:c>
      <x:c r="B26" s="111" t="str">
        <x:f>IFERROR(INDEX('Classif Gestoras'!$A$6:$A$462,MATCH(A26,'Classif Gestoras'!$M$6:$M$462,0)),"")</x:f>
        <x:v>Catálise Investimentos</x:v>
      </x:c>
      <x:c r="C26" s="124" t="n">
        <x:f>IFERROR(INDEX('Classif Gestoras'!$K$6:$K$462,MATCH(A26,'Classif Gestoras'!$M$6:$M$462,0))/1000000000,0)</x:f>
        <x:v>7.352787211360001</x:v>
      </x:c>
      <x:c r="D26" s="198"/>
      <x:c r="E26" s="111" t="n">
        <x:v>14</x:v>
      </x:c>
      <x:c r="F26" s="111" t="str">
        <x:v>VALORA RENDA FIXA LTDA.</x:v>
      </x:c>
      <x:c r="G26" s="124" t="n">
        <x:v>11.052121795664199</x:v>
      </x:c>
      <x:c r="H26" s="198"/>
      <x:c r="I26" s="111" t="n">
        <x:v>14</x:v>
      </x:c>
      <x:c r="J26" s="111" t="str">
        <x:f>IFERROR(INDEX('Classif Gestoras'!$A$6:$A$462,MATCH(I26,'Classif Gestoras'!$N$6:$N$462,0)),"")</x:f>
        <x:v>BTG PACTUAL GESTAO E CONSULTORIA DE INVESTIMENTOS</x:v>
      </x:c>
      <x:c r="K26" s="124" t="n">
        <x:f>IFERROR(INDEX('Classif Gestoras'!$L$6:$L$462,MATCH(I26,'Classif Gestoras'!$N$6:$N$462,0))/1000000000,0)</x:f>
        <x:v>1.0277400140142</x:v>
      </x:c>
      <x:c r="L26" s="198"/>
      <x:c r="M26" s="198"/>
      <x:c r="N26" s="198"/>
    </x:row>
    <x:row r="27">
      <x:c r="A27" s="111" t="n">
        <x:v>15</x:v>
      </x:c>
      <x:c r="B27" s="111" t="str">
        <x:f>IFERROR(INDEX('Classif Gestoras'!$A$6:$A$462,MATCH(A27,'Classif Gestoras'!$M$6:$M$462,0)),"")</x:f>
        <x:v>Jus Capital Gestão de Recursos LTDA</x:v>
      </x:c>
      <x:c r="C27" s="124" t="n">
        <x:f>IFERROR(INDEX('Classif Gestoras'!$K$6:$K$462,MATCH(A27,'Classif Gestoras'!$M$6:$M$462,0))/1000000000,0)</x:f>
        <x:v>7.284959793269801</x:v>
      </x:c>
      <x:c r="D27" s="198"/>
      <x:c r="E27" s="111" t="n">
        <x:v>15</x:v>
      </x:c>
      <x:c r="F27" s="111" t="str">
        <x:v>ANGÁ ASSET MANAGEMENT</x:v>
      </x:c>
      <x:c r="G27" s="124" t="n">
        <x:v>10.152829765389999</x:v>
      </x:c>
      <x:c r="H27" s="198"/>
      <x:c r="I27" s="111" t="n">
        <x:v>15</x:v>
      </x:c>
      <x:c r="J27" s="111" t="str">
        <x:f>IFERROR(INDEX('Classif Gestoras'!$A$6:$A$462,MATCH(I27,'Classif Gestoras'!$N$6:$N$462,0)),"")</x:f>
        <x:v>XP Gestão de Recurso</x:v>
      </x:c>
      <x:c r="K27" s="124" t="n">
        <x:f>IFERROR(INDEX('Classif Gestoras'!$L$6:$L$462,MATCH(I27,'Classif Gestoras'!$N$6:$N$462,0))/1000000000,0)</x:f>
        <x:v>0.93866995139</x:v>
      </x:c>
      <x:c r="L27" s="198"/>
      <x:c r="M27" s="198"/>
      <x:c r="N27" s="198"/>
    </x:row>
    <x:row r="28">
      <x:c r="A28" s="111" t="n">
        <x:v>16</x:v>
      </x:c>
      <x:c r="B28" s="111" t="str">
        <x:f>IFERROR(INDEX('Classif Gestoras'!$A$6:$A$462,MATCH(A28,'Classif Gestoras'!$M$6:$M$462,0)),"")</x:f>
        <x:v>POLÍGONO CAPITAL LTDA.</x:v>
      </x:c>
      <x:c r="C28" s="124" t="n">
        <x:f>IFERROR(INDEX('Classif Gestoras'!$K$6:$K$462,MATCH(A28,'Classif Gestoras'!$M$6:$M$462,0))/1000000000,0)</x:f>
        <x:v>6.9832145480887</x:v>
      </x:c>
      <x:c r="D28" s="198"/>
      <x:c r="E28" s="111" t="n">
        <x:v>16</x:v>
      </x:c>
      <x:c r="F28" s="111" t="str">
        <x:v>OURO PRETO INVESTIMENTOS</x:v>
      </x:c>
      <x:c r="G28" s="124" t="n">
        <x:v>8.784503639675002</x:v>
      </x:c>
      <x:c r="H28" s="198"/>
      <x:c r="I28" s="111" t="n">
        <x:v>16</x:v>
      </x:c>
      <x:c r="J28" s="111" t="str">
        <x:f>IFERROR(INDEX('Classif Gestoras'!$A$6:$A$462,MATCH(I28,'Classif Gestoras'!$N$6:$N$462,0)),"")</x:f>
        <x:v>Inter Asset</x:v>
      </x:c>
      <x:c r="K28" s="124" t="n">
        <x:f>IFERROR(INDEX('Classif Gestoras'!$L$6:$L$462,MATCH(I28,'Classif Gestoras'!$N$6:$N$462,0))/1000000000,0)</x:f>
        <x:v>0.75206333642</x:v>
      </x:c>
      <x:c r="L28" s="198"/>
      <x:c r="M28" s="198"/>
      <x:c r="N28" s="198"/>
    </x:row>
    <x:row r="29">
      <x:c r="A29" s="111" t="n">
        <x:v>17</x:v>
      </x:c>
      <x:c r="B29" s="111" t="str">
        <x:f>IFERROR(INDEX('Classif Gestoras'!$A$6:$A$462,MATCH(A29,'Classif Gestoras'!$M$6:$M$462,0)),"")</x:f>
        <x:v>ORRAM GESTÃO DE RECURSOS LTDA.</x:v>
      </x:c>
      <x:c r="C29" s="124" t="n">
        <x:f>IFERROR(INDEX('Classif Gestoras'!$K$6:$K$462,MATCH(A29,'Classif Gestoras'!$M$6:$M$462,0))/1000000000,0)</x:f>
        <x:v>6.98177423861393</x:v>
      </x:c>
      <x:c r="D29" s="198"/>
      <x:c r="E29" s="111" t="n">
        <x:v>17</x:v>
      </x:c>
      <x:c r="F29" s="111" t="str">
        <x:v>M8 Partners</x:v>
      </x:c>
      <x:c r="G29" s="124" t="n">
        <x:v>8.37214698992975</x:v>
      </x:c>
      <x:c r="H29" s="198"/>
      <x:c r="I29" s="111" t="n">
        <x:v>17</x:v>
      </x:c>
      <x:c r="J29" s="111" t="str">
        <x:f>IFERROR(INDEX('Classif Gestoras'!$A$6:$A$462,MATCH(I29,'Classif Gestoras'!$N$6:$N$462,0)),"")</x:f>
        <x:v>BTG PACTUAL WM</x:v>
      </x:c>
      <x:c r="K29" s="124" t="n">
        <x:f>IFERROR(INDEX('Classif Gestoras'!$L$6:$L$462,MATCH(I29,'Classif Gestoras'!$N$6:$N$462,0))/1000000000,0)</x:f>
        <x:v>0.5550309905499999</x:v>
      </x:c>
      <x:c r="L29" s="198"/>
      <x:c r="M29" s="198"/>
      <x:c r="N29" s="198"/>
    </x:row>
    <x:row r="30">
      <x:c r="A30" s="111" t="n">
        <x:v>18</x:v>
      </x:c>
      <x:c r="B30" s="111" t="str">
        <x:f>IFERROR(INDEX('Classif Gestoras'!$A$6:$A$462,MATCH(A30,'Classif Gestoras'!$M$6:$M$462,0)),"")</x:f>
        <x:v>RedAsset Gestão de Recursos Ltda.</x:v>
      </x:c>
      <x:c r="C30" s="124" t="n">
        <x:f>IFERROR(INDEX('Classif Gestoras'!$K$6:$K$462,MATCH(A30,'Classif Gestoras'!$M$6:$M$462,0))/1000000000,0)</x:f>
        <x:v>6.475707924679999</x:v>
      </x:c>
      <x:c r="D30" s="198"/>
      <x:c r="E30" s="111" t="n">
        <x:v>18</x:v>
      </x:c>
      <x:c r="F30" s="111" t="str">
        <x:v>JIVE INVESTMENTS</x:v>
      </x:c>
      <x:c r="G30" s="124" t="n">
        <x:v>8.3142915831204</x:v>
      </x:c>
      <x:c r="H30" s="198"/>
      <x:c r="I30" s="111" t="n">
        <x:v>18</x:v>
      </x:c>
      <x:c r="J30" s="111" t="str">
        <x:f>IFERROR(INDEX('Classif Gestoras'!$A$6:$A$462,MATCH(I30,'Classif Gestoras'!$N$6:$N$462,0)),"")</x:f>
        <x:v>Banco Santander</x:v>
      </x:c>
      <x:c r="K30" s="124" t="n">
        <x:f>IFERROR(INDEX('Classif Gestoras'!$L$6:$L$462,MATCH(I30,'Classif Gestoras'!$N$6:$N$462,0))/1000000000,0)</x:f>
        <x:v>0.5071142617300001</x:v>
      </x:c>
      <x:c r="L30" s="198"/>
      <x:c r="M30" s="198"/>
      <x:c r="N30" s="198"/>
    </x:row>
    <x:row r="31">
      <x:c r="A31" s="111" t="n">
        <x:v>19</x:v>
      </x:c>
      <x:c r="B31" s="111" t="str">
        <x:f>IFERROR(INDEX('Classif Gestoras'!$A$6:$A$462,MATCH(A31,'Classif Gestoras'!$M$6:$M$462,0)),"")</x:f>
        <x:v>Vista Real Estate</x:v>
      </x:c>
      <x:c r="C31" s="124" t="n">
        <x:f>IFERROR(INDEX('Classif Gestoras'!$K$6:$K$462,MATCH(A31,'Classif Gestoras'!$M$6:$M$462,0))/1000000000,0)</x:f>
        <x:v>5.957382884780001</x:v>
      </x:c>
      <x:c r="D31" s="198"/>
      <x:c r="E31" s="111" t="n">
        <x:v>19</x:v>
      </x:c>
      <x:c r="F31" s="111" t="str">
        <x:v>DAYCOVAL ASSET MANAG</x:v>
      </x:c>
      <x:c r="G31" s="124" t="n">
        <x:v>7.9344462021</x:v>
      </x:c>
      <x:c r="H31" s="198"/>
      <x:c r="I31" s="111" t="n">
        <x:v>19</x:v>
      </x:c>
      <x:c r="J31" s="111" t="str">
        <x:f>IFERROR(INDEX('Classif Gestoras'!$A$6:$A$462,MATCH(I31,'Classif Gestoras'!$N$6:$N$462,0)),"")</x:f>
        <x:v>Caixa Distribuidora de Títulos e Valores Mobiliários S.A.</x:v>
      </x:c>
      <x:c r="K31" s="124" t="n">
        <x:f>IFERROR(INDEX('Classif Gestoras'!$L$6:$L$462,MATCH(I31,'Classif Gestoras'!$N$6:$N$462,0))/1000000000,0)</x:f>
        <x:v>0.24728490290000002</x:v>
      </x:c>
      <x:c r="L31" s="198"/>
      <x:c r="M31" s="198"/>
      <x:c r="N31" s="198"/>
    </x:row>
    <x:row r="32">
      <x:c r="A32" s="111" t="n">
        <x:v>20</x:v>
      </x:c>
      <x:c r="B32" s="111" t="str">
        <x:f>IFERROR(INDEX('Classif Gestoras'!$A$6:$A$462,MATCH(A32,'Classif Gestoras'!$M$6:$M$462,0)),"")</x:f>
        <x:v>Emerald Gestão de Investimento</x:v>
      </x:c>
      <x:c r="C32" s="124" t="n">
        <x:f>IFERROR(INDEX('Classif Gestoras'!$K$6:$K$462,MATCH(A32,'Classif Gestoras'!$M$6:$M$462,0))/1000000000,0)</x:f>
        <x:v>5.707700077290001</x:v>
      </x:c>
      <x:c r="D32" s="198"/>
      <x:c r="E32" s="111" t="n">
        <x:v>20</x:v>
      </x:c>
      <x:c r="F32" s="111" t="str">
        <x:v>Multiplica Capital</x:v>
      </x:c>
      <x:c r="G32" s="124" t="n">
        <x:v>7.741256760098272</x:v>
      </x:c>
      <x:c r="H32" s="198"/>
      <x:c r="I32" s="111" t="n">
        <x:v>20</x:v>
      </x:c>
      <x:c r="J32" s="111" t="str">
        <x:f>IFERROR(INDEX('Classif Gestoras'!$A$6:$A$462,MATCH(I32,'Classif Gestoras'!$N$6:$N$462,0)),"")</x:f>
        <x:v>XP Allocation</x:v>
      </x:c>
      <x:c r="K32" s="124" t="n">
        <x:f>IFERROR(INDEX('Classif Gestoras'!$L$6:$L$462,MATCH(I32,'Classif Gestoras'!$N$6:$N$462,0))/1000000000,0)</x:f>
        <x:v>0.15599137351</x:v>
      </x:c>
      <x:c r="L32" s="198"/>
      <x:c r="M32" s="198"/>
      <x:c r="N32" s="198"/>
    </x:row>
    <x:row r="33">
      <x:c r="A33" s="111" t="n">
        <x:v>21</x:v>
      </x:c>
      <x:c r="B33" s="111" t="str">
        <x:f>IFERROR(INDEX('Classif Gestoras'!$A$6:$A$462,MATCH(A33,'Classif Gestoras'!$M$6:$M$462,0)),"")</x:f>
        <x:v>QI GESTAO DE RECURSOS LTDA</x:v>
      </x:c>
      <x:c r="C33" s="124" t="n">
        <x:f>IFERROR(INDEX('Classif Gestoras'!$K$6:$K$462,MATCH(A33,'Classif Gestoras'!$M$6:$M$462,0))/1000000000,0)</x:f>
        <x:v>5.60884552523</x:v>
      </x:c>
      <x:c r="D33" s="198"/>
      <x:c r="E33" s="111" t="n">
        <x:v>21</x:v>
      </x:c>
      <x:c r="F33" s="111" t="str">
        <x:v>Catálise Investimentos</x:v>
      </x:c>
      <x:c r="G33" s="124" t="n">
        <x:v>7.352787211360001</x:v>
      </x:c>
      <x:c r="H33" s="198"/>
      <x:c r="I33" s="111" t="n">
        <x:v>21</x:v>
      </x:c>
      <x:c r="J33" s="111" t="str">
        <x:f>IFERROR(INDEX('Classif Gestoras'!$A$6:$A$462,MATCH(I33,'Classif Gestoras'!$N$6:$N$462,0)),"")</x:f>
        <x:v>MODAL ASSET</x:v>
      </x:c>
      <x:c r="K33" s="124" t="n">
        <x:f>IFERROR(INDEX('Classif Gestoras'!$L$6:$L$462,MATCH(I33,'Classif Gestoras'!$N$6:$N$462,0))/1000000000,0)</x:f>
        <x:v>0.10044350027</x:v>
      </x:c>
      <x:c r="L33" s="198"/>
      <x:c r="M33" s="198"/>
      <x:c r="N33" s="198"/>
    </x:row>
    <x:row r="34">
      <x:c r="A34" s="111" t="n">
        <x:v>22</x:v>
      </x:c>
      <x:c r="B34" s="111" t="str">
        <x:f>IFERROR(INDEX('Classif Gestoras'!$A$6:$A$462,MATCH(A34,'Classif Gestoras'!$M$6:$M$462,0)),"")</x:f>
        <x:v>Artesanal Investimentos</x:v>
      </x:c>
      <x:c r="C34" s="124" t="n">
        <x:f>IFERROR(INDEX('Classif Gestoras'!$K$6:$K$462,MATCH(A34,'Classif Gestoras'!$M$6:$M$462,0))/1000000000,0)</x:f>
        <x:v>5.49384317492</x:v>
      </x:c>
      <x:c r="D34" s="198"/>
      <x:c r="E34" s="111" t="n">
        <x:v>22</x:v>
      </x:c>
      <x:c r="F34" s="111" t="str">
        <x:v>Jus Capital Gestão de Recursos LTDA</x:v>
      </x:c>
      <x:c r="G34" s="124" t="n">
        <x:v>7.284959793269801</x:v>
      </x:c>
      <x:c r="H34" s="198"/>
      <x:c r="I34" s="111" t="n">
        <x:v>22</x:v>
      </x:c>
      <x:c r="J34" s="111" t="str">
        <x:f>IFERROR(INDEX('Classif Gestoras'!$A$6:$A$462,MATCH(I34,'Classif Gestoras'!$N$6:$N$462,0)),"")</x:f>
        <x:v>ITAÚNA CAPITAL LTDA.</x:v>
      </x:c>
      <x:c r="K34" s="124" t="n">
        <x:f>IFERROR(INDEX('Classif Gestoras'!$L$6:$L$462,MATCH(I34,'Classif Gestoras'!$N$6:$N$462,0))/1000000000,0)</x:f>
        <x:v>0.07965499784</x:v>
      </x:c>
      <x:c r="L34" s="198"/>
      <x:c r="M34" s="198"/>
      <x:c r="N34" s="198"/>
    </x:row>
    <x:row r="35">
      <x:c r="A35" s="111" t="n">
        <x:v>23</x:v>
      </x:c>
      <x:c r="B35" s="111" t="str">
        <x:f>IFERROR(INDEX('Classif Gestoras'!$A$6:$A$462,MATCH(A35,'Classif Gestoras'!$M$6:$M$462,0)),"")</x:f>
        <x:v>Versal Finance Gestão de Recursos LTDA.</x:v>
      </x:c>
      <x:c r="C35" s="124" t="n">
        <x:f>IFERROR(INDEX('Classif Gestoras'!$K$6:$K$462,MATCH(A35,'Classif Gestoras'!$M$6:$M$462,0))/1000000000,0)</x:f>
        <x:v>5.14606973058</x:v>
      </x:c>
      <x:c r="D35" s="198"/>
      <x:c r="E35" s="111" t="n">
        <x:v>23</x:v>
      </x:c>
      <x:c r="F35" s="111" t="str">
        <x:v>POLÍGONO CAPITAL LTDA.</x:v>
      </x:c>
      <x:c r="G35" s="124" t="n">
        <x:v>6.9832145480887</x:v>
      </x:c>
      <x:c r="H35" s="198"/>
      <x:c r="I35" s="111" t="n">
        <x:v>23</x:v>
      </x:c>
      <x:c r="J35" s="111" t="str">
        <x:f>IFERROR(INDEX('Classif Gestoras'!$A$6:$A$462,MATCH(I35,'Classif Gestoras'!$N$6:$N$462,0)),"")</x:f>
        <x:v>Plural</x:v>
      </x:c>
      <x:c r="K35" s="124" t="n">
        <x:f>IFERROR(INDEX('Classif Gestoras'!$L$6:$L$462,MATCH(I35,'Classif Gestoras'!$N$6:$N$462,0))/1000000000,0)</x:f>
        <x:v>0.04031494373</x:v>
      </x:c>
      <x:c r="L35" s="198"/>
      <x:c r="M35" s="198"/>
      <x:c r="N35" s="198"/>
    </x:row>
    <x:row r="36">
      <x:c r="A36" s="111" t="n">
        <x:v>24</x:v>
      </x:c>
      <x:c r="B36" s="111" t="str">
        <x:f>IFERROR(INDEX('Classif Gestoras'!$A$6:$A$462,MATCH(A36,'Classif Gestoras'!$M$6:$M$462,0)),"")</x:f>
        <x:v>BRL TRUST DTVM</x:v>
      </x:c>
      <x:c r="C36" s="124" t="n">
        <x:f>IFERROR(INDEX('Classif Gestoras'!$K$6:$K$462,MATCH(A36,'Classif Gestoras'!$M$6:$M$462,0))/1000000000,0)</x:f>
        <x:v>5.09393905986</x:v>
      </x:c>
      <x:c r="D36" s="198"/>
      <x:c r="E36" s="111" t="n">
        <x:v>24</x:v>
      </x:c>
      <x:c r="F36" s="111" t="str">
        <x:v>ORRAM GESTÃO DE RECURSOS LTDA.</x:v>
      </x:c>
      <x:c r="G36" s="124" t="n">
        <x:v>6.98177423861393</x:v>
      </x:c>
      <x:c r="H36" s="198"/>
      <x:c r="I36" s="111" t="n">
        <x:v>24</x:v>
      </x:c>
      <x:c r="J36" s="111" t="str">
        <x:f>IFERROR(INDEX('Classif Gestoras'!$A$6:$A$462,MATCH(I36,'Classif Gestoras'!$N$6:$N$462,0)),"")</x:f>
        <x:v>Genial Investimentos Corretora de Valores Mobiliários S.A.</x:v>
      </x:c>
      <x:c r="K36" s="124" t="n">
        <x:f>IFERROR(INDEX('Classif Gestoras'!$L$6:$L$462,MATCH(I36,'Classif Gestoras'!$N$6:$N$462,0))/1000000000,0)</x:f>
        <x:v>0.01058916166</x:v>
      </x:c>
      <x:c r="L36" s="198"/>
      <x:c r="M36" s="198"/>
      <x:c r="N36" s="198"/>
    </x:row>
    <x:row r="37">
      <x:c r="A37" s="112" t="n">
        <x:v>25</x:v>
      </x:c>
      <x:c r="B37" s="112" t="str">
        <x:f>IFERROR(INDEX('Classif Gestoras'!$A$6:$A$462,MATCH(A37,'Classif Gestoras'!$M$6:$M$462,0)),"")</x:f>
        <x:v>Redwood Asset Management</x:v>
      </x:c>
      <x:c r="C37" s="120" t="n">
        <x:f>IFERROR(INDEX('Classif Gestoras'!$K$6:$K$462,MATCH(A37,'Classif Gestoras'!$M$6:$M$462,0))/1000000000,0)</x:f>
        <x:v>4.9924580518</x:v>
      </x:c>
      <x:c r="D37" s="198"/>
      <x:c r="E37" s="112" t="n">
        <x:v>25</x:v>
      </x:c>
      <x:c r="F37" s="112" t="str">
        <x:v>RedAsset Gestão de Recursos Ltda.</x:v>
      </x:c>
      <x:c r="G37" s="120" t="n">
        <x:v>6.475707924679999</x:v>
      </x:c>
      <x:c r="H37" s="198"/>
      <x:c r="I37" s="112" t="n">
        <x:v>25</x:v>
      </x:c>
      <x:c r="J37" s="112" t="str">
        <x:f>IFERROR(INDEX('Classif Gestoras'!$A$6:$A$462,MATCH(I37,'Classif Gestoras'!$N$6:$N$462,0)),"")</x:f>
        <x:v>Bradesco Asset</x:v>
      </x:c>
      <x:c r="K37" s="120" t="n">
        <x:f>IFERROR(INDEX('Classif Gestoras'!$L$6:$L$462,MATCH(I37,'Classif Gestoras'!$N$6:$N$462,0))/1000000000,0)</x:f>
        <x:v>0.00249269193</x:v>
      </x:c>
      <x:c r="L37" s="198"/>
      <x:c r="M37" s="198"/>
      <x:c r="N37" s="198"/>
    </x:row>
    <x:row r="38">
      <x:c r="A38" s="198"/>
      <x:c r="B38" s="198"/>
      <x:c r="C38" s="198"/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</x:row>
    <x:row r="39">
      <x:c r="A39" s="198"/>
      <x:c r="B39" s="198"/>
      <x:c r="C39" s="198"/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</x:row>
    <x:row r="40">
      <x:c r="A40" s="198"/>
      <x:c r="B40" s="198"/>
      <x:c r="C40" s="198"/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</x:row>
    <x:row r="41">
      <x:c r="A41" s="198"/>
      <x:c r="B41" s="198"/>
      <x:c r="C41" s="198"/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</x:row>
    <x:row r="46">
      <x:c r="A46" s="198"/>
      <x:c r="B46" s="198"/>
      <x:c r="C46" s="198"/>
      <x:c r="D46" s="198"/>
      <x:c r="E46" s="198"/>
      <x:c r="F46" s="198"/>
      <x:c r="G46" s="198"/>
      <x:c r="H46" s="198"/>
      <x:c r="I46" s="198"/>
      <x:c r="J46" s="198"/>
      <x:c r="K46" s="198"/>
      <x:c r="L46" s="198"/>
      <x:c r="M46" s="198"/>
      <x:c r="N46" s="198"/>
    </x:row>
    <x:row r="47">
      <x:c r="A47" s="198"/>
      <x:c r="B47" s="198"/>
      <x:c r="C47" s="198"/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</x:row>
    <x:row r="48">
      <x:c r="A48" s="198"/>
      <x:c r="B48" s="198"/>
      <x:c r="C48" s="198"/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</x:row>
    <x:row r="49">
      <x:c r="A49" s="198"/>
      <x:c r="B49" s="198"/>
      <x:c r="C49" s="198"/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</x:row>
    <x:row r="50">
      <x:c r="A50" s="198"/>
      <x:c r="B50" s="198"/>
      <x:c r="C50" s="198"/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</x:row>
    <x:row r="51">
      <x:c r="A51" s="198"/>
      <x:c r="B51" s="198"/>
      <x:c r="C51" s="198"/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</x:row>
    <x:row r="52">
      <x:c r="A52" s="198"/>
      <x:c r="B52" s="198"/>
      <x:c r="C52" s="198"/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</x:row>
    <x:row r="53">
      <x:c r="A53" s="198"/>
      <x:c r="B53" s="198"/>
      <x:c r="C53" s="198"/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</x:row>
    <x:row r="54">
      <x:c r="A54" s="198"/>
      <x:c r="B54" s="198"/>
      <x:c r="C54" s="198"/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</x:row>
    <x:row r="55">
      <x:c r="A55" s="198"/>
      <x:c r="B55" s="198"/>
      <x:c r="C55" s="198"/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</x:row>
    <x:row r="56">
      <x:c r="A56" s="198"/>
      <x:c r="B56" s="198"/>
      <x:c r="C56" s="198"/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</x:row>
    <x:row r="57">
      <x:c r="A57" s="198"/>
      <x:c r="B57" s="198"/>
      <x:c r="C57" s="198"/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</x:row>
    <x:row r="58">
      <x:c r="A58" s="198"/>
      <x:c r="B58" s="198"/>
      <x:c r="C58" s="198"/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</x:row>
    <x:row r="59">
      <x:c r="A59" s="198"/>
      <x:c r="B59" s="198"/>
      <x:c r="C59" s="198"/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</x:row>
    <x:row r="60">
      <x:c r="A60" s="198"/>
      <x:c r="B60" s="198"/>
      <x:c r="C60" s="198"/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</x:row>
    <x:row r="61">
      <x:c r="A61" s="198"/>
      <x:c r="B61" s="198"/>
      <x:c r="C61" s="198"/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</x:row>
    <x:row r="62">
      <x:c r="A62" s="198"/>
      <x:c r="B62" s="198"/>
      <x:c r="C62" s="198"/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</x:row>
    <x:row r="63">
      <x:c r="A63" s="52" t="str">
        <x:v>O ranking de independentes e os somatórios por classe recalculam quando a coluna Classificação final é alterada. A classificação inicial é uma sugestão nominal e deve ser revisada.</x:v>
      </x:c>
      <x:c r="B63" s="52" t="str">
        <x:v>O ranking de independentes e os somatórios por classe recalculam quando a coluna Classificação final é alterada. A classificação inicial é uma sugestão nominal e deve ser revisada.</x:v>
      </x:c>
      <x:c r="C63" s="52" t="str">
        <x:v>O ranking de independentes e os somatórios por classe recalculam quando a coluna Classificação final é alterada. A classificação inicial é uma sugestão nominal e deve ser revisada.</x:v>
      </x:c>
      <x:c r="D63" s="52" t="str">
        <x:v>O ranking de independentes e os somatórios por classe recalculam quando a coluna Classificação final é alterada. A classificação inicial é uma sugestão nominal e deve ser revisada.</x:v>
      </x:c>
      <x:c r="E63" s="52" t="str">
        <x:v>O ranking de independentes e os somatórios por classe recalculam quando a coluna Classificação final é alterada. A classificação inicial é uma sugestão nominal e deve ser revisada.</x:v>
      </x:c>
      <x:c r="F63" s="52" t="str">
        <x:v>O ranking de independentes e os somatórios por classe recalculam quando a coluna Classificação final é alterada. A classificação inicial é uma sugestão nominal e deve ser revisada.</x:v>
      </x:c>
      <x:c r="G63" s="52" t="str">
        <x:v>O ranking de independentes e os somatórios por classe recalculam quando a coluna Classificação final é alterada. A classificação inicial é uma sugestão nominal e deve ser revisada.</x:v>
      </x:c>
      <x:c r="H63" s="52" t="str">
        <x:v>O ranking de independentes e os somatórios por classe recalculam quando a coluna Classificação final é alterada. A classificação inicial é uma sugestão nominal e deve ser revisada.</x:v>
      </x:c>
      <x:c r="I63" s="52" t="str">
        <x:v>O ranking de independentes e os somatórios por classe recalculam quando a coluna Classificação final é alterada. A classificação inicial é uma sugestão nominal e deve ser revisada.</x:v>
      </x:c>
      <x:c r="J63" s="52" t="str">
        <x:v>O ranking de independentes e os somatórios por classe recalculam quando a coluna Classificação final é alterada. A classificação inicial é uma sugestão nominal e deve ser revisada.</x:v>
      </x:c>
      <x:c r="K63" s="52" t="str">
        <x:v>O ranking de independentes e os somatórios por classe recalculam quando a coluna Classificação final é alterada. A classificação inicial é uma sugestão nominal e deve ser revisada.</x:v>
      </x:c>
      <x:c r="L63" s="52" t="str">
        <x:v>O ranking de independentes e os somatórios por classe recalculam quando a coluna Classificação final é alterada. A classificação inicial é uma sugestão nominal e deve ser revisada.</x:v>
      </x:c>
      <x:c r="M63" s="52" t="str">
        <x:v>O ranking de independentes e os somatórios por classe recalculam quando a coluna Classificação final é alterada. A classificação inicial é uma sugestão nominal e deve ser revisada.</x:v>
      </x:c>
      <x:c r="N63" s="52" t="str">
        <x:v>O ranking de independentes e os somatórios por classe recalculam quando a coluna Classificação final é alterada. A classificação inicial é uma sugestão nominal e deve ser revisada.</x:v>
      </x:c>
    </x:row>
    <x:row r="64">
      <x:c r="A64" s="52" t="str">
        <x:v>O ranking de independentes e os somatórios por classe recalculam quando a coluna Classificação final é alterada. A classificação inicial é uma sugestão nominal e deve ser revisada.</x:v>
      </x:c>
      <x:c r="B64" s="52" t="str">
        <x:v>O ranking de independentes e os somatórios por classe recalculam quando a coluna Classificação final é alterada. A classificação inicial é uma sugestão nominal e deve ser revisada.</x:v>
      </x:c>
      <x:c r="C64" s="52" t="str">
        <x:v>O ranking de independentes e os somatórios por classe recalculam quando a coluna Classificação final é alterada. A classificação inicial é uma sugestão nominal e deve ser revisada.</x:v>
      </x:c>
      <x:c r="D64" s="52" t="str">
        <x:v>O ranking de independentes e os somatórios por classe recalculam quando a coluna Classificação final é alterada. A classificação inicial é uma sugestão nominal e deve ser revisada.</x:v>
      </x:c>
      <x:c r="E64" s="52" t="str">
        <x:v>O ranking de independentes e os somatórios por classe recalculam quando a coluna Classificação final é alterada. A classificação inicial é uma sugestão nominal e deve ser revisada.</x:v>
      </x:c>
      <x:c r="F64" s="52" t="str">
        <x:v>O ranking de independentes e os somatórios por classe recalculam quando a coluna Classificação final é alterada. A classificação inicial é uma sugestão nominal e deve ser revisada.</x:v>
      </x:c>
      <x:c r="G64" s="52" t="str">
        <x:v>O ranking de independentes e os somatórios por classe recalculam quando a coluna Classificação final é alterada. A classificação inicial é uma sugestão nominal e deve ser revisada.</x:v>
      </x:c>
      <x:c r="H64" s="52" t="str">
        <x:v>O ranking de independentes e os somatórios por classe recalculam quando a coluna Classificação final é alterada. A classificação inicial é uma sugestão nominal e deve ser revisada.</x:v>
      </x:c>
      <x:c r="I64" s="52" t="str">
        <x:v>O ranking de independentes e os somatórios por classe recalculam quando a coluna Classificação final é alterada. A classificação inicial é uma sugestão nominal e deve ser revisada.</x:v>
      </x:c>
      <x:c r="J64" s="52" t="str">
        <x:v>O ranking de independentes e os somatórios por classe recalculam quando a coluna Classificação final é alterada. A classificação inicial é uma sugestão nominal e deve ser revisada.</x:v>
      </x:c>
      <x:c r="K64" s="52" t="str">
        <x:v>O ranking de independentes e os somatórios por classe recalculam quando a coluna Classificação final é alterada. A classificação inicial é uma sugestão nominal e deve ser revisada.</x:v>
      </x:c>
      <x:c r="L64" s="52" t="str">
        <x:v>O ranking de independentes e os somatórios por classe recalculam quando a coluna Classificação final é alterada. A classificação inicial é uma sugestão nominal e deve ser revisada.</x:v>
      </x:c>
      <x:c r="M64" s="52" t="str">
        <x:v>O ranking de independentes e os somatórios por classe recalculam quando a coluna Classificação final é alterada. A classificação inicial é uma sugestão nominal e deve ser revisada.</x:v>
      </x:c>
      <x:c r="N64" s="52" t="str">
        <x:v>O ranking de independentes e os somatórios por classe recalculam quando a coluna Classificação final é alterada. A classificação inicial é uma sugestão nominal e deve ser revisada.</x:v>
      </x:c>
    </x:row>
    <x:row r="65">
      <x:c r="A65" s="52" t="str">
        <x:v>O ranking de independentes e os somatórios por classe recalculam quando a coluna Classificação final é alterada. A classificação inicial é uma sugestão nominal e deve ser revisada.</x:v>
      </x:c>
      <x:c r="B65" s="52" t="str">
        <x:v>O ranking de independentes e os somatórios por classe recalculam quando a coluna Classificação final é alterada. A classificação inicial é uma sugestão nominal e deve ser revisada.</x:v>
      </x:c>
      <x:c r="C65" s="52" t="str">
        <x:v>O ranking de independentes e os somatórios por classe recalculam quando a coluna Classificação final é alterada. A classificação inicial é uma sugestão nominal e deve ser revisada.</x:v>
      </x:c>
      <x:c r="D65" s="52" t="str">
        <x:v>O ranking de independentes e os somatórios por classe recalculam quando a coluna Classificação final é alterada. A classificação inicial é uma sugestão nominal e deve ser revisada.</x:v>
      </x:c>
      <x:c r="E65" s="52" t="str">
        <x:v>O ranking de independentes e os somatórios por classe recalculam quando a coluna Classificação final é alterada. A classificação inicial é uma sugestão nominal e deve ser revisada.</x:v>
      </x:c>
      <x:c r="F65" s="52" t="str">
        <x:v>O ranking de independentes e os somatórios por classe recalculam quando a coluna Classificação final é alterada. A classificação inicial é uma sugestão nominal e deve ser revisada.</x:v>
      </x:c>
      <x:c r="G65" s="52" t="str">
        <x:v>O ranking de independentes e os somatórios por classe recalculam quando a coluna Classificação final é alterada. A classificação inicial é uma sugestão nominal e deve ser revisada.</x:v>
      </x:c>
      <x:c r="H65" s="52" t="str">
        <x:v>O ranking de independentes e os somatórios por classe recalculam quando a coluna Classificação final é alterada. A classificação inicial é uma sugestão nominal e deve ser revisada.</x:v>
      </x:c>
      <x:c r="I65" s="52" t="str">
        <x:v>O ranking de independentes e os somatórios por classe recalculam quando a coluna Classificação final é alterada. A classificação inicial é uma sugestão nominal e deve ser revisada.</x:v>
      </x:c>
      <x:c r="J65" s="52" t="str">
        <x:v>O ranking de independentes e os somatórios por classe recalculam quando a coluna Classificação final é alterada. A classificação inicial é uma sugestão nominal e deve ser revisada.</x:v>
      </x:c>
      <x:c r="K65" s="52" t="str">
        <x:v>O ranking de independentes e os somatórios por classe recalculam quando a coluna Classificação final é alterada. A classificação inicial é uma sugestão nominal e deve ser revisada.</x:v>
      </x:c>
      <x:c r="L65" s="52" t="str">
        <x:v>O ranking de independentes e os somatórios por classe recalculam quando a coluna Classificação final é alterada. A classificação inicial é uma sugestão nominal e deve ser revisada.</x:v>
      </x:c>
      <x:c r="M65" s="52" t="str">
        <x:v>O ranking de independentes e os somatórios por classe recalculam quando a coluna Classificação final é alterada. A classificação inicial é uma sugestão nominal e deve ser revisada.</x:v>
      </x:c>
      <x:c r="N65" s="52" t="str">
        <x:v>O ranking de independentes e os somatórios por classe recalculam quando a coluna Classificação final é alterada. A classificação inicial é uma sugestão nominal e deve ser revisada.</x:v>
      </x:c>
    </x:row>
  </x:sheetData>
  <x:mergeCells>
    <x:mergeCell ref="A1:N2"/>
    <x:mergeCell ref="A11:C11"/>
    <x:mergeCell ref="E11:G11"/>
    <x:mergeCell ref="I11:K11"/>
    <x:mergeCell ref="A63:N65"/>
  </x:mergeCells>
  <x:pageMargins left="0.7" right="0.7" top="0.75" bottom="0.75" header="0.3" footer="0.3"/>
  <x:drawing xmlns:r="http://schemas.openxmlformats.org/officeDocument/2006/relationships" r:id="R807b178f34764e9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2" hidden="0" customWidth="1"/>
    <x:col min="3" max="3" width="15" hidden="0" customWidth="1"/>
  </x:cols>
  <x:sheetData>
    <x:row r="1" ht="30" customHeight="1">
      <x:c r="A1" s="4" t="str">
        <x:v>Principais gestoras por tipo ANBIMA</x:v>
      </x:c>
      <x:c r="B1" s="4" t="str">
        <x:v>Principais gestoras por tipo ANBIMA</x:v>
      </x:c>
      <x:c r="C1" s="4" t="str">
        <x:v>Principais gestoras por tipo ANBIMA</x:v>
      </x:c>
      <x:c r="D1" s="4" t="str">
        <x:v>Principais gestoras por tipo ANBIMA</x:v>
      </x:c>
      <x:c r="E1" s="4" t="str">
        <x:v>Principais gestoras por tipo ANBIMA</x:v>
      </x:c>
      <x:c r="F1" s="4" t="str">
        <x:v>Principais gestoras por tipo ANBIMA</x:v>
      </x:c>
      <x:c r="G1" s="4" t="str">
        <x:v>Principais gestoras por tipo ANBIMA</x:v>
      </x:c>
      <x:c r="H1" s="4" t="str">
        <x:v>Principais gestoras por tipo ANBIMA</x:v>
      </x:c>
      <x:c r="I1" s="4" t="str">
        <x:v>Principais gestoras por tipo ANBIMA</x:v>
      </x:c>
      <x:c r="J1" s="4" t="str">
        <x:v>Principais gestoras por tipo ANBIMA</x:v>
      </x:c>
      <x:c r="K1" s="4" t="str">
        <x:v>Principais gestoras por tipo ANBIMA</x:v>
      </x:c>
      <x:c r="L1" s="4" t="str">
        <x:v>Principais gestoras por tipo ANBIMA</x:v>
      </x:c>
      <x:c r="M1" s="4" t="str">
        <x:v>Principais gestoras por tipo ANBIMA</x:v>
      </x:c>
      <x:c r="N1" s="4" t="str">
        <x:v>Principais gestoras por tipo ANBIMA</x:v>
      </x:c>
    </x:row>
    <x:row r="2" ht="30" customHeight="1">
      <x:c r="A2" s="4" t="str">
        <x:v>Principais gestoras por tipo ANBIMA</x:v>
      </x:c>
      <x:c r="B2" s="4" t="str">
        <x:v>Principais gestoras por tipo ANBIMA</x:v>
      </x:c>
      <x:c r="C2" s="4" t="str">
        <x:v>Principais gestoras por tipo ANBIMA</x:v>
      </x:c>
      <x:c r="D2" s="4" t="str">
        <x:v>Principais gestoras por tipo ANBIMA</x:v>
      </x:c>
      <x:c r="E2" s="4" t="str">
        <x:v>Principais gestoras por tipo ANBIMA</x:v>
      </x:c>
      <x:c r="F2" s="4" t="str">
        <x:v>Principais gestoras por tipo ANBIMA</x:v>
      </x:c>
      <x:c r="G2" s="4" t="str">
        <x:v>Principais gestoras por tipo ANBIMA</x:v>
      </x:c>
      <x:c r="H2" s="4" t="str">
        <x:v>Principais gestoras por tipo ANBIMA</x:v>
      </x:c>
      <x:c r="I2" s="4" t="str">
        <x:v>Principais gestoras por tipo ANBIMA</x:v>
      </x:c>
      <x:c r="J2" s="4" t="str">
        <x:v>Principais gestoras por tipo ANBIMA</x:v>
      </x:c>
      <x:c r="K2" s="4" t="str">
        <x:v>Principais gestoras por tipo ANBIMA</x:v>
      </x:c>
      <x:c r="L2" s="4" t="str">
        <x:v>Principais gestoras por tipo ANBIMA</x:v>
      </x:c>
      <x:c r="M2" s="4" t="str">
        <x:v>Principais gestoras por tipo ANBIMA</x:v>
      </x:c>
      <x:c r="N2" s="4" t="str">
        <x:v>Principais gestoras por tipo ANBIMA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3" customHeight="1">
      <x:c r="A4" s="153" t="str">
        <x:v>Agro, Indústria e Comércio</x:v>
      </x:c>
      <x:c r="B4" s="153" t="str">
        <x:v>Agro, Indústria e Comércio</x:v>
      </x:c>
      <x:c r="C4" s="153" t="str">
        <x:v>Agro, Indústria e Comércio</x:v>
      </x:c>
      <x:c r="D4" s="153" t="str">
        <x:v>Agro, Indústria e Comércio</x:v>
      </x:c>
      <x:c r="E4" s="153" t="str">
        <x:v>Agro, Indústria e Comércio</x:v>
      </x:c>
      <x:c r="F4" s="153" t="str">
        <x:v>Agro, Indústria e Comércio</x:v>
      </x:c>
      <x:c r="G4" s="198"/>
      <x:c r="H4" s="198"/>
      <x:c r="I4" s="198"/>
      <x:c r="J4" s="198"/>
      <x:c r="K4" s="198"/>
      <x:c r="L4" s="198"/>
      <x:c r="M4" s="198"/>
      <x:c r="N4" s="198"/>
    </x:row>
    <x:row r="5" ht="28" customHeight="1">
      <x:c r="A5" s="20" t="str">
        <x:v>#</x:v>
      </x:c>
      <x:c r="B5" s="21" t="str">
        <x:v>Gestora</x:v>
      </x:c>
      <x:c r="C5" s="22" t="str">
        <x:v>PL (R$ bi)</x:v>
      </x:c>
      <x:c r="D5" s="198"/>
      <x:c r="E5" s="198"/>
      <x:c r="F5" s="198"/>
      <x:c r="G5" s="198"/>
      <x:c r="H5" s="198"/>
      <x:c r="I5" s="198"/>
      <x:c r="J5" s="198"/>
      <x:c r="K5" s="198"/>
      <x:c r="L5" s="198"/>
      <x:c r="M5" s="198"/>
      <x:c r="N5" s="198"/>
    </x:row>
    <x:row r="6">
      <x:c r="A6" s="110" t="n">
        <x:v>1</x:v>
      </x:c>
      <x:c r="B6" s="110" t="str">
        <x:v>BB Asset Management</x:v>
      </x:c>
      <x:c r="C6" s="119" t="n">
        <x:v>60.841973938879995</x:v>
      </x:c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>
      <x:c r="A7" s="111" t="n">
        <x:v>2</x:v>
      </x:c>
      <x:c r="B7" s="111" t="str">
        <x:v>Banco Bradesco S/A</x:v>
      </x:c>
      <x:c r="C7" s="124" t="n">
        <x:v>8.1187534553</x:v>
      </x:c>
      <x:c r="D7" s="198"/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1" t="n">
        <x:v>3</x:v>
      </x:c>
      <x:c r="B8" s="111" t="str">
        <x:v>Integral Investimentos</x:v>
      </x:c>
      <x:c r="C8" s="124" t="n">
        <x:v>6.7699698691100005</x:v>
      </x:c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n">
        <x:v>4</x:v>
      </x:c>
      <x:c r="B9" s="111" t="str">
        <x:v>GENIAL GESTÃO LTDA.</x:v>
      </x:c>
      <x:c r="C9" s="124" t="n">
        <x:v>6.24234528232</x:v>
      </x:c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n">
        <x:v>5</x:v>
      </x:c>
      <x:c r="B10" s="111" t="str">
        <x:v>Petra Capital</x:v>
      </x:c>
      <x:c r="C10" s="124" t="n">
        <x:v>5.622727486940001</x:v>
      </x:c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n">
        <x:v>6</x:v>
      </x:c>
      <x:c r="B11" s="111" t="str">
        <x:v>Catálise Investimentos</x:v>
      </x:c>
      <x:c r="C11" s="124" t="n">
        <x:v>4.60013903592</x:v>
      </x:c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n">
        <x:v>7</x:v>
      </x:c>
      <x:c r="B12" s="111" t="str">
        <x:v>VERT Gestora de Recursos Financeiros Ltda.</x:v>
      </x:c>
      <x:c r="C12" s="124" t="n">
        <x:v>4.219084571689999</x:v>
      </x:c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n">
        <x:v>8</x:v>
      </x:c>
      <x:c r="B13" s="111" t="str">
        <x:v>Eco Gestão de Ativos LTDA.</x:v>
      </x:c>
      <x:c r="C13" s="124" t="n">
        <x:v>4.11558158391368</x:v>
      </x:c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n">
        <x:v>9</x:v>
      </x:c>
      <x:c r="B14" s="111" t="str">
        <x:v>Oliveira Trust Servicer</x:v>
      </x:c>
      <x:c r="C14" s="124" t="n">
        <x:v>3.6901060959</x:v>
      </x:c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n">
        <x:v>10</x:v>
      </x:c>
      <x:c r="B15" s="111" t="str">
        <x:v>Cultinvest Asset</x:v>
      </x:c>
      <x:c r="C15" s="124" t="n">
        <x:v>2.7951284812099906</x:v>
      </x:c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n">
        <x:v>11</x:v>
      </x:c>
      <x:c r="B16" s="111" t="str">
        <x:v>H2 CAPITAL</x:v>
      </x:c>
      <x:c r="C16" s="124" t="n">
        <x:v>2.3623459596300003</x:v>
      </x:c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1" t="n">
        <x:v>12</x:v>
      </x:c>
      <x:c r="B17" s="111" t="str">
        <x:v>Itau Unibanco</x:v>
      </x:c>
      <x:c r="C17" s="124" t="n">
        <x:v>1.9796573616700002</x:v>
      </x:c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11" t="n">
        <x:v>13</x:v>
      </x:c>
      <x:c r="B18" s="111" t="str">
        <x:v>CARMEL GESTORA DE ATIVOS LTDA</x:v>
      </x:c>
      <x:c r="C18" s="124" t="n">
        <x:v>1.83961196747</x:v>
      </x:c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11" t="n">
        <x:v>14</x:v>
      </x:c>
      <x:c r="B19" s="111" t="str">
        <x:v>Intrabank Asset</x:v>
      </x:c>
      <x:c r="C19" s="124" t="n">
        <x:v>1.83435586984</x:v>
      </x:c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12" t="n">
        <x:v>15</x:v>
      </x:c>
      <x:c r="B20" s="112" t="str">
        <x:v>Artesanal Agro</x:v>
      </x:c>
      <x:c r="C20" s="120" t="n">
        <x:v>1.7174524034599996</x:v>
      </x:c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 ht="23" customHeight="1">
      <x:c r="A25" s="156" t="str">
        <x:v>Financeiro</x:v>
      </x:c>
      <x:c r="B25" s="156" t="str">
        <x:v>Financeiro</x:v>
      </x:c>
      <x:c r="C25" s="156" t="str">
        <x:v>Financeiro</x:v>
      </x:c>
      <x:c r="D25" s="156" t="str">
        <x:v>Financeiro</x:v>
      </x:c>
      <x:c r="E25" s="156" t="str">
        <x:v>Financeiro</x:v>
      </x:c>
      <x:c r="F25" s="156" t="str">
        <x:v>Financeiro</x:v>
      </x:c>
      <x:c r="G25" s="198"/>
      <x:c r="H25" s="198"/>
      <x:c r="I25" s="198"/>
      <x:c r="J25" s="198"/>
      <x:c r="K25" s="198"/>
      <x:c r="L25" s="198"/>
      <x:c r="M25" s="198"/>
      <x:c r="N25" s="198"/>
    </x:row>
    <x:row r="26" ht="28" customHeight="1">
      <x:c r="A26" s="20" t="str">
        <x:v>#</x:v>
      </x:c>
      <x:c r="B26" s="21" t="str">
        <x:v>Gestora</x:v>
      </x:c>
      <x:c r="C26" s="22" t="str">
        <x:v>PL (R$ bi)</x:v>
      </x:c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10" t="n">
        <x:v>1</x:v>
      </x:c>
      <x:c r="B27" s="110" t="str">
        <x:v>Oliveira Trust Servicer</x:v>
      </x:c>
      <x:c r="C27" s="119" t="n">
        <x:v>67.00997399216</x:v>
      </x:c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11" t="n">
        <x:v>2</x:v>
      </x:c>
      <x:c r="B28" s="111" t="str">
        <x:v>BTG Pactual Asset</x:v>
      </x:c>
      <x:c r="C28" s="124" t="n">
        <x:v>21.476655042890002</x:v>
      </x:c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11" t="n">
        <x:v>3</x:v>
      </x:c>
      <x:c r="B29" s="111" t="str">
        <x:v>Banco Bradesco S/A</x:v>
      </x:c>
      <x:c r="C29" s="124" t="n">
        <x:v>15.97869423601</x:v>
      </x:c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11" t="n">
        <x:v>4</x:v>
      </x:c>
      <x:c r="B30" s="111" t="str">
        <x:v>Banco BTG Pactual</x:v>
      </x:c>
      <x:c r="C30" s="124" t="n">
        <x:v>13.84932205142</x:v>
      </x:c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11" t="n">
        <x:v>5</x:v>
      </x:c>
      <x:c r="B31" s="111" t="str">
        <x:v>GENIAL GESTÃO LTDA.</x:v>
      </x:c>
      <x:c r="C31" s="124" t="n">
        <x:v>13.518139233468908</x:v>
      </x:c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111" t="n">
        <x:v>6</x:v>
      </x:c>
      <x:c r="B32" s="111" t="str">
        <x:v>ANGÁ ASSET MANAGEMENT</x:v>
      </x:c>
      <x:c r="C32" s="124" t="n">
        <x:v>8.55717404489</x:v>
      </x:c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</x:row>
    <x:row r="33">
      <x:c r="A33" s="111" t="n">
        <x:v>7</x:v>
      </x:c>
      <x:c r="B33" s="111" t="str">
        <x:v>VERT Gestora de Recursos Financeiros Ltda.</x:v>
      </x:c>
      <x:c r="C33" s="124" t="n">
        <x:v>7.632020139190889</x:v>
      </x:c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</x:row>
    <x:row r="34">
      <x:c r="A34" s="111" t="n">
        <x:v>8</x:v>
      </x:c>
      <x:c r="B34" s="111" t="str">
        <x:v>Integral Investimentos</x:v>
      </x:c>
      <x:c r="C34" s="124" t="n">
        <x:v>5.59374260171086</x:v>
      </x:c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</x:row>
    <x:row r="35">
      <x:c r="A35" s="111" t="n">
        <x:v>9</x:v>
      </x:c>
      <x:c r="B35" s="111" t="str">
        <x:v>POLÍGONO CAPITAL LTDA.</x:v>
      </x:c>
      <x:c r="C35" s="124" t="n">
        <x:v>4.52078609656</x:v>
      </x:c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</x:row>
    <x:row r="36">
      <x:c r="A36" s="111" t="n">
        <x:v>10</x:v>
      </x:c>
      <x:c r="B36" s="111" t="str">
        <x:v>VALORA RENDA FIXA ESTRUTURADOS LTDA.</x:v>
      </x:c>
      <x:c r="C36" s="124" t="n">
        <x:v>3.9407615463353305</x:v>
      </x:c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</x:row>
    <x:row r="37">
      <x:c r="A37" s="111" t="n">
        <x:v>11</x:v>
      </x:c>
      <x:c r="B37" s="111" t="str">
        <x:v>Solis</x:v>
      </x:c>
      <x:c r="C37" s="124" t="n">
        <x:v>3.9354133390999992</x:v>
      </x:c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</x:row>
    <x:row r="38">
      <x:c r="A38" s="111" t="n">
        <x:v>12</x:v>
      </x:c>
      <x:c r="B38" s="111" t="str">
        <x:v>Guardian Crédito</x:v>
      </x:c>
      <x:c r="C38" s="124" t="n">
        <x:v>2.9637705957300007</x:v>
      </x:c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</x:row>
    <x:row r="39">
      <x:c r="A39" s="111" t="n">
        <x:v>13</x:v>
      </x:c>
      <x:c r="B39" s="111" t="str">
        <x:v>Riza Securitização e Carteiras</x:v>
      </x:c>
      <x:c r="C39" s="124" t="n">
        <x:v>2.8473331233911297</x:v>
      </x:c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</x:row>
    <x:row r="40">
      <x:c r="A40" s="111" t="n">
        <x:v>14</x:v>
      </x:c>
      <x:c r="B40" s="111" t="str">
        <x:v>BRL Trust Investimentos LTDA.</x:v>
      </x:c>
      <x:c r="C40" s="124" t="n">
        <x:v>2.5321013927200005</x:v>
      </x:c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</x:row>
    <x:row r="41">
      <x:c r="A41" s="112" t="n">
        <x:v>15</x:v>
      </x:c>
      <x:c r="B41" s="112" t="str">
        <x:v>Phronesis Invest.</x:v>
      </x:c>
      <x:c r="C41" s="120" t="n">
        <x:v>2.45072777021</x:v>
      </x:c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</x:row>
    <x:row r="46" ht="23" customHeight="1">
      <x:c r="A46" s="159" t="str">
        <x:v>Fomento Mercantil</x:v>
      </x:c>
      <x:c r="B46" s="159" t="str">
        <x:v>Fomento Mercantil</x:v>
      </x:c>
      <x:c r="C46" s="159" t="str">
        <x:v>Fomento Mercantil</x:v>
      </x:c>
      <x:c r="D46" s="159" t="str">
        <x:v>Fomento Mercantil</x:v>
      </x:c>
      <x:c r="E46" s="159" t="str">
        <x:v>Fomento Mercantil</x:v>
      </x:c>
      <x:c r="F46" s="159" t="str">
        <x:v>Fomento Mercantil</x:v>
      </x:c>
      <x:c r="G46" s="198"/>
      <x:c r="H46" s="198"/>
      <x:c r="I46" s="198"/>
      <x:c r="J46" s="198"/>
      <x:c r="K46" s="198"/>
      <x:c r="L46" s="198"/>
      <x:c r="M46" s="198"/>
      <x:c r="N46" s="198"/>
    </x:row>
    <x:row r="47" ht="28" customHeight="1">
      <x:c r="A47" s="20" t="str">
        <x:v>#</x:v>
      </x:c>
      <x:c r="B47" s="21" t="str">
        <x:v>Gestora</x:v>
      </x:c>
      <x:c r="C47" s="22" t="str">
        <x:v>PL (R$ bi)</x:v>
      </x:c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</x:row>
    <x:row r="48">
      <x:c r="A48" s="110" t="n">
        <x:v>1</x:v>
      </x:c>
      <x:c r="B48" s="110" t="str">
        <x:v>TERCON ASSET MANAGEMENT</x:v>
      </x:c>
      <x:c r="C48" s="119" t="n">
        <x:v>20.391702176337205</x:v>
      </x:c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</x:row>
    <x:row r="49">
      <x:c r="A49" s="111" t="n">
        <x:v>2</x:v>
      </x:c>
      <x:c r="B49" s="111" t="str">
        <x:v>OURO PRETO INVESTIMENTOS</x:v>
      </x:c>
      <x:c r="C49" s="124" t="n">
        <x:v>6.369393399505</x:v>
      </x:c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</x:row>
    <x:row r="50">
      <x:c r="A50" s="111" t="n">
        <x:v>3</x:v>
      </x:c>
      <x:c r="B50" s="111" t="str">
        <x:v>Multiplica Capital</x:v>
      </x:c>
      <x:c r="C50" s="124" t="n">
        <x:v>6.146327897228272</x:v>
      </x:c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</x:row>
    <x:row r="51">
      <x:c r="A51" s="111" t="n">
        <x:v>4</x:v>
      </x:c>
      <x:c r="B51" s="111" t="str">
        <x:v>M8 Partners</x:v>
      </x:c>
      <x:c r="C51" s="124" t="n">
        <x:v>5.45170826578975</x:v>
      </x:c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</x:row>
    <x:row r="52">
      <x:c r="A52" s="111" t="n">
        <x:v>5</x:v>
      </x:c>
      <x:c r="B52" s="111" t="str">
        <x:v>QI GESTAO DE RECURSOS LTDA</x:v>
      </x:c>
      <x:c r="C52" s="124" t="n">
        <x:v>3.7224453526300003</x:v>
      </x:c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</x:row>
    <x:row r="53">
      <x:c r="A53" s="111" t="n">
        <x:v>6</x:v>
      </x:c>
      <x:c r="B53" s="111" t="str">
        <x:v>ORRAM GESTÃO DE RECURSOS LTDA.</x:v>
      </x:c>
      <x:c r="C53" s="124" t="n">
        <x:v>3.46430095256</x:v>
      </x:c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</x:row>
    <x:row r="54">
      <x:c r="A54" s="111" t="n">
        <x:v>7</x:v>
      </x:c>
      <x:c r="B54" s="111" t="str">
        <x:v>Multiplike Gestão de Recursos Ltda</x:v>
      </x:c>
      <x:c r="C54" s="124" t="n">
        <x:v>3.3011051028700003</x:v>
      </x:c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</x:row>
    <x:row r="55">
      <x:c r="A55" s="111" t="n">
        <x:v>8</x:v>
      </x:c>
      <x:c r="B55" s="111" t="str">
        <x:v>SMART AGRO INVESTIMENTOS LTDA.</x:v>
      </x:c>
      <x:c r="C55" s="124" t="n">
        <x:v>2.68210774074</x:v>
      </x:c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</x:row>
    <x:row r="56">
      <x:c r="A56" s="111" t="n">
        <x:v>9</x:v>
      </x:c>
      <x:c r="B56" s="111" t="str">
        <x:v>Solis</x:v>
      </x:c>
      <x:c r="C56" s="124" t="n">
        <x:v>2.6813023628200003</x:v>
      </x:c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</x:row>
    <x:row r="57">
      <x:c r="A57" s="111" t="n">
        <x:v>10</x:v>
      </x:c>
      <x:c r="B57" s="111" t="str">
        <x:v>EUV CAPITAL</x:v>
      </x:c>
      <x:c r="C57" s="124" t="n">
        <x:v>2.1591399992799998</x:v>
      </x:c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</x:row>
    <x:row r="58">
      <x:c r="A58" s="111" t="n">
        <x:v>11</x:v>
      </x:c>
      <x:c r="B58" s="111" t="str">
        <x:v>Banco Bradesco S/A</x:v>
      </x:c>
      <x:c r="C58" s="124" t="n">
        <x:v>1.92300870515</x:v>
      </x:c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</x:row>
    <x:row r="59">
      <x:c r="A59" s="111" t="n">
        <x:v>12</x:v>
      </x:c>
      <x:c r="B59" s="111" t="str">
        <x:v>Invista Asset</x:v>
      </x:c>
      <x:c r="C59" s="124" t="n">
        <x:v>1.86049936149</x:v>
      </x:c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</x:row>
    <x:row r="60">
      <x:c r="A60" s="111" t="n">
        <x:v>13</x:v>
      </x:c>
      <x:c r="B60" s="111" t="str">
        <x:v>ARTESANAL MCMS</x:v>
      </x:c>
      <x:c r="C60" s="124" t="n">
        <x:v>1.80421803917545</x:v>
      </x:c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</x:row>
    <x:row r="61">
      <x:c r="A61" s="111" t="n">
        <x:v>14</x:v>
      </x:c>
      <x:c r="B61" s="111" t="str">
        <x:v>Emerald Gestão de Investimento</x:v>
      </x:c>
      <x:c r="C61" s="124" t="n">
        <x:v>1.6564230533900002</x:v>
      </x:c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</x:row>
    <x:row r="62">
      <x:c r="A62" s="112" t="n">
        <x:v>15</x:v>
      </x:c>
      <x:c r="B62" s="112" t="str">
        <x:v>Petra Capital</x:v>
      </x:c>
      <x:c r="C62" s="120" t="n">
        <x:v>1.50389886494</x:v>
      </x:c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</x:row>
    <x:row r="67" ht="23" customHeight="1">
      <x:c r="A67" s="162" t="str">
        <x:v>Outros</x:v>
      </x:c>
      <x:c r="B67" s="162" t="str">
        <x:v>Outros</x:v>
      </x:c>
      <x:c r="C67" s="162" t="str">
        <x:v>Outros</x:v>
      </x:c>
      <x:c r="D67" s="162" t="str">
        <x:v>Outros</x:v>
      </x:c>
      <x:c r="E67" s="162" t="str">
        <x:v>Outros</x:v>
      </x:c>
      <x:c r="F67" s="162" t="str">
        <x:v>Outros</x:v>
      </x:c>
      <x:c r="G67" s="198"/>
      <x:c r="H67" s="198"/>
      <x:c r="I67" s="198"/>
      <x:c r="J67" s="198"/>
      <x:c r="K67" s="198"/>
      <x:c r="L67" s="198"/>
      <x:c r="M67" s="198"/>
      <x:c r="N67" s="198"/>
    </x:row>
    <x:row r="68" ht="28" customHeight="1">
      <x:c r="A68" s="20" t="str">
        <x:v>#</x:v>
      </x:c>
      <x:c r="B68" s="21" t="str">
        <x:v>Gestora</x:v>
      </x:c>
      <x:c r="C68" s="22" t="str">
        <x:v>PL (R$ bi)</x:v>
      </x:c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</x:row>
    <x:row r="69">
      <x:c r="A69" s="110" t="n">
        <x:v>1</x:v>
      </x:c>
      <x:c r="B69" s="110" t="str">
        <x:v>Banco Bradesco S/A</x:v>
      </x:c>
      <x:c r="C69" s="119" t="n">
        <x:v>14.25066196071</x:v>
      </x:c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</x:row>
    <x:row r="70">
      <x:c r="A70" s="111" t="n">
        <x:v>2</x:v>
      </x:c>
      <x:c r="B70" s="111" t="str">
        <x:v>ITAU ASSET</x:v>
      </x:c>
      <x:c r="C70" s="124" t="n">
        <x:v>13.18692864275001</x:v>
      </x:c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</x:row>
    <x:row r="71">
      <x:c r="A71" s="111" t="n">
        <x:v>3</x:v>
      </x:c>
      <x:c r="B71" s="111" t="str">
        <x:v>Banco BTG Pactual</x:v>
      </x:c>
      <x:c r="C71" s="124" t="n">
        <x:v>11.1130540958457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</x:row>
    <x:row r="72">
      <x:c r="A72" s="111" t="n">
        <x:v>4</x:v>
      </x:c>
      <x:c r="B72" s="111" t="str">
        <x:v>VALORA RENDA FIXA LTDA.</x:v>
      </x:c>
      <x:c r="C72" s="124" t="n">
        <x:v>10.6042317578942</x:v>
      </x:c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</x:row>
    <x:row r="73">
      <x:c r="A73" s="111" t="n">
        <x:v>5</x:v>
      </x:c>
      <x:c r="B73" s="111" t="str">
        <x:v>Kanastra</x:v>
      </x:c>
      <x:c r="C73" s="124" t="n">
        <x:v>9.889859244799998</x:v>
      </x:c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</x:row>
    <x:row r="74">
      <x:c r="A74" s="111" t="n">
        <x:v>6</x:v>
      </x:c>
      <x:c r="B74" s="111" t="str">
        <x:v>JIVE INVESTMENTS</x:v>
      </x:c>
      <x:c r="C74" s="124" t="n">
        <x:v>8.1082200018104</x:v>
      </x:c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</x:row>
    <x:row r="75">
      <x:c r="A75" s="111" t="n">
        <x:v>7</x:v>
      </x:c>
      <x:c r="B75" s="111" t="str">
        <x:v>Jus Capital Gestão de Recursos LTDA</x:v>
      </x:c>
      <x:c r="C75" s="124" t="n">
        <x:v>7.284959793269801</x:v>
      </x:c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</x:row>
    <x:row r="76">
      <x:c r="A76" s="111" t="n">
        <x:v>8</x:v>
      </x:c>
      <x:c r="B76" s="111" t="str">
        <x:v>GENIAL GESTÃO LTDA.</x:v>
      </x:c>
      <x:c r="C76" s="124" t="n">
        <x:v>7.142054989280002</x:v>
      </x:c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</x:row>
    <x:row r="77">
      <x:c r="A77" s="111" t="n">
        <x:v>9</x:v>
      </x:c>
      <x:c r="B77" s="111" t="str">
        <x:v>DAYCOVAL ASSET MANAG</x:v>
      </x:c>
      <x:c r="C77" s="124" t="n">
        <x:v>6.900129681370001</x:v>
      </x:c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</x:row>
    <x:row r="78">
      <x:c r="A78" s="111" t="n">
        <x:v>10</x:v>
      </x:c>
      <x:c r="B78" s="111" t="str">
        <x:v>Vista Real Estate</x:v>
      </x:c>
      <x:c r="C78" s="124" t="n">
        <x:v>5.570135711760001</x:v>
      </x:c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</x:row>
    <x:row r="79">
      <x:c r="A79" s="111" t="n">
        <x:v>11</x:v>
      </x:c>
      <x:c r="B79" s="111" t="str">
        <x:v>Versal Finance Gestão de Recursos LTDA.</x:v>
      </x:c>
      <x:c r="C79" s="124" t="n">
        <x:v>5.10891960903</x:v>
      </x:c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</x:row>
    <x:row r="80">
      <x:c r="A80" s="111" t="n">
        <x:v>12</x:v>
      </x:c>
      <x:c r="B80" s="111" t="str">
        <x:v>Petra Capital</x:v>
      </x:c>
      <x:c r="C80" s="124" t="n">
        <x:v>5.061975952029999</x:v>
      </x:c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</x:row>
    <x:row r="81">
      <x:c r="A81" s="111" t="n">
        <x:v>13</x:v>
      </x:c>
      <x:c r="B81" s="111" t="str">
        <x:v>Solis</x:v>
      </x:c>
      <x:c r="C81" s="124" t="n">
        <x:v>4.769480850060001</x:v>
      </x:c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</x:row>
    <x:row r="82">
      <x:c r="A82" s="111" t="n">
        <x:v>14</x:v>
      </x:c>
      <x:c r="B82" s="111" t="str">
        <x:v>RedAsset Gestão de Recursos Ltda.</x:v>
      </x:c>
      <x:c r="C82" s="124" t="n">
        <x:v>4.756389743299999</x:v>
      </x:c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</x:row>
    <x:row r="83">
      <x:c r="A83" s="112" t="n">
        <x:v>15</x:v>
      </x:c>
      <x:c r="B83" s="112" t="str">
        <x:v>BRL TRUST DTVM</x:v>
      </x:c>
      <x:c r="C83" s="120" t="n">
        <x:v>4.55175358843</x:v>
      </x:c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</x:row>
    <x:row r="88">
      <x:c r="A88" s="52" t="str">
        <x:v>Fonte: dashboard ANBIMA, maio/2026. Ranking por PL agregado em cada tipo ANBIMA.</x:v>
      </x:c>
      <x:c r="B88" s="52" t="str">
        <x:v>Fonte: dashboard ANBIMA, maio/2026. Ranking por PL agregado em cada tipo ANBIMA.</x:v>
      </x:c>
      <x:c r="C88" s="52" t="str">
        <x:v>Fonte: dashboard ANBIMA, maio/2026. Ranking por PL agregado em cada tipo ANBIMA.</x:v>
      </x:c>
      <x:c r="D88" s="52" t="str">
        <x:v>Fonte: dashboard ANBIMA, maio/2026. Ranking por PL agregado em cada tipo ANBIMA.</x:v>
      </x:c>
      <x:c r="E88" s="52" t="str">
        <x:v>Fonte: dashboard ANBIMA, maio/2026. Ranking por PL agregado em cada tipo ANBIMA.</x:v>
      </x:c>
      <x:c r="F88" s="52" t="str">
        <x:v>Fonte: dashboard ANBIMA, maio/2026. Ranking por PL agregado em cada tipo ANBIMA.</x:v>
      </x:c>
      <x:c r="G88" s="52" t="str">
        <x:v>Fonte: dashboard ANBIMA, maio/2026. Ranking por PL agregado em cada tipo ANBIMA.</x:v>
      </x:c>
      <x:c r="H88" s="52" t="str">
        <x:v>Fonte: dashboard ANBIMA, maio/2026. Ranking por PL agregado em cada tipo ANBIMA.</x:v>
      </x:c>
      <x:c r="I88" s="52" t="str">
        <x:v>Fonte: dashboard ANBIMA, maio/2026. Ranking por PL agregado em cada tipo ANBIMA.</x:v>
      </x:c>
      <x:c r="J88" s="52" t="str">
        <x:v>Fonte: dashboard ANBIMA, maio/2026. Ranking por PL agregado em cada tipo ANBIMA.</x:v>
      </x:c>
      <x:c r="K88" s="52" t="str">
        <x:v>Fonte: dashboard ANBIMA, maio/2026. Ranking por PL agregado em cada tipo ANBIMA.</x:v>
      </x:c>
      <x:c r="L88" s="52" t="str">
        <x:v>Fonte: dashboard ANBIMA, maio/2026. Ranking por PL agregado em cada tipo ANBIMA.</x:v>
      </x:c>
      <x:c r="M88" s="52" t="str">
        <x:v>Fonte: dashboard ANBIMA, maio/2026. Ranking por PL agregado em cada tipo ANBIMA.</x:v>
      </x:c>
      <x:c r="N88" s="52" t="str">
        <x:v>Fonte: dashboard ANBIMA, maio/2026. Ranking por PL agregado em cada tipo ANBIMA.</x:v>
      </x:c>
    </x:row>
    <x:row r="89">
      <x:c r="A89" s="52" t="str">
        <x:v>Fonte: dashboard ANBIMA, maio/2026. Ranking por PL agregado em cada tipo ANBIMA.</x:v>
      </x:c>
      <x:c r="B89" s="52" t="str">
        <x:v>Fonte: dashboard ANBIMA, maio/2026. Ranking por PL agregado em cada tipo ANBIMA.</x:v>
      </x:c>
      <x:c r="C89" s="52" t="str">
        <x:v>Fonte: dashboard ANBIMA, maio/2026. Ranking por PL agregado em cada tipo ANBIMA.</x:v>
      </x:c>
      <x:c r="D89" s="52" t="str">
        <x:v>Fonte: dashboard ANBIMA, maio/2026. Ranking por PL agregado em cada tipo ANBIMA.</x:v>
      </x:c>
      <x:c r="E89" s="52" t="str">
        <x:v>Fonte: dashboard ANBIMA, maio/2026. Ranking por PL agregado em cada tipo ANBIMA.</x:v>
      </x:c>
      <x:c r="F89" s="52" t="str">
        <x:v>Fonte: dashboard ANBIMA, maio/2026. Ranking por PL agregado em cada tipo ANBIMA.</x:v>
      </x:c>
      <x:c r="G89" s="52" t="str">
        <x:v>Fonte: dashboard ANBIMA, maio/2026. Ranking por PL agregado em cada tipo ANBIMA.</x:v>
      </x:c>
      <x:c r="H89" s="52" t="str">
        <x:v>Fonte: dashboard ANBIMA, maio/2026. Ranking por PL agregado em cada tipo ANBIMA.</x:v>
      </x:c>
      <x:c r="I89" s="52" t="str">
        <x:v>Fonte: dashboard ANBIMA, maio/2026. Ranking por PL agregado em cada tipo ANBIMA.</x:v>
      </x:c>
      <x:c r="J89" s="52" t="str">
        <x:v>Fonte: dashboard ANBIMA, maio/2026. Ranking por PL agregado em cada tipo ANBIMA.</x:v>
      </x:c>
      <x:c r="K89" s="52" t="str">
        <x:v>Fonte: dashboard ANBIMA, maio/2026. Ranking por PL agregado em cada tipo ANBIMA.</x:v>
      </x:c>
      <x:c r="L89" s="52" t="str">
        <x:v>Fonte: dashboard ANBIMA, maio/2026. Ranking por PL agregado em cada tipo ANBIMA.</x:v>
      </x:c>
      <x:c r="M89" s="52" t="str">
        <x:v>Fonte: dashboard ANBIMA, maio/2026. Ranking por PL agregado em cada tipo ANBIMA.</x:v>
      </x:c>
      <x:c r="N89" s="52" t="str">
        <x:v>Fonte: dashboard ANBIMA, maio/2026. Ranking por PL agregado em cada tipo ANBIMA.</x:v>
      </x:c>
    </x:row>
    <x:row r="90">
      <x:c r="A90" s="52" t="str">
        <x:v>Fonte: dashboard ANBIMA, maio/2026. Ranking por PL agregado em cada tipo ANBIMA.</x:v>
      </x:c>
      <x:c r="B90" s="52" t="str">
        <x:v>Fonte: dashboard ANBIMA, maio/2026. Ranking por PL agregado em cada tipo ANBIMA.</x:v>
      </x:c>
      <x:c r="C90" s="52" t="str">
        <x:v>Fonte: dashboard ANBIMA, maio/2026. Ranking por PL agregado em cada tipo ANBIMA.</x:v>
      </x:c>
      <x:c r="D90" s="52" t="str">
        <x:v>Fonte: dashboard ANBIMA, maio/2026. Ranking por PL agregado em cada tipo ANBIMA.</x:v>
      </x:c>
      <x:c r="E90" s="52" t="str">
        <x:v>Fonte: dashboard ANBIMA, maio/2026. Ranking por PL agregado em cada tipo ANBIMA.</x:v>
      </x:c>
      <x:c r="F90" s="52" t="str">
        <x:v>Fonte: dashboard ANBIMA, maio/2026. Ranking por PL agregado em cada tipo ANBIMA.</x:v>
      </x:c>
      <x:c r="G90" s="52" t="str">
        <x:v>Fonte: dashboard ANBIMA, maio/2026. Ranking por PL agregado em cada tipo ANBIMA.</x:v>
      </x:c>
      <x:c r="H90" s="52" t="str">
        <x:v>Fonte: dashboard ANBIMA, maio/2026. Ranking por PL agregado em cada tipo ANBIMA.</x:v>
      </x:c>
      <x:c r="I90" s="52" t="str">
        <x:v>Fonte: dashboard ANBIMA, maio/2026. Ranking por PL agregado em cada tipo ANBIMA.</x:v>
      </x:c>
      <x:c r="J90" s="52" t="str">
        <x:v>Fonte: dashboard ANBIMA, maio/2026. Ranking por PL agregado em cada tipo ANBIMA.</x:v>
      </x:c>
      <x:c r="K90" s="52" t="str">
        <x:v>Fonte: dashboard ANBIMA, maio/2026. Ranking por PL agregado em cada tipo ANBIMA.</x:v>
      </x:c>
      <x:c r="L90" s="52" t="str">
        <x:v>Fonte: dashboard ANBIMA, maio/2026. Ranking por PL agregado em cada tipo ANBIMA.</x:v>
      </x:c>
      <x:c r="M90" s="52" t="str">
        <x:v>Fonte: dashboard ANBIMA, maio/2026. Ranking por PL agregado em cada tipo ANBIMA.</x:v>
      </x:c>
      <x:c r="N90" s="52" t="str">
        <x:v>Fonte: dashboard ANBIMA, maio/2026. Ranking por PL agregado em cada tipo ANBIMA.</x:v>
      </x:c>
    </x:row>
  </x:sheetData>
  <x:mergeCells>
    <x:mergeCell ref="A1:N2"/>
    <x:mergeCell ref="A4:F4"/>
    <x:mergeCell ref="A25:F25"/>
    <x:mergeCell ref="A46:F46"/>
    <x:mergeCell ref="A67:F67"/>
    <x:mergeCell ref="A88:N90"/>
  </x:mergeCells>
  <x:pageMargins left="0.7" right="0.7" top="0.75" bottom="0.75" header="0.3" footer="0.3"/>
  <x:drawing xmlns:r="http://schemas.openxmlformats.org/officeDocument/2006/relationships" r:id="Reb0d8e5f5b5049a6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52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4" t="str">
        <x:v>Top 25 administradores da indústria</x:v>
      </x:c>
      <x:c r="B1" s="4" t="str">
        <x:v>Top 25 administradores da indústria</x:v>
      </x:c>
      <x:c r="C1" s="4" t="str">
        <x:v>Top 25 administradores da indústria</x:v>
      </x:c>
      <x:c r="D1" s="4" t="str">
        <x:v>Top 25 administradores da indústria</x:v>
      </x:c>
      <x:c r="E1" s="4" t="str">
        <x:v>Top 25 administradores da indústria</x:v>
      </x:c>
      <x:c r="F1" s="4" t="str">
        <x:v>Top 25 administradores da indústria</x:v>
      </x:c>
      <x:c r="G1" s="4" t="str">
        <x:v>Top 25 administradores da indústria</x:v>
      </x:c>
      <x:c r="H1" s="4" t="str">
        <x:v>Top 25 administradores da indústria</x:v>
      </x:c>
      <x:c r="I1" s="4" t="str">
        <x:v>Top 25 administradores da indústria</x:v>
      </x:c>
      <x:c r="J1" s="4" t="str">
        <x:v>Top 25 administradores da indústria</x:v>
      </x:c>
      <x:c r="K1" s="4" t="str">
        <x:v>Top 25 administradores da indústria</x:v>
      </x:c>
      <x:c r="L1" s="4" t="str">
        <x:v>Top 25 administradores da indústria</x:v>
      </x:c>
      <x:c r="M1" s="4" t="str">
        <x:v>Top 25 administradores da indústria</x:v>
      </x:c>
      <x:c r="N1" s="4" t="str">
        <x:v>Top 25 administradores da indústria</x:v>
      </x:c>
    </x:row>
    <x:row r="2" ht="30" customHeight="1">
      <x:c r="A2" s="4" t="str">
        <x:v>Top 25 administradores da indústria</x:v>
      </x:c>
      <x:c r="B2" s="4" t="str">
        <x:v>Top 25 administradores da indústria</x:v>
      </x:c>
      <x:c r="C2" s="4" t="str">
        <x:v>Top 25 administradores da indústria</x:v>
      </x:c>
      <x:c r="D2" s="4" t="str">
        <x:v>Top 25 administradores da indústria</x:v>
      </x:c>
      <x:c r="E2" s="4" t="str">
        <x:v>Top 25 administradores da indústria</x:v>
      </x:c>
      <x:c r="F2" s="4" t="str">
        <x:v>Top 25 administradores da indústria</x:v>
      </x:c>
      <x:c r="G2" s="4" t="str">
        <x:v>Top 25 administradores da indústria</x:v>
      </x:c>
      <x:c r="H2" s="4" t="str">
        <x:v>Top 25 administradores da indústria</x:v>
      </x:c>
      <x:c r="I2" s="4" t="str">
        <x:v>Top 25 administradores da indústria</x:v>
      </x:c>
      <x:c r="J2" s="4" t="str">
        <x:v>Top 25 administradores da indústria</x:v>
      </x:c>
      <x:c r="K2" s="4" t="str">
        <x:v>Top 25 administradores da indústria</x:v>
      </x:c>
      <x:c r="L2" s="4" t="str">
        <x:v>Top 25 administradores da indústria</x:v>
      </x:c>
      <x:c r="M2" s="4" t="str">
        <x:v>Top 25 administradores da indústria</x:v>
      </x:c>
      <x:c r="N2" s="4" t="str">
        <x:v>Top 25 administradores da indústria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#</x:v>
      </x:c>
      <x:c r="B4" s="21" t="str">
        <x:v>Administrador</x:v>
      </x:c>
      <x:c r="C4" s="21" t="str">
        <x:v>PL (R$ bi)</x:v>
      </x:c>
      <x:c r="D4" s="21" t="str">
        <x:v>Fundos / classes</x:v>
      </x:c>
      <x:c r="E4" s="22" t="str">
        <x:v>Share</x:v>
      </x:c>
      <x:c r="F4" s="198"/>
      <x:c r="G4" s="198"/>
      <x:c r="H4" s="198"/>
      <x:c r="I4" s="198"/>
      <x:c r="J4" s="198"/>
      <x:c r="K4" s="198"/>
      <x:c r="L4" s="198"/>
      <x:c r="M4" s="198"/>
      <x:c r="N4" s="198"/>
    </x:row>
    <x:row r="5">
      <x:c r="A5" s="110" t="n">
        <x:v>1</x:v>
      </x:c>
      <x:c r="B5" s="110" t="str">
        <x:v>Singulare</x:v>
      </x:c>
      <x:c r="C5" s="119" t="n">
        <x:v>117.12550315522657</x:v>
      </x:c>
      <x:c r="D5" s="110"/>
      <x:c r="E5" s="116" t="n">
        <x:f>C5/(SUM('Base Admins'!$F$6:$F$63)/1000000000)</x:f>
        <x:v>0.15502135017543484</x:v>
      </x:c>
      <x:c r="F5" s="198"/>
      <x:c r="G5" s="198"/>
      <x:c r="H5" s="198"/>
      <x:c r="I5" s="198"/>
      <x:c r="J5" s="198"/>
      <x:c r="K5" s="198"/>
      <x:c r="L5" s="198"/>
      <x:c r="M5" s="198"/>
      <x:c r="N5" s="198"/>
    </x:row>
    <x:row r="6">
      <x:c r="A6" s="111" t="n">
        <x:v>2</x:v>
      </x:c>
      <x:c r="B6" s="111" t="str">
        <x:v>Oliveira Trust DTVM</x:v>
      </x:c>
      <x:c r="C6" s="124" t="n">
        <x:v>95.43419344046004</x:v>
      </x:c>
      <x:c r="D6" s="111"/>
      <x:c r="E6" s="117" t="n">
        <x:f>C6/(SUM('Base Admins'!$F$6:$F$63)/1000000000)</x:f>
        <x:v>0.12631183748629696</x:v>
      </x:c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>
      <x:c r="A7" s="111" t="n">
        <x:v>3</x:v>
      </x:c>
      <x:c r="B7" s="111" t="str">
        <x:v>BTG Pactual Servicos Financeiros S/A DTVM</x:v>
      </x:c>
      <x:c r="C7" s="124" t="n">
        <x:v>82.98820505143762</x:v>
      </x:c>
      <x:c r="D7" s="111"/>
      <x:c r="E7" s="117" t="n">
        <x:f>C7/(SUM('Base Admins'!$F$6:$F$63)/1000000000)</x:f>
        <x:v>0.10983896119242088</x:v>
      </x:c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1" t="n">
        <x:v>4</x:v>
      </x:c>
      <x:c r="B8" s="111" t="str">
        <x:v>BB Asset Management</x:v>
      </x:c>
      <x:c r="C8" s="124" t="n">
        <x:v>60.90074644365</x:v>
      </x:c>
      <x:c r="D8" s="111"/>
      <x:c r="E8" s="117" t="n">
        <x:f>C8/(SUM('Base Admins'!$F$6:$F$63)/1000000000)</x:f>
        <x:v>0.08060512600636922</x:v>
      </x:c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n">
        <x:v>5</x:v>
      </x:c>
      <x:c r="B9" s="111" t="str">
        <x:v>BEM - DIST. DE TÍTUL</x:v>
      </x:c>
      <x:c r="C9" s="124" t="n">
        <x:v>48.8620543896</x:v>
      </x:c>
      <x:c r="D9" s="111"/>
      <x:c r="E9" s="117" t="n">
        <x:f>C9/(SUM('Base Admins'!$F$6:$F$63)/1000000000)</x:f>
        <x:v>0.0646713263957775</x:v>
      </x:c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n">
        <x:v>6</x:v>
      </x:c>
      <x:c r="B10" s="111" t="str">
        <x:v>BANCO DAYCOVAL S/A</x:v>
      </x:c>
      <x:c r="C10" s="124" t="n">
        <x:v>44.243761048533685</x:v>
      </x:c>
      <x:c r="D10" s="111"/>
      <x:c r="E10" s="117" t="n">
        <x:f>C10/(SUM('Base Admins'!$F$6:$F$63)/1000000000)</x:f>
        <x:v>0.05855878856283865</x:v>
      </x:c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n">
        <x:v>7</x:v>
      </x:c>
      <x:c r="B11" s="111" t="str">
        <x:v>INTRAG DIST. DE TÍTU</x:v>
      </x:c>
      <x:c r="C11" s="124" t="n">
        <x:v>29.93565323385001</x:v>
      </x:c>
      <x:c r="D11" s="111"/>
      <x:c r="E11" s="117" t="n">
        <x:f>C11/(SUM('Base Admins'!$F$6:$F$63)/1000000000)</x:f>
        <x:v>0.03962130584442204</x:v>
      </x:c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n">
        <x:v>8</x:v>
      </x:c>
      <x:c r="B12" s="111" t="str">
        <x:v>Banco Genial S.A.</x:v>
      </x:c>
      <x:c r="C12" s="124" t="n">
        <x:v>23.701739418248902</x:v>
      </x:c>
      <x:c r="D12" s="111"/>
      <x:c r="E12" s="117" t="n">
        <x:f>C12/(SUM('Base Admins'!$F$6:$F$63)/1000000000)</x:f>
        <x:v>0.031370415043201545</x:v>
      </x:c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n">
        <x:v>9</x:v>
      </x:c>
      <x:c r="B13" s="111" t="str">
        <x:v>BRL TRUST DTVM</x:v>
      </x:c>
      <x:c r="C13" s="124" t="n">
        <x:v>20.414136402469993</x:v>
      </x:c>
      <x:c r="D13" s="111"/>
      <x:c r="E13" s="117" t="n">
        <x:f>C13/(SUM('Base Admins'!$F$6:$F$63)/1000000000)</x:f>
        <x:v>0.02701911114595007</x:v>
      </x:c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n">
        <x:v>10</x:v>
      </x:c>
      <x:c r="B14" s="111" t="str">
        <x:v>HEMERA DTVM</x:v>
      </x:c>
      <x:c r="C14" s="124" t="n">
        <x:v>20.077561520219998</x:v>
      </x:c>
      <x:c r="D14" s="111"/>
      <x:c r="E14" s="117" t="n">
        <x:f>C14/(SUM('Base Admins'!$F$6:$F$63)/1000000000)</x:f>
        <x:v>0.02657363777528388</x:v>
      </x:c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n">
        <x:v>11</x:v>
      </x:c>
      <x:c r="B15" s="111" t="str">
        <x:v>Genial Investimentos Corretora de Valores Mobiliários S.A.</x:v>
      </x:c>
      <x:c r="C15" s="124" t="n">
        <x:v>17.619748719879997</x:v>
      </x:c>
      <x:c r="D15" s="111"/>
      <x:c r="E15" s="117" t="n">
        <x:f>C15/(SUM('Base Admins'!$F$6:$F$63)/1000000000)</x:f>
        <x:v>0.023320601941728348</x:v>
      </x:c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n">
        <x:v>12</x:v>
      </x:c>
      <x:c r="B16" s="111" t="str">
        <x:v>Finaxis Corretora de Títulos e Valores Mobiliários S.A.</x:v>
      </x:c>
      <x:c r="C16" s="124" t="n">
        <x:v>16.649825185179996</x:v>
      </x:c>
      <x:c r="D16" s="111"/>
      <x:c r="E16" s="117" t="n">
        <x:f>C16/(SUM('Base Admins'!$F$6:$F$63)/1000000000)</x:f>
        <x:v>0.02203686055436497</x:v>
      </x:c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1" t="n">
        <x:v>13</x:v>
      </x:c>
      <x:c r="B17" s="111" t="str">
        <x:v>VERT Distribuidora de Títulos e Valores Mobiliários Ltd</x:v>
      </x:c>
      <x:c r="C17" s="124" t="n">
        <x:v>14.783619117370002</x:v>
      </x:c>
      <x:c r="D17" s="111"/>
      <x:c r="E17" s="117" t="n">
        <x:f>C17/(SUM('Base Admins'!$F$6:$F$63)/1000000000)</x:f>
        <x:v>0.019566845258429954</x:v>
      </x:c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11" t="n">
        <x:v>14</x:v>
      </x:c>
      <x:c r="B18" s="111" t="str">
        <x:v>PLANNER CV</x:v>
      </x:c>
      <x:c r="C18" s="124" t="n">
        <x:v>12.468792373460005</x:v>
      </x:c>
      <x:c r="D18" s="111"/>
      <x:c r="E18" s="117" t="n">
        <x:f>C18/(SUM('Base Admins'!$F$6:$F$63)/1000000000)</x:f>
        <x:v>0.016503058486154132</x:v>
      </x:c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11" t="n">
        <x:v>15</x:v>
      </x:c>
      <x:c r="B19" s="111" t="str">
        <x:v>BNY MELLON SERVICOS</x:v>
      </x:c>
      <x:c r="C19" s="124" t="n">
        <x:v>11.65193501240115</x:v>
      </x:c>
      <x:c r="D19" s="111"/>
      <x:c r="E19" s="117" t="n">
        <x:f>C19/(SUM('Base Admins'!$F$6:$F$63)/1000000000)</x:f>
        <x:v>0.015421907689779215</x:v>
      </x:c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11" t="n">
        <x:v>16</x:v>
      </x:c>
      <x:c r="B20" s="111" t="str">
        <x:v>VÓRTX DTVM</x:v>
      </x:c>
      <x:c r="C20" s="124" t="n">
        <x:v>11.295294154569996</x:v>
      </x:c>
      <x:c r="D20" s="111"/>
      <x:c r="E20" s="117" t="n">
        <x:f>C20/(SUM('Base Admins'!$F$6:$F$63)/1000000000)</x:f>
        <x:v>0.01494987601589655</x:v>
      </x:c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11" t="n">
        <x:v>17</x:v>
      </x:c>
      <x:c r="B21" s="111" t="str">
        <x:v>TRUSTEE DTVM</x:v>
      </x:c>
      <x:c r="C21" s="124" t="n">
        <x:v>10.733597093449998</x:v>
      </x:c>
      <x:c r="D21" s="111"/>
      <x:c r="E21" s="117" t="n">
        <x:f>C21/(SUM('Base Admins'!$F$6:$F$63)/1000000000)</x:f>
        <x:v>0.014206442395901806</x:v>
      </x:c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11" t="n">
        <x:v>18</x:v>
      </x:c>
      <x:c r="B22" s="111" t="str">
        <x:v>MAF Distribuidora de Títulos e Valores Mobiliários S.A.</x:v>
      </x:c>
      <x:c r="C22" s="124" t="n">
        <x:v>10.601394569339995</x:v>
      </x:c>
      <x:c r="D22" s="111"/>
      <x:c r="E22" s="117" t="n">
        <x:f>C22/(SUM('Base Admins'!$F$6:$F$63)/1000000000)</x:f>
        <x:v>0.014031465868740406</x:v>
      </x:c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11" t="n">
        <x:v>19</x:v>
      </x:c>
      <x:c r="B23" s="111" t="str">
        <x:v>ID Corretora de Títulos e Valores Mobiliários S.A.</x:v>
      </x:c>
      <x:c r="C23" s="124" t="n">
        <x:v>9.955182324590002</x:v>
      </x:c>
      <x:c r="D23" s="111"/>
      <x:c r="E23" s="117" t="n">
        <x:f>C23/(SUM('Base Admins'!$F$6:$F$63)/1000000000)</x:f>
        <x:v>0.013176172256483492</x:v>
      </x:c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11" t="n">
        <x:v>20</x:v>
      </x:c>
      <x:c r="B24" s="111" t="str">
        <x:v>FIDD DISTRIBUIDORA DE TITULOS E VALORES MOBILIARIOS LTD</x:v>
      </x:c>
      <x:c r="C24" s="124" t="n">
        <x:v>9.753308535739999</x:v>
      </x:c>
      <x:c r="D24" s="111"/>
      <x:c r="E24" s="117" t="n">
        <x:f>C24/(SUM('Base Admins'!$F$6:$F$63)/1000000000)</x:f>
        <x:v>0.01290898239202602</x:v>
      </x:c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11" t="n">
        <x:v>21</x:v>
      </x:c>
      <x:c r="B25" s="111" t="str">
        <x:v>S3 Caceis Brasil Distribuidora de Títulos e Valores Mob</x:v>
      </x:c>
      <x:c r="C25" s="124" t="n">
        <x:v>9.20264530721085</x:v>
      </x:c>
      <x:c r="D25" s="111"/>
      <x:c r="E25" s="117" t="n">
        <x:f>C25/(SUM('Base Admins'!$F$6:$F$63)/1000000000)</x:f>
        <x:v>0.012180152590839006</x:v>
      </x:c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11" t="n">
        <x:v>22</x:v>
      </x:c>
      <x:c r="B26" s="111" t="str">
        <x:v>Limine Trust Distribuidora de Titulos e Valores Mobiliá</x:v>
      </x:c>
      <x:c r="C26" s="124" t="n">
        <x:v>8.517352452465001</x:v>
      </x:c>
      <x:c r="D26" s="111"/>
      <x:c r="E26" s="117" t="n">
        <x:f>C26/(SUM('Base Admins'!$F$6:$F$63)/1000000000)</x:f>
        <x:v>0.011273133873766892</x:v>
      </x:c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11" t="n">
        <x:v>23</x:v>
      </x:c>
      <x:c r="B27" s="111" t="str">
        <x:v>XPI CCTVM S/A</x:v>
      </x:c>
      <x:c r="C27" s="124" t="n">
        <x:v>8.21451322119</x:v>
      </x:c>
      <x:c r="D27" s="111"/>
      <x:c r="E27" s="117" t="n">
        <x:f>C27/(SUM('Base Admins'!$F$6:$F$63)/1000000000)</x:f>
        <x:v>0.010872311292401984</x:v>
      </x:c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11" t="n">
        <x:v>24</x:v>
      </x:c>
      <x:c r="B28" s="111" t="str">
        <x:v>SEFER DTVM</x:v>
      </x:c>
      <x:c r="C28" s="124" t="n">
        <x:v>7.977639073850001</x:v>
      </x:c>
      <x:c r="D28" s="111"/>
      <x:c r="E28" s="117" t="n">
        <x:f>C28/(SUM('Base Admins'!$F$6:$F$63)/1000000000)</x:f>
        <x:v>0.010558796736194394</x:v>
      </x:c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12" t="n">
        <x:v>25</x:v>
      </x:c>
      <x:c r="B29" s="112" t="str">
        <x:v>Banvox DTVM</x:v>
      </x:c>
      <x:c r="C29" s="120" t="n">
        <x:v>6.2226128128500005</x:v>
      </x:c>
      <x:c r="D29" s="112"/>
      <x:c r="E29" s="118" t="n">
        <x:f>C29/(SUM('Base Admins'!$F$6:$F$63)/1000000000)</x:f>
        <x:v>0.008235933369596984</x:v>
      </x:c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52" t="str">
        <x:v>Fonte: dashboard ANBIMA, maio/2026. PL agregado por administrador; pequenas diferenças contra o card decorrem de categorias sem identificação/duplicidades de contexto do modelo semântico.</x:v>
      </x:c>
      <x:c r="B32" s="52" t="str">
        <x:v>Fonte: dashboard ANBIMA, maio/2026. PL agregado por administrador; pequenas diferenças contra o card decorrem de categorias sem identificação/duplicidades de contexto do modelo semântico.</x:v>
      </x:c>
      <x:c r="C32" s="52" t="str">
        <x:v>Fonte: dashboard ANBIMA, maio/2026. PL agregado por administrador; pequenas diferenças contra o card decorrem de categorias sem identificação/duplicidades de contexto do modelo semântico.</x:v>
      </x:c>
      <x:c r="D32" s="52" t="str">
        <x:v>Fonte: dashboard ANBIMA, maio/2026. PL agregado por administrador; pequenas diferenças contra o card decorrem de categorias sem identificação/duplicidades de contexto do modelo semântico.</x:v>
      </x:c>
      <x:c r="E32" s="52" t="str">
        <x:v>Fonte: dashboard ANBIMA, maio/2026. PL agregado por administrador; pequenas diferenças contra o card decorrem de categorias sem identificação/duplicidades de contexto do modelo semântico.</x:v>
      </x:c>
      <x:c r="F32" s="52" t="str">
        <x:v>Fonte: dashboard ANBIMA, maio/2026. PL agregado por administrador; pequenas diferenças contra o card decorrem de categorias sem identificação/duplicidades de contexto do modelo semântico.</x:v>
      </x:c>
      <x:c r="G32" s="52" t="str">
        <x:v>Fonte: dashboard ANBIMA, maio/2026. PL agregado por administrador; pequenas diferenças contra o card decorrem de categorias sem identificação/duplicidades de contexto do modelo semântico.</x:v>
      </x:c>
      <x:c r="H32" s="52" t="str">
        <x:v>Fonte: dashboard ANBIMA, maio/2026. PL agregado por administrador; pequenas diferenças contra o card decorrem de categorias sem identificação/duplicidades de contexto do modelo semântico.</x:v>
      </x:c>
      <x:c r="I32" s="52" t="str">
        <x:v>Fonte: dashboard ANBIMA, maio/2026. PL agregado por administrador; pequenas diferenças contra o card decorrem de categorias sem identificação/duplicidades de contexto do modelo semântico.</x:v>
      </x:c>
      <x:c r="J32" s="52" t="str">
        <x:v>Fonte: dashboard ANBIMA, maio/2026. PL agregado por administrador; pequenas diferenças contra o card decorrem de categorias sem identificação/duplicidades de contexto do modelo semântico.</x:v>
      </x:c>
      <x:c r="K32" s="52" t="str">
        <x:v>Fonte: dashboard ANBIMA, maio/2026. PL agregado por administrador; pequenas diferenças contra o card decorrem de categorias sem identificação/duplicidades de contexto do modelo semântico.</x:v>
      </x:c>
      <x:c r="L32" s="52" t="str">
        <x:v>Fonte: dashboard ANBIMA, maio/2026. PL agregado por administrador; pequenas diferenças contra o card decorrem de categorias sem identificação/duplicidades de contexto do modelo semântico.</x:v>
      </x:c>
      <x:c r="M32" s="52" t="str">
        <x:v>Fonte: dashboard ANBIMA, maio/2026. PL agregado por administrador; pequenas diferenças contra o card decorrem de categorias sem identificação/duplicidades de contexto do modelo semântico.</x:v>
      </x:c>
      <x:c r="N32" s="52" t="str">
        <x:v>Fonte: dashboard ANBIMA, maio/2026. PL agregado por administrador; pequenas diferenças contra o card decorrem de categorias sem identificação/duplicidades de contexto do modelo semântico.</x:v>
      </x:c>
    </x:row>
    <x:row r="33">
      <x:c r="A33" s="52" t="str">
        <x:v>Fonte: dashboard ANBIMA, maio/2026. PL agregado por administrador; pequenas diferenças contra o card decorrem de categorias sem identificação/duplicidades de contexto do modelo semântico.</x:v>
      </x:c>
      <x:c r="B33" s="52" t="str">
        <x:v>Fonte: dashboard ANBIMA, maio/2026. PL agregado por administrador; pequenas diferenças contra o card decorrem de categorias sem identificação/duplicidades de contexto do modelo semântico.</x:v>
      </x:c>
      <x:c r="C33" s="52" t="str">
        <x:v>Fonte: dashboard ANBIMA, maio/2026. PL agregado por administrador; pequenas diferenças contra o card decorrem de categorias sem identificação/duplicidades de contexto do modelo semântico.</x:v>
      </x:c>
      <x:c r="D33" s="52" t="str">
        <x:v>Fonte: dashboard ANBIMA, maio/2026. PL agregado por administrador; pequenas diferenças contra o card decorrem de categorias sem identificação/duplicidades de contexto do modelo semântico.</x:v>
      </x:c>
      <x:c r="E33" s="52" t="str">
        <x:v>Fonte: dashboard ANBIMA, maio/2026. PL agregado por administrador; pequenas diferenças contra o card decorrem de categorias sem identificação/duplicidades de contexto do modelo semântico.</x:v>
      </x:c>
      <x:c r="F33" s="52" t="str">
        <x:v>Fonte: dashboard ANBIMA, maio/2026. PL agregado por administrador; pequenas diferenças contra o card decorrem de categorias sem identificação/duplicidades de contexto do modelo semântico.</x:v>
      </x:c>
      <x:c r="G33" s="52" t="str">
        <x:v>Fonte: dashboard ANBIMA, maio/2026. PL agregado por administrador; pequenas diferenças contra o card decorrem de categorias sem identificação/duplicidades de contexto do modelo semântico.</x:v>
      </x:c>
      <x:c r="H33" s="52" t="str">
        <x:v>Fonte: dashboard ANBIMA, maio/2026. PL agregado por administrador; pequenas diferenças contra o card decorrem de categorias sem identificação/duplicidades de contexto do modelo semântico.</x:v>
      </x:c>
      <x:c r="I33" s="52" t="str">
        <x:v>Fonte: dashboard ANBIMA, maio/2026. PL agregado por administrador; pequenas diferenças contra o card decorrem de categorias sem identificação/duplicidades de contexto do modelo semântico.</x:v>
      </x:c>
      <x:c r="J33" s="52" t="str">
        <x:v>Fonte: dashboard ANBIMA, maio/2026. PL agregado por administrador; pequenas diferenças contra o card decorrem de categorias sem identificação/duplicidades de contexto do modelo semântico.</x:v>
      </x:c>
      <x:c r="K33" s="52" t="str">
        <x:v>Fonte: dashboard ANBIMA, maio/2026. PL agregado por administrador; pequenas diferenças contra o card decorrem de categorias sem identificação/duplicidades de contexto do modelo semântico.</x:v>
      </x:c>
      <x:c r="L33" s="52" t="str">
        <x:v>Fonte: dashboard ANBIMA, maio/2026. PL agregado por administrador; pequenas diferenças contra o card decorrem de categorias sem identificação/duplicidades de contexto do modelo semântico.</x:v>
      </x:c>
      <x:c r="M33" s="52" t="str">
        <x:v>Fonte: dashboard ANBIMA, maio/2026. PL agregado por administrador; pequenas diferenças contra o card decorrem de categorias sem identificação/duplicidades de contexto do modelo semântico.</x:v>
      </x:c>
      <x:c r="N33" s="52" t="str">
        <x:v>Fonte: dashboard ANBIMA, maio/2026. PL agregado por administrador; pequenas diferenças contra o card decorrem de categorias sem identificação/duplicidades de contexto do modelo semântico.</x:v>
      </x:c>
    </x:row>
    <x:row r="34">
      <x:c r="A34" s="52" t="str">
        <x:v>Fonte: dashboard ANBIMA, maio/2026. PL agregado por administrador; pequenas diferenças contra o card decorrem de categorias sem identificação/duplicidades de contexto do modelo semântico.</x:v>
      </x:c>
      <x:c r="B34" s="52" t="str">
        <x:v>Fonte: dashboard ANBIMA, maio/2026. PL agregado por administrador; pequenas diferenças contra o card decorrem de categorias sem identificação/duplicidades de contexto do modelo semântico.</x:v>
      </x:c>
      <x:c r="C34" s="52" t="str">
        <x:v>Fonte: dashboard ANBIMA, maio/2026. PL agregado por administrador; pequenas diferenças contra o card decorrem de categorias sem identificação/duplicidades de contexto do modelo semântico.</x:v>
      </x:c>
      <x:c r="D34" s="52" t="str">
        <x:v>Fonte: dashboard ANBIMA, maio/2026. PL agregado por administrador; pequenas diferenças contra o card decorrem de categorias sem identificação/duplicidades de contexto do modelo semântico.</x:v>
      </x:c>
      <x:c r="E34" s="52" t="str">
        <x:v>Fonte: dashboard ANBIMA, maio/2026. PL agregado por administrador; pequenas diferenças contra o card decorrem de categorias sem identificação/duplicidades de contexto do modelo semântico.</x:v>
      </x:c>
      <x:c r="F34" s="52" t="str">
        <x:v>Fonte: dashboard ANBIMA, maio/2026. PL agregado por administrador; pequenas diferenças contra o card decorrem de categorias sem identificação/duplicidades de contexto do modelo semântico.</x:v>
      </x:c>
      <x:c r="G34" s="52" t="str">
        <x:v>Fonte: dashboard ANBIMA, maio/2026. PL agregado por administrador; pequenas diferenças contra o card decorrem de categorias sem identificação/duplicidades de contexto do modelo semântico.</x:v>
      </x:c>
      <x:c r="H34" s="52" t="str">
        <x:v>Fonte: dashboard ANBIMA, maio/2026. PL agregado por administrador; pequenas diferenças contra o card decorrem de categorias sem identificação/duplicidades de contexto do modelo semântico.</x:v>
      </x:c>
      <x:c r="I34" s="52" t="str">
        <x:v>Fonte: dashboard ANBIMA, maio/2026. PL agregado por administrador; pequenas diferenças contra o card decorrem de categorias sem identificação/duplicidades de contexto do modelo semântico.</x:v>
      </x:c>
      <x:c r="J34" s="52" t="str">
        <x:v>Fonte: dashboard ANBIMA, maio/2026. PL agregado por administrador; pequenas diferenças contra o card decorrem de categorias sem identificação/duplicidades de contexto do modelo semântico.</x:v>
      </x:c>
      <x:c r="K34" s="52" t="str">
        <x:v>Fonte: dashboard ANBIMA, maio/2026. PL agregado por administrador; pequenas diferenças contra o card decorrem de categorias sem identificação/duplicidades de contexto do modelo semântico.</x:v>
      </x:c>
      <x:c r="L34" s="52" t="str">
        <x:v>Fonte: dashboard ANBIMA, maio/2026. PL agregado por administrador; pequenas diferenças contra o card decorrem de categorias sem identificação/duplicidades de contexto do modelo semântico.</x:v>
      </x:c>
      <x:c r="M34" s="52" t="str">
        <x:v>Fonte: dashboard ANBIMA, maio/2026. PL agregado por administrador; pequenas diferenças contra o card decorrem de categorias sem identificação/duplicidades de contexto do modelo semântico.</x:v>
      </x:c>
      <x:c r="N34" s="52" t="str">
        <x:v>Fonte: dashboard ANBIMA, maio/2026. PL agregado por administrador; pequenas diferenças contra o card decorrem de categorias sem identificação/duplicidades de contexto do modelo semântico.</x:v>
      </x:c>
    </x:row>
  </x:sheetData>
  <x:mergeCells>
    <x:mergeCell ref="A1:N2"/>
    <x:mergeCell ref="A32:N34"/>
  </x:mergeCells>
  <x:pageMargins left="0.7" right="0.7" top="0.75" bottom="0.75" header="0.3" footer="0.3"/>
  <x:drawing xmlns:r="http://schemas.openxmlformats.org/officeDocument/2006/relationships" r:id="R4d40e5df3f3c43c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2" hidden="0" customWidth="1"/>
    <x:col min="3" max="3" width="15" hidden="0" customWidth="1"/>
  </x:cols>
  <x:sheetData>
    <x:row r="1" ht="30" customHeight="1">
      <x:c r="A1" s="4" t="str">
        <x:v>Principais administradores por tipo ANBIMA</x:v>
      </x:c>
      <x:c r="B1" s="4" t="str">
        <x:v>Principais administradores por tipo ANBIMA</x:v>
      </x:c>
      <x:c r="C1" s="4" t="str">
        <x:v>Principais administradores por tipo ANBIMA</x:v>
      </x:c>
      <x:c r="D1" s="4" t="str">
        <x:v>Principais administradores por tipo ANBIMA</x:v>
      </x:c>
      <x:c r="E1" s="4" t="str">
        <x:v>Principais administradores por tipo ANBIMA</x:v>
      </x:c>
      <x:c r="F1" s="4" t="str">
        <x:v>Principais administradores por tipo ANBIMA</x:v>
      </x:c>
      <x:c r="G1" s="4" t="str">
        <x:v>Principais administradores por tipo ANBIMA</x:v>
      </x:c>
      <x:c r="H1" s="4" t="str">
        <x:v>Principais administradores por tipo ANBIMA</x:v>
      </x:c>
      <x:c r="I1" s="4" t="str">
        <x:v>Principais administradores por tipo ANBIMA</x:v>
      </x:c>
      <x:c r="J1" s="4" t="str">
        <x:v>Principais administradores por tipo ANBIMA</x:v>
      </x:c>
      <x:c r="K1" s="4" t="str">
        <x:v>Principais administradores por tipo ANBIMA</x:v>
      </x:c>
      <x:c r="L1" s="4" t="str">
        <x:v>Principais administradores por tipo ANBIMA</x:v>
      </x:c>
      <x:c r="M1" s="4" t="str">
        <x:v>Principais administradores por tipo ANBIMA</x:v>
      </x:c>
      <x:c r="N1" s="4" t="str">
        <x:v>Principais administradores por tipo ANBIMA</x:v>
      </x:c>
    </x:row>
    <x:row r="2" ht="30" customHeight="1">
      <x:c r="A2" s="4" t="str">
        <x:v>Principais administradores por tipo ANBIMA</x:v>
      </x:c>
      <x:c r="B2" s="4" t="str">
        <x:v>Principais administradores por tipo ANBIMA</x:v>
      </x:c>
      <x:c r="C2" s="4" t="str">
        <x:v>Principais administradores por tipo ANBIMA</x:v>
      </x:c>
      <x:c r="D2" s="4" t="str">
        <x:v>Principais administradores por tipo ANBIMA</x:v>
      </x:c>
      <x:c r="E2" s="4" t="str">
        <x:v>Principais administradores por tipo ANBIMA</x:v>
      </x:c>
      <x:c r="F2" s="4" t="str">
        <x:v>Principais administradores por tipo ANBIMA</x:v>
      </x:c>
      <x:c r="G2" s="4" t="str">
        <x:v>Principais administradores por tipo ANBIMA</x:v>
      </x:c>
      <x:c r="H2" s="4" t="str">
        <x:v>Principais administradores por tipo ANBIMA</x:v>
      </x:c>
      <x:c r="I2" s="4" t="str">
        <x:v>Principais administradores por tipo ANBIMA</x:v>
      </x:c>
      <x:c r="J2" s="4" t="str">
        <x:v>Principais administradores por tipo ANBIMA</x:v>
      </x:c>
      <x:c r="K2" s="4" t="str">
        <x:v>Principais administradores por tipo ANBIMA</x:v>
      </x:c>
      <x:c r="L2" s="4" t="str">
        <x:v>Principais administradores por tipo ANBIMA</x:v>
      </x:c>
      <x:c r="M2" s="4" t="str">
        <x:v>Principais administradores por tipo ANBIMA</x:v>
      </x:c>
      <x:c r="N2" s="4" t="str">
        <x:v>Principais administradores por tipo ANBIMA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3" customHeight="1">
      <x:c r="A4" s="153" t="str">
        <x:v>Agro, Indústria e Comércio</x:v>
      </x:c>
      <x:c r="B4" s="153" t="str">
        <x:v>Agro, Indústria e Comércio</x:v>
      </x:c>
      <x:c r="C4" s="153" t="str">
        <x:v>Agro, Indústria e Comércio</x:v>
      </x:c>
      <x:c r="D4" s="153" t="str">
        <x:v>Agro, Indústria e Comércio</x:v>
      </x:c>
      <x:c r="E4" s="153" t="str">
        <x:v>Agro, Indústria e Comércio</x:v>
      </x:c>
      <x:c r="F4" s="153" t="str">
        <x:v>Agro, Indústria e Comércio</x:v>
      </x:c>
      <x:c r="G4" s="198"/>
      <x:c r="H4" s="198"/>
      <x:c r="I4" s="198"/>
      <x:c r="J4" s="198"/>
      <x:c r="K4" s="198"/>
      <x:c r="L4" s="198"/>
      <x:c r="M4" s="198"/>
      <x:c r="N4" s="198"/>
    </x:row>
    <x:row r="5" ht="28" customHeight="1">
      <x:c r="A5" s="20" t="str">
        <x:v>#</x:v>
      </x:c>
      <x:c r="B5" s="21" t="str">
        <x:v>Administrador</x:v>
      </x:c>
      <x:c r="C5" s="22" t="str">
        <x:v>PL (R$ bi)</x:v>
      </x:c>
      <x:c r="D5" s="198"/>
      <x:c r="E5" s="198"/>
      <x:c r="F5" s="198"/>
      <x:c r="G5" s="198"/>
      <x:c r="H5" s="198"/>
      <x:c r="I5" s="198"/>
      <x:c r="J5" s="198"/>
      <x:c r="K5" s="198"/>
      <x:c r="L5" s="198"/>
      <x:c r="M5" s="198"/>
      <x:c r="N5" s="198"/>
    </x:row>
    <x:row r="6">
      <x:c r="A6" s="110" t="n">
        <x:v>1</x:v>
      </x:c>
      <x:c r="B6" s="110" t="str">
        <x:v>BB Asset Management</x:v>
      </x:c>
      <x:c r="C6" s="119" t="n">
        <x:v>60.85011891826</x:v>
      </x:c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>
      <x:c r="A7" s="111" t="n">
        <x:v>2</x:v>
      </x:c>
      <x:c r="B7" s="111" t="str">
        <x:v>BEM - DIST. DE TÍTUL</x:v>
      </x:c>
      <x:c r="C7" s="124" t="n">
        <x:v>12.44095204522</x:v>
      </x:c>
      <x:c r="D7" s="198"/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1" t="n">
        <x:v>3</x:v>
      </x:c>
      <x:c r="B8" s="111" t="str">
        <x:v>Oliveira Trust DTVM</x:v>
      </x:c>
      <x:c r="C8" s="124" t="n">
        <x:v>9.77201719683</x:v>
      </x:c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n">
        <x:v>4</x:v>
      </x:c>
      <x:c r="B9" s="111" t="str">
        <x:v>Singulare</x:v>
      </x:c>
      <x:c r="C9" s="124" t="n">
        <x:v>9.178183291309999</x:v>
      </x:c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n">
        <x:v>5</x:v>
      </x:c>
      <x:c r="B10" s="111" t="str">
        <x:v>Finaxis Corretora de Títulos e Valores Mobiliários S.A.</x:v>
      </x:c>
      <x:c r="C10" s="124" t="n">
        <x:v>7.2737215401199995</x:v>
      </x:c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n">
        <x:v>6</x:v>
      </x:c>
      <x:c r="B11" s="111" t="str">
        <x:v>BANCO DAYCOVAL S/A</x:v>
      </x:c>
      <x:c r="C11" s="124" t="n">
        <x:v>6.992054677983673</x:v>
      </x:c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n">
        <x:v>7</x:v>
      </x:c>
      <x:c r="B12" s="111" t="str">
        <x:v>Banco Genial S.A.</x:v>
      </x:c>
      <x:c r="C12" s="124" t="n">
        <x:v>6.757010343209999</x:v>
      </x:c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n">
        <x:v>8</x:v>
      </x:c>
      <x:c r="B13" s="111" t="str">
        <x:v>S3 Caceis Brasil Distribuidora de Títulos e Valores Mob</x:v>
      </x:c>
      <x:c r="C13" s="124" t="n">
        <x:v>4.86338894347999</x:v>
      </x:c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n">
        <x:v>9</x:v>
      </x:c>
      <x:c r="B14" s="111" t="str">
        <x:v>VERT Distribuidora de Títulos e Valores Mobiliários Ltd</x:v>
      </x:c>
      <x:c r="C14" s="124" t="n">
        <x:v>4.652291203920002</x:v>
      </x:c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n">
        <x:v>10</x:v>
      </x:c>
      <x:c r="B15" s="111" t="str">
        <x:v>HEMERA DTVM</x:v>
      </x:c>
      <x:c r="C15" s="124" t="n">
        <x:v>4.51954593852</x:v>
      </x:c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n">
        <x:v>11</x:v>
      </x:c>
      <x:c r="B16" s="111" t="str">
        <x:v>CATÁLISE DTVM</x:v>
      </x:c>
      <x:c r="C16" s="124" t="n">
        <x:v>3.74883906181</x:v>
      </x:c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1" t="n">
        <x:v>12</x:v>
      </x:c>
      <x:c r="B17" s="111" t="str">
        <x:v>VÓRTX DTVM</x:v>
      </x:c>
      <x:c r="C17" s="124" t="n">
        <x:v>3.64065457344</x:v>
      </x:c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11" t="n">
        <x:v>13</x:v>
      </x:c>
      <x:c r="B18" s="111" t="str">
        <x:v>Genial Investimentos Corretora de Valores Mobiliários S.A.</x:v>
      </x:c>
      <x:c r="C18" s="124" t="n">
        <x:v>3.40014126005</x:v>
      </x:c>
      <x:c r="D18" s="198"/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11" t="n">
        <x:v>14</x:v>
      </x:c>
      <x:c r="B19" s="111" t="str">
        <x:v>INTRAG DIST. DE TÍTU</x:v>
      </x:c>
      <x:c r="C19" s="124" t="n">
        <x:v>3.381119858570001</x:v>
      </x:c>
      <x:c r="D19" s="198"/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12" t="n">
        <x:v>15</x:v>
      </x:c>
      <x:c r="B20" s="112" t="str">
        <x:v>BTG Pactual Servicos Financeiros S/A DTVM</x:v>
      </x:c>
      <x:c r="C20" s="120" t="n">
        <x:v>2.1928271662112</x:v>
      </x:c>
      <x:c r="D20" s="198"/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98"/>
      <x:c r="B21" s="198"/>
      <x:c r="C21" s="198"/>
      <x:c r="D21" s="198"/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98"/>
      <x:c r="B22" s="198"/>
      <x:c r="C22" s="198"/>
      <x:c r="D22" s="198"/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98"/>
      <x:c r="B23" s="198"/>
      <x:c r="C23" s="198"/>
      <x:c r="D23" s="198"/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98"/>
      <x:c r="B24" s="198"/>
      <x:c r="C24" s="198"/>
      <x:c r="D24" s="198"/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 ht="23" customHeight="1">
      <x:c r="A25" s="156" t="str">
        <x:v>Financeiro</x:v>
      </x:c>
      <x:c r="B25" s="156" t="str">
        <x:v>Financeiro</x:v>
      </x:c>
      <x:c r="C25" s="156" t="str">
        <x:v>Financeiro</x:v>
      </x:c>
      <x:c r="D25" s="156" t="str">
        <x:v>Financeiro</x:v>
      </x:c>
      <x:c r="E25" s="156" t="str">
        <x:v>Financeiro</x:v>
      </x:c>
      <x:c r="F25" s="156" t="str">
        <x:v>Financeiro</x:v>
      </x:c>
      <x:c r="G25" s="198"/>
      <x:c r="H25" s="198"/>
      <x:c r="I25" s="198"/>
      <x:c r="J25" s="198"/>
      <x:c r="K25" s="198"/>
      <x:c r="L25" s="198"/>
      <x:c r="M25" s="198"/>
      <x:c r="N25" s="198"/>
    </x:row>
    <x:row r="26" ht="28" customHeight="1">
      <x:c r="A26" s="20" t="str">
        <x:v>#</x:v>
      </x:c>
      <x:c r="B26" s="21" t="str">
        <x:v>Administrador</x:v>
      </x:c>
      <x:c r="C26" s="22" t="str">
        <x:v>PL (R$ bi)</x:v>
      </x:c>
      <x:c r="D26" s="198"/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10" t="n">
        <x:v>1</x:v>
      </x:c>
      <x:c r="B27" s="110" t="str">
        <x:v>Oliveira Trust DTVM</x:v>
      </x:c>
      <x:c r="C27" s="119" t="n">
        <x:v>78.28493622135004</x:v>
      </x:c>
      <x:c r="D27" s="198"/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11" t="n">
        <x:v>2</x:v>
      </x:c>
      <x:c r="B28" s="111" t="str">
        <x:v>BTG Pactual Servicos Financeiros S/A DTVM</x:v>
      </x:c>
      <x:c r="C28" s="124" t="n">
        <x:v>38.82462536629</x:v>
      </x:c>
      <x:c r="D28" s="198"/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11" t="n">
        <x:v>3</x:v>
      </x:c>
      <x:c r="B29" s="111" t="str">
        <x:v>BEM - DIST. DE TÍTUL</x:v>
      </x:c>
      <x:c r="C29" s="124" t="n">
        <x:v>17.14923161734</x:v>
      </x:c>
      <x:c r="D29" s="198"/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11" t="n">
        <x:v>4</x:v>
      </x:c>
      <x:c r="B30" s="111" t="str">
        <x:v>BANCO DAYCOVAL S/A</x:v>
      </x:c>
      <x:c r="C30" s="124" t="n">
        <x:v>14.507296989780013</x:v>
      </x:c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11" t="n">
        <x:v>5</x:v>
      </x:c>
      <x:c r="B31" s="111" t="str">
        <x:v>Banco Genial S.A.</x:v>
      </x:c>
      <x:c r="C31" s="124" t="n">
        <x:v>14.291681166548907</x:v>
      </x:c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111" t="n">
        <x:v>6</x:v>
      </x:c>
      <x:c r="B32" s="111" t="str">
        <x:v>Singulare</x:v>
      </x:c>
      <x:c r="C32" s="124" t="n">
        <x:v>13.490967943730206</x:v>
      </x:c>
      <x:c r="D32" s="198"/>
      <x:c r="E32" s="198"/>
      <x:c r="F32" s="198"/>
      <x:c r="G32" s="198"/>
      <x:c r="H32" s="198"/>
      <x:c r="I32" s="198"/>
      <x:c r="J32" s="198"/>
      <x:c r="K32" s="198"/>
      <x:c r="L32" s="198"/>
      <x:c r="M32" s="198"/>
      <x:c r="N32" s="198"/>
    </x:row>
    <x:row r="33">
      <x:c r="A33" s="111" t="n">
        <x:v>7</x:v>
      </x:c>
      <x:c r="B33" s="111" t="str">
        <x:v>VERT Distribuidora de Títulos e Valores Mobiliários Ltd</x:v>
      </x:c>
      <x:c r="C33" s="124" t="n">
        <x:v>8.275033611199998</x:v>
      </x:c>
      <x:c r="D33" s="198"/>
      <x:c r="E33" s="198"/>
      <x:c r="F33" s="198"/>
      <x:c r="G33" s="198"/>
      <x:c r="H33" s="198"/>
      <x:c r="I33" s="198"/>
      <x:c r="J33" s="198"/>
      <x:c r="K33" s="198"/>
      <x:c r="L33" s="198"/>
      <x:c r="M33" s="198"/>
      <x:c r="N33" s="198"/>
    </x:row>
    <x:row r="34">
      <x:c r="A34" s="111" t="n">
        <x:v>8</x:v>
      </x:c>
      <x:c r="B34" s="111" t="str">
        <x:v>BRL TRUST DTVM</x:v>
      </x:c>
      <x:c r="C34" s="124" t="n">
        <x:v>6.405778025210001</x:v>
      </x:c>
      <x:c r="D34" s="198"/>
      <x:c r="E34" s="198"/>
      <x:c r="F34" s="198"/>
      <x:c r="G34" s="198"/>
      <x:c r="H34" s="198"/>
      <x:c r="I34" s="198"/>
      <x:c r="J34" s="198"/>
      <x:c r="K34" s="198"/>
      <x:c r="L34" s="198"/>
      <x:c r="M34" s="198"/>
      <x:c r="N34" s="198"/>
    </x:row>
    <x:row r="35">
      <x:c r="A35" s="111" t="n">
        <x:v>9</x:v>
      </x:c>
      <x:c r="B35" s="111" t="str">
        <x:v>HEMERA DTVM</x:v>
      </x:c>
      <x:c r="C35" s="124" t="n">
        <x:v>4.163366470769999</x:v>
      </x:c>
      <x:c r="D35" s="198"/>
      <x:c r="E35" s="198"/>
      <x:c r="F35" s="198"/>
      <x:c r="G35" s="198"/>
      <x:c r="H35" s="198"/>
      <x:c r="I35" s="198"/>
      <x:c r="J35" s="198"/>
      <x:c r="K35" s="198"/>
      <x:c r="L35" s="198"/>
      <x:c r="M35" s="198"/>
      <x:c r="N35" s="198"/>
    </x:row>
    <x:row r="36">
      <x:c r="A36" s="111" t="n">
        <x:v>10</x:v>
      </x:c>
      <x:c r="B36" s="111" t="str">
        <x:v>S3 Caceis Brasil Distribuidora de Títulos e Valores Mob</x:v>
      </x:c>
      <x:c r="C36" s="124" t="n">
        <x:v>3.49213016123086</x:v>
      </x:c>
      <x:c r="D36" s="198"/>
      <x:c r="E36" s="198"/>
      <x:c r="F36" s="198"/>
      <x:c r="G36" s="198"/>
      <x:c r="H36" s="198"/>
      <x:c r="I36" s="198"/>
      <x:c r="J36" s="198"/>
      <x:c r="K36" s="198"/>
      <x:c r="L36" s="198"/>
      <x:c r="M36" s="198"/>
      <x:c r="N36" s="198"/>
    </x:row>
    <x:row r="37">
      <x:c r="A37" s="111" t="n">
        <x:v>11</x:v>
      </x:c>
      <x:c r="B37" s="111" t="str">
        <x:v>Genial Investimentos Corretora de Valores Mobiliários S.A.</x:v>
      </x:c>
      <x:c r="C37" s="124" t="n">
        <x:v>2.9697421128799992</x:v>
      </x:c>
      <x:c r="D37" s="198"/>
      <x:c r="E37" s="198"/>
      <x:c r="F37" s="198"/>
      <x:c r="G37" s="198"/>
      <x:c r="H37" s="198"/>
      <x:c r="I37" s="198"/>
      <x:c r="J37" s="198"/>
      <x:c r="K37" s="198"/>
      <x:c r="L37" s="198"/>
      <x:c r="M37" s="198"/>
      <x:c r="N37" s="198"/>
    </x:row>
    <x:row r="38">
      <x:c r="A38" s="111" t="n">
        <x:v>12</x:v>
      </x:c>
      <x:c r="B38" s="111" t="str">
        <x:v>VÓRTX DTVM</x:v>
      </x:c>
      <x:c r="C38" s="124" t="n">
        <x:v>2.9623457103499993</x:v>
      </x:c>
      <x:c r="D38" s="198"/>
      <x:c r="E38" s="198"/>
      <x:c r="F38" s="198"/>
      <x:c r="G38" s="198"/>
      <x:c r="H38" s="198"/>
      <x:c r="I38" s="198"/>
      <x:c r="J38" s="198"/>
      <x:c r="K38" s="198"/>
      <x:c r="L38" s="198"/>
      <x:c r="M38" s="198"/>
      <x:c r="N38" s="198"/>
    </x:row>
    <x:row r="39">
      <x:c r="A39" s="111" t="n">
        <x:v>13</x:v>
      </x:c>
      <x:c r="B39" s="111" t="str">
        <x:v>Limine Trust Distribuidora de Titulos e Valores Mobiliá</x:v>
      </x:c>
      <x:c r="C39" s="124" t="n">
        <x:v>2.751368030930001</x:v>
      </x:c>
      <x:c r="D39" s="198"/>
      <x:c r="E39" s="198"/>
      <x:c r="F39" s="198"/>
      <x:c r="G39" s="198"/>
      <x:c r="H39" s="198"/>
      <x:c r="I39" s="198"/>
      <x:c r="J39" s="198"/>
      <x:c r="K39" s="198"/>
      <x:c r="L39" s="198"/>
      <x:c r="M39" s="198"/>
      <x:c r="N39" s="198"/>
    </x:row>
    <x:row r="40">
      <x:c r="A40" s="111" t="n">
        <x:v>14</x:v>
      </x:c>
      <x:c r="B40" s="111" t="str">
        <x:v>Banvox DTVM</x:v>
      </x:c>
      <x:c r="C40" s="124" t="n">
        <x:v>1.890698051610001</x:v>
      </x:c>
      <x:c r="D40" s="198"/>
      <x:c r="E40" s="198"/>
      <x:c r="F40" s="198"/>
      <x:c r="G40" s="198"/>
      <x:c r="H40" s="198"/>
      <x:c r="I40" s="198"/>
      <x:c r="J40" s="198"/>
      <x:c r="K40" s="198"/>
      <x:c r="L40" s="198"/>
      <x:c r="M40" s="198"/>
      <x:c r="N40" s="198"/>
    </x:row>
    <x:row r="41">
      <x:c r="A41" s="112" t="n">
        <x:v>15</x:v>
      </x:c>
      <x:c r="B41" s="112" t="str">
        <x:v>ID Corretora de Títulos e Valores Mobiliários S.A.</x:v>
      </x:c>
      <x:c r="C41" s="120" t="n">
        <x:v>0.81847463777</x:v>
      </x:c>
      <x:c r="D41" s="198"/>
      <x:c r="E41" s="198"/>
      <x:c r="F41" s="198"/>
      <x:c r="G41" s="198"/>
      <x:c r="H41" s="198"/>
      <x:c r="I41" s="198"/>
      <x:c r="J41" s="198"/>
      <x:c r="K41" s="198"/>
      <x:c r="L41" s="198"/>
      <x:c r="M41" s="198"/>
      <x:c r="N41" s="198"/>
    </x:row>
    <x:row r="42">
      <x:c r="A42" s="198"/>
      <x:c r="B42" s="198"/>
      <x:c r="C42" s="198"/>
      <x:c r="D42" s="198"/>
      <x:c r="E42" s="198"/>
      <x:c r="F42" s="198"/>
      <x:c r="G42" s="198"/>
      <x:c r="H42" s="198"/>
      <x:c r="I42" s="198"/>
      <x:c r="J42" s="198"/>
      <x:c r="K42" s="198"/>
      <x:c r="L42" s="198"/>
      <x:c r="M42" s="198"/>
      <x:c r="N42" s="198"/>
    </x:row>
    <x:row r="43">
      <x:c r="A43" s="198"/>
      <x:c r="B43" s="198"/>
      <x:c r="C43" s="198"/>
      <x:c r="D43" s="198"/>
      <x:c r="E43" s="198"/>
      <x:c r="F43" s="198"/>
      <x:c r="G43" s="198"/>
      <x:c r="H43" s="198"/>
      <x:c r="I43" s="198"/>
      <x:c r="J43" s="198"/>
      <x:c r="K43" s="198"/>
      <x:c r="L43" s="198"/>
      <x:c r="M43" s="198"/>
      <x:c r="N43" s="198"/>
    </x:row>
    <x:row r="44">
      <x:c r="A44" s="198"/>
      <x:c r="B44" s="198"/>
      <x:c r="C44" s="198"/>
      <x:c r="D44" s="198"/>
      <x:c r="E44" s="198"/>
      <x:c r="F44" s="198"/>
      <x:c r="G44" s="198"/>
      <x:c r="H44" s="198"/>
      <x:c r="I44" s="198"/>
      <x:c r="J44" s="198"/>
      <x:c r="K44" s="198"/>
      <x:c r="L44" s="198"/>
      <x:c r="M44" s="198"/>
      <x:c r="N44" s="198"/>
    </x:row>
    <x:row r="45">
      <x:c r="A45" s="198"/>
      <x:c r="B45" s="198"/>
      <x:c r="C45" s="198"/>
      <x:c r="D45" s="198"/>
      <x:c r="E45" s="198"/>
      <x:c r="F45" s="198"/>
      <x:c r="G45" s="198"/>
      <x:c r="H45" s="198"/>
      <x:c r="I45" s="198"/>
      <x:c r="J45" s="198"/>
      <x:c r="K45" s="198"/>
      <x:c r="L45" s="198"/>
      <x:c r="M45" s="198"/>
      <x:c r="N45" s="198"/>
    </x:row>
    <x:row r="46" ht="23" customHeight="1">
      <x:c r="A46" s="159" t="str">
        <x:v>Fomento Mercantil</x:v>
      </x:c>
      <x:c r="B46" s="159" t="str">
        <x:v>Fomento Mercantil</x:v>
      </x:c>
      <x:c r="C46" s="159" t="str">
        <x:v>Fomento Mercantil</x:v>
      </x:c>
      <x:c r="D46" s="159" t="str">
        <x:v>Fomento Mercantil</x:v>
      </x:c>
      <x:c r="E46" s="159" t="str">
        <x:v>Fomento Mercantil</x:v>
      </x:c>
      <x:c r="F46" s="159" t="str">
        <x:v>Fomento Mercantil</x:v>
      </x:c>
      <x:c r="G46" s="198"/>
      <x:c r="H46" s="198"/>
      <x:c r="I46" s="198"/>
      <x:c r="J46" s="198"/>
      <x:c r="K46" s="198"/>
      <x:c r="L46" s="198"/>
      <x:c r="M46" s="198"/>
      <x:c r="N46" s="198"/>
    </x:row>
    <x:row r="47" ht="28" customHeight="1">
      <x:c r="A47" s="20" t="str">
        <x:v>#</x:v>
      </x:c>
      <x:c r="B47" s="21" t="str">
        <x:v>Administrador</x:v>
      </x:c>
      <x:c r="C47" s="22" t="str">
        <x:v>PL (R$ bi)</x:v>
      </x:c>
      <x:c r="D47" s="198"/>
      <x:c r="E47" s="198"/>
      <x:c r="F47" s="198"/>
      <x:c r="G47" s="198"/>
      <x:c r="H47" s="198"/>
      <x:c r="I47" s="198"/>
      <x:c r="J47" s="198"/>
      <x:c r="K47" s="198"/>
      <x:c r="L47" s="198"/>
      <x:c r="M47" s="198"/>
      <x:c r="N47" s="198"/>
    </x:row>
    <x:row r="48">
      <x:c r="A48" s="110" t="n">
        <x:v>1</x:v>
      </x:c>
      <x:c r="B48" s="110" t="str">
        <x:v>Singulare</x:v>
      </x:c>
      <x:c r="C48" s="119" t="n">
        <x:v>59.001395980769736</x:v>
      </x:c>
      <x:c r="D48" s="198"/>
      <x:c r="E48" s="198"/>
      <x:c r="F48" s="198"/>
      <x:c r="G48" s="198"/>
      <x:c r="H48" s="198"/>
      <x:c r="I48" s="198"/>
      <x:c r="J48" s="198"/>
      <x:c r="K48" s="198"/>
      <x:c r="L48" s="198"/>
      <x:c r="M48" s="198"/>
      <x:c r="N48" s="198"/>
    </x:row>
    <x:row r="49">
      <x:c r="A49" s="111" t="n">
        <x:v>2</x:v>
      </x:c>
      <x:c r="B49" s="111" t="str">
        <x:v>HEMERA DTVM</x:v>
      </x:c>
      <x:c r="C49" s="124" t="n">
        <x:v>3.761172744249999</x:v>
      </x:c>
      <x:c r="D49" s="198"/>
      <x:c r="E49" s="198"/>
      <x:c r="F49" s="198"/>
      <x:c r="G49" s="198"/>
      <x:c r="H49" s="198"/>
      <x:c r="I49" s="198"/>
      <x:c r="J49" s="198"/>
      <x:c r="K49" s="198"/>
      <x:c r="L49" s="198"/>
      <x:c r="M49" s="198"/>
      <x:c r="N49" s="198"/>
    </x:row>
    <x:row r="50">
      <x:c r="A50" s="111" t="n">
        <x:v>3</x:v>
      </x:c>
      <x:c r="B50" s="111" t="str">
        <x:v>FIDD DISTRIBUIDORA DE TITULOS E VALORES MOBILIARIOS LTD</x:v>
      </x:c>
      <x:c r="C50" s="124" t="n">
        <x:v>3.4216774577099995</x:v>
      </x:c>
      <x:c r="D50" s="198"/>
      <x:c r="E50" s="198"/>
      <x:c r="F50" s="198"/>
      <x:c r="G50" s="198"/>
      <x:c r="H50" s="198"/>
      <x:c r="I50" s="198"/>
      <x:c r="J50" s="198"/>
      <x:c r="K50" s="198"/>
      <x:c r="L50" s="198"/>
      <x:c r="M50" s="198"/>
      <x:c r="N50" s="198"/>
    </x:row>
    <x:row r="51">
      <x:c r="A51" s="111" t="n">
        <x:v>4</x:v>
      </x:c>
      <x:c r="B51" s="111" t="str">
        <x:v>SEFER DTVM</x:v>
      </x:c>
      <x:c r="C51" s="124" t="n">
        <x:v>3.2308875506200003</x:v>
      </x:c>
      <x:c r="D51" s="198"/>
      <x:c r="E51" s="198"/>
      <x:c r="F51" s="198"/>
      <x:c r="G51" s="198"/>
      <x:c r="H51" s="198"/>
      <x:c r="I51" s="198"/>
      <x:c r="J51" s="198"/>
      <x:c r="K51" s="198"/>
      <x:c r="L51" s="198"/>
      <x:c r="M51" s="198"/>
      <x:c r="N51" s="198"/>
    </x:row>
    <x:row r="52">
      <x:c r="A52" s="111" t="n">
        <x:v>5</x:v>
      </x:c>
      <x:c r="B52" s="111" t="str">
        <x:v>BEM - DIST. DE TÍTUL</x:v>
      </x:c>
      <x:c r="C52" s="124" t="n">
        <x:v>1.92300870515</x:v>
      </x:c>
      <x:c r="D52" s="198"/>
      <x:c r="E52" s="198"/>
      <x:c r="F52" s="198"/>
      <x:c r="G52" s="198"/>
      <x:c r="H52" s="198"/>
      <x:c r="I52" s="198"/>
      <x:c r="J52" s="198"/>
      <x:c r="K52" s="198"/>
      <x:c r="L52" s="198"/>
      <x:c r="M52" s="198"/>
      <x:c r="N52" s="198"/>
    </x:row>
    <x:row r="53">
      <x:c r="A53" s="111" t="n">
        <x:v>6</x:v>
      </x:c>
      <x:c r="B53" s="111" t="str">
        <x:v>Finaxis Corretora de Títulos e Valores Mobiliários S.A.</x:v>
      </x:c>
      <x:c r="C53" s="124" t="n">
        <x:v>1.8521767493399992</x:v>
      </x:c>
      <x:c r="D53" s="198"/>
      <x:c r="E53" s="198"/>
      <x:c r="F53" s="198"/>
      <x:c r="G53" s="198"/>
      <x:c r="H53" s="198"/>
      <x:c r="I53" s="198"/>
      <x:c r="J53" s="198"/>
      <x:c r="K53" s="198"/>
      <x:c r="L53" s="198"/>
      <x:c r="M53" s="198"/>
      <x:c r="N53" s="198"/>
    </x:row>
    <x:row r="54">
      <x:c r="A54" s="111" t="n">
        <x:v>7</x:v>
      </x:c>
      <x:c r="B54" s="111" t="str">
        <x:v>BANCO J. SAFRA S/A</x:v>
      </x:c>
      <x:c r="C54" s="124" t="n">
        <x:v>1.6564230533900002</x:v>
      </x:c>
      <x:c r="D54" s="198"/>
      <x:c r="E54" s="198"/>
      <x:c r="F54" s="198"/>
      <x:c r="G54" s="198"/>
      <x:c r="H54" s="198"/>
      <x:c r="I54" s="198"/>
      <x:c r="J54" s="198"/>
      <x:c r="K54" s="198"/>
      <x:c r="L54" s="198"/>
      <x:c r="M54" s="198"/>
      <x:c r="N54" s="198"/>
    </x:row>
    <x:row r="55">
      <x:c r="A55" s="111" t="n">
        <x:v>8</x:v>
      </x:c>
      <x:c r="B55" s="111" t="str">
        <x:v>ACTUAL DTVM</x:v>
      </x:c>
      <x:c r="C55" s="124" t="n">
        <x:v>1.6554659848999995</x:v>
      </x:c>
      <x:c r="D55" s="198"/>
      <x:c r="E55" s="198"/>
      <x:c r="F55" s="198"/>
      <x:c r="G55" s="198"/>
      <x:c r="H55" s="198"/>
      <x:c r="I55" s="198"/>
      <x:c r="J55" s="198"/>
      <x:c r="K55" s="198"/>
      <x:c r="L55" s="198"/>
      <x:c r="M55" s="198"/>
      <x:c r="N55" s="198"/>
    </x:row>
    <x:row r="56">
      <x:c r="A56" s="111" t="n">
        <x:v>9</x:v>
      </x:c>
      <x:c r="B56" s="111" t="str">
        <x:v>PLANNER CV</x:v>
      </x:c>
      <x:c r="C56" s="124" t="n">
        <x:v>1.19654296464</x:v>
      </x:c>
      <x:c r="D56" s="198"/>
      <x:c r="E56" s="198"/>
      <x:c r="F56" s="198"/>
      <x:c r="G56" s="198"/>
      <x:c r="H56" s="198"/>
      <x:c r="I56" s="198"/>
      <x:c r="J56" s="198"/>
      <x:c r="K56" s="198"/>
      <x:c r="L56" s="198"/>
      <x:c r="M56" s="198"/>
      <x:c r="N56" s="198"/>
    </x:row>
    <x:row r="57">
      <x:c r="A57" s="111" t="n">
        <x:v>10</x:v>
      </x:c>
      <x:c r="B57" s="111" t="str">
        <x:v>INTRAG DIST. DE TÍTU</x:v>
      </x:c>
      <x:c r="C57" s="124" t="n">
        <x:v>1.1677079895199995</x:v>
      </x:c>
      <x:c r="D57" s="198"/>
      <x:c r="E57" s="198"/>
      <x:c r="F57" s="198"/>
      <x:c r="G57" s="198"/>
      <x:c r="H57" s="198"/>
      <x:c r="I57" s="198"/>
      <x:c r="J57" s="198"/>
      <x:c r="K57" s="198"/>
      <x:c r="L57" s="198"/>
      <x:c r="M57" s="198"/>
      <x:c r="N57" s="198"/>
    </x:row>
    <x:row r="58">
      <x:c r="A58" s="111" t="n">
        <x:v>11</x:v>
      </x:c>
      <x:c r="B58" s="111" t="str">
        <x:v>Limine Trust Distribuidora de Titulos e Valores Mobiliá</x:v>
      </x:c>
      <x:c r="C58" s="124" t="n">
        <x:v>1.035457408755</x:v>
      </x:c>
      <x:c r="D58" s="198"/>
      <x:c r="E58" s="198"/>
      <x:c r="F58" s="198"/>
      <x:c r="G58" s="198"/>
      <x:c r="H58" s="198"/>
      <x:c r="I58" s="198"/>
      <x:c r="J58" s="198"/>
      <x:c r="K58" s="198"/>
      <x:c r="L58" s="198"/>
      <x:c r="M58" s="198"/>
      <x:c r="N58" s="198"/>
    </x:row>
    <x:row r="59">
      <x:c r="A59" s="111" t="n">
        <x:v>12</x:v>
      </x:c>
      <x:c r="B59" s="111" t="str">
        <x:v>ID Corretora de Títulos e Valores Mobiliários S.A.</x:v>
      </x:c>
      <x:c r="C59" s="124" t="n">
        <x:v>0.8900443113899998</x:v>
      </x:c>
      <x:c r="D59" s="198"/>
      <x:c r="E59" s="198"/>
      <x:c r="F59" s="198"/>
      <x:c r="G59" s="198"/>
      <x:c r="H59" s="198"/>
      <x:c r="I59" s="198"/>
      <x:c r="J59" s="198"/>
      <x:c r="K59" s="198"/>
      <x:c r="L59" s="198"/>
      <x:c r="M59" s="198"/>
      <x:c r="N59" s="198"/>
    </x:row>
    <x:row r="60">
      <x:c r="A60" s="111" t="n">
        <x:v>13</x:v>
      </x:c>
      <x:c r="B60" s="111" t="str">
        <x:v>BTG Pactual Servicos Financeiros S/A DTVM</x:v>
      </x:c>
      <x:c r="C60" s="124" t="n">
        <x:v>0.8847318374100002</x:v>
      </x:c>
      <x:c r="D60" s="198"/>
      <x:c r="E60" s="198"/>
      <x:c r="F60" s="198"/>
      <x:c r="G60" s="198"/>
      <x:c r="H60" s="198"/>
      <x:c r="I60" s="198"/>
      <x:c r="J60" s="198"/>
      <x:c r="K60" s="198"/>
      <x:c r="L60" s="198"/>
      <x:c r="M60" s="198"/>
      <x:c r="N60" s="198"/>
    </x:row>
    <x:row r="61">
      <x:c r="A61" s="111" t="n">
        <x:v>14</x:v>
      </x:c>
      <x:c r="B61" s="111" t="str">
        <x:v>Banco Finaxis S.A.</x:v>
      </x:c>
      <x:c r="C61" s="124" t="n">
        <x:v>0.77974336917</x:v>
      </x:c>
      <x:c r="D61" s="198"/>
      <x:c r="E61" s="198"/>
      <x:c r="F61" s="198"/>
      <x:c r="G61" s="198"/>
      <x:c r="H61" s="198"/>
      <x:c r="I61" s="198"/>
      <x:c r="J61" s="198"/>
      <x:c r="K61" s="198"/>
      <x:c r="L61" s="198"/>
      <x:c r="M61" s="198"/>
      <x:c r="N61" s="198"/>
    </x:row>
    <x:row r="62">
      <x:c r="A62" s="112" t="n">
        <x:v>15</x:v>
      </x:c>
      <x:c r="B62" s="112" t="str">
        <x:v>AZUMI DISTRIBUIDORA DE TÍTULOS E VALORES MOBILIÁRIOS LT</x:v>
      </x:c>
      <x:c r="C62" s="120" t="n">
        <x:v>0.6446780537199999</x:v>
      </x:c>
      <x:c r="D62" s="198"/>
      <x:c r="E62" s="198"/>
      <x:c r="F62" s="198"/>
      <x:c r="G62" s="198"/>
      <x:c r="H62" s="198"/>
      <x:c r="I62" s="198"/>
      <x:c r="J62" s="198"/>
      <x:c r="K62" s="198"/>
      <x:c r="L62" s="198"/>
      <x:c r="M62" s="198"/>
      <x:c r="N62" s="198"/>
    </x:row>
    <x:row r="63">
      <x:c r="A63" s="198"/>
      <x:c r="B63" s="198"/>
      <x:c r="C63" s="198"/>
      <x:c r="D63" s="198"/>
      <x:c r="E63" s="198"/>
      <x:c r="F63" s="198"/>
      <x:c r="G63" s="198"/>
      <x:c r="H63" s="198"/>
      <x:c r="I63" s="198"/>
      <x:c r="J63" s="198"/>
      <x:c r="K63" s="198"/>
      <x:c r="L63" s="198"/>
      <x:c r="M63" s="198"/>
      <x:c r="N63" s="198"/>
    </x:row>
    <x:row r="64">
      <x:c r="A64" s="198"/>
      <x:c r="B64" s="198"/>
      <x:c r="C64" s="198"/>
      <x:c r="D64" s="198"/>
      <x:c r="E64" s="198"/>
      <x:c r="F64" s="198"/>
      <x:c r="G64" s="198"/>
      <x:c r="H64" s="198"/>
      <x:c r="I64" s="198"/>
      <x:c r="J64" s="198"/>
      <x:c r="K64" s="198"/>
      <x:c r="L64" s="198"/>
      <x:c r="M64" s="198"/>
      <x:c r="N64" s="198"/>
    </x:row>
    <x:row r="65">
      <x:c r="A65" s="198"/>
      <x:c r="B65" s="198"/>
      <x:c r="C65" s="198"/>
      <x:c r="D65" s="198"/>
      <x:c r="E65" s="198"/>
      <x:c r="F65" s="198"/>
      <x:c r="G65" s="198"/>
      <x:c r="H65" s="198"/>
      <x:c r="I65" s="198"/>
      <x:c r="J65" s="198"/>
      <x:c r="K65" s="198"/>
      <x:c r="L65" s="198"/>
      <x:c r="M65" s="198"/>
      <x:c r="N65" s="198"/>
    </x:row>
    <x:row r="66">
      <x:c r="A66" s="198"/>
      <x:c r="B66" s="198"/>
      <x:c r="C66" s="198"/>
      <x:c r="D66" s="198"/>
      <x:c r="E66" s="198"/>
      <x:c r="F66" s="198"/>
      <x:c r="G66" s="198"/>
      <x:c r="H66" s="198"/>
      <x:c r="I66" s="198"/>
      <x:c r="J66" s="198"/>
      <x:c r="K66" s="198"/>
      <x:c r="L66" s="198"/>
      <x:c r="M66" s="198"/>
      <x:c r="N66" s="198"/>
    </x:row>
    <x:row r="67" ht="23" customHeight="1">
      <x:c r="A67" s="162" t="str">
        <x:v>Outros</x:v>
      </x:c>
      <x:c r="B67" s="162" t="str">
        <x:v>Outros</x:v>
      </x:c>
      <x:c r="C67" s="162" t="str">
        <x:v>Outros</x:v>
      </x:c>
      <x:c r="D67" s="162" t="str">
        <x:v>Outros</x:v>
      </x:c>
      <x:c r="E67" s="162" t="str">
        <x:v>Outros</x:v>
      </x:c>
      <x:c r="F67" s="162" t="str">
        <x:v>Outros</x:v>
      </x:c>
      <x:c r="G67" s="198"/>
      <x:c r="H67" s="198"/>
      <x:c r="I67" s="198"/>
      <x:c r="J67" s="198"/>
      <x:c r="K67" s="198"/>
      <x:c r="L67" s="198"/>
      <x:c r="M67" s="198"/>
      <x:c r="N67" s="198"/>
    </x:row>
    <x:row r="68" ht="28" customHeight="1">
      <x:c r="A68" s="20" t="str">
        <x:v>#</x:v>
      </x:c>
      <x:c r="B68" s="21" t="str">
        <x:v>Administrador</x:v>
      </x:c>
      <x:c r="C68" s="22" t="str">
        <x:v>PL (R$ bi)</x:v>
      </x:c>
      <x:c r="D68" s="198"/>
      <x:c r="E68" s="198"/>
      <x:c r="F68" s="198"/>
      <x:c r="G68" s="198"/>
      <x:c r="H68" s="198"/>
      <x:c r="I68" s="198"/>
      <x:c r="J68" s="198"/>
      <x:c r="K68" s="198"/>
      <x:c r="L68" s="198"/>
      <x:c r="M68" s="198"/>
      <x:c r="N68" s="198"/>
    </x:row>
    <x:row r="69">
      <x:c r="A69" s="110" t="n">
        <x:v>1</x:v>
      </x:c>
      <x:c r="B69" s="110" t="str">
        <x:v>BTG Pactual Servicos Financeiros S/A DTVM</x:v>
      </x:c>
      <x:c r="C69" s="119" t="n">
        <x:v>41.08602068152643</x:v>
      </x:c>
      <x:c r="D69" s="198"/>
      <x:c r="E69" s="198"/>
      <x:c r="F69" s="198"/>
      <x:c r="G69" s="198"/>
      <x:c r="H69" s="198"/>
      <x:c r="I69" s="198"/>
      <x:c r="J69" s="198"/>
      <x:c r="K69" s="198"/>
      <x:c r="L69" s="198"/>
      <x:c r="M69" s="198"/>
      <x:c r="N69" s="198"/>
    </x:row>
    <x:row r="70">
      <x:c r="A70" s="111" t="n">
        <x:v>2</x:v>
      </x:c>
      <x:c r="B70" s="111" t="str">
        <x:v>Singulare</x:v>
      </x:c>
      <x:c r="C70" s="124" t="n">
        <x:v>35.45495593941663</x:v>
      </x:c>
      <x:c r="D70" s="198"/>
      <x:c r="E70" s="198"/>
      <x:c r="F70" s="198"/>
      <x:c r="G70" s="198"/>
      <x:c r="H70" s="198"/>
      <x:c r="I70" s="198"/>
      <x:c r="J70" s="198"/>
      <x:c r="K70" s="198"/>
      <x:c r="L70" s="198"/>
      <x:c r="M70" s="198"/>
      <x:c r="N70" s="198"/>
    </x:row>
    <x:row r="71">
      <x:c r="A71" s="111" t="n">
        <x:v>3</x:v>
      </x:c>
      <x:c r="B71" s="111" t="str">
        <x:v>INTRAG DIST. DE TÍTU</x:v>
      </x:c>
      <x:c r="C71" s="124" t="n">
        <x:v>25.38682538576001</x:v>
      </x:c>
      <x:c r="D71" s="198"/>
      <x:c r="E71" s="198"/>
      <x:c r="F71" s="198"/>
      <x:c r="G71" s="198"/>
      <x:c r="H71" s="198"/>
      <x:c r="I71" s="198"/>
      <x:c r="J71" s="198"/>
      <x:c r="K71" s="198"/>
      <x:c r="L71" s="198"/>
      <x:c r="M71" s="198"/>
      <x:c r="N71" s="198"/>
    </x:row>
    <x:row r="72">
      <x:c r="A72" s="111" t="n">
        <x:v>4</x:v>
      </x:c>
      <x:c r="B72" s="111" t="str">
        <x:v>BANCO DAYCOVAL S/A</x:v>
      </x:c>
      <x:c r="C72" s="124" t="n">
        <x:v>22.550133485629996</x:v>
      </x:c>
      <x:c r="D72" s="198"/>
      <x:c r="E72" s="198"/>
      <x:c r="F72" s="198"/>
      <x:c r="G72" s="198"/>
      <x:c r="H72" s="198"/>
      <x:c r="I72" s="198"/>
      <x:c r="J72" s="198"/>
      <x:c r="K72" s="198"/>
      <x:c r="L72" s="198"/>
      <x:c r="M72" s="198"/>
      <x:c r="N72" s="198"/>
    </x:row>
    <x:row r="73">
      <x:c r="A73" s="111" t="n">
        <x:v>5</x:v>
      </x:c>
      <x:c r="B73" s="111" t="str">
        <x:v>BEM - DIST. DE TÍTUL</x:v>
      </x:c>
      <x:c r="C73" s="124" t="n">
        <x:v>17.34886202189</x:v>
      </x:c>
      <x:c r="D73" s="198"/>
      <x:c r="E73" s="198"/>
      <x:c r="F73" s="198"/>
      <x:c r="G73" s="198"/>
      <x:c r="H73" s="198"/>
      <x:c r="I73" s="198"/>
      <x:c r="J73" s="198"/>
      <x:c r="K73" s="198"/>
      <x:c r="L73" s="198"/>
      <x:c r="M73" s="198"/>
      <x:c r="N73" s="198"/>
    </x:row>
    <x:row r="74">
      <x:c r="A74" s="111" t="n">
        <x:v>6</x:v>
      </x:c>
      <x:c r="B74" s="111" t="str">
        <x:v>BRL TRUST DTVM</x:v>
      </x:c>
      <x:c r="C74" s="124" t="n">
        <x:v>11.887771588089995</x:v>
      </x:c>
      <x:c r="D74" s="198"/>
      <x:c r="E74" s="198"/>
      <x:c r="F74" s="198"/>
      <x:c r="G74" s="198"/>
      <x:c r="H74" s="198"/>
      <x:c r="I74" s="198"/>
      <x:c r="J74" s="198"/>
      <x:c r="K74" s="198"/>
      <x:c r="L74" s="198"/>
      <x:c r="M74" s="198"/>
      <x:c r="N74" s="198"/>
    </x:row>
    <x:row r="75">
      <x:c r="A75" s="111" t="n">
        <x:v>7</x:v>
      </x:c>
      <x:c r="B75" s="111" t="str">
        <x:v>BNY MELLON SERVICOS</x:v>
      </x:c>
      <x:c r="C75" s="124" t="n">
        <x:v>11.647029899781149</x:v>
      </x:c>
      <x:c r="D75" s="198"/>
      <x:c r="E75" s="198"/>
      <x:c r="F75" s="198"/>
      <x:c r="G75" s="198"/>
      <x:c r="H75" s="198"/>
      <x:c r="I75" s="198"/>
      <x:c r="J75" s="198"/>
      <x:c r="K75" s="198"/>
      <x:c r="L75" s="198"/>
      <x:c r="M75" s="198"/>
      <x:c r="N75" s="198"/>
    </x:row>
    <x:row r="76">
      <x:c r="A76" s="111" t="n">
        <x:v>8</x:v>
      </x:c>
      <x:c r="B76" s="111" t="str">
        <x:v>Genial Investimentos Corretora de Valores Mobiliários S.A.</x:v>
      </x:c>
      <x:c r="C76" s="124" t="n">
        <x:v>11.210294796319998</x:v>
      </x:c>
      <x:c r="D76" s="198"/>
      <x:c r="E76" s="198"/>
      <x:c r="F76" s="198"/>
      <x:c r="G76" s="198"/>
      <x:c r="H76" s="198"/>
      <x:c r="I76" s="198"/>
      <x:c r="J76" s="198"/>
      <x:c r="K76" s="198"/>
      <x:c r="L76" s="198"/>
      <x:c r="M76" s="198"/>
      <x:c r="N76" s="198"/>
    </x:row>
    <x:row r="77">
      <x:c r="A77" s="111" t="n">
        <x:v>9</x:v>
      </x:c>
      <x:c r="B77" s="111" t="str">
        <x:v>PLANNER CV</x:v>
      </x:c>
      <x:c r="C77" s="124" t="n">
        <x:v>11.050885873010005</x:v>
      </x:c>
      <x:c r="D77" s="198"/>
      <x:c r="E77" s="198"/>
      <x:c r="F77" s="198"/>
      <x:c r="G77" s="198"/>
      <x:c r="H77" s="198"/>
      <x:c r="I77" s="198"/>
      <x:c r="J77" s="198"/>
      <x:c r="K77" s="198"/>
      <x:c r="L77" s="198"/>
      <x:c r="M77" s="198"/>
      <x:c r="N77" s="198"/>
    </x:row>
    <x:row r="78">
      <x:c r="A78" s="111" t="n">
        <x:v>10</x:v>
      </x:c>
      <x:c r="B78" s="111" t="str">
        <x:v>MAF Distribuidora de Títulos e Valores Mobiliários S.A.</x:v>
      </x:c>
      <x:c r="C78" s="124" t="n">
        <x:v>10.384086782119995</x:v>
      </x:c>
      <x:c r="D78" s="198"/>
      <x:c r="E78" s="198"/>
      <x:c r="F78" s="198"/>
      <x:c r="G78" s="198"/>
      <x:c r="H78" s="198"/>
      <x:c r="I78" s="198"/>
      <x:c r="J78" s="198"/>
      <x:c r="K78" s="198"/>
      <x:c r="L78" s="198"/>
      <x:c r="M78" s="198"/>
      <x:c r="N78" s="198"/>
    </x:row>
    <x:row r="79">
      <x:c r="A79" s="111" t="n">
        <x:v>11</x:v>
      </x:c>
      <x:c r="B79" s="111" t="str">
        <x:v>TRUSTEE DTVM</x:v>
      </x:c>
      <x:c r="C79" s="124" t="n">
        <x:v>10.358627755149998</x:v>
      </x:c>
      <x:c r="D79" s="198"/>
      <x:c r="E79" s="198"/>
      <x:c r="F79" s="198"/>
      <x:c r="G79" s="198"/>
      <x:c r="H79" s="198"/>
      <x:c r="I79" s="198"/>
      <x:c r="J79" s="198"/>
      <x:c r="K79" s="198"/>
      <x:c r="L79" s="198"/>
      <x:c r="M79" s="198"/>
      <x:c r="N79" s="198"/>
    </x:row>
    <x:row r="80">
      <x:c r="A80" s="111" t="n">
        <x:v>12</x:v>
      </x:c>
      <x:c r="B80" s="111" t="str">
        <x:v>ID Corretora de Títulos e Valores Mobiliários S.A.</x:v>
      </x:c>
      <x:c r="C80" s="124" t="n">
        <x:v>8.003837279730002</x:v>
      </x:c>
      <x:c r="D80" s="198"/>
      <x:c r="E80" s="198"/>
      <x:c r="F80" s="198"/>
      <x:c r="G80" s="198"/>
      <x:c r="H80" s="198"/>
      <x:c r="I80" s="198"/>
      <x:c r="J80" s="198"/>
      <x:c r="K80" s="198"/>
      <x:c r="L80" s="198"/>
      <x:c r="M80" s="198"/>
      <x:c r="N80" s="198"/>
    </x:row>
    <x:row r="81">
      <x:c r="A81" s="111" t="n">
        <x:v>13</x:v>
      </x:c>
      <x:c r="B81" s="111" t="str">
        <x:v>HEMERA DTVM</x:v>
      </x:c>
      <x:c r="C81" s="124" t="n">
        <x:v>7.63347636668</x:v>
      </x:c>
      <x:c r="D81" s="198"/>
      <x:c r="E81" s="198"/>
      <x:c r="F81" s="198"/>
      <x:c r="G81" s="198"/>
      <x:c r="H81" s="198"/>
      <x:c r="I81" s="198"/>
      <x:c r="J81" s="198"/>
      <x:c r="K81" s="198"/>
      <x:c r="L81" s="198"/>
      <x:c r="M81" s="198"/>
      <x:c r="N81" s="198"/>
    </x:row>
    <x:row r="82">
      <x:c r="A82" s="111" t="n">
        <x:v>14</x:v>
      </x:c>
      <x:c r="B82" s="111" t="str">
        <x:v>Finaxis Corretora de Títulos e Valores Mobiliários S.A.</x:v>
      </x:c>
      <x:c r="C82" s="124" t="n">
        <x:v>7.280601995619998</x:v>
      </x:c>
      <x:c r="D82" s="198"/>
      <x:c r="E82" s="198"/>
      <x:c r="F82" s="198"/>
      <x:c r="G82" s="198"/>
      <x:c r="H82" s="198"/>
      <x:c r="I82" s="198"/>
      <x:c r="J82" s="198"/>
      <x:c r="K82" s="198"/>
      <x:c r="L82" s="198"/>
      <x:c r="M82" s="198"/>
      <x:c r="N82" s="198"/>
    </x:row>
    <x:row r="83">
      <x:c r="A83" s="112" t="n">
        <x:v>15</x:v>
      </x:c>
      <x:c r="B83" s="112" t="str">
        <x:v>Oliveira Trust DTVM</x:v>
      </x:c>
      <x:c r="C83" s="120" t="n">
        <x:v>6.96667653748</x:v>
      </x:c>
      <x:c r="D83" s="198"/>
      <x:c r="E83" s="198"/>
      <x:c r="F83" s="198"/>
      <x:c r="G83" s="198"/>
      <x:c r="H83" s="198"/>
      <x:c r="I83" s="198"/>
      <x:c r="J83" s="198"/>
      <x:c r="K83" s="198"/>
      <x:c r="L83" s="198"/>
      <x:c r="M83" s="198"/>
      <x:c r="N83" s="198"/>
    </x:row>
    <x:row r="84">
      <x:c r="A84" s="198"/>
      <x:c r="B84" s="198"/>
      <x:c r="C84" s="198"/>
      <x:c r="D84" s="198"/>
      <x:c r="E84" s="198"/>
      <x:c r="F84" s="198"/>
      <x:c r="G84" s="198"/>
      <x:c r="H84" s="198"/>
      <x:c r="I84" s="198"/>
      <x:c r="J84" s="198"/>
      <x:c r="K84" s="198"/>
      <x:c r="L84" s="198"/>
      <x:c r="M84" s="198"/>
      <x:c r="N84" s="198"/>
    </x:row>
    <x:row r="85">
      <x:c r="A85" s="198"/>
      <x:c r="B85" s="198"/>
      <x:c r="C85" s="198"/>
      <x:c r="D85" s="198"/>
      <x:c r="E85" s="198"/>
      <x:c r="F85" s="198"/>
      <x:c r="G85" s="198"/>
      <x:c r="H85" s="198"/>
      <x:c r="I85" s="198"/>
      <x:c r="J85" s="198"/>
      <x:c r="K85" s="198"/>
      <x:c r="L85" s="198"/>
      <x:c r="M85" s="198"/>
      <x:c r="N85" s="198"/>
    </x:row>
    <x:row r="86">
      <x:c r="A86" s="198"/>
      <x:c r="B86" s="198"/>
      <x:c r="C86" s="198"/>
      <x:c r="D86" s="198"/>
      <x:c r="E86" s="198"/>
      <x:c r="F86" s="198"/>
      <x:c r="G86" s="198"/>
      <x:c r="H86" s="198"/>
      <x:c r="I86" s="198"/>
      <x:c r="J86" s="198"/>
      <x:c r="K86" s="198"/>
      <x:c r="L86" s="198"/>
      <x:c r="M86" s="198"/>
      <x:c r="N86" s="198"/>
    </x:row>
    <x:row r="87">
      <x:c r="A87" s="198"/>
      <x:c r="B87" s="198"/>
      <x:c r="C87" s="198"/>
      <x:c r="D87" s="198"/>
      <x:c r="E87" s="198"/>
      <x:c r="F87" s="198"/>
      <x:c r="G87" s="198"/>
      <x:c r="H87" s="198"/>
      <x:c r="I87" s="198"/>
      <x:c r="J87" s="198"/>
      <x:c r="K87" s="198"/>
      <x:c r="L87" s="198"/>
      <x:c r="M87" s="198"/>
      <x:c r="N87" s="198"/>
    </x:row>
    <x:row r="88">
      <x:c r="A88" s="52" t="str">
        <x:v>Fonte: dashboard ANBIMA, maio/2026. Ranking por PL agregado em cada tipo ANBIMA.</x:v>
      </x:c>
      <x:c r="B88" s="52" t="str">
        <x:v>Fonte: dashboard ANBIMA, maio/2026. Ranking por PL agregado em cada tipo ANBIMA.</x:v>
      </x:c>
      <x:c r="C88" s="52" t="str">
        <x:v>Fonte: dashboard ANBIMA, maio/2026. Ranking por PL agregado em cada tipo ANBIMA.</x:v>
      </x:c>
      <x:c r="D88" s="52" t="str">
        <x:v>Fonte: dashboard ANBIMA, maio/2026. Ranking por PL agregado em cada tipo ANBIMA.</x:v>
      </x:c>
      <x:c r="E88" s="52" t="str">
        <x:v>Fonte: dashboard ANBIMA, maio/2026. Ranking por PL agregado em cada tipo ANBIMA.</x:v>
      </x:c>
      <x:c r="F88" s="52" t="str">
        <x:v>Fonte: dashboard ANBIMA, maio/2026. Ranking por PL agregado em cada tipo ANBIMA.</x:v>
      </x:c>
      <x:c r="G88" s="52" t="str">
        <x:v>Fonte: dashboard ANBIMA, maio/2026. Ranking por PL agregado em cada tipo ANBIMA.</x:v>
      </x:c>
      <x:c r="H88" s="52" t="str">
        <x:v>Fonte: dashboard ANBIMA, maio/2026. Ranking por PL agregado em cada tipo ANBIMA.</x:v>
      </x:c>
      <x:c r="I88" s="52" t="str">
        <x:v>Fonte: dashboard ANBIMA, maio/2026. Ranking por PL agregado em cada tipo ANBIMA.</x:v>
      </x:c>
      <x:c r="J88" s="52" t="str">
        <x:v>Fonte: dashboard ANBIMA, maio/2026. Ranking por PL agregado em cada tipo ANBIMA.</x:v>
      </x:c>
      <x:c r="K88" s="52" t="str">
        <x:v>Fonte: dashboard ANBIMA, maio/2026. Ranking por PL agregado em cada tipo ANBIMA.</x:v>
      </x:c>
      <x:c r="L88" s="52" t="str">
        <x:v>Fonte: dashboard ANBIMA, maio/2026. Ranking por PL agregado em cada tipo ANBIMA.</x:v>
      </x:c>
      <x:c r="M88" s="52" t="str">
        <x:v>Fonte: dashboard ANBIMA, maio/2026. Ranking por PL agregado em cada tipo ANBIMA.</x:v>
      </x:c>
      <x:c r="N88" s="52" t="str">
        <x:v>Fonte: dashboard ANBIMA, maio/2026. Ranking por PL agregado em cada tipo ANBIMA.</x:v>
      </x:c>
    </x:row>
    <x:row r="89">
      <x:c r="A89" s="52" t="str">
        <x:v>Fonte: dashboard ANBIMA, maio/2026. Ranking por PL agregado em cada tipo ANBIMA.</x:v>
      </x:c>
      <x:c r="B89" s="52" t="str">
        <x:v>Fonte: dashboard ANBIMA, maio/2026. Ranking por PL agregado em cada tipo ANBIMA.</x:v>
      </x:c>
      <x:c r="C89" s="52" t="str">
        <x:v>Fonte: dashboard ANBIMA, maio/2026. Ranking por PL agregado em cada tipo ANBIMA.</x:v>
      </x:c>
      <x:c r="D89" s="52" t="str">
        <x:v>Fonte: dashboard ANBIMA, maio/2026. Ranking por PL agregado em cada tipo ANBIMA.</x:v>
      </x:c>
      <x:c r="E89" s="52" t="str">
        <x:v>Fonte: dashboard ANBIMA, maio/2026. Ranking por PL agregado em cada tipo ANBIMA.</x:v>
      </x:c>
      <x:c r="F89" s="52" t="str">
        <x:v>Fonte: dashboard ANBIMA, maio/2026. Ranking por PL agregado em cada tipo ANBIMA.</x:v>
      </x:c>
      <x:c r="G89" s="52" t="str">
        <x:v>Fonte: dashboard ANBIMA, maio/2026. Ranking por PL agregado em cada tipo ANBIMA.</x:v>
      </x:c>
      <x:c r="H89" s="52" t="str">
        <x:v>Fonte: dashboard ANBIMA, maio/2026. Ranking por PL agregado em cada tipo ANBIMA.</x:v>
      </x:c>
      <x:c r="I89" s="52" t="str">
        <x:v>Fonte: dashboard ANBIMA, maio/2026. Ranking por PL agregado em cada tipo ANBIMA.</x:v>
      </x:c>
      <x:c r="J89" s="52" t="str">
        <x:v>Fonte: dashboard ANBIMA, maio/2026. Ranking por PL agregado em cada tipo ANBIMA.</x:v>
      </x:c>
      <x:c r="K89" s="52" t="str">
        <x:v>Fonte: dashboard ANBIMA, maio/2026. Ranking por PL agregado em cada tipo ANBIMA.</x:v>
      </x:c>
      <x:c r="L89" s="52" t="str">
        <x:v>Fonte: dashboard ANBIMA, maio/2026. Ranking por PL agregado em cada tipo ANBIMA.</x:v>
      </x:c>
      <x:c r="M89" s="52" t="str">
        <x:v>Fonte: dashboard ANBIMA, maio/2026. Ranking por PL agregado em cada tipo ANBIMA.</x:v>
      </x:c>
      <x:c r="N89" s="52" t="str">
        <x:v>Fonte: dashboard ANBIMA, maio/2026. Ranking por PL agregado em cada tipo ANBIMA.</x:v>
      </x:c>
    </x:row>
    <x:row r="90">
      <x:c r="A90" s="52" t="str">
        <x:v>Fonte: dashboard ANBIMA, maio/2026. Ranking por PL agregado em cada tipo ANBIMA.</x:v>
      </x:c>
      <x:c r="B90" s="52" t="str">
        <x:v>Fonte: dashboard ANBIMA, maio/2026. Ranking por PL agregado em cada tipo ANBIMA.</x:v>
      </x:c>
      <x:c r="C90" s="52" t="str">
        <x:v>Fonte: dashboard ANBIMA, maio/2026. Ranking por PL agregado em cada tipo ANBIMA.</x:v>
      </x:c>
      <x:c r="D90" s="52" t="str">
        <x:v>Fonte: dashboard ANBIMA, maio/2026. Ranking por PL agregado em cada tipo ANBIMA.</x:v>
      </x:c>
      <x:c r="E90" s="52" t="str">
        <x:v>Fonte: dashboard ANBIMA, maio/2026. Ranking por PL agregado em cada tipo ANBIMA.</x:v>
      </x:c>
      <x:c r="F90" s="52" t="str">
        <x:v>Fonte: dashboard ANBIMA, maio/2026. Ranking por PL agregado em cada tipo ANBIMA.</x:v>
      </x:c>
      <x:c r="G90" s="52" t="str">
        <x:v>Fonte: dashboard ANBIMA, maio/2026. Ranking por PL agregado em cada tipo ANBIMA.</x:v>
      </x:c>
      <x:c r="H90" s="52" t="str">
        <x:v>Fonte: dashboard ANBIMA, maio/2026. Ranking por PL agregado em cada tipo ANBIMA.</x:v>
      </x:c>
      <x:c r="I90" s="52" t="str">
        <x:v>Fonte: dashboard ANBIMA, maio/2026. Ranking por PL agregado em cada tipo ANBIMA.</x:v>
      </x:c>
      <x:c r="J90" s="52" t="str">
        <x:v>Fonte: dashboard ANBIMA, maio/2026. Ranking por PL agregado em cada tipo ANBIMA.</x:v>
      </x:c>
      <x:c r="K90" s="52" t="str">
        <x:v>Fonte: dashboard ANBIMA, maio/2026. Ranking por PL agregado em cada tipo ANBIMA.</x:v>
      </x:c>
      <x:c r="L90" s="52" t="str">
        <x:v>Fonte: dashboard ANBIMA, maio/2026. Ranking por PL agregado em cada tipo ANBIMA.</x:v>
      </x:c>
      <x:c r="M90" s="52" t="str">
        <x:v>Fonte: dashboard ANBIMA, maio/2026. Ranking por PL agregado em cada tipo ANBIMA.</x:v>
      </x:c>
      <x:c r="N90" s="52" t="str">
        <x:v>Fonte: dashboard ANBIMA, maio/2026. Ranking por PL agregado em cada tipo ANBIMA.</x:v>
      </x:c>
    </x:row>
  </x:sheetData>
  <x:mergeCells>
    <x:mergeCell ref="A1:N2"/>
    <x:mergeCell ref="A4:F4"/>
    <x:mergeCell ref="A25:F25"/>
    <x:mergeCell ref="A46:F46"/>
    <x:mergeCell ref="A67:F67"/>
    <x:mergeCell ref="A88:N90"/>
  </x:mergeCells>
  <x:pageMargins left="0.7" right="0.7" top="0.75" bottom="0.75" header="0.3" footer="0.3"/>
  <x:drawing xmlns:r="http://schemas.openxmlformats.org/officeDocument/2006/relationships" r:id="Raf925b1a55d3453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55" hidden="0" customWidth="1"/>
    <x:col min="3" max="3" width="16" hidden="0" customWidth="1"/>
    <x:col min="4" max="4" width="16" hidden="0" customWidth="1"/>
  </x:cols>
  <x:sheetData>
    <x:row r="1" ht="30" customHeight="1">
      <x:c r="A1" s="4" t="str">
        <x:v>Custódia permanece concentrada em grandes plataformas</x:v>
      </x:c>
      <x:c r="B1" s="4" t="str">
        <x:v>Custódia permanece concentrada em grandes plataformas</x:v>
      </x:c>
      <x:c r="C1" s="4" t="str">
        <x:v>Custódia permanece concentrada em grandes plataformas</x:v>
      </x:c>
      <x:c r="D1" s="4" t="str">
        <x:v>Custódia permanece concentrada em grandes plataformas</x:v>
      </x:c>
      <x:c r="E1" s="4" t="str">
        <x:v>Custódia permanece concentrada em grandes plataformas</x:v>
      </x:c>
      <x:c r="F1" s="4" t="str">
        <x:v>Custódia permanece concentrada em grandes plataformas</x:v>
      </x:c>
      <x:c r="G1" s="4" t="str">
        <x:v>Custódia permanece concentrada em grandes plataformas</x:v>
      </x:c>
      <x:c r="H1" s="4" t="str">
        <x:v>Custódia permanece concentrada em grandes plataformas</x:v>
      </x:c>
      <x:c r="I1" s="4" t="str">
        <x:v>Custódia permanece concentrada em grandes plataformas</x:v>
      </x:c>
      <x:c r="J1" s="4" t="str">
        <x:v>Custódia permanece concentrada em grandes plataformas</x:v>
      </x:c>
      <x:c r="K1" s="4" t="str">
        <x:v>Custódia permanece concentrada em grandes plataformas</x:v>
      </x:c>
      <x:c r="L1" s="4" t="str">
        <x:v>Custódia permanece concentrada em grandes plataformas</x:v>
      </x:c>
      <x:c r="M1" s="4" t="str">
        <x:v>Custódia permanece concentrada em grandes plataformas</x:v>
      </x:c>
      <x:c r="N1" s="4" t="str">
        <x:v>Custódia permanece concentrada em grandes plataformas</x:v>
      </x:c>
    </x:row>
    <x:row r="2" ht="30" customHeight="1">
      <x:c r="A2" s="4" t="str">
        <x:v>Custódia permanece concentrada em grandes plataformas</x:v>
      </x:c>
      <x:c r="B2" s="4" t="str">
        <x:v>Custódia permanece concentrada em grandes plataformas</x:v>
      </x:c>
      <x:c r="C2" s="4" t="str">
        <x:v>Custódia permanece concentrada em grandes plataformas</x:v>
      </x:c>
      <x:c r="D2" s="4" t="str">
        <x:v>Custódia permanece concentrada em grandes plataformas</x:v>
      </x:c>
      <x:c r="E2" s="4" t="str">
        <x:v>Custódia permanece concentrada em grandes plataformas</x:v>
      </x:c>
      <x:c r="F2" s="4" t="str">
        <x:v>Custódia permanece concentrada em grandes plataformas</x:v>
      </x:c>
      <x:c r="G2" s="4" t="str">
        <x:v>Custódia permanece concentrada em grandes plataformas</x:v>
      </x:c>
      <x:c r="H2" s="4" t="str">
        <x:v>Custódia permanece concentrada em grandes plataformas</x:v>
      </x:c>
      <x:c r="I2" s="4" t="str">
        <x:v>Custódia permanece concentrada em grandes plataformas</x:v>
      </x:c>
      <x:c r="J2" s="4" t="str">
        <x:v>Custódia permanece concentrada em grandes plataformas</x:v>
      </x:c>
      <x:c r="K2" s="4" t="str">
        <x:v>Custódia permanece concentrada em grandes plataformas</x:v>
      </x:c>
      <x:c r="L2" s="4" t="str">
        <x:v>Custódia permanece concentrada em grandes plataformas</x:v>
      </x:c>
      <x:c r="M2" s="4" t="str">
        <x:v>Custódia permanece concentrada em grandes plataformas</x:v>
      </x:c>
      <x:c r="N2" s="4" t="str">
        <x:v>Custódia permanece concentrada em grandes plataformas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#</x:v>
      </x:c>
      <x:c r="B4" s="21" t="str">
        <x:v>Custodiante</x:v>
      </x:c>
      <x:c r="C4" s="21" t="str">
        <x:v>PL (R$ bi)</x:v>
      </x:c>
      <x:c r="D4" s="22" t="str">
        <x:v>Fundos</x:v>
      </x:c>
      <x:c r="E4" s="198"/>
      <x:c r="F4" s="198"/>
      <x:c r="G4" s="198"/>
      <x:c r="H4" s="198"/>
      <x:c r="I4" s="198"/>
      <x:c r="J4" s="198"/>
      <x:c r="K4" s="198"/>
      <x:c r="L4" s="198"/>
      <x:c r="M4" s="198"/>
      <x:c r="N4" s="198"/>
    </x:row>
    <x:row r="5">
      <x:c r="A5" s="110" t="n">
        <x:v>1</x:v>
      </x:c>
      <x:c r="B5" s="110" t="str">
        <x:v>QI CORRETORA DE TÍTULOS E VALORES MOBILIÁRIOS S.A.</x:v>
      </x:c>
      <x:c r="C5" s="119" t="n">
        <x:v>116.43178628288658</x:v>
      </x:c>
      <x:c r="D5" s="113" t="n">
        <x:v>620</x:v>
      </x:c>
      <x:c r="E5" s="198"/>
      <x:c r="F5" s="198"/>
      <x:c r="G5" s="198"/>
      <x:c r="H5" s="198"/>
      <x:c r="I5" s="198"/>
      <x:c r="J5" s="198"/>
      <x:c r="K5" s="198"/>
      <x:c r="L5" s="198"/>
      <x:c r="M5" s="198"/>
      <x:c r="N5" s="198"/>
    </x:row>
    <x:row r="6">
      <x:c r="A6" s="111" t="n">
        <x:v>2</x:v>
      </x:c>
      <x:c r="B6" s="111" t="str">
        <x:v>OLIVEIRA TRUST DTVM S.A.</x:v>
      </x:c>
      <x:c r="C6" s="124" t="n">
        <x:v>105.41701208289</x:v>
      </x:c>
      <x:c r="D6" s="114" t="n">
        <x:v>181</x:v>
      </x:c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>
      <x:c r="A7" s="111" t="n">
        <x:v>3</x:v>
      </x:c>
      <x:c r="B7" s="111" t="str">
        <x:v>BANCO BTG PACTUAL S/A</x:v>
      </x:c>
      <x:c r="C7" s="124" t="n">
        <x:v>81.6119382617276</x:v>
      </x:c>
      <x:c r="D7" s="114" t="n">
        <x:v>231</x:v>
      </x:c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1" t="n">
        <x:v>4</x:v>
      </x:c>
      <x:c r="B8" s="111" t="str">
        <x:v>BANCO DO BRASIL S.A.</x:v>
      </x:c>
      <x:c r="C8" s="124" t="n">
        <x:v>60.841973938879995</x:v>
      </x:c>
      <x:c r="D8" s="114" t="n">
        <x:v>1</x:v>
      </x:c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n">
        <x:v>5</x:v>
      </x:c>
      <x:c r="B9" s="111" t="str">
        <x:v>BANCO DAYCOVAL S.A.</x:v>
      </x:c>
      <x:c r="C9" s="124" t="n">
        <x:v>49.54807670694</x:v>
      </x:c>
      <x:c r="D9" s="114" t="n">
        <x:v>372</x:v>
      </x:c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1" t="n">
        <x:v>6</x:v>
      </x:c>
      <x:c r="B10" s="111" t="str">
        <x:v>BANCO BRADESCO S.A.</x:v>
      </x:c>
      <x:c r="C10" s="124" t="n">
        <x:v>47.618545718540005</x:v>
      </x:c>
      <x:c r="D10" s="114" t="n">
        <x:v>36</x:v>
      </x:c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11" t="n">
        <x:v>7</x:v>
      </x:c>
      <x:c r="B11" s="111" t="str">
        <x:v>BANCO GENIAL S.A.</x:v>
      </x:c>
      <x:c r="C11" s="124" t="n">
        <x:v>36.16873953557891</x:v>
      </x:c>
      <x:c r="D11" s="114" t="n">
        <x:v>101</x:v>
      </x:c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11" t="n">
        <x:v>8</x:v>
      </x:c>
      <x:c r="B12" s="111" t="str">
        <x:v>BANCO FINAXIS S.A.</x:v>
      </x:c>
      <x:c r="C12" s="124" t="n">
        <x:v>21.69954653893</x:v>
      </x:c>
      <x:c r="D12" s="114" t="n">
        <x:v>78</x:v>
      </x:c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111" t="n">
        <x:v>9</x:v>
      </x:c>
      <x:c r="B13" s="111" t="str">
        <x:v>BRL TRUST DISTRIBUIDORA DE TITULOS E VALORES MOBILIARIOS S.A.</x:v>
      </x:c>
      <x:c r="C13" s="124" t="n">
        <x:v>20.23426801473</x:v>
      </x:c>
      <x:c r="D13" s="114" t="n">
        <x:v>124</x:v>
      </x:c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111" t="n">
        <x:v>10</x:v>
      </x:c>
      <x:c r="B14" s="111" t="str">
        <x:v>HEMERA DISTRIBUIDORA DE TITULOS E VALORES MOBILIARIOS LTDA</x:v>
      </x:c>
      <x:c r="C14" s="124" t="n">
        <x:v>20.159947944490003</x:v>
      </x:c>
      <x:c r="D14" s="114" t="n">
        <x:v>111</x:v>
      </x:c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111" t="n">
        <x:v>11</x:v>
      </x:c>
      <x:c r="B15" s="111" t="str">
        <x:v>ITAU UNIBANCO S.A.</x:v>
      </x:c>
      <x:c r="C15" s="124" t="n">
        <x:v>19.69450493756</x:v>
      </x:c>
      <x:c r="D15" s="114" t="n">
        <x:v>27</x:v>
      </x:c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111" t="n">
        <x:v>12</x:v>
      </x:c>
      <x:c r="B16" s="111" t="str">
        <x:v>Não identificado</x:v>
      </x:c>
      <x:c r="C16" s="124" t="n">
        <x:v>18.593320831664837</x:v>
      </x:c>
      <x:c r="D16" s="114" t="n">
        <x:v>309</x:v>
      </x:c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111" t="n">
        <x:v>13</x:v>
      </x:c>
      <x:c r="B17" s="111" t="str">
        <x:v>LIMINE TRUST DISTRIBUIDORA DE TITULOS E VALORES MOBILIARIOS LTDA.</x:v>
      </x:c>
      <x:c r="C17" s="124" t="n">
        <x:v>17.710424629685</x:v>
      </x:c>
      <x:c r="D17" s="114" t="n">
        <x:v>138</x:v>
      </x:c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  <x:row r="18">
      <x:c r="A18" s="111" t="n">
        <x:v>14</x:v>
      </x:c>
      <x:c r="B18" s="111" t="str">
        <x:v>VERT DISTRIBUIDORA DE TÍTULOS E VALORES MOBILIÁRIOS LTDA.</x:v>
      </x:c>
      <x:c r="C18" s="124" t="n">
        <x:v>14.9621506435</x:v>
      </x:c>
      <x:c r="D18" s="114" t="n">
        <x:v>40</x:v>
      </x:c>
      <x:c r="E18" s="198"/>
      <x:c r="F18" s="198"/>
      <x:c r="G18" s="198"/>
      <x:c r="H18" s="198"/>
      <x:c r="I18" s="198"/>
      <x:c r="J18" s="198"/>
      <x:c r="K18" s="198"/>
      <x:c r="L18" s="198"/>
      <x:c r="M18" s="198"/>
      <x:c r="N18" s="198"/>
    </x:row>
    <x:row r="19">
      <x:c r="A19" s="111" t="n">
        <x:v>15</x:v>
      </x:c>
      <x:c r="B19" s="111" t="str">
        <x:v>PLANNER CORRETORA DE VALORES S.A.</x:v>
      </x:c>
      <x:c r="C19" s="124" t="n">
        <x:v>12.47057665034</x:v>
      </x:c>
      <x:c r="D19" s="114" t="n">
        <x:v>178</x:v>
      </x:c>
      <x:c r="E19" s="198"/>
      <x:c r="F19" s="198"/>
      <x:c r="G19" s="198"/>
      <x:c r="H19" s="198"/>
      <x:c r="I19" s="198"/>
      <x:c r="J19" s="198"/>
      <x:c r="K19" s="198"/>
      <x:c r="L19" s="198"/>
      <x:c r="M19" s="198"/>
      <x:c r="N19" s="198"/>
    </x:row>
    <x:row r="20">
      <x:c r="A20" s="111" t="n">
        <x:v>16</x:v>
      </x:c>
      <x:c r="B20" s="111" t="str">
        <x:v>TRUSTEE DISTRIBUIDORA DE TITULOS E VALORES MOBILIARIOS LTDA.</x:v>
      </x:c>
      <x:c r="C20" s="124" t="n">
        <x:v>11.63652338297</x:v>
      </x:c>
      <x:c r="D20" s="114" t="n">
        <x:v>74</x:v>
      </x:c>
      <x:c r="E20" s="198"/>
      <x:c r="F20" s="198"/>
      <x:c r="G20" s="198"/>
      <x:c r="H20" s="198"/>
      <x:c r="I20" s="198"/>
      <x:c r="J20" s="198"/>
      <x:c r="K20" s="198"/>
      <x:c r="L20" s="198"/>
      <x:c r="M20" s="198"/>
      <x:c r="N20" s="198"/>
    </x:row>
    <x:row r="21">
      <x:c r="A21" s="111" t="n">
        <x:v>17</x:v>
      </x:c>
      <x:c r="B21" s="111" t="str">
        <x:v>MAF DISTRIBUIDORA DE TITULOS E VALORES MOBILIARIOS S.A.</x:v>
      </x:c>
      <x:c r="C21" s="124" t="n">
        <x:v>11.3591820761</x:v>
      </x:c>
      <x:c r="D21" s="114" t="n">
        <x:v>39</x:v>
      </x:c>
      <x:c r="E21" s="198"/>
      <x:c r="F21" s="198"/>
      <x:c r="G21" s="198"/>
      <x:c r="H21" s="198"/>
      <x:c r="I21" s="198"/>
      <x:c r="J21" s="198"/>
      <x:c r="K21" s="198"/>
      <x:c r="L21" s="198"/>
      <x:c r="M21" s="198"/>
      <x:c r="N21" s="198"/>
    </x:row>
    <x:row r="22">
      <x:c r="A22" s="111" t="n">
        <x:v>18</x:v>
      </x:c>
      <x:c r="B22" s="111" t="str">
        <x:v>VORTX DISTRIBUIDORA DE TITULOS E VALORES MOBILIARIOS LTDA.</x:v>
      </x:c>
      <x:c r="C22" s="124" t="n">
        <x:v>10.89777874878</x:v>
      </x:c>
      <x:c r="D22" s="114" t="n">
        <x:v>127</x:v>
      </x:c>
      <x:c r="E22" s="198"/>
      <x:c r="F22" s="198"/>
      <x:c r="G22" s="198"/>
      <x:c r="H22" s="198"/>
      <x:c r="I22" s="198"/>
      <x:c r="J22" s="198"/>
      <x:c r="K22" s="198"/>
      <x:c r="L22" s="198"/>
      <x:c r="M22" s="198"/>
      <x:c r="N22" s="198"/>
    </x:row>
    <x:row r="23">
      <x:c r="A23" s="111" t="n">
        <x:v>19</x:v>
      </x:c>
      <x:c r="B23" s="111" t="str">
        <x:v>FIDD DISTRIBUIDORA DE TITULOS E VALORES MOBILIARIOS LTDA.</x:v>
      </x:c>
      <x:c r="C23" s="124" t="n">
        <x:v>9.82083575622</x:v>
      </x:c>
      <x:c r="D23" s="114" t="n">
        <x:v>79</x:v>
      </x:c>
      <x:c r="E23" s="198"/>
      <x:c r="F23" s="198"/>
      <x:c r="G23" s="198"/>
      <x:c r="H23" s="198"/>
      <x:c r="I23" s="198"/>
      <x:c r="J23" s="198"/>
      <x:c r="K23" s="198"/>
      <x:c r="L23" s="198"/>
      <x:c r="M23" s="198"/>
      <x:c r="N23" s="198"/>
    </x:row>
    <x:row r="24">
      <x:c r="A24" s="111" t="n">
        <x:v>20</x:v>
      </x:c>
      <x:c r="B24" s="111" t="str">
        <x:v>ID CORRETORA DE TITULOS E VALORES MOBILIARIOS S.A.</x:v>
      </x:c>
      <x:c r="C24" s="124" t="n">
        <x:v>9.38350744411</x:v>
      </x:c>
      <x:c r="D24" s="114" t="n">
        <x:v>166</x:v>
      </x:c>
      <x:c r="E24" s="198"/>
      <x:c r="F24" s="198"/>
      <x:c r="G24" s="198"/>
      <x:c r="H24" s="198"/>
      <x:c r="I24" s="198"/>
      <x:c r="J24" s="198"/>
      <x:c r="K24" s="198"/>
      <x:c r="L24" s="198"/>
      <x:c r="M24" s="198"/>
      <x:c r="N24" s="198"/>
    </x:row>
    <x:row r="25">
      <x:c r="A25" s="111" t="n">
        <x:v>21</x:v>
      </x:c>
      <x:c r="B25" s="111" t="str">
        <x:v>BNY MELLON BANCO S.A.</x:v>
      </x:c>
      <x:c r="C25" s="124" t="n">
        <x:v>9.092580971919979</x:v>
      </x:c>
      <x:c r="D25" s="114" t="n">
        <x:v>32</x:v>
      </x:c>
      <x:c r="E25" s="198"/>
      <x:c r="F25" s="198"/>
      <x:c r="G25" s="198"/>
      <x:c r="H25" s="198"/>
      <x:c r="I25" s="198"/>
      <x:c r="J25" s="198"/>
      <x:c r="K25" s="198"/>
      <x:c r="L25" s="198"/>
      <x:c r="M25" s="198"/>
      <x:c r="N25" s="198"/>
    </x:row>
    <x:row r="26">
      <x:c r="A26" s="111" t="n">
        <x:v>22</x:v>
      </x:c>
      <x:c r="B26" s="111" t="str">
        <x:v>SEFER INVESTIMENTOS DISTRIBUIDORA DE TÍTULOS E VALORES MOBILIÁRIOS LTDA.</x:v>
      </x:c>
      <x:c r="C26" s="124" t="n">
        <x:v>7.84014533246</x:v>
      </x:c>
      <x:c r="D26" s="114" t="n">
        <x:v>22</x:v>
      </x:c>
      <x:c r="E26" s="198"/>
      <x:c r="F26" s="198"/>
      <x:c r="G26" s="198"/>
      <x:c r="H26" s="198"/>
      <x:c r="I26" s="198"/>
      <x:c r="J26" s="198"/>
      <x:c r="K26" s="198"/>
      <x:c r="L26" s="198"/>
      <x:c r="M26" s="198"/>
      <x:c r="N26" s="198"/>
    </x:row>
    <x:row r="27">
      <x:c r="A27" s="111" t="n">
        <x:v>23</x:v>
      </x:c>
      <x:c r="B27" s="111" t="str">
        <x:v>S3 CACEIS BRASIL DISTRIBUIDORA DE TITULOS E VALORES MOBILIARIOS S.A</x:v>
      </x:c>
      <x:c r="C27" s="124" t="n">
        <x:v>6.0220710471408605</x:v>
      </x:c>
      <x:c r="D27" s="114" t="n">
        <x:v>10</x:v>
      </x:c>
      <x:c r="E27" s="198"/>
      <x:c r="F27" s="198"/>
      <x:c r="G27" s="198"/>
      <x:c r="H27" s="198"/>
      <x:c r="I27" s="198"/>
      <x:c r="J27" s="198"/>
      <x:c r="K27" s="198"/>
      <x:c r="L27" s="198"/>
      <x:c r="M27" s="198"/>
      <x:c r="N27" s="198"/>
    </x:row>
    <x:row r="28">
      <x:c r="A28" s="111" t="n">
        <x:v>24</x:v>
      </x:c>
      <x:c r="B28" s="111" t="str">
        <x:v>BANVOX DISTRIBUIDORA DE TITULOS E VALORES MOBILIARIOS LTDA</x:v>
      </x:c>
      <x:c r="C28" s="124" t="n">
        <x:v>5.58381670732</x:v>
      </x:c>
      <x:c r="D28" s="114" t="n">
        <x:v>39</x:v>
      </x:c>
      <x:c r="E28" s="198"/>
      <x:c r="F28" s="198"/>
      <x:c r="G28" s="198"/>
      <x:c r="H28" s="198"/>
      <x:c r="I28" s="198"/>
      <x:c r="J28" s="198"/>
      <x:c r="K28" s="198"/>
      <x:c r="L28" s="198"/>
      <x:c r="M28" s="198"/>
      <x:c r="N28" s="198"/>
    </x:row>
    <x:row r="29">
      <x:c r="A29" s="112" t="n">
        <x:v>25</x:v>
      </x:c>
      <x:c r="B29" s="112" t="str">
        <x:v>RJI CORRETORA DE TÍTULOS E VALORES MOBILIÁRIOS LTDA.</x:v>
      </x:c>
      <x:c r="C29" s="120" t="n">
        <x:v>5.041522118980001</x:v>
      </x:c>
      <x:c r="D29" s="115" t="n">
        <x:v>10</x:v>
      </x:c>
      <x:c r="E29" s="198"/>
      <x:c r="F29" s="198"/>
      <x:c r="G29" s="198"/>
      <x:c r="H29" s="198"/>
      <x:c r="I29" s="198"/>
      <x:c r="J29" s="198"/>
      <x:c r="K29" s="198"/>
      <x:c r="L29" s="198"/>
      <x:c r="M29" s="198"/>
      <x:c r="N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52" t="str">
        <x:v>Custodiante não está no modelo Power BI observado. O nome foi conciliado por CNPJ com o informe mensal/cadastro CVM e o PL do fundo permanece o PL ANBIMA. Cobertura: 97.5% do PL.</x:v>
      </x:c>
      <x:c r="B32" s="52" t="str">
        <x:v>Custodiante não está no modelo Power BI observado. O nome foi conciliado por CNPJ com o informe mensal/cadastro CVM e o PL do fundo permanece o PL ANBIMA. Cobertura: 97.5% do PL.</x:v>
      </x:c>
      <x:c r="C32" s="52" t="str">
        <x:v>Custodiante não está no modelo Power BI observado. O nome foi conciliado por CNPJ com o informe mensal/cadastro CVM e o PL do fundo permanece o PL ANBIMA. Cobertura: 97.5% do PL.</x:v>
      </x:c>
      <x:c r="D32" s="52" t="str">
        <x:v>Custodiante não está no modelo Power BI observado. O nome foi conciliado por CNPJ com o informe mensal/cadastro CVM e o PL do fundo permanece o PL ANBIMA. Cobertura: 97.5% do PL.</x:v>
      </x:c>
      <x:c r="E32" s="52" t="str">
        <x:v>Custodiante não está no modelo Power BI observado. O nome foi conciliado por CNPJ com o informe mensal/cadastro CVM e o PL do fundo permanece o PL ANBIMA. Cobertura: 97.5% do PL.</x:v>
      </x:c>
      <x:c r="F32" s="52" t="str">
        <x:v>Custodiante não está no modelo Power BI observado. O nome foi conciliado por CNPJ com o informe mensal/cadastro CVM e o PL do fundo permanece o PL ANBIMA. Cobertura: 97.5% do PL.</x:v>
      </x:c>
      <x:c r="G32" s="52" t="str">
        <x:v>Custodiante não está no modelo Power BI observado. O nome foi conciliado por CNPJ com o informe mensal/cadastro CVM e o PL do fundo permanece o PL ANBIMA. Cobertura: 97.5% do PL.</x:v>
      </x:c>
      <x:c r="H32" s="52" t="str">
        <x:v>Custodiante não está no modelo Power BI observado. O nome foi conciliado por CNPJ com o informe mensal/cadastro CVM e o PL do fundo permanece o PL ANBIMA. Cobertura: 97.5% do PL.</x:v>
      </x:c>
      <x:c r="I32" s="52" t="str">
        <x:v>Custodiante não está no modelo Power BI observado. O nome foi conciliado por CNPJ com o informe mensal/cadastro CVM e o PL do fundo permanece o PL ANBIMA. Cobertura: 97.5% do PL.</x:v>
      </x:c>
      <x:c r="J32" s="52" t="str">
        <x:v>Custodiante não está no modelo Power BI observado. O nome foi conciliado por CNPJ com o informe mensal/cadastro CVM e o PL do fundo permanece o PL ANBIMA. Cobertura: 97.5% do PL.</x:v>
      </x:c>
      <x:c r="K32" s="52" t="str">
        <x:v>Custodiante não está no modelo Power BI observado. O nome foi conciliado por CNPJ com o informe mensal/cadastro CVM e o PL do fundo permanece o PL ANBIMA. Cobertura: 97.5% do PL.</x:v>
      </x:c>
      <x:c r="L32" s="52" t="str">
        <x:v>Custodiante não está no modelo Power BI observado. O nome foi conciliado por CNPJ com o informe mensal/cadastro CVM e o PL do fundo permanece o PL ANBIMA. Cobertura: 97.5% do PL.</x:v>
      </x:c>
      <x:c r="M32" s="52" t="str">
        <x:v>Custodiante não está no modelo Power BI observado. O nome foi conciliado por CNPJ com o informe mensal/cadastro CVM e o PL do fundo permanece o PL ANBIMA. Cobertura: 97.5% do PL.</x:v>
      </x:c>
      <x:c r="N32" s="52" t="str">
        <x:v>Custodiante não está no modelo Power BI observado. O nome foi conciliado por CNPJ com o informe mensal/cadastro CVM e o PL do fundo permanece o PL ANBIMA. Cobertura: 97.5% do PL.</x:v>
      </x:c>
    </x:row>
    <x:row r="33">
      <x:c r="A33" s="52" t="str">
        <x:v>Custodiante não está no modelo Power BI observado. O nome foi conciliado por CNPJ com o informe mensal/cadastro CVM e o PL do fundo permanece o PL ANBIMA. Cobertura: 97.5% do PL.</x:v>
      </x:c>
      <x:c r="B33" s="52" t="str">
        <x:v>Custodiante não está no modelo Power BI observado. O nome foi conciliado por CNPJ com o informe mensal/cadastro CVM e o PL do fundo permanece o PL ANBIMA. Cobertura: 97.5% do PL.</x:v>
      </x:c>
      <x:c r="C33" s="52" t="str">
        <x:v>Custodiante não está no modelo Power BI observado. O nome foi conciliado por CNPJ com o informe mensal/cadastro CVM e o PL do fundo permanece o PL ANBIMA. Cobertura: 97.5% do PL.</x:v>
      </x:c>
      <x:c r="D33" s="52" t="str">
        <x:v>Custodiante não está no modelo Power BI observado. O nome foi conciliado por CNPJ com o informe mensal/cadastro CVM e o PL do fundo permanece o PL ANBIMA. Cobertura: 97.5% do PL.</x:v>
      </x:c>
      <x:c r="E33" s="52" t="str">
        <x:v>Custodiante não está no modelo Power BI observado. O nome foi conciliado por CNPJ com o informe mensal/cadastro CVM e o PL do fundo permanece o PL ANBIMA. Cobertura: 97.5% do PL.</x:v>
      </x:c>
      <x:c r="F33" s="52" t="str">
        <x:v>Custodiante não está no modelo Power BI observado. O nome foi conciliado por CNPJ com o informe mensal/cadastro CVM e o PL do fundo permanece o PL ANBIMA. Cobertura: 97.5% do PL.</x:v>
      </x:c>
      <x:c r="G33" s="52" t="str">
        <x:v>Custodiante não está no modelo Power BI observado. O nome foi conciliado por CNPJ com o informe mensal/cadastro CVM e o PL do fundo permanece o PL ANBIMA. Cobertura: 97.5% do PL.</x:v>
      </x:c>
      <x:c r="H33" s="52" t="str">
        <x:v>Custodiante não está no modelo Power BI observado. O nome foi conciliado por CNPJ com o informe mensal/cadastro CVM e o PL do fundo permanece o PL ANBIMA. Cobertura: 97.5% do PL.</x:v>
      </x:c>
      <x:c r="I33" s="52" t="str">
        <x:v>Custodiante não está no modelo Power BI observado. O nome foi conciliado por CNPJ com o informe mensal/cadastro CVM e o PL do fundo permanece o PL ANBIMA. Cobertura: 97.5% do PL.</x:v>
      </x:c>
      <x:c r="J33" s="52" t="str">
        <x:v>Custodiante não está no modelo Power BI observado. O nome foi conciliado por CNPJ com o informe mensal/cadastro CVM e o PL do fundo permanece o PL ANBIMA. Cobertura: 97.5% do PL.</x:v>
      </x:c>
      <x:c r="K33" s="52" t="str">
        <x:v>Custodiante não está no modelo Power BI observado. O nome foi conciliado por CNPJ com o informe mensal/cadastro CVM e o PL do fundo permanece o PL ANBIMA. Cobertura: 97.5% do PL.</x:v>
      </x:c>
      <x:c r="L33" s="52" t="str">
        <x:v>Custodiante não está no modelo Power BI observado. O nome foi conciliado por CNPJ com o informe mensal/cadastro CVM e o PL do fundo permanece o PL ANBIMA. Cobertura: 97.5% do PL.</x:v>
      </x:c>
      <x:c r="M33" s="52" t="str">
        <x:v>Custodiante não está no modelo Power BI observado. O nome foi conciliado por CNPJ com o informe mensal/cadastro CVM e o PL do fundo permanece o PL ANBIMA. Cobertura: 97.5% do PL.</x:v>
      </x:c>
      <x:c r="N33" s="52" t="str">
        <x:v>Custodiante não está no modelo Power BI observado. O nome foi conciliado por CNPJ com o informe mensal/cadastro CVM e o PL do fundo permanece o PL ANBIMA. Cobertura: 97.5% do PL.</x:v>
      </x:c>
    </x:row>
    <x:row r="34">
      <x:c r="A34" s="52" t="str">
        <x:v>Custodiante não está no modelo Power BI observado. O nome foi conciliado por CNPJ com o informe mensal/cadastro CVM e o PL do fundo permanece o PL ANBIMA. Cobertura: 97.5% do PL.</x:v>
      </x:c>
      <x:c r="B34" s="52" t="str">
        <x:v>Custodiante não está no modelo Power BI observado. O nome foi conciliado por CNPJ com o informe mensal/cadastro CVM e o PL do fundo permanece o PL ANBIMA. Cobertura: 97.5% do PL.</x:v>
      </x:c>
      <x:c r="C34" s="52" t="str">
        <x:v>Custodiante não está no modelo Power BI observado. O nome foi conciliado por CNPJ com o informe mensal/cadastro CVM e o PL do fundo permanece o PL ANBIMA. Cobertura: 97.5% do PL.</x:v>
      </x:c>
      <x:c r="D34" s="52" t="str">
        <x:v>Custodiante não está no modelo Power BI observado. O nome foi conciliado por CNPJ com o informe mensal/cadastro CVM e o PL do fundo permanece o PL ANBIMA. Cobertura: 97.5% do PL.</x:v>
      </x:c>
      <x:c r="E34" s="52" t="str">
        <x:v>Custodiante não está no modelo Power BI observado. O nome foi conciliado por CNPJ com o informe mensal/cadastro CVM e o PL do fundo permanece o PL ANBIMA. Cobertura: 97.5% do PL.</x:v>
      </x:c>
      <x:c r="F34" s="52" t="str">
        <x:v>Custodiante não está no modelo Power BI observado. O nome foi conciliado por CNPJ com o informe mensal/cadastro CVM e o PL do fundo permanece o PL ANBIMA. Cobertura: 97.5% do PL.</x:v>
      </x:c>
      <x:c r="G34" s="52" t="str">
        <x:v>Custodiante não está no modelo Power BI observado. O nome foi conciliado por CNPJ com o informe mensal/cadastro CVM e o PL do fundo permanece o PL ANBIMA. Cobertura: 97.5% do PL.</x:v>
      </x:c>
      <x:c r="H34" s="52" t="str">
        <x:v>Custodiante não está no modelo Power BI observado. O nome foi conciliado por CNPJ com o informe mensal/cadastro CVM e o PL do fundo permanece o PL ANBIMA. Cobertura: 97.5% do PL.</x:v>
      </x:c>
      <x:c r="I34" s="52" t="str">
        <x:v>Custodiante não está no modelo Power BI observado. O nome foi conciliado por CNPJ com o informe mensal/cadastro CVM e o PL do fundo permanece o PL ANBIMA. Cobertura: 97.5% do PL.</x:v>
      </x:c>
      <x:c r="J34" s="52" t="str">
        <x:v>Custodiante não está no modelo Power BI observado. O nome foi conciliado por CNPJ com o informe mensal/cadastro CVM e o PL do fundo permanece o PL ANBIMA. Cobertura: 97.5% do PL.</x:v>
      </x:c>
      <x:c r="K34" s="52" t="str">
        <x:v>Custodiante não está no modelo Power BI observado. O nome foi conciliado por CNPJ com o informe mensal/cadastro CVM e o PL do fundo permanece o PL ANBIMA. Cobertura: 97.5% do PL.</x:v>
      </x:c>
      <x:c r="L34" s="52" t="str">
        <x:v>Custodiante não está no modelo Power BI observado. O nome foi conciliado por CNPJ com o informe mensal/cadastro CVM e o PL do fundo permanece o PL ANBIMA. Cobertura: 97.5% do PL.</x:v>
      </x:c>
      <x:c r="M34" s="52" t="str">
        <x:v>Custodiante não está no modelo Power BI observado. O nome foi conciliado por CNPJ com o informe mensal/cadastro CVM e o PL do fundo permanece o PL ANBIMA. Cobertura: 97.5% do PL.</x:v>
      </x:c>
      <x:c r="N34" s="52" t="str">
        <x:v>Custodiante não está no modelo Power BI observado. O nome foi conciliado por CNPJ com o informe mensal/cadastro CVM e o PL do fundo permanece o PL ANBIMA. Cobertura: 97.5% do PL.</x:v>
      </x:c>
    </x:row>
    <x:row r="35">
      <x:c r="A35" s="52" t="str">
        <x:v>Custodiante não está no modelo Power BI observado. O nome foi conciliado por CNPJ com o informe mensal/cadastro CVM e o PL do fundo permanece o PL ANBIMA. Cobertura: 97.5% do PL.</x:v>
      </x:c>
      <x:c r="B35" s="52" t="str">
        <x:v>Custodiante não está no modelo Power BI observado. O nome foi conciliado por CNPJ com o informe mensal/cadastro CVM e o PL do fundo permanece o PL ANBIMA. Cobertura: 97.5% do PL.</x:v>
      </x:c>
      <x:c r="C35" s="52" t="str">
        <x:v>Custodiante não está no modelo Power BI observado. O nome foi conciliado por CNPJ com o informe mensal/cadastro CVM e o PL do fundo permanece o PL ANBIMA. Cobertura: 97.5% do PL.</x:v>
      </x:c>
      <x:c r="D35" s="52" t="str">
        <x:v>Custodiante não está no modelo Power BI observado. O nome foi conciliado por CNPJ com o informe mensal/cadastro CVM e o PL do fundo permanece o PL ANBIMA. Cobertura: 97.5% do PL.</x:v>
      </x:c>
      <x:c r="E35" s="52" t="str">
        <x:v>Custodiante não está no modelo Power BI observado. O nome foi conciliado por CNPJ com o informe mensal/cadastro CVM e o PL do fundo permanece o PL ANBIMA. Cobertura: 97.5% do PL.</x:v>
      </x:c>
      <x:c r="F35" s="52" t="str">
        <x:v>Custodiante não está no modelo Power BI observado. O nome foi conciliado por CNPJ com o informe mensal/cadastro CVM e o PL do fundo permanece o PL ANBIMA. Cobertura: 97.5% do PL.</x:v>
      </x:c>
      <x:c r="G35" s="52" t="str">
        <x:v>Custodiante não está no modelo Power BI observado. O nome foi conciliado por CNPJ com o informe mensal/cadastro CVM e o PL do fundo permanece o PL ANBIMA. Cobertura: 97.5% do PL.</x:v>
      </x:c>
      <x:c r="H35" s="52" t="str">
        <x:v>Custodiante não está no modelo Power BI observado. O nome foi conciliado por CNPJ com o informe mensal/cadastro CVM e o PL do fundo permanece o PL ANBIMA. Cobertura: 97.5% do PL.</x:v>
      </x:c>
      <x:c r="I35" s="52" t="str">
        <x:v>Custodiante não está no modelo Power BI observado. O nome foi conciliado por CNPJ com o informe mensal/cadastro CVM e o PL do fundo permanece o PL ANBIMA. Cobertura: 97.5% do PL.</x:v>
      </x:c>
      <x:c r="J35" s="52" t="str">
        <x:v>Custodiante não está no modelo Power BI observado. O nome foi conciliado por CNPJ com o informe mensal/cadastro CVM e o PL do fundo permanece o PL ANBIMA. Cobertura: 97.5% do PL.</x:v>
      </x:c>
      <x:c r="K35" s="52" t="str">
        <x:v>Custodiante não está no modelo Power BI observado. O nome foi conciliado por CNPJ com o informe mensal/cadastro CVM e o PL do fundo permanece o PL ANBIMA. Cobertura: 97.5% do PL.</x:v>
      </x:c>
      <x:c r="L35" s="52" t="str">
        <x:v>Custodiante não está no modelo Power BI observado. O nome foi conciliado por CNPJ com o informe mensal/cadastro CVM e o PL do fundo permanece o PL ANBIMA. Cobertura: 97.5% do PL.</x:v>
      </x:c>
      <x:c r="M35" s="52" t="str">
        <x:v>Custodiante não está no modelo Power BI observado. O nome foi conciliado por CNPJ com o informe mensal/cadastro CVM e o PL do fundo permanece o PL ANBIMA. Cobertura: 97.5% do PL.</x:v>
      </x:c>
      <x:c r="N35" s="52" t="str">
        <x:v>Custodiante não está no modelo Power BI observado. O nome foi conciliado por CNPJ com o informe mensal/cadastro CVM e o PL do fundo permanece o PL ANBIMA. Cobertura: 97.5% do PL.</x:v>
      </x:c>
    </x:row>
  </x:sheetData>
  <x:mergeCells>
    <x:mergeCell ref="A1:N2"/>
    <x:mergeCell ref="A32:N35"/>
  </x:mergeCells>
  <x:pageMargins left="0.7" right="0.7" top="0.75" bottom="0.75" header="0.3" footer="0.3"/>
  <x:drawing xmlns:r="http://schemas.openxmlformats.org/officeDocument/2006/relationships" r:id="Rd1bc2d6ed395478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8" hidden="0" customWidth="1"/>
    <x:col min="3" max="3" width="13" hidden="0" customWidth="1"/>
    <x:col min="4" max="4" width="28" hidden="0" customWidth="1"/>
    <x:col min="5" max="5" width="28" hidden="0" customWidth="1"/>
    <x:col min="6" max="6" width="27" hidden="0" customWidth="1"/>
    <x:col min="7" max="7" width="38" hidden="0" customWidth="1"/>
    <x:col min="8" max="8" width="38" hidden="0" customWidth="1"/>
    <x:col min="9" max="9" width="12" hidden="0" customWidth="1"/>
    <x:col min="10" max="10" width="17" hidden="0" customWidth="1"/>
  </x:cols>
  <x:sheetData>
    <x:row r="1" ht="30" customHeight="1">
      <x:c r="A1" s="4" t="str">
        <x:v>Top 25 FIDCs concentram R$ 217 bi de patrimônio</x:v>
      </x:c>
      <x:c r="B1" s="4" t="str">
        <x:v>Top 25 FIDCs concentram R$ 217 bi de patrimônio</x:v>
      </x:c>
      <x:c r="C1" s="4" t="str">
        <x:v>Top 25 FIDCs concentram R$ 217 bi de patrimônio</x:v>
      </x:c>
      <x:c r="D1" s="4" t="str">
        <x:v>Top 25 FIDCs concentram R$ 217 bi de patrimônio</x:v>
      </x:c>
      <x:c r="E1" s="4" t="str">
        <x:v>Top 25 FIDCs concentram R$ 217 bi de patrimônio</x:v>
      </x:c>
      <x:c r="F1" s="4" t="str">
        <x:v>Top 25 FIDCs concentram R$ 217 bi de patrimônio</x:v>
      </x:c>
      <x:c r="G1" s="4" t="str">
        <x:v>Top 25 FIDCs concentram R$ 217 bi de patrimônio</x:v>
      </x:c>
      <x:c r="H1" s="4" t="str">
        <x:v>Top 25 FIDCs concentram R$ 217 bi de patrimônio</x:v>
      </x:c>
      <x:c r="I1" s="4" t="str">
        <x:v>Top 25 FIDCs concentram R$ 217 bi de patrimônio</x:v>
      </x:c>
      <x:c r="J1" s="4" t="str">
        <x:v>Top 25 FIDCs concentram R$ 217 bi de patrimônio</x:v>
      </x:c>
      <x:c r="K1" s="4" t="str">
        <x:v>Top 25 FIDCs concentram R$ 217 bi de patrimônio</x:v>
      </x:c>
      <x:c r="L1" s="4" t="str">
        <x:v>Top 25 FIDCs concentram R$ 217 bi de patrimônio</x:v>
      </x:c>
      <x:c r="M1" s="4" t="str">
        <x:v>Top 25 FIDCs concentram R$ 217 bi de patrimônio</x:v>
      </x:c>
      <x:c r="N1" s="4" t="str">
        <x:v>Top 25 FIDCs concentram R$ 217 bi de patrimônio</x:v>
      </x:c>
    </x:row>
    <x:row r="2" ht="30" customHeight="1">
      <x:c r="A2" s="4" t="str">
        <x:v>Top 25 FIDCs concentram R$ 217 bi de patrimônio</x:v>
      </x:c>
      <x:c r="B2" s="4" t="str">
        <x:v>Top 25 FIDCs concentram R$ 217 bi de patrimônio</x:v>
      </x:c>
      <x:c r="C2" s="4" t="str">
        <x:v>Top 25 FIDCs concentram R$ 217 bi de patrimônio</x:v>
      </x:c>
      <x:c r="D2" s="4" t="str">
        <x:v>Top 25 FIDCs concentram R$ 217 bi de patrimônio</x:v>
      </x:c>
      <x:c r="E2" s="4" t="str">
        <x:v>Top 25 FIDCs concentram R$ 217 bi de patrimônio</x:v>
      </x:c>
      <x:c r="F2" s="4" t="str">
        <x:v>Top 25 FIDCs concentram R$ 217 bi de patrimônio</x:v>
      </x:c>
      <x:c r="G2" s="4" t="str">
        <x:v>Top 25 FIDCs concentram R$ 217 bi de patrimônio</x:v>
      </x:c>
      <x:c r="H2" s="4" t="str">
        <x:v>Top 25 FIDCs concentram R$ 217 bi de patrimônio</x:v>
      </x:c>
      <x:c r="I2" s="4" t="str">
        <x:v>Top 25 FIDCs concentram R$ 217 bi de patrimônio</x:v>
      </x:c>
      <x:c r="J2" s="4" t="str">
        <x:v>Top 25 FIDCs concentram R$ 217 bi de patrimônio</x:v>
      </x:c>
      <x:c r="K2" s="4" t="str">
        <x:v>Top 25 FIDCs concentram R$ 217 bi de patrimônio</x:v>
      </x:c>
      <x:c r="L2" s="4" t="str">
        <x:v>Top 25 FIDCs concentram R$ 217 bi de patrimônio</x:v>
      </x:c>
      <x:c r="M2" s="4" t="str">
        <x:v>Top 25 FIDCs concentram R$ 217 bi de patrimônio</x:v>
      </x:c>
      <x:c r="N2" s="4" t="str">
        <x:v>Top 25 FIDCs concentram R$ 217 bi de patrimônio</x:v>
      </x:c>
    </x:row>
    <x:row r="3">
      <x:c r="A3" s="198"/>
      <x:c r="B3" s="198"/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20" t="str">
        <x:v>#</x:v>
      </x:c>
      <x:c r="B4" s="21" t="str">
        <x:v>FIDC</x:v>
      </x:c>
      <x:c r="C4" s="21" t="str">
        <x:v>PL (R$ bi)</x:v>
      </x:c>
      <x:c r="D4" s="21" t="str">
        <x:v>Gestora</x:v>
      </x:c>
      <x:c r="E4" s="21" t="str">
        <x:v>Grupo gestora</x:v>
      </x:c>
      <x:c r="F4" s="21" t="str">
        <x:v>Tipo ANBIMA</x:v>
      </x:c>
      <x:c r="G4" s="21" t="str">
        <x:v>Administrador</x:v>
      </x:c>
      <x:c r="H4" s="21" t="str">
        <x:v>Custodiante</x:v>
      </x:c>
      <x:c r="I4" s="21" t="str">
        <x:v>Cotistas</x:v>
      </x:c>
      <x:c r="J4" s="22" t="str">
        <x:v>CNPJ</x:v>
      </x:c>
      <x:c r="K4" s="198"/>
      <x:c r="L4" s="198"/>
      <x:c r="M4" s="198"/>
      <x:c r="N4" s="198"/>
    </x:row>
    <x:row r="5">
      <x:c r="A5" s="167" t="n">
        <x:v>1</x:v>
      </x:c>
      <x:c r="B5" s="167" t="str">
        <x:v>FIDC DO SISTEMA PETROBRAS</x:v>
      </x:c>
      <x:c r="C5" s="170" t="n">
        <x:v>60.841973938879995</x:v>
      </x:c>
      <x:c r="D5" s="167" t="str">
        <x:v>BB Asset Management</x:v>
      </x:c>
      <x:c r="E5" s="167" t="str">
        <x:f>IFERROR(INDEX('Classif Gestoras'!$H$6:$H$462,MATCH(D5,'Classif Gestoras'!$A$6:$A$462,0)),"Não classificada")</x:f>
        <x:v>Ligada a banco</x:v>
      </x:c>
      <x:c r="F5" s="167" t="str">
        <x:v>Agro, Indústria e Comércio</x:v>
      </x:c>
      <x:c r="G5" s="167" t="str">
        <x:v>BB Asset Management</x:v>
      </x:c>
      <x:c r="H5" s="167" t="str">
        <x:v>BANCO DO BRASIL S.A.</x:v>
      </x:c>
      <x:c r="I5" s="173" t="n">
        <x:v>107</x:v>
      </x:c>
      <x:c r="J5" s="176" t="str">
        <x:v>09.195.235/0001-50</x:v>
      </x:c>
      <x:c r="K5" s="198"/>
      <x:c r="L5" s="198"/>
      <x:c r="M5" s="198"/>
      <x:c r="N5" s="198"/>
    </x:row>
    <x:row r="6">
      <x:c r="A6" s="168" t="n">
        <x:v>2</x:v>
      </x:c>
      <x:c r="B6" s="168" t="str">
        <x:v>TAPSO FUNDO DE INVESTIMENTO EM DIREITOS CREDITÓRIOS RESPONSABILIDADE LIMITADA</x:v>
      </x:c>
      <x:c r="C6" s="171" t="n">
        <x:v>40.658253334570006</x:v>
      </x:c>
      <x:c r="D6" s="168" t="str">
        <x:v>Oliveira Trust Servicer</x:v>
      </x:c>
      <x:c r="E6" s="168" t="str">
        <x:f>IFERROR(INDEX('Classif Gestoras'!$H$6:$H$462,MATCH(D6,'Classif Gestoras'!$A$6:$A$462,0)),"Não classificada")</x:f>
        <x:v>Independente</x:v>
      </x:c>
      <x:c r="F6" s="168" t="str">
        <x:v>Financeiro</x:v>
      </x:c>
      <x:c r="G6" s="168" t="str">
        <x:v>Oliveira Trust DTVM</x:v>
      </x:c>
      <x:c r="H6" s="168" t="str">
        <x:v>OLIVEIRA TRUST DTVM S.A.</x:v>
      </x:c>
      <x:c r="I6" s="174" t="n">
        <x:v>10</x:v>
      </x:c>
      <x:c r="J6" s="177" t="str">
        <x:v>26.287.464/0001-14</x:v>
      </x:c>
      <x:c r="K6" s="198"/>
      <x:c r="L6" s="198"/>
      <x:c r="M6" s="198"/>
      <x:c r="N6" s="198"/>
    </x:row>
    <x:row r="7">
      <x:c r="A7" s="168" t="n">
        <x:v>3</x:v>
      </x:c>
      <x:c r="B7" s="168" t="str">
        <x:v>CLOUDWALK BELA FUNDO DE INVESTIMENTO EM DIREITOS CREDITÓRIOS SEGMENTO MEIOS DE PAGAMENTO</x:v>
      </x:c>
      <x:c r="C7" s="171" t="n">
        <x:v>9.984886329650003</x:v>
      </x:c>
      <x:c r="D7" s="168" t="str">
        <x:v>Banco Bradesco S/A</x:v>
      </x:c>
      <x:c r="E7" s="168" t="str">
        <x:f>IFERROR(INDEX('Classif Gestoras'!$H$6:$H$462,MATCH(D7,'Classif Gestoras'!$A$6:$A$462,0)),"Não classificada")</x:f>
        <x:v>Ligada a banco</x:v>
      </x:c>
      <x:c r="F7" s="168" t="str">
        <x:v>Outros</x:v>
      </x:c>
      <x:c r="G7" s="168" t="str">
        <x:v>BEM - DIST. DE TÍTUL</x:v>
      </x:c>
      <x:c r="H7" s="168" t="str">
        <x:v>BANCO BRADESCO S.A.</x:v>
      </x:c>
      <x:c r="I7" s="174" t="n">
        <x:v>291</x:v>
      </x:c>
      <x:c r="J7" s="177" t="str">
        <x:v>62.393.679/0001-83</x:v>
      </x:c>
      <x:c r="K7" s="198"/>
      <x:c r="L7" s="198"/>
      <x:c r="M7" s="198"/>
      <x:c r="N7" s="198"/>
    </x:row>
    <x:row r="8">
      <x:c r="A8" s="168" t="n">
        <x:v>4</x:v>
      </x:c>
      <x:c r="B8" s="168" t="str">
        <x:v>ITAÚ CRÉDITO PRIVADO FUNDO DE INVESTIMENTO EM DIREITOS CREDITÓRIOS - RESPONSABILIDADE LIMITADA</x:v>
      </x:c>
      <x:c r="C8" s="171" t="n">
        <x:v>8.61589291829</x:v>
      </x:c>
      <x:c r="D8" s="168" t="str">
        <x:v>ITAU ASSET</x:v>
      </x:c>
      <x:c r="E8" s="168" t="str">
        <x:f>IFERROR(INDEX('Classif Gestoras'!$H$6:$H$462,MATCH(D8,'Classif Gestoras'!$A$6:$A$462,0)),"Não classificada")</x:f>
        <x:v>Ligada a banco</x:v>
      </x:c>
      <x:c r="F8" s="168" t="str">
        <x:v>Outros</x:v>
      </x:c>
      <x:c r="G8" s="168" t="str">
        <x:v>INTRAG DIST. DE TÍTU</x:v>
      </x:c>
      <x:c r="H8" s="168" t="str">
        <x:v>ITAU UNIBANCO S.A.</x:v>
      </x:c>
      <x:c r="I8" s="174" t="n">
        <x:v>4</x:v>
      </x:c>
      <x:c r="J8" s="177" t="str">
        <x:v>53.286.499/0001-01</x:v>
      </x:c>
      <x:c r="K8" s="198"/>
      <x:c r="L8" s="198"/>
      <x:c r="M8" s="198"/>
      <x:c r="N8" s="198"/>
    </x:row>
    <x:row r="9">
      <x:c r="A9" s="168" t="n">
        <x:v>5</x:v>
      </x:c>
      <x:c r="B9" s="168" t="str">
        <x:v>BTG PACTUAL CONSIGNADOS II FUNDO DE INVESTIMENTO EM DIREITOS CREDITÓRIOS</x:v>
      </x:c>
      <x:c r="C9" s="171" t="n">
        <x:v>7.91921619097</x:v>
      </x:c>
      <x:c r="D9" s="168" t="str">
        <x:v>Banco BTG Pactual</x:v>
      </x:c>
      <x:c r="E9" s="168" t="str">
        <x:f>IFERROR(INDEX('Classif Gestoras'!$H$6:$H$462,MATCH(D9,'Classif Gestoras'!$A$6:$A$462,0)),"Não classificada")</x:f>
        <x:v>Ligada a banco</x:v>
      </x:c>
      <x:c r="F9" s="168" t="str">
        <x:v>Financeiro</x:v>
      </x:c>
      <x:c r="G9" s="168" t="str">
        <x:v>BTG Pactual Servicos Financeiros S/A DTVM</x:v>
      </x:c>
      <x:c r="H9" s="168" t="str">
        <x:v>BANCO BTG PACTUAL S/A</x:v>
      </x:c>
      <x:c r="I9" s="174" t="n">
        <x:v>1</x:v>
      </x:c>
      <x:c r="J9" s="177" t="str">
        <x:v>52.242.420/0001-88</x:v>
      </x:c>
      <x:c r="K9" s="198"/>
      <x:c r="L9" s="198"/>
      <x:c r="M9" s="198"/>
      <x:c r="N9" s="198"/>
    </x:row>
    <x:row r="10">
      <x:c r="A10" s="168" t="n">
        <x:v>6</x:v>
      </x:c>
      <x:c r="B10" s="168" t="str">
        <x:v>CLASSE CONSIGNADO PRIVADO DO MT GLOBAL FUNDO DE INVESTIMENTO EM DIREITOS CREDITÓRIOS RESP LIMITADA</x:v>
      </x:c>
      <x:c r="C10" s="171" t="n">
        <x:v>7.77805082113</x:v>
      </x:c>
      <x:c r="D10" s="168" t="str">
        <x:v>BTG Pactual Asset</x:v>
      </x:c>
      <x:c r="E10" s="168" t="str">
        <x:f>IFERROR(INDEX('Classif Gestoras'!$H$6:$H$462,MATCH(D10,'Classif Gestoras'!$A$6:$A$462,0)),"Não classificada")</x:f>
        <x:v>Ligada a banco</x:v>
      </x:c>
      <x:c r="F10" s="168" t="str">
        <x:v>Financeiro</x:v>
      </x:c>
      <x:c r="G10" s="168" t="str">
        <x:v>BTG Pactual Servicos Financeiros S/A DTVM</x:v>
      </x:c>
      <x:c r="H10" s="168" t="str">
        <x:v>BANCO BTG PACTUAL S/A</x:v>
      </x:c>
      <x:c r="I10" s="174" t="n">
        <x:v>5</x:v>
      </x:c>
      <x:c r="J10" s="177" t="str">
        <x:v>63.953.619/0001-30</x:v>
      </x:c>
      <x:c r="K10" s="198"/>
      <x:c r="L10" s="198"/>
      <x:c r="M10" s="198"/>
      <x:c r="N10" s="198"/>
    </x:row>
    <x:row r="11">
      <x:c r="A11" s="168" t="n">
        <x:v>7</x:v>
      </x:c>
      <x:c r="B11" s="168" t="str">
        <x:v>FUNDO DE INVESTIMENTO EM DIREITOS CREDITÓRIOS PAGSEGURO I</x:v>
      </x:c>
      <x:c r="C11" s="171" t="n">
        <x:v>6.70277891708</x:v>
      </x:c>
      <x:c r="D11" s="168" t="str">
        <x:v>GENIAL GESTÃO LTDA.</x:v>
      </x:c>
      <x:c r="E11" s="168" t="str">
        <x:f>IFERROR(INDEX('Classif Gestoras'!$H$6:$H$462,MATCH(D11,'Classif Gestoras'!$A$6:$A$462,0)),"Não classificada")</x:f>
        <x:v>Ligada a banco</x:v>
      </x:c>
      <x:c r="F11" s="168" t="str">
        <x:v>Outros</x:v>
      </x:c>
      <x:c r="G11" s="168" t="str">
        <x:v>Genial Investimentos Corretora de Valores Mobiliários S.A.</x:v>
      </x:c>
      <x:c r="H11" s="168" t="str">
        <x:v>BANCO GENIAL S.A.</x:v>
      </x:c>
      <x:c r="I11" s="174" t="n">
        <x:v>4</x:v>
      </x:c>
      <x:c r="J11" s="177" t="str">
        <x:v>28.169.275/0001-72</x:v>
      </x:c>
      <x:c r="K11" s="198"/>
      <x:c r="L11" s="198"/>
      <x:c r="M11" s="198"/>
      <x:c r="N11" s="198"/>
    </x:row>
    <x:row r="12">
      <x:c r="A12" s="168" t="n">
        <x:v>8</x:v>
      </x:c>
      <x:c r="B12" s="168" t="str">
        <x:v>CIELO FUNDO DE INVESTIMENTO EM DIREITOS CREDITÓRIOS</x:v>
      </x:c>
      <x:c r="C12" s="171" t="n">
        <x:v>6.46571239818</x:v>
      </x:c>
      <x:c r="D12" s="168" t="str">
        <x:v>Banco Bradesco S/A</x:v>
      </x:c>
      <x:c r="E12" s="168" t="str">
        <x:f>IFERROR(INDEX('Classif Gestoras'!$H$6:$H$462,MATCH(D12,'Classif Gestoras'!$A$6:$A$462,0)),"Não classificada")</x:f>
        <x:v>Ligada a banco</x:v>
      </x:c>
      <x:c r="F12" s="168" t="str">
        <x:v>Financeiro</x:v>
      </x:c>
      <x:c r="G12" s="168" t="str">
        <x:v>BEM - DIST. DE TÍTUL</x:v>
      </x:c>
      <x:c r="H12" s="168" t="str">
        <x:v>BANCO BRADESCO S.A.</x:v>
      </x:c>
      <x:c r="I12" s="174" t="n">
        <x:v>61</x:v>
      </x:c>
      <x:c r="J12" s="177" t="str">
        <x:v>26.286.939/0001-58</x:v>
      </x:c>
      <x:c r="K12" s="198"/>
      <x:c r="L12" s="198"/>
      <x:c r="M12" s="198"/>
      <x:c r="N12" s="198"/>
    </x:row>
    <x:row r="13">
      <x:c r="A13" s="168" t="n">
        <x:v>9</x:v>
      </x:c>
      <x:c r="B13" s="168" t="str">
        <x:v>BTG PACTUAL CONSIGNADOS FUNDO DE INVESTIMENTO EM DIREITOS CREDITÓRIOS</x:v>
      </x:c>
      <x:c r="C13" s="171" t="n">
        <x:v>5.93010586045</x:v>
      </x:c>
      <x:c r="D13" s="168" t="str">
        <x:v>Banco BTG Pactual</x:v>
      </x:c>
      <x:c r="E13" s="168" t="str">
        <x:f>IFERROR(INDEX('Classif Gestoras'!$H$6:$H$462,MATCH(D13,'Classif Gestoras'!$A$6:$A$462,0)),"Não classificada")</x:f>
        <x:v>Ligada a banco</x:v>
      </x:c>
      <x:c r="F13" s="168" t="str">
        <x:v>Financeiro</x:v>
      </x:c>
      <x:c r="G13" s="168" t="str">
        <x:v>BTG Pactual Servicos Financeiros S/A DTVM</x:v>
      </x:c>
      <x:c r="H13" s="168" t="str">
        <x:v>BANCO BTG PACTUAL S/A</x:v>
      </x:c>
      <x:c r="I13" s="174" t="n">
        <x:v>1</x:v>
      </x:c>
      <x:c r="J13" s="177" t="str">
        <x:v>50.906.397/0001-53</x:v>
      </x:c>
      <x:c r="K13" s="198"/>
      <x:c r="L13" s="198"/>
      <x:c r="M13" s="198"/>
      <x:c r="N13" s="198"/>
    </x:row>
    <x:row r="14">
      <x:c r="A14" s="168" t="n">
        <x:v>10</x:v>
      </x:c>
      <x:c r="B14" s="168" t="str">
        <x:v>FUNDO DE INVESTIMENTO EM DIREITOS CREDITÓRIOS ALTERNATIVE ASSETS III RESPONSABILIDADE LIMITADA</x:v>
      </x:c>
      <x:c r="C14" s="171" t="n">
        <x:v>5.765091894779999</x:v>
      </x:c>
      <x:c r="D14" s="168" t="str">
        <x:v>Banco BTG Pactual</x:v>
      </x:c>
      <x:c r="E14" s="168" t="str">
        <x:f>IFERROR(INDEX('Classif Gestoras'!$H$6:$H$462,MATCH(D14,'Classif Gestoras'!$A$6:$A$462,0)),"Não classificada")</x:f>
        <x:v>Ligada a banco</x:v>
      </x:c>
      <x:c r="F14" s="168" t="str">
        <x:v>Outros</x:v>
      </x:c>
      <x:c r="G14" s="168" t="str">
        <x:v>BTG Pactual Servicos Financeiros S/A DTVM</x:v>
      </x:c>
      <x:c r="H14" s="168" t="str">
        <x:v>BANCO BTG PACTUAL S/A</x:v>
      </x:c>
      <x:c r="I14" s="174" t="n">
        <x:v>1</x:v>
      </x:c>
      <x:c r="J14" s="177" t="str">
        <x:v>29.225.241/0001-10</x:v>
      </x:c>
      <x:c r="K14" s="198"/>
      <x:c r="L14" s="198"/>
      <x:c r="M14" s="198"/>
      <x:c r="N14" s="198"/>
    </x:row>
    <x:row r="15">
      <x:c r="A15" s="168" t="n">
        <x:v>11</x:v>
      </x:c>
      <x:c r="B15" s="168" t="str">
        <x:v>NC 2025 I FUNDO DE INVESTIMENTO EM DIREITOS CREDITÓRIOS RESPONSABILIDADE LIMITADA</x:v>
      </x:c>
      <x:c r="C15" s="171" t="n">
        <x:v>5.65508869655</x:v>
      </x:c>
      <x:c r="D15" s="168" t="str">
        <x:v>Kanastra</x:v>
      </x:c>
      <x:c r="E15" s="168" t="str">
        <x:f>IFERROR(INDEX('Classif Gestoras'!$H$6:$H$462,MATCH(D15,'Classif Gestoras'!$A$6:$A$462,0)),"Não classificada")</x:f>
        <x:v>Independente</x:v>
      </x:c>
      <x:c r="F15" s="168" t="str">
        <x:v>Outros</x:v>
      </x:c>
      <x:c r="G15" s="168" t="str">
        <x:v>INTRAG DIST. DE TÍTU</x:v>
      </x:c>
      <x:c r="H15" s="168" t="str">
        <x:v>LIMINE TRUST DISTRIBUIDORA DE TITULOS E VALORES MOBILIARIOS LTDA.</x:v>
      </x:c>
      <x:c r="I15" s="174" t="n">
        <x:v>1</x:v>
      </x:c>
      <x:c r="J15" s="177" t="str">
        <x:v>63.700.113/0001-10</x:v>
      </x:c>
      <x:c r="K15" s="198"/>
      <x:c r="L15" s="198"/>
      <x:c r="M15" s="198"/>
      <x:c r="N15" s="198"/>
    </x:row>
    <x:row r="16">
      <x:c r="A16" s="168" t="n">
        <x:v>12</x:v>
      </x:c>
      <x:c r="B16" s="168" t="str">
        <x:v>FUNDO DE INVESTIMENTO EM DIREITOS CREDITÓRIOS MONEE I DE RESPONSABILIDADE LIMITADA</x:v>
      </x:c>
      <x:c r="C16" s="171" t="n">
        <x:v>5.00160736166</x:v>
      </x:c>
      <x:c r="D16" s="168" t="str">
        <x:v>VALORA RENDA FIXA LTDA.</x:v>
      </x:c>
      <x:c r="E16" s="168" t="str">
        <x:f>IFERROR(INDEX('Classif Gestoras'!$H$6:$H$462,MATCH(D16,'Classif Gestoras'!$A$6:$A$462,0)),"Não classificada")</x:f>
        <x:v>Independente</x:v>
      </x:c>
      <x:c r="F16" s="168" t="str">
        <x:v>Outros</x:v>
      </x:c>
      <x:c r="G16" s="168" t="str">
        <x:v>Singulare</x:v>
      </x:c>
      <x:c r="H16" s="168" t="str">
        <x:v>QI CORRETORA DE TÍTULOS E VALORES MOBILIÁRIOS S.A.</x:v>
      </x:c>
      <x:c r="I16" s="174" t="n">
        <x:v>2</x:v>
      </x:c>
      <x:c r="J16" s="177" t="str">
        <x:v>42.922.136/0001-07</x:v>
      </x:c>
      <x:c r="K16" s="198"/>
      <x:c r="L16" s="198"/>
      <x:c r="M16" s="198"/>
      <x:c r="N16" s="198"/>
    </x:row>
    <x:row r="17">
      <x:c r="A17" s="168" t="n">
        <x:v>13</x:v>
      </x:c>
      <x:c r="B17" s="168" t="str">
        <x:v>FUNDO DE INVESTIMENTO EM DIREITOS CREDITÓRIOS PICPAY I</x:v>
      </x:c>
      <x:c r="C17" s="171" t="n">
        <x:v>4.56416045469</x:v>
      </x:c>
      <x:c r="D17" s="168" t="str">
        <x:v>GENIAL GESTÃO LTDA.</x:v>
      </x:c>
      <x:c r="E17" s="168" t="str">
        <x:f>IFERROR(INDEX('Classif Gestoras'!$H$6:$H$462,MATCH(D17,'Classif Gestoras'!$A$6:$A$462,0)),"Não classificada")</x:f>
        <x:v>Ligada a banco</x:v>
      </x:c>
      <x:c r="F17" s="168" t="str">
        <x:v>Financeiro</x:v>
      </x:c>
      <x:c r="G17" s="168" t="str">
        <x:v>Banco Genial S.A.</x:v>
      </x:c>
      <x:c r="H17" s="168" t="str">
        <x:v>BANCO GENIAL S.A.</x:v>
      </x:c>
      <x:c r="I17" s="174" t="n">
        <x:v>2</x:v>
      </x:c>
      <x:c r="J17" s="177" t="str">
        <x:v>32.527.650/0001-86</x:v>
      </x:c>
      <x:c r="K17" s="198"/>
      <x:c r="L17" s="198"/>
      <x:c r="M17" s="198"/>
      <x:c r="N17" s="198"/>
    </x:row>
    <x:row r="18">
      <x:c r="A18" s="168" t="n">
        <x:v>14</x:v>
      </x:c>
      <x:c r="B18" s="168" t="str">
        <x:v>SELLER FIDC SEGMENTO MEIOS DE PAGAMENTO DE RESPONSABILIDADE LIMITADA</x:v>
      </x:c>
      <x:c r="C18" s="171" t="n">
        <x:v>3.63384961655</x:v>
      </x:c>
      <x:c r="D18" s="168" t="str">
        <x:v>Oliveira Trust Servicer</x:v>
      </x:c>
      <x:c r="E18" s="168" t="str">
        <x:f>IFERROR(INDEX('Classif Gestoras'!$H$6:$H$462,MATCH(D18,'Classif Gestoras'!$A$6:$A$462,0)),"Não classificada")</x:f>
        <x:v>Independente</x:v>
      </x:c>
      <x:c r="F18" s="168" t="str">
        <x:v>Financeiro</x:v>
      </x:c>
      <x:c r="G18" s="168" t="str">
        <x:v>Oliveira Trust DTVM</x:v>
      </x:c>
      <x:c r="H18" s="168" t="str">
        <x:v>OLIVEIRA TRUST DTVM S.A.</x:v>
      </x:c>
      <x:c r="I18" s="174" t="n">
        <x:v>8</x:v>
      </x:c>
      <x:c r="J18" s="177" t="str">
        <x:v>50.473.039/0001-02</x:v>
      </x:c>
      <x:c r="K18" s="198"/>
      <x:c r="L18" s="198"/>
      <x:c r="M18" s="198"/>
      <x:c r="N18" s="198"/>
    </x:row>
    <x:row r="19">
      <x:c r="A19" s="168" t="n">
        <x:v>15</x:v>
      </x:c>
      <x:c r="B19" s="168" t="str">
        <x:v>FIDC ACR BEM BANCOS EMISSORES DE CARTÃO DE CRÉDITO - RESPONSABILIDADE LIMITADA</x:v>
      </x:c>
      <x:c r="C19" s="171" t="n">
        <x:v>3.6323227350500003</x:v>
      </x:c>
      <x:c r="D19" s="168" t="str">
        <x:v>Banco Bradesco S/A</x:v>
      </x:c>
      <x:c r="E19" s="168" t="str">
        <x:f>IFERROR(INDEX('Classif Gestoras'!$H$6:$H$462,MATCH(D19,'Classif Gestoras'!$A$6:$A$462,0)),"Não classificada")</x:f>
        <x:v>Ligada a banco</x:v>
      </x:c>
      <x:c r="F19" s="168" t="str">
        <x:v>Financeiro</x:v>
      </x:c>
      <x:c r="G19" s="168" t="str">
        <x:v>BEM - DIST. DE TÍTUL</x:v>
      </x:c>
      <x:c r="H19" s="168" t="str">
        <x:v>BANCO BRADESCO S.A.</x:v>
      </x:c>
      <x:c r="I19" s="174" t="n">
        <x:v>66</x:v>
      </x:c>
      <x:c r="J19" s="177" t="str">
        <x:v>54.979.779/0001-68</x:v>
      </x:c>
      <x:c r="K19" s="198"/>
      <x:c r="L19" s="198"/>
      <x:c r="M19" s="198"/>
      <x:c r="N19" s="198"/>
    </x:row>
    <x:row r="20">
      <x:c r="A20" s="168" t="n">
        <x:v>16</x:v>
      </x:c>
      <x:c r="B20" s="168" t="str">
        <x:v>RSCRED MULTIESTRÉGIA - FUNDO DE INVESTIMENTO EM DIREITOS CREDITÓRIOS NÃO-PADRONIZADOS</x:v>
      </x:c>
      <x:c r="C20" s="171" t="n">
        <x:v>3.5999959734300004</x:v>
      </x:c>
      <x:c r="D20" s="168" t="str">
        <x:v>SECURITY ADMINISTRAD</x:v>
      </x:c>
      <x:c r="E20" s="168" t="str">
        <x:f>IFERROR(INDEX('Classif Gestoras'!$H$6:$H$462,MATCH(D20,'Classif Gestoras'!$A$6:$A$462,0)),"Não classificada")</x:f>
        <x:v>Independente</x:v>
      </x:c>
      <x:c r="F20" s="168" t="str">
        <x:v>Outros</x:v>
      </x:c>
      <x:c r="G20" s="168" t="str">
        <x:v>RJI Investimentos</x:v>
      </x:c>
      <x:c r="H20" s="168" t="str">
        <x:v>RJI CORRETORA DE TÍTULOS E VALORES MOBILIÁRIOS LTDA.</x:v>
      </x:c>
      <x:c r="I20" s="174" t="n">
        <x:v>1</x:v>
      </x:c>
      <x:c r="J20" s="177" t="str">
        <x:v>29.301.202/0001-55</x:v>
      </x:c>
      <x:c r="K20" s="198"/>
      <x:c r="L20" s="198"/>
      <x:c r="M20" s="198"/>
      <x:c r="N20" s="198"/>
    </x:row>
    <x:row r="21">
      <x:c r="A21" s="168" t="n">
        <x:v>17</x:v>
      </x:c>
      <x:c r="B21" s="168" t="str">
        <x:v>HAVAN FUNDO DE INVESTIMENTO EM DIREITOS CREDITÓRIOS SEGMENTO ECONÔMICO, FINANCEIRO E COMERCIAL</x:v>
      </x:c>
      <x:c r="C21" s="171" t="n">
        <x:v>3.57663805352</x:v>
      </x:c>
      <x:c r="D21" s="168" t="str">
        <x:v>Petra Capital</x:v>
      </x:c>
      <x:c r="E21" s="168" t="str">
        <x:f>IFERROR(INDEX('Classif Gestoras'!$H$6:$H$462,MATCH(D21,'Classif Gestoras'!$A$6:$A$462,0)),"Não classificada")</x:f>
        <x:v>Independente</x:v>
      </x:c>
      <x:c r="F21" s="168" t="str">
        <x:v>Outros</x:v>
      </x:c>
      <x:c r="G21" s="168" t="str">
        <x:v>Banco Finaxis S.A.</x:v>
      </x:c>
      <x:c r="H21" s="168" t="str">
        <x:v>BANCO FINAXIS S.A.</x:v>
      </x:c>
      <x:c r="I21" s="174" t="n">
        <x:v>1</x:v>
      </x:c>
      <x:c r="J21" s="177" t="str">
        <x:v>12.817.329/0001-29</x:v>
      </x:c>
      <x:c r="K21" s="198"/>
      <x:c r="L21" s="198"/>
      <x:c r="M21" s="198"/>
      <x:c r="N21" s="198"/>
    </x:row>
    <x:row r="22">
      <x:c r="A22" s="168" t="n">
        <x:v>18</x:v>
      </x:c>
      <x:c r="B22" s="168" t="str">
        <x:v>EXPERT III FUNDO DE INVESTIMENTO EM DIREITOS CREDITÓRIOS DE RESPONSABILIDADE ILIMITADA</x:v>
      </x:c>
      <x:c r="C22" s="171" t="n">
        <x:v>3.54807125128</x:v>
      </x:c>
      <x:c r="D22" s="168" t="str">
        <x:v>DAYCOVAL ASSET MANAG</x:v>
      </x:c>
      <x:c r="E22" s="168" t="str">
        <x:f>IFERROR(INDEX('Classif Gestoras'!$H$6:$H$462,MATCH(D22,'Classif Gestoras'!$A$6:$A$462,0)),"Não classificada")</x:f>
        <x:v>Ligada a banco</x:v>
      </x:c>
      <x:c r="F22" s="168" t="str">
        <x:v>Outros</x:v>
      </x:c>
      <x:c r="G22" s="168" t="str">
        <x:v>BANCO DAYCOVAL S/A</x:v>
      </x:c>
      <x:c r="H22" s="168" t="str">
        <x:v>BANCO DAYCOVAL S.A.</x:v>
      </x:c>
      <x:c r="I22" s="174" t="n">
        <x:v>6</x:v>
      </x:c>
      <x:c r="J22" s="177" t="str">
        <x:v>53.073.485/0001-00</x:v>
      </x:c>
      <x:c r="K22" s="198"/>
      <x:c r="L22" s="198"/>
      <x:c r="M22" s="198"/>
      <x:c r="N22" s="198"/>
    </x:row>
    <x:row r="23">
      <x:c r="A23" s="168" t="n">
        <x:v>19</x:v>
      </x:c>
      <x:c r="B23" s="168" t="str">
        <x:v>VENDA DE VEÍCULOS FUNDO DE INVESTIMENTO EM DIREITOS CREDITÓRIOS</x:v>
      </x:c>
      <x:c r="C23" s="171" t="n">
        <x:v>3.49213016123086</x:v>
      </x:c>
      <x:c r="D23" s="168" t="str">
        <x:v>Integral Investimentos</x:v>
      </x:c>
      <x:c r="E23" s="168" t="str">
        <x:f>IFERROR(INDEX('Classif Gestoras'!$H$6:$H$462,MATCH(D23,'Classif Gestoras'!$A$6:$A$462,0)),"Não classificada")</x:f>
        <x:v>Independente</x:v>
      </x:c>
      <x:c r="F23" s="168" t="str">
        <x:v>Financeiro</x:v>
      </x:c>
      <x:c r="G23" s="168" t="str">
        <x:v>S3 Caceis Brasil Distribuidora de Títulos e Valores Mob</x:v>
      </x:c>
      <x:c r="H23" s="168" t="str">
        <x:v>S3 CACEIS BRASIL DISTRIBUIDORA DE TITULOS E VALORES MOBILIARIOS S.A</x:v>
      </x:c>
      <x:c r="I23" s="174" t="n">
        <x:v>1</x:v>
      </x:c>
      <x:c r="J23" s="177" t="str">
        <x:v>21.126.275/0001-46</x:v>
      </x:c>
      <x:c r="K23" s="198"/>
      <x:c r="L23" s="198"/>
      <x:c r="M23" s="198"/>
      <x:c r="N23" s="198"/>
    </x:row>
    <x:row r="24">
      <x:c r="A24" s="168" t="n">
        <x:v>20</x:v>
      </x:c>
      <x:c r="B24" s="168" t="str">
        <x:v>RED FUNDO DE INVESTIMENTO EM DIREITOS CREDITÓRIOS REAL LP DE RESPONSABILIDADE LIMITADA</x:v>
      </x:c>
      <x:c r="C24" s="171" t="n">
        <x:v>3.4864891396099997</x:v>
      </x:c>
      <x:c r="D24" s="168" t="str">
        <x:v>RedAsset Gestão de Recursos Ltda.</x:v>
      </x:c>
      <x:c r="E24" s="168" t="str">
        <x:f>IFERROR(INDEX('Classif Gestoras'!$H$6:$H$462,MATCH(D24,'Classif Gestoras'!$A$6:$A$462,0)),"Não classificada")</x:f>
        <x:v>Independente</x:v>
      </x:c>
      <x:c r="F24" s="168" t="str">
        <x:v>Outros</x:v>
      </x:c>
      <x:c r="G24" s="168" t="str">
        <x:v>Finaxis Corretora de Títulos e Valores Mobiliários S.A.</x:v>
      </x:c>
      <x:c r="H24" s="168" t="str">
        <x:v>BANCO FINAXIS S.A.</x:v>
      </x:c>
      <x:c r="I24" s="174" t="n">
        <x:v>377</x:v>
      </x:c>
      <x:c r="J24" s="177" t="str">
        <x:v>17.250.006/0001-10</x:v>
      </x:c>
      <x:c r="K24" s="198"/>
      <x:c r="L24" s="198"/>
      <x:c r="M24" s="198"/>
      <x:c r="N24" s="198"/>
    </x:row>
    <x:row r="25">
      <x:c r="A25" s="168" t="n">
        <x:v>21</x:v>
      </x:c>
      <x:c r="B25" s="168" t="str">
        <x:v>MT CONSIGNADO PRIVADO I FUNDO DE INVESTIMENTO EM DIREITOS CREDITÓRIOS</x:v>
      </x:c>
      <x:c r="C25" s="171" t="n">
        <x:v>3.3355525912699995</x:v>
      </x:c>
      <x:c r="D25" s="168" t="str">
        <x:v>BTG Pactual Asset</x:v>
      </x:c>
      <x:c r="E25" s="168" t="str">
        <x:f>IFERROR(INDEX('Classif Gestoras'!$H$6:$H$462,MATCH(D25,'Classif Gestoras'!$A$6:$A$462,0)),"Não classificada")</x:f>
        <x:v>Ligada a banco</x:v>
      </x:c>
      <x:c r="F25" s="168" t="str">
        <x:v>Financeiro</x:v>
      </x:c>
      <x:c r="G25" s="168" t="str">
        <x:v>BTG Pactual Servicos Financeiros S/A DTVM</x:v>
      </x:c>
      <x:c r="H25" s="168" t="str">
        <x:v>BANCO BTG PACTUAL S/A</x:v>
      </x:c>
      <x:c r="I25" s="174" t="n">
        <x:v>3</x:v>
      </x:c>
      <x:c r="J25" s="177" t="str">
        <x:v>60.010.416/0001-12</x:v>
      </x:c>
      <x:c r="K25" s="198"/>
      <x:c r="L25" s="198"/>
      <x:c r="M25" s="198"/>
      <x:c r="N25" s="198"/>
    </x:row>
    <x:row r="26">
      <x:c r="A26" s="168" t="n">
        <x:v>22</x:v>
      </x:c>
      <x:c r="B26" s="168" t="str">
        <x:v>OCCAM CRÉDITO CORPORATIVO 30 FUNDO DE INVESTIMENTO EM DIREITOS CREDITÓRIOS RESPONSABILIDADE LIMITADA</x:v>
      </x:c>
      <x:c r="C26" s="171" t="n">
        <x:v>3.32919824042</x:v>
      </x:c>
      <x:c r="D26" s="168" t="str">
        <x:v>NOVA OCCAM BRASIL GESTÃO DE RECURSOS LTDA.</x:v>
      </x:c>
      <x:c r="E26" s="168" t="str">
        <x:f>IFERROR(INDEX('Classif Gestoras'!$H$6:$H$462,MATCH(D26,'Classif Gestoras'!$A$6:$A$462,0)),"Não classificada")</x:f>
        <x:v>Independente</x:v>
      </x:c>
      <x:c r="F26" s="168" t="str">
        <x:v>Outros</x:v>
      </x:c>
      <x:c r="G26" s="168" t="str">
        <x:v>BNY MELLON SERVICOS</x:v>
      </x:c>
      <x:c r="H26" s="168" t="str">
        <x:v>BNY MELLON BANCO S.A.</x:v>
      </x:c>
      <x:c r="I26" s="174" t="n">
        <x:v>5</x:v>
      </x:c>
      <x:c r="J26" s="177" t="str">
        <x:v>48.349.509/0001-70</x:v>
      </x:c>
      <x:c r="K26" s="198"/>
      <x:c r="L26" s="198"/>
      <x:c r="M26" s="198"/>
      <x:c r="N26" s="198"/>
    </x:row>
    <x:row r="27">
      <x:c r="A27" s="168" t="n">
        <x:v>23</x:v>
      </x:c>
      <x:c r="B27" s="168" t="str">
        <x:v>CLOUDWALK PI FUNDO DE INVESTIMENTO EM DIREITOS CREDITÓRIOS SEGMENTO MEIOS DE PAGAMENTO</x:v>
      </x:c>
      <x:c r="C27" s="171" t="n">
        <x:v>3.2523546327700004</x:v>
      </x:c>
      <x:c r="D27" s="168" t="str">
        <x:v>BTG Pactual Asset</x:v>
      </x:c>
      <x:c r="E27" s="168" t="str">
        <x:f>IFERROR(INDEX('Classif Gestoras'!$H$6:$H$462,MATCH(D27,'Classif Gestoras'!$A$6:$A$462,0)),"Não classificada")</x:f>
        <x:v>Ligada a banco</x:v>
      </x:c>
      <x:c r="F27" s="168" t="str">
        <x:v>Financeiro</x:v>
      </x:c>
      <x:c r="G27" s="168" t="str">
        <x:v>BTG Pactual Servicos Financeiros S/A DTVM</x:v>
      </x:c>
      <x:c r="H27" s="168" t="str">
        <x:v>BANCO BTG PACTUAL S/A</x:v>
      </x:c>
      <x:c r="I27" s="174" t="n">
        <x:v>14</x:v>
      </x:c>
      <x:c r="J27" s="177" t="str">
        <x:v>60.356.171/0001-80</x:v>
      </x:c>
      <x:c r="K27" s="198"/>
      <x:c r="L27" s="198"/>
      <x:c r="M27" s="198"/>
      <x:c r="N27" s="198"/>
    </x:row>
    <x:row r="28">
      <x:c r="A28" s="168" t="n">
        <x:v>24</x:v>
      </x:c>
      <x:c r="B28" s="168" t="str">
        <x:v>ATLANTA FUNDO DE INVESTIMENTO EM DIREITOS CREDITÓRIOS DE RESPONSABILIDADE LIMITADA</x:v>
      </x:c>
      <x:c r="C28" s="171" t="n">
        <x:v>3.23263508126</x:v>
      </x:c>
      <x:c r="D28" s="168" t="str">
        <x:v>TERCON ASSET MANAGEMENT</x:v>
      </x:c>
      <x:c r="E28" s="168" t="str">
        <x:f>IFERROR(INDEX('Classif Gestoras'!$H$6:$H$462,MATCH(D28,'Classif Gestoras'!$A$6:$A$462,0)),"Não classificada")</x:f>
        <x:v>Independente</x:v>
      </x:c>
      <x:c r="F28" s="168" t="str">
        <x:v>Fomento Mercantil</x:v>
      </x:c>
      <x:c r="G28" s="168" t="str">
        <x:v>Singulare</x:v>
      </x:c>
      <x:c r="H28" s="168" t="str">
        <x:v>QI CORRETORA DE TÍTULOS E VALORES MOBILIÁRIOS S.A.</x:v>
      </x:c>
      <x:c r="I28" s="174" t="n">
        <x:v>14</x:v>
      </x:c>
      <x:c r="J28" s="177" t="str">
        <x:v>11.468.186/0001-24</x:v>
      </x:c>
      <x:c r="K28" s="198"/>
      <x:c r="L28" s="198"/>
      <x:c r="M28" s="198"/>
      <x:c r="N28" s="198"/>
    </x:row>
    <x:row r="29">
      <x:c r="A29" s="169" t="n">
        <x:v>25</x:v>
      </x:c>
      <x:c r="B29" s="169" t="str">
        <x:v>ASA FUNDO DE INVESTIMENTO EM DIREITOS CREDITÓRIOS RESPONSABILIDADE LIMITADA</x:v>
      </x:c>
      <x:c r="C29" s="172" t="n">
        <x:v>3.15310354427</x:v>
      </x:c>
      <x:c r="D29" s="169" t="str">
        <x:v>ASA Investments</x:v>
      </x:c>
      <x:c r="E29" s="169" t="str">
        <x:f>IFERROR(INDEX('Classif Gestoras'!$H$6:$H$462,MATCH(D29,'Classif Gestoras'!$A$6:$A$462,0)),"Não classificada")</x:f>
        <x:v>Independente</x:v>
      </x:c>
      <x:c r="F29" s="169" t="str">
        <x:v>Outros</x:v>
      </x:c>
      <x:c r="G29" s="169" t="str">
        <x:v>Singulare</x:v>
      </x:c>
      <x:c r="H29" s="169" t="str">
        <x:v>QI CORRETORA DE TÍTULOS E VALORES MOBILIÁRIOS S.A.</x:v>
      </x:c>
      <x:c r="I29" s="175" t="n">
        <x:v>6</x:v>
      </x:c>
      <x:c r="J29" s="178" t="str">
        <x:v>49.826.785/0001-45</x:v>
      </x:c>
      <x:c r="K29" s="198"/>
      <x:c r="L29" s="198"/>
      <x:c r="M29" s="198"/>
      <x:c r="N29" s="198"/>
    </x:row>
    <x:row r="30">
      <x:c r="A30" s="198"/>
      <x:c r="B30" s="198"/>
      <x:c r="C30" s="198"/>
      <x:c r="D30" s="198"/>
      <x:c r="E30" s="198"/>
      <x:c r="F30" s="198"/>
      <x:c r="G30" s="198"/>
      <x:c r="H30" s="198"/>
      <x:c r="I30" s="198"/>
      <x:c r="J30" s="198"/>
      <x:c r="K30" s="198"/>
      <x:c r="L30" s="198"/>
      <x:c r="M30" s="198"/>
      <x:c r="N30" s="198"/>
    </x:row>
    <x:row r="31">
      <x:c r="A31" s="198"/>
      <x:c r="B31" s="198"/>
      <x:c r="C31" s="198"/>
      <x:c r="D31" s="198"/>
      <x:c r="E31" s="198"/>
      <x:c r="F31" s="198"/>
      <x:c r="G31" s="198"/>
      <x:c r="H31" s="198"/>
      <x:c r="I31" s="198"/>
      <x:c r="J31" s="198"/>
      <x:c r="K31" s="198"/>
      <x:c r="L31" s="198"/>
      <x:c r="M31" s="198"/>
      <x:c r="N31" s="198"/>
    </x:row>
    <x:row r="32">
      <x:c r="A32" s="52" t="str">
        <x:v>PL, tipo, foco, gestor e administrador: ANBIMA maio/2026. Nome, custódia e cotistas: CVM conciliado por CNPJ. O grupo da gestora é uma fórmula que busca a classificação final editável.</x:v>
      </x:c>
      <x:c r="B32" s="52" t="str">
        <x:v>PL, tipo, foco, gestor e administrador: ANBIMA maio/2026. Nome, custódia e cotistas: CVM conciliado por CNPJ. O grupo da gestora é uma fórmula que busca a classificação final editável.</x:v>
      </x:c>
      <x:c r="C32" s="52" t="str">
        <x:v>PL, tipo, foco, gestor e administrador: ANBIMA maio/2026. Nome, custódia e cotistas: CVM conciliado por CNPJ. O grupo da gestora é uma fórmula que busca a classificação final editável.</x:v>
      </x:c>
      <x:c r="D32" s="52" t="str">
        <x:v>PL, tipo, foco, gestor e administrador: ANBIMA maio/2026. Nome, custódia e cotistas: CVM conciliado por CNPJ. O grupo da gestora é uma fórmula que busca a classificação final editável.</x:v>
      </x:c>
      <x:c r="E32" s="52" t="str">
        <x:v>PL, tipo, foco, gestor e administrador: ANBIMA maio/2026. Nome, custódia e cotistas: CVM conciliado por CNPJ. O grupo da gestora é uma fórmula que busca a classificação final editável.</x:v>
      </x:c>
      <x:c r="F32" s="52" t="str">
        <x:v>PL, tipo, foco, gestor e administrador: ANBIMA maio/2026. Nome, custódia e cotistas: CVM conciliado por CNPJ. O grupo da gestora é uma fórmula que busca a classificação final editável.</x:v>
      </x:c>
      <x:c r="G32" s="52" t="str">
        <x:v>PL, tipo, foco, gestor e administrador: ANBIMA maio/2026. Nome, custódia e cotistas: CVM conciliado por CNPJ. O grupo da gestora é uma fórmula que busca a classificação final editável.</x:v>
      </x:c>
      <x:c r="H32" s="52" t="str">
        <x:v>PL, tipo, foco, gestor e administrador: ANBIMA maio/2026. Nome, custódia e cotistas: CVM conciliado por CNPJ. O grupo da gestora é uma fórmula que busca a classificação final editável.</x:v>
      </x:c>
      <x:c r="I32" s="52" t="str">
        <x:v>PL, tipo, foco, gestor e administrador: ANBIMA maio/2026. Nome, custódia e cotistas: CVM conciliado por CNPJ. O grupo da gestora é uma fórmula que busca a classificação final editável.</x:v>
      </x:c>
      <x:c r="J32" s="52" t="str">
        <x:v>PL, tipo, foco, gestor e administrador: ANBIMA maio/2026. Nome, custódia e cotistas: CVM conciliado por CNPJ. O grupo da gestora é uma fórmula que busca a classificação final editável.</x:v>
      </x:c>
      <x:c r="K32" s="198"/>
      <x:c r="L32" s="198"/>
      <x:c r="M32" s="198"/>
      <x:c r="N32" s="198"/>
    </x:row>
    <x:row r="33">
      <x:c r="A33" s="52" t="str">
        <x:v>PL, tipo, foco, gestor e administrador: ANBIMA maio/2026. Nome, custódia e cotistas: CVM conciliado por CNPJ. O grupo da gestora é uma fórmula que busca a classificação final editável.</x:v>
      </x:c>
      <x:c r="B33" s="52" t="str">
        <x:v>PL, tipo, foco, gestor e administrador: ANBIMA maio/2026. Nome, custódia e cotistas: CVM conciliado por CNPJ. O grupo da gestora é uma fórmula que busca a classificação final editável.</x:v>
      </x:c>
      <x:c r="C33" s="52" t="str">
        <x:v>PL, tipo, foco, gestor e administrador: ANBIMA maio/2026. Nome, custódia e cotistas: CVM conciliado por CNPJ. O grupo da gestora é uma fórmula que busca a classificação final editável.</x:v>
      </x:c>
      <x:c r="D33" s="52" t="str">
        <x:v>PL, tipo, foco, gestor e administrador: ANBIMA maio/2026. Nome, custódia e cotistas: CVM conciliado por CNPJ. O grupo da gestora é uma fórmula que busca a classificação final editável.</x:v>
      </x:c>
      <x:c r="E33" s="52" t="str">
        <x:v>PL, tipo, foco, gestor e administrador: ANBIMA maio/2026. Nome, custódia e cotistas: CVM conciliado por CNPJ. O grupo da gestora é uma fórmula que busca a classificação final editável.</x:v>
      </x:c>
      <x:c r="F33" s="52" t="str">
        <x:v>PL, tipo, foco, gestor e administrador: ANBIMA maio/2026. Nome, custódia e cotistas: CVM conciliado por CNPJ. O grupo da gestora é uma fórmula que busca a classificação final editável.</x:v>
      </x:c>
      <x:c r="G33" s="52" t="str">
        <x:v>PL, tipo, foco, gestor e administrador: ANBIMA maio/2026. Nome, custódia e cotistas: CVM conciliado por CNPJ. O grupo da gestora é uma fórmula que busca a classificação final editável.</x:v>
      </x:c>
      <x:c r="H33" s="52" t="str">
        <x:v>PL, tipo, foco, gestor e administrador: ANBIMA maio/2026. Nome, custódia e cotistas: CVM conciliado por CNPJ. O grupo da gestora é uma fórmula que busca a classificação final editável.</x:v>
      </x:c>
      <x:c r="I33" s="52" t="str">
        <x:v>PL, tipo, foco, gestor e administrador: ANBIMA maio/2026. Nome, custódia e cotistas: CVM conciliado por CNPJ. O grupo da gestora é uma fórmula que busca a classificação final editável.</x:v>
      </x:c>
      <x:c r="J33" s="52" t="str">
        <x:v>PL, tipo, foco, gestor e administrador: ANBIMA maio/2026. Nome, custódia e cotistas: CVM conciliado por CNPJ. O grupo da gestora é uma fórmula que busca a classificação final editável.</x:v>
      </x:c>
      <x:c r="K33" s="198"/>
      <x:c r="L33" s="198"/>
      <x:c r="M33" s="198"/>
      <x:c r="N33" s="198"/>
    </x:row>
    <x:row r="34">
      <x:c r="A34" s="52" t="str">
        <x:v>PL, tipo, foco, gestor e administrador: ANBIMA maio/2026. Nome, custódia e cotistas: CVM conciliado por CNPJ. O grupo da gestora é uma fórmula que busca a classificação final editável.</x:v>
      </x:c>
      <x:c r="B34" s="52" t="str">
        <x:v>PL, tipo, foco, gestor e administrador: ANBIMA maio/2026. Nome, custódia e cotistas: CVM conciliado por CNPJ. O grupo da gestora é uma fórmula que busca a classificação final editável.</x:v>
      </x:c>
      <x:c r="C34" s="52" t="str">
        <x:v>PL, tipo, foco, gestor e administrador: ANBIMA maio/2026. Nome, custódia e cotistas: CVM conciliado por CNPJ. O grupo da gestora é uma fórmula que busca a classificação final editável.</x:v>
      </x:c>
      <x:c r="D34" s="52" t="str">
        <x:v>PL, tipo, foco, gestor e administrador: ANBIMA maio/2026. Nome, custódia e cotistas: CVM conciliado por CNPJ. O grupo da gestora é uma fórmula que busca a classificação final editável.</x:v>
      </x:c>
      <x:c r="E34" s="52" t="str">
        <x:v>PL, tipo, foco, gestor e administrador: ANBIMA maio/2026. Nome, custódia e cotistas: CVM conciliado por CNPJ. O grupo da gestora é uma fórmula que busca a classificação final editável.</x:v>
      </x:c>
      <x:c r="F34" s="52" t="str">
        <x:v>PL, tipo, foco, gestor e administrador: ANBIMA maio/2026. Nome, custódia e cotistas: CVM conciliado por CNPJ. O grupo da gestora é uma fórmula que busca a classificação final editável.</x:v>
      </x:c>
      <x:c r="G34" s="52" t="str">
        <x:v>PL, tipo, foco, gestor e administrador: ANBIMA maio/2026. Nome, custódia e cotistas: CVM conciliado por CNPJ. O grupo da gestora é uma fórmula que busca a classificação final editável.</x:v>
      </x:c>
      <x:c r="H34" s="52" t="str">
        <x:v>PL, tipo, foco, gestor e administrador: ANBIMA maio/2026. Nome, custódia e cotistas: CVM conciliado por CNPJ. O grupo da gestora é uma fórmula que busca a classificação final editável.</x:v>
      </x:c>
      <x:c r="I34" s="52" t="str">
        <x:v>PL, tipo, foco, gestor e administrador: ANBIMA maio/2026. Nome, custódia e cotistas: CVM conciliado por CNPJ. O grupo da gestora é uma fórmula que busca a classificação final editável.</x:v>
      </x:c>
      <x:c r="J34" s="52" t="str">
        <x:v>PL, tipo, foco, gestor e administrador: ANBIMA maio/2026. Nome, custódia e cotistas: CVM conciliado por CNPJ. O grupo da gestora é uma fórmula que busca a classificação final editável.</x:v>
      </x:c>
      <x:c r="K34" s="198"/>
      <x:c r="L34" s="198"/>
      <x:c r="M34" s="198"/>
      <x:c r="N34" s="198"/>
    </x:row>
    <x:row r="35">
      <x:c r="A35" s="52" t="str">
        <x:v>PL, tipo, foco, gestor e administrador: ANBIMA maio/2026. Nome, custódia e cotistas: CVM conciliado por CNPJ. O grupo da gestora é uma fórmula que busca a classificação final editável.</x:v>
      </x:c>
      <x:c r="B35" s="52" t="str">
        <x:v>PL, tipo, foco, gestor e administrador: ANBIMA maio/2026. Nome, custódia e cotistas: CVM conciliado por CNPJ. O grupo da gestora é uma fórmula que busca a classificação final editável.</x:v>
      </x:c>
      <x:c r="C35" s="52" t="str">
        <x:v>PL, tipo, foco, gestor e administrador: ANBIMA maio/2026. Nome, custódia e cotistas: CVM conciliado por CNPJ. O grupo da gestora é uma fórmula que busca a classificação final editável.</x:v>
      </x:c>
      <x:c r="D35" s="52" t="str">
        <x:v>PL, tipo, foco, gestor e administrador: ANBIMA maio/2026. Nome, custódia e cotistas: CVM conciliado por CNPJ. O grupo da gestora é uma fórmula que busca a classificação final editável.</x:v>
      </x:c>
      <x:c r="E35" s="52" t="str">
        <x:v>PL, tipo, foco, gestor e administrador: ANBIMA maio/2026. Nome, custódia e cotistas: CVM conciliado por CNPJ. O grupo da gestora é uma fórmula que busca a classificação final editável.</x:v>
      </x:c>
      <x:c r="F35" s="52" t="str">
        <x:v>PL, tipo, foco, gestor e administrador: ANBIMA maio/2026. Nome, custódia e cotistas: CVM conciliado por CNPJ. O grupo da gestora é uma fórmula que busca a classificação final editável.</x:v>
      </x:c>
      <x:c r="G35" s="52" t="str">
        <x:v>PL, tipo, foco, gestor e administrador: ANBIMA maio/2026. Nome, custódia e cotistas: CVM conciliado por CNPJ. O grupo da gestora é uma fórmula que busca a classificação final editável.</x:v>
      </x:c>
      <x:c r="H35" s="52" t="str">
        <x:v>PL, tipo, foco, gestor e administrador: ANBIMA maio/2026. Nome, custódia e cotistas: CVM conciliado por CNPJ. O grupo da gestora é uma fórmula que busca a classificação final editável.</x:v>
      </x:c>
      <x:c r="I35" s="52" t="str">
        <x:v>PL, tipo, foco, gestor e administrador: ANBIMA maio/2026. Nome, custódia e cotistas: CVM conciliado por CNPJ. O grupo da gestora é uma fórmula que busca a classificação final editável.</x:v>
      </x:c>
      <x:c r="J35" s="52" t="str">
        <x:v>PL, tipo, foco, gestor e administrador: ANBIMA maio/2026. Nome, custódia e cotistas: CVM conciliado por CNPJ. O grupo da gestora é uma fórmula que busca a classificação final editável.</x:v>
      </x:c>
      <x:c r="K35" s="198"/>
      <x:c r="L35" s="198"/>
      <x:c r="M35" s="198"/>
      <x:c r="N35" s="198"/>
    </x:row>
  </x:sheetData>
  <x:mergeCells>
    <x:mergeCell ref="A1:N2"/>
    <x:mergeCell ref="A32:J35"/>
  </x:mergeCells>
  <x:pageMargins left="0.7" right="0.7" top="0.75" bottom="0.75" header="0.3" footer="0.3"/>
  <x:drawing xmlns:r="http://schemas.openxmlformats.org/officeDocument/2006/relationships" r:id="R46f75dac81944454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 ht="30" customHeight="1">
      <x:c r="A1" s="4" t="str">
        <x:v>206 fundos acima de R$ 200 mm têm até dois cotistas</x:v>
      </x:c>
      <x:c r="B1" s="4" t="str">
        <x:v>206 fundos acima de R$ 200 mm têm até dois cotistas</x:v>
      </x:c>
      <x:c r="C1" s="4" t="str">
        <x:v>206 fundos acima de R$ 200 mm têm até dois cotistas</x:v>
      </x:c>
      <x:c r="D1" s="4" t="str">
        <x:v>206 fundos acima de R$ 200 mm têm até dois cotistas</x:v>
      </x:c>
      <x:c r="E1" s="4" t="str">
        <x:v>206 fundos acima de R$ 200 mm têm até dois cotistas</x:v>
      </x:c>
      <x:c r="F1" s="4" t="str">
        <x:v>206 fundos acima de R$ 200 mm têm até dois cotistas</x:v>
      </x:c>
      <x:c r="G1" s="4" t="str">
        <x:v>206 fundos acima de R$ 200 mm têm até dois cotistas</x:v>
      </x:c>
      <x:c r="H1" s="4" t="str">
        <x:v>206 fundos acima de R$ 200 mm têm até dois cotistas</x:v>
      </x:c>
      <x:c r="I1" s="4" t="str">
        <x:v>206 fundos acima de R$ 200 mm têm até dois cotistas</x:v>
      </x:c>
      <x:c r="J1" s="4" t="str">
        <x:v>206 fundos acima de R$ 200 mm têm até dois cotistas</x:v>
      </x:c>
      <x:c r="K1" s="4" t="str">
        <x:v>206 fundos acima de R$ 200 mm têm até dois cotistas</x:v>
      </x:c>
      <x:c r="L1" s="4" t="str">
        <x:v>206 fundos acima de R$ 200 mm têm até dois cotistas</x:v>
      </x:c>
      <x:c r="M1" s="4" t="str">
        <x:v>206 fundos acima de R$ 200 mm têm até dois cotistas</x:v>
      </x:c>
      <x:c r="N1" s="4" t="str">
        <x:v>206 fundos acima de R$ 200 mm têm até dois cotistas</x:v>
      </x:c>
    </x:row>
    <x:row r="2" ht="30" customHeight="1">
      <x:c r="A2" s="4" t="str">
        <x:v>206 fundos acima de R$ 200 mm têm até dois cotistas</x:v>
      </x:c>
      <x:c r="B2" s="4" t="str">
        <x:v>206 fundos acima de R$ 200 mm têm até dois cotistas</x:v>
      </x:c>
      <x:c r="C2" s="4" t="str">
        <x:v>206 fundos acima de R$ 200 mm têm até dois cotistas</x:v>
      </x:c>
      <x:c r="D2" s="4" t="str">
        <x:v>206 fundos acima de R$ 200 mm têm até dois cotistas</x:v>
      </x:c>
      <x:c r="E2" s="4" t="str">
        <x:v>206 fundos acima de R$ 200 mm têm até dois cotistas</x:v>
      </x:c>
      <x:c r="F2" s="4" t="str">
        <x:v>206 fundos acima de R$ 200 mm têm até dois cotistas</x:v>
      </x:c>
      <x:c r="G2" s="4" t="str">
        <x:v>206 fundos acima de R$ 200 mm têm até dois cotistas</x:v>
      </x:c>
      <x:c r="H2" s="4" t="str">
        <x:v>206 fundos acima de R$ 200 mm têm até dois cotistas</x:v>
      </x:c>
      <x:c r="I2" s="4" t="str">
        <x:v>206 fundos acima de R$ 200 mm têm até dois cotistas</x:v>
      </x:c>
      <x:c r="J2" s="4" t="str">
        <x:v>206 fundos acima de R$ 200 mm têm até dois cotistas</x:v>
      </x:c>
      <x:c r="K2" s="4" t="str">
        <x:v>206 fundos acima de R$ 200 mm têm até dois cotistas</x:v>
      </x:c>
      <x:c r="L2" s="4" t="str">
        <x:v>206 fundos acima de R$ 200 mm têm até dois cotistas</x:v>
      </x:c>
      <x:c r="M2" s="4" t="str">
        <x:v>206 fundos acima de R$ 200 mm têm até dois cotistas</x:v>
      </x:c>
      <x:c r="N2" s="4" t="str">
        <x:v>206 fundos acima de R$ 200 mm têm até dois cotistas</x:v>
      </x:c>
    </x:row>
    <x:row r="3">
      <x:c r="A3" s="179" t="str">
        <x:v>PL mínimo (R$ mm)</x:v>
      </x:c>
      <x:c r="B3" s="181" t="n">
        <x:v>200</x:v>
      </x:c>
      <x:c r="C3" s="198"/>
      <x:c r="D3" s="198"/>
      <x:c r="E3" s="198"/>
      <x:c r="F3" s="198"/>
      <x:c r="G3" s="198"/>
      <x:c r="H3" s="198"/>
      <x:c r="I3" s="198"/>
      <x:c r="J3" s="198"/>
      <x:c r="K3" s="198"/>
      <x:c r="L3" s="198"/>
      <x:c r="M3" s="198"/>
      <x:c r="N3" s="198"/>
    </x:row>
    <x:row r="4" ht="28" customHeight="1">
      <x:c r="A4" s="198"/>
      <x:c r="B4" s="198"/>
      <x:c r="C4" s="198"/>
      <x:c r="D4" s="198"/>
      <x:c r="E4" s="198"/>
      <x:c r="F4" s="198"/>
      <x:c r="G4" s="198"/>
      <x:c r="H4" s="198"/>
      <x:c r="I4" s="20" t="str">
        <x:v>Métrica</x:v>
      </x:c>
      <x:c r="J4" s="22" t="str">
        <x:v>Valor</x:v>
      </x:c>
      <x:c r="K4" s="198"/>
      <x:c r="L4" s="198"/>
      <x:c r="M4" s="198"/>
      <x:c r="N4" s="198"/>
    </x:row>
    <x:row r="5">
      <x:c r="A5" s="198"/>
      <x:c r="B5" s="198"/>
      <x:c r="C5" s="198"/>
      <x:c r="D5" s="198"/>
      <x:c r="E5" s="198"/>
      <x:c r="F5" s="198"/>
      <x:c r="G5" s="198"/>
      <x:c r="H5" s="198"/>
      <x:c r="I5" s="110" t="str">
        <x:v>Fundos &gt; R$ 200 mm</x:v>
      </x:c>
      <x:c r="J5" s="113" t="n">
        <x:v>667</x:v>
      </x:c>
      <x:c r="K5" s="198"/>
      <x:c r="L5" s="198"/>
      <x:c r="M5" s="198"/>
      <x:c r="N5" s="198"/>
    </x:row>
    <x:row r="6" ht="28" customHeight="1">
      <x:c r="A6" s="20" t="str">
        <x:v>Faixa</x:v>
      </x:c>
      <x:c r="B6" s="21" t="str">
        <x:v>Fundos</x:v>
      </x:c>
      <x:c r="C6" s="22" t="str">
        <x:v>PL (R$ bi)</x:v>
      </x:c>
      <x:c r="D6" s="198"/>
      <x:c r="E6" s="198"/>
      <x:c r="F6" s="198"/>
      <x:c r="G6" s="198"/>
      <x:c r="H6" s="198"/>
      <x:c r="I6" s="112" t="str">
        <x:v>Com cotistas mapeados</x:v>
      </x:c>
      <x:c r="J6" s="115" t="n">
        <x:v>657</x:v>
      </x:c>
      <x:c r="K6" s="198"/>
      <x:c r="L6" s="198"/>
      <x:c r="M6" s="198"/>
      <x:c r="N6" s="198"/>
    </x:row>
    <x:row r="7">
      <x:c r="A7" s="110" t="str">
        <x:v>Até 2 cotistas</x:v>
      </x:c>
      <x:c r="B7" s="113" t="n">
        <x:f>COUNTIFS('Base Fundos'!$C$6:$C$3575,"&gt;="&amp;$B$3*1000000,'Base Fundos'!$K$6:$K$3575,"&lt;=2")</x:f>
        <x:v>216</x:v>
      </x:c>
      <x:c r="C7" s="119" t="n">
        <x:f>SUMIFS('Base Fundos'!$C$6:$C$3575,'Base Fundos'!$C$6:$C$3575,"&gt;="&amp;$B$3*1000000,'Base Fundos'!$K$6:$K$3575,"&lt;=2")/1000000000</x:f>
        <x:v>189.03927432099593</x:v>
      </x:c>
      <x:c r="D7" s="198"/>
      <x:c r="E7" s="198"/>
      <x:c r="F7" s="198"/>
      <x:c r="G7" s="198"/>
      <x:c r="H7" s="198"/>
      <x:c r="I7" s="198"/>
      <x:c r="J7" s="198"/>
      <x:c r="K7" s="198"/>
      <x:c r="L7" s="198"/>
      <x:c r="M7" s="198"/>
      <x:c r="N7" s="198"/>
    </x:row>
    <x:row r="8">
      <x:c r="A8" s="111" t="str">
        <x:v>3 cotistas</x:v>
      </x:c>
      <x:c r="B8" s="114" t="n">
        <x:f>COUNTIFS('Base Fundos'!$C$6:$C$3575,"&gt;="&amp;$B$3*1000000,'Base Fundos'!$K$6:$K$3575,"=3")</x:f>
        <x:v>44</x:v>
      </x:c>
      <x:c r="C8" s="124" t="n">
        <x:f>SUMIFS('Base Fundos'!$C$6:$C$3575,'Base Fundos'!$C$6:$C$3575,"&gt;="&amp;$B$3*1000000,'Base Fundos'!$K$6:$K$3575,"=3")/1000000000</x:f>
        <x:v>26.863738254308906</x:v>
      </x:c>
      <x:c r="D8" s="198"/>
      <x:c r="E8" s="198"/>
      <x:c r="F8" s="198"/>
      <x:c r="G8" s="198"/>
      <x:c r="H8" s="198"/>
      <x:c r="I8" s="198"/>
      <x:c r="J8" s="198"/>
      <x:c r="K8" s="198"/>
      <x:c r="L8" s="198"/>
      <x:c r="M8" s="198"/>
      <x:c r="N8" s="198"/>
    </x:row>
    <x:row r="9">
      <x:c r="A9" s="111" t="str">
        <x:v>4 cotistas</x:v>
      </x:c>
      <x:c r="B9" s="114" t="n">
        <x:f>COUNTIFS('Base Fundos'!$C$6:$C$3575,"&gt;="&amp;$B$3*1000000,'Base Fundos'!$K$6:$K$3575,"=4")</x:f>
        <x:v>43</x:v>
      </x:c>
      <x:c r="C9" s="124" t="n">
        <x:f>SUMIFS('Base Fundos'!$C$6:$C$3575,'Base Fundos'!$C$6:$C$3575,"&gt;="&amp;$B$3*1000000,'Base Fundos'!$K$6:$K$3575,"=4")/1000000000</x:f>
        <x:v>45.53899007794999</x:v>
      </x:c>
      <x:c r="D9" s="198"/>
      <x:c r="E9" s="198"/>
      <x:c r="F9" s="198"/>
      <x:c r="G9" s="198"/>
      <x:c r="H9" s="198"/>
      <x:c r="I9" s="198"/>
      <x:c r="J9" s="198"/>
      <x:c r="K9" s="198"/>
      <x:c r="L9" s="198"/>
      <x:c r="M9" s="198"/>
      <x:c r="N9" s="198"/>
    </x:row>
    <x:row r="10">
      <x:c r="A10" s="112" t="str">
        <x:v>5 ou mais</x:v>
      </x:c>
      <x:c r="B10" s="115" t="n">
        <x:f>COUNTIFS('Base Fundos'!$C$6:$C$3575,"&gt;="&amp;$B$3*1000000,'Base Fundos'!$K$6:$K$3575,"&gt;=5")</x:f>
        <x:v>364</x:v>
      </x:c>
      <x:c r="C10" s="120" t="n">
        <x:f>SUMIFS('Base Fundos'!$C$6:$C$3575,'Base Fundos'!$C$6:$C$3575,"&gt;="&amp;$B$3*1000000,'Base Fundos'!$K$6:$K$3575,"&gt;=5")/1000000000</x:f>
        <x:v>364.5499848369475</x:v>
      </x:c>
      <x:c r="D10" s="198"/>
      <x:c r="E10" s="198"/>
      <x:c r="F10" s="198"/>
      <x:c r="G10" s="198"/>
      <x:c r="H10" s="198"/>
      <x:c r="I10" s="198"/>
      <x:c r="J10" s="198"/>
      <x:c r="K10" s="198"/>
      <x:c r="L10" s="198"/>
      <x:c r="M10" s="198"/>
      <x:c r="N10" s="198"/>
    </x:row>
    <x:row r="11">
      <x:c r="A11" s="198"/>
      <x:c r="B11" s="198"/>
      <x:c r="C11" s="198"/>
      <x:c r="D11" s="198"/>
      <x:c r="E11" s="198"/>
      <x:c r="F11" s="198"/>
      <x:c r="G11" s="198"/>
      <x:c r="H11" s="198"/>
      <x:c r="I11" s="198"/>
      <x:c r="J11" s="198"/>
      <x:c r="K11" s="198"/>
      <x:c r="L11" s="198"/>
      <x:c r="M11" s="198"/>
      <x:c r="N11" s="198"/>
    </x:row>
    <x:row r="12">
      <x:c r="A12" s="198"/>
      <x:c r="B12" s="198"/>
      <x:c r="C12" s="198"/>
      <x:c r="D12" s="198"/>
      <x:c r="E12" s="198"/>
      <x:c r="F12" s="198"/>
      <x:c r="G12" s="198"/>
      <x:c r="H12" s="198"/>
      <x:c r="I12" s="198"/>
      <x:c r="J12" s="198"/>
      <x:c r="K12" s="198"/>
      <x:c r="L12" s="198"/>
      <x:c r="M12" s="198"/>
      <x:c r="N12" s="198"/>
    </x:row>
    <x:row r="13">
      <x:c r="A13" s="52" t="str">
        <x:v>O parâmetro de PL mínimo é editável. Fundos sem cotistas mapeados não entram nas faixas; em R$ 200 mm, 10 fundos ficaram fora por ausência de cotistas no casamento CVM.</x:v>
      </x:c>
      <x:c r="B13" s="52" t="str">
        <x:v>O parâmetro de PL mínimo é editável. Fundos sem cotistas mapeados não entram nas faixas; em R$ 200 mm, 10 fundos ficaram fora por ausência de cotistas no casamento CVM.</x:v>
      </x:c>
      <x:c r="C13" s="52" t="str">
        <x:v>O parâmetro de PL mínimo é editável. Fundos sem cotistas mapeados não entram nas faixas; em R$ 200 mm, 10 fundos ficaram fora por ausência de cotistas no casamento CVM.</x:v>
      </x:c>
      <x:c r="D13" s="198"/>
      <x:c r="E13" s="198"/>
      <x:c r="F13" s="198"/>
      <x:c r="G13" s="198"/>
      <x:c r="H13" s="198"/>
      <x:c r="I13" s="198"/>
      <x:c r="J13" s="198"/>
      <x:c r="K13" s="198"/>
      <x:c r="L13" s="198"/>
      <x:c r="M13" s="198"/>
      <x:c r="N13" s="198"/>
    </x:row>
    <x:row r="14">
      <x:c r="A14" s="52" t="str">
        <x:v>O parâmetro de PL mínimo é editável. Fundos sem cotistas mapeados não entram nas faixas; em R$ 200 mm, 10 fundos ficaram fora por ausência de cotistas no casamento CVM.</x:v>
      </x:c>
      <x:c r="B14" s="52" t="str">
        <x:v>O parâmetro de PL mínimo é editável. Fundos sem cotistas mapeados não entram nas faixas; em R$ 200 mm, 10 fundos ficaram fora por ausência de cotistas no casamento CVM.</x:v>
      </x:c>
      <x:c r="C14" s="52" t="str">
        <x:v>O parâmetro de PL mínimo é editável. Fundos sem cotistas mapeados não entram nas faixas; em R$ 200 mm, 10 fundos ficaram fora por ausência de cotistas no casamento CVM.</x:v>
      </x:c>
      <x:c r="D14" s="198"/>
      <x:c r="E14" s="198"/>
      <x:c r="F14" s="198"/>
      <x:c r="G14" s="198"/>
      <x:c r="H14" s="198"/>
      <x:c r="I14" s="198"/>
      <x:c r="J14" s="198"/>
      <x:c r="K14" s="198"/>
      <x:c r="L14" s="198"/>
      <x:c r="M14" s="198"/>
      <x:c r="N14" s="198"/>
    </x:row>
    <x:row r="15">
      <x:c r="A15" s="52" t="str">
        <x:v>O parâmetro de PL mínimo é editável. Fundos sem cotistas mapeados não entram nas faixas; em R$ 200 mm, 10 fundos ficaram fora por ausência de cotistas no casamento CVM.</x:v>
      </x:c>
      <x:c r="B15" s="52" t="str">
        <x:v>O parâmetro de PL mínimo é editável. Fundos sem cotistas mapeados não entram nas faixas; em R$ 200 mm, 10 fundos ficaram fora por ausência de cotistas no casamento CVM.</x:v>
      </x:c>
      <x:c r="C15" s="52" t="str">
        <x:v>O parâmetro de PL mínimo é editável. Fundos sem cotistas mapeados não entram nas faixas; em R$ 200 mm, 10 fundos ficaram fora por ausência de cotistas no casamento CVM.</x:v>
      </x:c>
      <x:c r="D15" s="198"/>
      <x:c r="E15" s="198"/>
      <x:c r="F15" s="198"/>
      <x:c r="G15" s="198"/>
      <x:c r="H15" s="198"/>
      <x:c r="I15" s="198"/>
      <x:c r="J15" s="198"/>
      <x:c r="K15" s="198"/>
      <x:c r="L15" s="198"/>
      <x:c r="M15" s="198"/>
      <x:c r="N15" s="198"/>
    </x:row>
    <x:row r="16">
      <x:c r="A16" s="52" t="str">
        <x:v>O parâmetro de PL mínimo é editável. Fundos sem cotistas mapeados não entram nas faixas; em R$ 200 mm, 10 fundos ficaram fora por ausência de cotistas no casamento CVM.</x:v>
      </x:c>
      <x:c r="B16" s="52" t="str">
        <x:v>O parâmetro de PL mínimo é editável. Fundos sem cotistas mapeados não entram nas faixas; em R$ 200 mm, 10 fundos ficaram fora por ausência de cotistas no casamento CVM.</x:v>
      </x:c>
      <x:c r="C16" s="52" t="str">
        <x:v>O parâmetro de PL mínimo é editável. Fundos sem cotistas mapeados não entram nas faixas; em R$ 200 mm, 10 fundos ficaram fora por ausência de cotistas no casamento CVM.</x:v>
      </x:c>
      <x:c r="D16" s="198"/>
      <x:c r="E16" s="198"/>
      <x:c r="F16" s="198"/>
      <x:c r="G16" s="198"/>
      <x:c r="H16" s="198"/>
      <x:c r="I16" s="198"/>
      <x:c r="J16" s="198"/>
      <x:c r="K16" s="198"/>
      <x:c r="L16" s="198"/>
      <x:c r="M16" s="198"/>
      <x:c r="N16" s="198"/>
    </x:row>
    <x:row r="17">
      <x:c r="A17" s="52" t="str">
        <x:v>O parâmetro de PL mínimo é editável. Fundos sem cotistas mapeados não entram nas faixas; em R$ 200 mm, 10 fundos ficaram fora por ausência de cotistas no casamento CVM.</x:v>
      </x:c>
      <x:c r="B17" s="52" t="str">
        <x:v>O parâmetro de PL mínimo é editável. Fundos sem cotistas mapeados não entram nas faixas; em R$ 200 mm, 10 fundos ficaram fora por ausência de cotistas no casamento CVM.</x:v>
      </x:c>
      <x:c r="C17" s="52" t="str">
        <x:v>O parâmetro de PL mínimo é editável. Fundos sem cotistas mapeados não entram nas faixas; em R$ 200 mm, 10 fundos ficaram fora por ausência de cotistas no casamento CVM.</x:v>
      </x:c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</x:row>
  </x:sheetData>
  <x:mergeCells>
    <x:mergeCell ref="A1:N2"/>
    <x:mergeCell ref="A13:C17"/>
  </x:mergeCells>
  <x:pageMargins left="0.7" right="0.7" top="0.75" bottom="0.75" header="0.3" footer="0.3"/>
  <x:drawing xmlns:r="http://schemas.openxmlformats.org/officeDocument/2006/relationships" r:id="R238cc62e0a334b62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40" hidden="0" customWidth="1"/>
    <x:col min="3" max="3" width="15" hidden="0" customWidth="1"/>
    <x:col min="5" max="5" width="5" hidden="0" customWidth="1"/>
    <x:col min="6" max="6" width="46" hidden="0" customWidth="1"/>
    <x:col min="7" max="7" width="14" hidden="0" customWidth="1"/>
    <x:col min="8" max="8" width="30" hidden="0" customWidth="1"/>
    <x:col min="9" max="9" width="30" hidden="0" customWidth="1"/>
  </x:cols>
  <x:sheetData>
    <x:row r="1" ht="30" customHeight="1">
      <x:c r="A1" s="4" t="str">
        <x:v>Proxy multicedente/multissacado soma R$ 316,5 bi</x:v>
      </x:c>
      <x:c r="B1" s="4" t="str">
        <x:v>Proxy multicedente/multissacado soma R$ 316,5 bi</x:v>
      </x:c>
      <x:c r="C1" s="4" t="str">
        <x:v>Proxy multicedente/multissacado soma R$ 316,5 bi</x:v>
      </x:c>
      <x:c r="D1" s="4" t="str">
        <x:v>Proxy multicedente/multissacado soma R$ 316,5 bi</x:v>
      </x:c>
      <x:c r="E1" s="4" t="str">
        <x:v>Proxy multicedente/multissacado soma R$ 316,5 bi</x:v>
      </x:c>
      <x:c r="F1" s="4" t="str">
        <x:v>Proxy multicedente/multissacado soma R$ 316,5 bi</x:v>
      </x:c>
      <x:c r="G1" s="4" t="str">
        <x:v>Proxy multicedente/multissacado soma R$ 316,5 bi</x:v>
      </x:c>
      <x:c r="H1" s="4" t="str">
        <x:v>Proxy multicedente/multissacado soma R$ 316,5 bi</x:v>
      </x:c>
      <x:c r="I1" s="4" t="str">
        <x:v>Proxy multicedente/multissacado soma R$ 316,5 bi</x:v>
      </x:c>
      <x:c r="J1" s="4" t="str">
        <x:v>Proxy multicedente/multissacado soma R$ 316,5 bi</x:v>
      </x:c>
      <x:c r="K1" s="4" t="str">
        <x:v>Proxy multicedente/multissacado soma R$ 316,5 bi</x:v>
      </x:c>
      <x:c r="L1" s="4" t="str">
        <x:v>Proxy multicedente/multissacado soma R$ 316,5 bi</x:v>
      </x:c>
      <x:c r="M1" s="4" t="str">
        <x:v>Proxy multicedente/multissacado soma R$ 316,5 bi</x:v>
      </x:c>
      <x:c r="N1" s="4" t="str">
        <x:v>Proxy multicedente/multissacado soma R$ 316,5 bi</x:v>
      </x:c>
    </x:row>
    <x:row r="2" ht="30" customHeight="1">
      <x:c r="A2" s="4" t="str">
        <x:v>Proxy multicedente/multissacado soma R$ 316,5 bi</x:v>
      </x:c>
      <x:c r="B2" s="4" t="str">
        <x:v>Proxy multicedente/multissacado soma R$ 316,5 bi</x:v>
      </x:c>
      <x:c r="C2" s="4" t="str">
        <x:v>Proxy multicedente/multissacado soma R$ 316,5 bi</x:v>
      </x:c>
      <x:c r="D2" s="4" t="str">
        <x:v>Proxy multicedente/multissacado soma R$ 316,5 bi</x:v>
      </x:c>
      <x:c r="E2" s="4" t="str">
        <x:v>Proxy multicedente/multissacado soma R$ 316,5 bi</x:v>
      </x:c>
      <x:c r="F2" s="4" t="str">
        <x:v>Proxy multicedente/multissacado soma R$ 316,5 bi</x:v>
      </x:c>
      <x:c r="G2" s="4" t="str">
        <x:v>Proxy multicedente/multissacado soma R$ 316,5 bi</x:v>
      </x:c>
      <x:c r="H2" s="4" t="str">
        <x:v>Proxy multicedente/multissacado soma R$ 316,5 bi</x:v>
      </x:c>
      <x:c r="I2" s="4" t="str">
        <x:v>Proxy multicedente/multissacado soma R$ 316,5 bi</x:v>
      </x:c>
      <x:c r="J2" s="4" t="str">
        <x:v>Proxy multicedente/multissacado soma R$ 316,5 bi</x:v>
      </x:c>
      <x:c r="K2" s="4" t="str">
        <x:v>Proxy multicedente/multissacado soma R$ 316,5 bi</x:v>
      </x:c>
      <x:c r="L2" s="4" t="str">
        <x:v>Proxy multicedente/multissacado soma R$ 316,5 bi</x:v>
      </x:c>
      <x:c r="M2" s="4" t="str">
        <x:v>Proxy multicedente/multissacado soma R$ 316,5 bi</x:v>
      </x:c>
      <x:c r="N2" s="4" t="str">
        <x:v>Proxy multicedente/multissacado soma R$ 316,5 bi</x:v>
      </x:c>
    </x:row>
    <x:row r="3">
      <x:c r="A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B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C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D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E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F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G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H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I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J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K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L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M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N3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</x:row>
    <x:row r="4">
      <x:c r="A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B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C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D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E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F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G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H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I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J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K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L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M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N4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</x:row>
    <x:row r="5">
      <x:c r="A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B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C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D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E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F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G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H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I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J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K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L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M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  <x:c r="N5" s="52" t="str">
        <x:v>O dashboard não traz um campo explícito 'multicedente/multissacado'. A visão abaixo usa foco de atuação contendo 'Multicarteira' como proxy e deve ser revisada. A classificação operacional completa está editável em Base Fundos!L:L.</x:v>
      </x:c>
    </x:row>
    <x:row r="6">
      <x:c r="A6" s="198"/>
      <x:c r="B6" s="198"/>
      <x:c r="C6" s="198"/>
      <x:c r="D6" s="198"/>
      <x:c r="E6" s="198"/>
      <x:c r="F6" s="198"/>
      <x:c r="G6" s="198"/>
      <x:c r="H6" s="198"/>
      <x:c r="I6" s="198"/>
      <x:c r="J6" s="198"/>
      <x:c r="K6" s="198"/>
      <x:c r="L6" s="198"/>
      <x:c r="M6" s="198"/>
      <x:c r="N6" s="198"/>
    </x:row>
    <x:row r="7" ht="28" customHeight="1">
      <x:c r="A7" s="20" t="str">
        <x:v>#</x:v>
      </x:c>
      <x:c r="B7" s="21" t="str">
        <x:v>Gestora</x:v>
      </x:c>
      <x:c r="C7" s="22" t="str">
        <x:v>PL (R$ bi)</x:v>
      </x:c>
      <x:c r="D7" s="198"/>
      <x:c r="E7" s="20" t="str">
        <x:v>#</x:v>
      </x:c>
      <x:c r="F7" s="21" t="str">
        <x:v>FIDC</x:v>
      </x:c>
      <x:c r="G7" s="21" t="str">
        <x:v>PL (R$ bi)</x:v>
      </x:c>
      <x:c r="H7" s="21" t="str">
        <x:v>Gestora</x:v>
      </x:c>
      <x:c r="I7" s="22" t="str">
        <x:v>Foco</x:v>
      </x:c>
      <x:c r="J7" s="198"/>
      <x:c r="K7" s="198"/>
      <x:c r="L7" s="198"/>
      <x:c r="M7" s="198"/>
      <x:c r="N7" s="198"/>
    </x:row>
    <x:row r="8">
      <x:c r="A8" s="110" t="n">
        <x:v>1</x:v>
      </x:c>
      <x:c r="B8" s="110" t="str">
        <x:v>Banco Bradesco S/A</x:v>
      </x:c>
      <x:c r="C8" s="119" t="n">
        <x:v>24.503729396200004</x:v>
      </x:c>
      <x:c r="D8" s="198"/>
      <x:c r="E8" s="167" t="n">
        <x:v>1</x:v>
      </x:c>
      <x:c r="F8" s="167" t="str">
        <x:v>CLOUDWALK BELA FUNDO DE INVESTIMENTO EM DIREITOS CREDITÓRIOS SEGMENTO MEIOS DE PAGAMENTO</x:v>
      </x:c>
      <x:c r="G8" s="170" t="n">
        <x:v>9.984886329650003</x:v>
      </x:c>
      <x:c r="H8" s="167" t="str">
        <x:v>Banco Bradesco S/A</x:v>
      </x:c>
      <x:c r="I8" s="167" t="str">
        <x:v>Multicarteira Outros</x:v>
      </x:c>
      <x:c r="J8" s="198"/>
      <x:c r="K8" s="198"/>
      <x:c r="L8" s="198"/>
      <x:c r="M8" s="198"/>
      <x:c r="N8" s="198"/>
    </x:row>
    <x:row r="9">
      <x:c r="A9" s="111" t="n">
        <x:v>2</x:v>
      </x:c>
      <x:c r="B9" s="111" t="str">
        <x:v>GENIAL GESTÃO LTDA.</x:v>
      </x:c>
      <x:c r="C9" s="124" t="n">
        <x:v>14.17610449295891</x:v>
      </x:c>
      <x:c r="D9" s="198"/>
      <x:c r="E9" s="168" t="n">
        <x:v>2</x:v>
      </x:c>
      <x:c r="F9" s="168" t="str">
        <x:v>ITAÚ CRÉDITO PRIVADO FUNDO DE INVESTIMENTO EM DIREITOS CREDITÓRIOS - RESPONSABILIDADE LIMITADA</x:v>
      </x:c>
      <x:c r="G9" s="171" t="n">
        <x:v>8.61589291829</x:v>
      </x:c>
      <x:c r="H9" s="168" t="str">
        <x:v>ITAU ASSET</x:v>
      </x:c>
      <x:c r="I9" s="168" t="str">
        <x:v>Multicarteira Outros</x:v>
      </x:c>
      <x:c r="J9" s="198"/>
      <x:c r="K9" s="198"/>
      <x:c r="L9" s="198"/>
      <x:c r="M9" s="198"/>
      <x:c r="N9" s="198"/>
    </x:row>
    <x:row r="10">
      <x:c r="A10" s="111" t="n">
        <x:v>3</x:v>
      </x:c>
      <x:c r="B10" s="111" t="str">
        <x:v>ITAU ASSET</x:v>
      </x:c>
      <x:c r="C10" s="124" t="n">
        <x:v>12.936195470179998</x:v>
      </x:c>
      <x:c r="D10" s="198"/>
      <x:c r="E10" s="168" t="n">
        <x:v>3</x:v>
      </x:c>
      <x:c r="F10" s="168" t="str">
        <x:v>FUNDO DE INVESTIMENTO EM DIREITOS CREDITÓRIOS PAGSEGURO I</x:v>
      </x:c>
      <x:c r="G10" s="171" t="n">
        <x:v>6.70277891708</x:v>
      </x:c>
      <x:c r="H10" s="168" t="str">
        <x:v>GENIAL GESTÃO LTDA.</x:v>
      </x:c>
      <x:c r="I10" s="168" t="str">
        <x:v>Multicarteira Outros</x:v>
      </x:c>
      <x:c r="J10" s="198"/>
      <x:c r="K10" s="198"/>
      <x:c r="L10" s="198"/>
      <x:c r="M10" s="198"/>
      <x:c r="N10" s="198"/>
    </x:row>
    <x:row r="11">
      <x:c r="A11" s="111" t="n">
        <x:v>4</x:v>
      </x:c>
      <x:c r="B11" s="111" t="str">
        <x:v>Banco BTG Pactual</x:v>
      </x:c>
      <x:c r="C11" s="124" t="n">
        <x:v>10.8669295433057</x:v>
      </x:c>
      <x:c r="D11" s="198"/>
      <x:c r="E11" s="168" t="n">
        <x:v>4</x:v>
      </x:c>
      <x:c r="F11" s="168" t="str">
        <x:v>CIELO FUNDO DE INVESTIMENTO EM DIREITOS CREDITÓRIOS</x:v>
      </x:c>
      <x:c r="G11" s="171" t="n">
        <x:v>6.46571239818</x:v>
      </x:c>
      <x:c r="H11" s="168" t="str">
        <x:v>Banco Bradesco S/A</x:v>
      </x:c>
      <x:c r="I11" s="168" t="str">
        <x:v>Multicarteira Financeiro</x:v>
      </x:c>
      <x:c r="J11" s="198"/>
      <x:c r="K11" s="198"/>
      <x:c r="L11" s="198"/>
      <x:c r="M11" s="198"/>
      <x:c r="N11" s="198"/>
    </x:row>
    <x:row r="12">
      <x:c r="A12" s="111" t="n">
        <x:v>5</x:v>
      </x:c>
      <x:c r="B12" s="111" t="str">
        <x:v>VALORA RENDA FIXA LTDA.</x:v>
      </x:c>
      <x:c r="C12" s="124" t="n">
        <x:v>10.611395242574199</x:v>
      </x:c>
      <x:c r="D12" s="198"/>
      <x:c r="E12" s="168" t="n">
        <x:v>5</x:v>
      </x:c>
      <x:c r="F12" s="168" t="str">
        <x:v>FUNDO DE INVESTIMENTO EM DIREITOS CREDITÓRIOS ALTERNATIVE ASSETS III RESPONSABILIDADE LIMITADA</x:v>
      </x:c>
      <x:c r="G12" s="171" t="n">
        <x:v>5.765091894779999</x:v>
      </x:c>
      <x:c r="H12" s="168" t="str">
        <x:v>Banco BTG Pactual</x:v>
      </x:c>
      <x:c r="I12" s="168" t="str">
        <x:v>Multicarteira Outros</x:v>
      </x:c>
      <x:c r="J12" s="198"/>
      <x:c r="K12" s="198"/>
      <x:c r="L12" s="198"/>
      <x:c r="M12" s="198"/>
      <x:c r="N12" s="198"/>
    </x:row>
    <x:row r="13">
      <x:c r="A13" s="111" t="n">
        <x:v>6</x:v>
      </x:c>
      <x:c r="B13" s="111" t="str">
        <x:v>Kanastra</x:v>
      </x:c>
      <x:c r="C13" s="124" t="n">
        <x:v>9.9095301015</x:v>
      </x:c>
      <x:c r="D13" s="198"/>
      <x:c r="E13" s="168" t="n">
        <x:v>6</x:v>
      </x:c>
      <x:c r="F13" s="168" t="str">
        <x:v>NC 2025 I FUNDO DE INVESTIMENTO EM DIREITOS CREDITÓRIOS RESPONSABILIDADE LIMITADA</x:v>
      </x:c>
      <x:c r="G13" s="171" t="n">
        <x:v>5.65508869655</x:v>
      </x:c>
      <x:c r="H13" s="168" t="str">
        <x:v>Kanastra</x:v>
      </x:c>
      <x:c r="I13" s="168" t="str">
        <x:v>Multicarteira Outros</x:v>
      </x:c>
      <x:c r="J13" s="198"/>
      <x:c r="K13" s="198"/>
      <x:c r="L13" s="198"/>
      <x:c r="M13" s="198"/>
      <x:c r="N13" s="198"/>
    </x:row>
    <x:row r="14">
      <x:c r="A14" s="111" t="n">
        <x:v>7</x:v>
      </x:c>
      <x:c r="B14" s="111" t="str">
        <x:v>Petra Capital</x:v>
      </x:c>
      <x:c r="C14" s="124" t="n">
        <x:v>8.084486906979999</x:v>
      </x:c>
      <x:c r="D14" s="198"/>
      <x:c r="E14" s="168" t="n">
        <x:v>7</x:v>
      </x:c>
      <x:c r="F14" s="168" t="str">
        <x:v>FUNDO DE INVESTIMENTO EM DIREITOS CREDITÓRIOS MONEE I DE RESPONSABILIDADE LIMITADA</x:v>
      </x:c>
      <x:c r="G14" s="171" t="n">
        <x:v>5.00160736166</x:v>
      </x:c>
      <x:c r="H14" s="168" t="str">
        <x:v>VALORA RENDA FIXA LTDA.</x:v>
      </x:c>
      <x:c r="I14" s="168" t="str">
        <x:v>Multicarteira Outros</x:v>
      </x:c>
      <x:c r="J14" s="198"/>
      <x:c r="K14" s="198"/>
      <x:c r="L14" s="198"/>
      <x:c r="M14" s="198"/>
      <x:c r="N14" s="198"/>
    </x:row>
    <x:row r="15">
      <x:c r="A15" s="111" t="n">
        <x:v>8</x:v>
      </x:c>
      <x:c r="B15" s="111" t="str">
        <x:v>DAYCOVAL ASSET MANAG</x:v>
      </x:c>
      <x:c r="C15" s="124" t="n">
        <x:v>7.250457396160001</x:v>
      </x:c>
      <x:c r="D15" s="198"/>
      <x:c r="E15" s="168" t="n">
        <x:v>8</x:v>
      </x:c>
      <x:c r="F15" s="168" t="str">
        <x:v>FUNDO DE INVESTIMENTO EM DIREITOS CREDITÓRIOS PICPAY I</x:v>
      </x:c>
      <x:c r="G15" s="171" t="n">
        <x:v>4.56416045469</x:v>
      </x:c>
      <x:c r="H15" s="168" t="str">
        <x:v>GENIAL GESTÃO LTDA.</x:v>
      </x:c>
      <x:c r="I15" s="168" t="str">
        <x:v>Multicarteira Financeiro</x:v>
      </x:c>
      <x:c r="J15" s="198"/>
      <x:c r="K15" s="198"/>
      <x:c r="L15" s="198"/>
      <x:c r="M15" s="198"/>
      <x:c r="N15" s="198"/>
    </x:row>
    <x:row r="16">
      <x:c r="A16" s="111" t="n">
        <x:v>9</x:v>
      </x:c>
      <x:c r="B16" s="111" t="str">
        <x:v>BTG Pactual Asset</x:v>
      </x:c>
      <x:c r="C16" s="124" t="n">
        <x:v>6.729068878310001</x:v>
      </x:c>
      <x:c r="D16" s="198"/>
      <x:c r="E16" s="168" t="n">
        <x:v>9</x:v>
      </x:c>
      <x:c r="F16" s="168" t="str">
        <x:v>FIDC ACR BEM BANCOS EMISSORES DE CARTÃO DE CRÉDITO - RESPONSABILIDADE LIMITADA</x:v>
      </x:c>
      <x:c r="G16" s="171" t="n">
        <x:v>3.6323227350500003</x:v>
      </x:c>
      <x:c r="H16" s="168" t="str">
        <x:v>Banco Bradesco S/A</x:v>
      </x:c>
      <x:c r="I16" s="168" t="str">
        <x:v>Multicarteira Financeiro</x:v>
      </x:c>
      <x:c r="J16" s="198"/>
      <x:c r="K16" s="198"/>
      <x:c r="L16" s="198"/>
      <x:c r="M16" s="198"/>
      <x:c r="N16" s="198"/>
    </x:row>
    <x:row r="17">
      <x:c r="A17" s="111" t="n">
        <x:v>10</x:v>
      </x:c>
      <x:c r="B17" s="111" t="str">
        <x:v>RedAsset Gestão de Recursos Ltda.</x:v>
      </x:c>
      <x:c r="C17" s="124" t="n">
        <x:v>6.30634899114</x:v>
      </x:c>
      <x:c r="D17" s="198"/>
      <x:c r="E17" s="168" t="n">
        <x:v>10</x:v>
      </x:c>
      <x:c r="F17" s="168" t="str">
        <x:v>RSCRED MULTIESTRÉGIA - FUNDO DE INVESTIMENTO EM DIREITOS CREDITÓRIOS NÃO-PADRONIZADOS</x:v>
      </x:c>
      <x:c r="G17" s="171" t="n">
        <x:v>3.5999959734300004</x:v>
      </x:c>
      <x:c r="H17" s="168" t="str">
        <x:v>SECURITY ADMINISTRAD</x:v>
      </x:c>
      <x:c r="I17" s="168" t="str">
        <x:v>Multicarteira Outros</x:v>
      </x:c>
      <x:c r="J17" s="198"/>
      <x:c r="K17" s="198"/>
      <x:c r="L17" s="198"/>
      <x:c r="M17" s="198"/>
      <x:c r="N17" s="198"/>
    </x:row>
    <x:row r="18">
      <x:c r="A18" s="111" t="n">
        <x:v>11</x:v>
      </x:c>
      <x:c r="B18" s="111" t="str">
        <x:v>JIVE INVESTMENTS</x:v>
      </x:c>
      <x:c r="C18" s="124" t="n">
        <x:v>5.2493845938041</x:v>
      </x:c>
      <x:c r="D18" s="198"/>
      <x:c r="E18" s="168" t="n">
        <x:v>11</x:v>
      </x:c>
      <x:c r="F18" s="168" t="str">
        <x:v>HAVAN FUNDO DE INVESTIMENTO EM DIREITOS CREDITÓRIOS SEGMENTO ECONÔMICO, FINANCEIRO E COMERCIAL</x:v>
      </x:c>
      <x:c r="G18" s="171" t="n">
        <x:v>3.57663805352</x:v>
      </x:c>
      <x:c r="H18" s="168" t="str">
        <x:v>Petra Capital</x:v>
      </x:c>
      <x:c r="I18" s="168" t="str">
        <x:v>Multicarteira Outros</x:v>
      </x:c>
      <x:c r="J18" s="198"/>
      <x:c r="K18" s="198"/>
      <x:c r="L18" s="198"/>
      <x:c r="M18" s="198"/>
      <x:c r="N18" s="198"/>
    </x:row>
    <x:row r="19">
      <x:c r="A19" s="111" t="n">
        <x:v>12</x:v>
      </x:c>
      <x:c r="B19" s="111" t="str">
        <x:v>Catálise Investimentos</x:v>
      </x:c>
      <x:c r="C19" s="124" t="n">
        <x:v>5.03135154967</x:v>
      </x:c>
      <x:c r="D19" s="198"/>
      <x:c r="E19" s="168" t="n">
        <x:v>12</x:v>
      </x:c>
      <x:c r="F19" s="168" t="str">
        <x:v>EXPERT III FUNDO DE INVESTIMENTO EM DIREITOS CREDITÓRIOS DE RESPONSABILIDADE ILIMITADA</x:v>
      </x:c>
      <x:c r="G19" s="171" t="n">
        <x:v>3.54807125128</x:v>
      </x:c>
      <x:c r="H19" s="168" t="str">
        <x:v>DAYCOVAL ASSET MANAG</x:v>
      </x:c>
      <x:c r="I19" s="168" t="str">
        <x:v>Multicarteira Outros</x:v>
      </x:c>
      <x:c r="J19" s="198"/>
      <x:c r="K19" s="198"/>
      <x:c r="L19" s="198"/>
      <x:c r="M19" s="198"/>
      <x:c r="N19" s="198"/>
    </x:row>
    <x:row r="20">
      <x:c r="A20" s="111" t="n">
        <x:v>13</x:v>
      </x:c>
      <x:c r="B20" s="111" t="str">
        <x:v>Solis</x:v>
      </x:c>
      <x:c r="C20" s="124" t="n">
        <x:v>4.84205081197</x:v>
      </x:c>
      <x:c r="D20" s="198"/>
      <x:c r="E20" s="168" t="n">
        <x:v>13</x:v>
      </x:c>
      <x:c r="F20" s="168" t="str">
        <x:v>RED FUNDO DE INVESTIMENTO EM DIREITOS CREDITÓRIOS REAL LP DE RESPONSABILIDADE LIMITADA</x:v>
      </x:c>
      <x:c r="G20" s="171" t="n">
        <x:v>3.4864891396099997</x:v>
      </x:c>
      <x:c r="H20" s="168" t="str">
        <x:v>RedAsset Gestão de Recursos Ltda.</x:v>
      </x:c>
      <x:c r="I20" s="168" t="str">
        <x:v>Multicarteira Outros</x:v>
      </x:c>
      <x:c r="J20" s="198"/>
      <x:c r="K20" s="198"/>
      <x:c r="L20" s="198"/>
      <x:c r="M20" s="198"/>
      <x:c r="N20" s="198"/>
    </x:row>
    <x:row r="21">
      <x:c r="A21" s="111" t="n">
        <x:v>14</x:v>
      </x:c>
      <x:c r="B21" s="111" t="str">
        <x:v>TRUSTEE DTVM</x:v>
      </x:c>
      <x:c r="C21" s="124" t="n">
        <x:v>4.83078686829</x:v>
      </x:c>
      <x:c r="D21" s="198"/>
      <x:c r="E21" s="168" t="n">
        <x:v>14</x:v>
      </x:c>
      <x:c r="F21" s="168" t="str">
        <x:v>OCCAM CRÉDITO CORPORATIVO 30 FUNDO DE INVESTIMENTO EM DIREITOS CREDITÓRIOS RESPONSABILIDADE LIMITADA</x:v>
      </x:c>
      <x:c r="G21" s="171" t="n">
        <x:v>3.32919824042</x:v>
      </x:c>
      <x:c r="H21" s="168" t="str">
        <x:v>NOVA OCCAM BRASIL GESTÃO DE RECURSOS LTDA.</x:v>
      </x:c>
      <x:c r="I21" s="168" t="str">
        <x:v>Multicarteira Outros</x:v>
      </x:c>
      <x:c r="J21" s="198"/>
      <x:c r="K21" s="198"/>
      <x:c r="L21" s="198"/>
      <x:c r="M21" s="198"/>
      <x:c r="N21" s="198"/>
    </x:row>
    <x:row r="22">
      <x:c r="A22" s="111" t="n">
        <x:v>15</x:v>
      </x:c>
      <x:c r="B22" s="111" t="str">
        <x:v>BRL TRUST DTVM</x:v>
      </x:c>
      <x:c r="C22" s="124" t="n">
        <x:v>4.80365831559</x:v>
      </x:c>
      <x:c r="D22" s="198"/>
      <x:c r="E22" s="168" t="n">
        <x:v>15</x:v>
      </x:c>
      <x:c r="F22" s="168" t="str">
        <x:v>CLOUDWALK PI FUNDO DE INVESTIMENTO EM DIREITOS CREDITÓRIOS SEGMENTO MEIOS DE PAGAMENTO</x:v>
      </x:c>
      <x:c r="G22" s="171" t="n">
        <x:v>3.2523546327700004</x:v>
      </x:c>
      <x:c r="H22" s="168" t="str">
        <x:v>BTG Pactual Asset</x:v>
      </x:c>
      <x:c r="I22" s="168" t="str">
        <x:v>Multicarteira Financeiro</x:v>
      </x:c>
      <x:c r="J22" s="198"/>
      <x:c r="K22" s="198"/>
      <x:c r="L22" s="198"/>
      <x:c r="M22" s="198"/>
      <x:c r="N22" s="198"/>
    </x:row>
    <x:row r="23">
      <x:c r="A23" s="111" t="n">
        <x:v>16</x:v>
      </x:c>
      <x:c r="B23" s="111" t="str">
        <x:v>POLÍGONO CAPITAL LTDA.</x:v>
      </x:c>
      <x:c r="C23" s="124" t="n">
        <x:v>4.4894798371587</x:v>
      </x:c>
      <x:c r="D23" s="198"/>
      <x:c r="E23" s="168" t="n">
        <x:v>16</x:v>
      </x:c>
      <x:c r="F23" s="168" t="str">
        <x:v>ASA FUNDO DE INVESTIMENTO EM DIREITOS CREDITÓRIOS RESPONSABILIDADE LIMITADA</x:v>
      </x:c>
      <x:c r="G23" s="171" t="n">
        <x:v>3.15310354427</x:v>
      </x:c>
      <x:c r="H23" s="168" t="str">
        <x:v>ASA Investments</x:v>
      </x:c>
      <x:c r="I23" s="168" t="str">
        <x:v>Multicarteira Outros</x:v>
      </x:c>
      <x:c r="J23" s="198"/>
      <x:c r="K23" s="198"/>
      <x:c r="L23" s="198"/>
      <x:c r="M23" s="198"/>
      <x:c r="N23" s="198"/>
    </x:row>
    <x:row r="24">
      <x:c r="A24" s="111" t="n">
        <x:v>17</x:v>
      </x:c>
      <x:c r="B24" s="111" t="str">
        <x:v>Oliveira Trust Servicer</x:v>
      </x:c>
      <x:c r="C24" s="124" t="n">
        <x:v>4.27692676042</x:v>
      </x:c>
      <x:c r="D24" s="198"/>
      <x:c r="E24" s="168" t="n">
        <x:v>17</x:v>
      </x:c>
      <x:c r="F24" s="168" t="str">
        <x:v>FIDC PCG - BRASIL MULTICARTEIRA</x:v>
      </x:c>
      <x:c r="G24" s="171" t="n">
        <x:v>3.0895354141199998</x:v>
      </x:c>
      <x:c r="H24" s="168" t="str">
        <x:v>Bank of America</x:v>
      </x:c>
      <x:c r="I24" s="168" t="str">
        <x:v>Multicarteira Outros</x:v>
      </x:c>
      <x:c r="J24" s="198"/>
      <x:c r="K24" s="198"/>
      <x:c r="L24" s="198"/>
      <x:c r="M24" s="198"/>
      <x:c r="N24" s="198"/>
    </x:row>
    <x:row r="25">
      <x:c r="A25" s="111" t="n">
        <x:v>18</x:v>
      </x:c>
      <x:c r="B25" s="111" t="str">
        <x:v>JIVE HIGH YIELD GESTÃO DE RECURSOS LTDA</x:v>
      </x:c>
      <x:c r="C25" s="124" t="n">
        <x:v>4.25000417269</x:v>
      </x:c>
      <x:c r="D25" s="198"/>
      <x:c r="E25" s="168" t="n">
        <x:v>18</x:v>
      </x:c>
      <x:c r="F25" s="168" t="str">
        <x:v>GSR FUNDO DE INVESTIMENTO EM DIREITOS CREDITÓRIOS NÃO PADRONIZADOS</x:v>
      </x:c>
      <x:c r="G25" s="171" t="n">
        <x:v>3.03325454377</x:v>
      </x:c>
      <x:c r="H25" s="168" t="str">
        <x:v>TRUSTEE DTVM</x:v>
      </x:c>
      <x:c r="I25" s="168" t="str">
        <x:v>Multicarteira Outros</x:v>
      </x:c>
      <x:c r="J25" s="198"/>
      <x:c r="K25" s="198"/>
      <x:c r="L25" s="198"/>
      <x:c r="M25" s="198"/>
      <x:c r="N25" s="198"/>
    </x:row>
    <x:row r="26">
      <x:c r="A26" s="111" t="n">
        <x:v>19</x:v>
      </x:c>
      <x:c r="B26" s="111" t="str">
        <x:v>Redwood Asset Management</x:v>
      </x:c>
      <x:c r="C26" s="124" t="n">
        <x:v>4.19581017854</x:v>
      </x:c>
      <x:c r="D26" s="198"/>
      <x:c r="E26" s="168" t="n">
        <x:v>19</x:v>
      </x:c>
      <x:c r="F26" s="168" t="str">
        <x:v>FUNDO DE INVESTIMENTO EM DIREITOS CREDITÓRIOS ALTERNATIVE ASSETS I RESPONSABILIDADE LIMITADA</x:v>
      </x:c>
      <x:c r="G26" s="171" t="n">
        <x:v>3.0025441037657</x:v>
      </x:c>
      <x:c r="H26" s="168" t="str">
        <x:v>Banco BTG Pactual</x:v>
      </x:c>
      <x:c r="I26" s="168" t="str">
        <x:v>Multicarteira Outros</x:v>
      </x:c>
      <x:c r="J26" s="198"/>
      <x:c r="K26" s="198"/>
      <x:c r="L26" s="198"/>
      <x:c r="M26" s="198"/>
      <x:c r="N26" s="198"/>
    </x:row>
    <x:row r="27">
      <x:c r="A27" s="112" t="n">
        <x:v>20</x:v>
      </x:c>
      <x:c r="B27" s="112" t="str">
        <x:v>Versal Finance Gestão de Recursos LTDA.</x:v>
      </x:c>
      <x:c r="C27" s="120" t="n">
        <x:v>4.1663515327</x:v>
      </x:c>
      <x:c r="D27" s="198"/>
      <x:c r="E27" s="169" t="n">
        <x:v>20</x:v>
      </x:c>
      <x:c r="F27" s="169" t="str">
        <x:v>DAY MAXX 2 FUNDO DE INVESTIMENTO EM DIREITOS CREDITÓRIOS DE RESPONSABILIDADE LIMITADA</x:v>
      </x:c>
      <x:c r="G27" s="172" t="n">
        <x:v>2.9922221428800007</x:v>
      </x:c>
      <x:c r="H27" s="169" t="str">
        <x:v>DAYCOVAL ASSET MANAG</x:v>
      </x:c>
      <x:c r="I27" s="169" t="str">
        <x:v>Multicarteira Outros</x:v>
      </x:c>
      <x:c r="J27" s="198"/>
      <x:c r="K27" s="198"/>
      <x:c r="L27" s="198"/>
      <x:c r="M27" s="198"/>
      <x:c r="N27" s="198"/>
    </x:row>
  </x:sheetData>
  <x:mergeCells>
    <x:mergeCell ref="A1:N2"/>
    <x:mergeCell ref="A3:N5"/>
  </x:mergeCells>
  <x:pageMargins left="0.7" right="0.7" top="0.75" bottom="0.75" header="0.3" footer="0.3"/>
  <x:drawing xmlns:r="http://schemas.openxmlformats.org/officeDocument/2006/relationships" r:id="Ree7bdf99bdb14acc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" t="str">
        <x:v>Base de administradores por tipo ANBIMA</x:v>
      </x:c>
      <x:c r="B1" s="4" t="str">
        <x:v>Base de administradores por tipo ANBIMA</x:v>
      </x:c>
      <x:c r="C1" s="4" t="str">
        <x:v>Base de administradores por tipo ANBIMA</x:v>
      </x:c>
      <x:c r="D1" s="4" t="str">
        <x:v>Base de administradores por tipo ANBIMA</x:v>
      </x:c>
      <x:c r="E1" s="4" t="str">
        <x:v>Base de administradores por tipo ANBIMA</x:v>
      </x:c>
      <x:c r="F1" s="4" t="str">
        <x:v>Base de administradores por tipo ANBIMA</x:v>
      </x:c>
    </x:row>
    <x:row r="2" ht="30" customHeight="1">
      <x:c r="A2" s="4" t="str">
        <x:v>Base de administradores por tipo ANBIMA</x:v>
      </x:c>
      <x:c r="B2" s="4" t="str">
        <x:v>Base de administradores por tipo ANBIMA</x:v>
      </x:c>
      <x:c r="C2" s="4" t="str">
        <x:v>Base de administradores por tipo ANBIMA</x:v>
      </x:c>
      <x:c r="D2" s="4" t="str">
        <x:v>Base de administradores por tipo ANBIMA</x:v>
      </x:c>
      <x:c r="E2" s="4" t="str">
        <x:v>Base de administradores por tipo ANBIMA</x:v>
      </x:c>
      <x:c r="F2" s="4" t="str">
        <x:v>Base de administradores por tipo ANBIMA</x:v>
      </x:c>
    </x:row>
    <x:row r="3">
      <x:c r="A3" s="198"/>
      <x:c r="B3" s="198"/>
      <x:c r="C3" s="198"/>
      <x:c r="D3" s="198"/>
      <x:c r="E3" s="198"/>
      <x:c r="F3" s="198"/>
    </x:row>
    <x:row r="4">
      <x:c r="A4" s="198"/>
      <x:c r="B4" s="198"/>
      <x:c r="C4" s="198"/>
      <x:c r="D4" s="198"/>
      <x:c r="E4" s="198"/>
      <x:c r="F4" s="198"/>
    </x:row>
    <x:row r="5" ht="28" customHeight="1">
      <x:c r="A5" s="20" t="str">
        <x:v>Administrador</x:v>
      </x:c>
      <x:c r="B5" s="21" t="str">
        <x:v>Agro, Indústria e Comércio</x:v>
      </x:c>
      <x:c r="C5" s="21" t="str">
        <x:v>Financeiro</x:v>
      </x:c>
      <x:c r="D5" s="21" t="str">
        <x:v>Fomento Mercantil</x:v>
      </x:c>
      <x:c r="E5" s="21" t="str">
        <x:v>Outros</x:v>
      </x:c>
      <x:c r="F5" s="22" t="str">
        <x:v>PL Total</x:v>
      </x:c>
    </x:row>
    <x:row r="6">
      <x:c r="A6" s="110" t="str">
        <x:v>Singulare</x:v>
      </x:c>
      <x:c r="B6" s="130" t="n">
        <x:v>9178183291.31</x:v>
      </x:c>
      <x:c r="C6" s="130" t="n">
        <x:v>13490967943.730206</x:v>
      </x:c>
      <x:c r="D6" s="130" t="n">
        <x:v>59001395980.76974</x:v>
      </x:c>
      <x:c r="E6" s="130" t="n">
        <x:v>35454955939.416626</x:v>
      </x:c>
      <x:c r="F6" s="130" t="n">
        <x:v>117125503155.22656</x:v>
      </x:c>
    </x:row>
    <x:row r="7">
      <x:c r="A7" s="111" t="str">
        <x:v>Oliveira Trust DTVM</x:v>
      </x:c>
      <x:c r="B7" s="131" t="n">
        <x:v>9772017196.83</x:v>
      </x:c>
      <x:c r="C7" s="131" t="n">
        <x:v>78284936221.35004</x:v>
      </x:c>
      <x:c r="D7" s="131" t="n">
        <x:v>410563484.8</x:v>
      </x:c>
      <x:c r="E7" s="131" t="n">
        <x:v>6966676537.48</x:v>
      </x:c>
      <x:c r="F7" s="131" t="n">
        <x:v>95434193440.46004</x:v>
      </x:c>
    </x:row>
    <x:row r="8">
      <x:c r="A8" s="111" t="str">
        <x:v>BTG Pactual Servicos Financeiros S/A DTVM</x:v>
      </x:c>
      <x:c r="B8" s="131" t="n">
        <x:v>2192827166.2112</x:v>
      </x:c>
      <x:c r="C8" s="131" t="n">
        <x:v>38824625366.29</x:v>
      </x:c>
      <x:c r="D8" s="131" t="n">
        <x:v>884731837.4100002</x:v>
      </x:c>
      <x:c r="E8" s="131" t="n">
        <x:v>41086020681.52643</x:v>
      </x:c>
      <x:c r="F8" s="131" t="n">
        <x:v>82988205051.43762</x:v>
      </x:c>
    </x:row>
    <x:row r="9">
      <x:c r="A9" s="111" t="str">
        <x:v>BB Asset Management</x:v>
      </x:c>
      <x:c r="B9" s="131" t="n">
        <x:v>60850118918.26</x:v>
      </x:c>
      <x:c r="C9" s="131" t="n">
        <x:v>0</x:v>
      </x:c>
      <x:c r="D9" s="131" t="n">
        <x:v>0</x:v>
      </x:c>
      <x:c r="E9" s="131" t="n">
        <x:v>50627525.38999999</x:v>
      </x:c>
      <x:c r="F9" s="131" t="n">
        <x:v>60900746443.65</x:v>
      </x:c>
    </x:row>
    <x:row r="10">
      <x:c r="A10" s="111" t="str">
        <x:v>BEM - DIST. DE TÍTUL</x:v>
      </x:c>
      <x:c r="B10" s="131" t="n">
        <x:v>12440952045.22</x:v>
      </x:c>
      <x:c r="C10" s="131" t="n">
        <x:v>17149231617.34</x:v>
      </x:c>
      <x:c r="D10" s="131" t="n">
        <x:v>1923008705.15</x:v>
      </x:c>
      <x:c r="E10" s="131" t="n">
        <x:v>17348862021.89</x:v>
      </x:c>
      <x:c r="F10" s="131" t="n">
        <x:v>48862054389.6</x:v>
      </x:c>
    </x:row>
    <x:row r="11">
      <x:c r="A11" s="111" t="str">
        <x:v>BANCO DAYCOVAL S/A</x:v>
      </x:c>
      <x:c r="B11" s="131" t="n">
        <x:v>6992054677.983673</x:v>
      </x:c>
      <x:c r="C11" s="131" t="n">
        <x:v>14507296989.780012</x:v>
      </x:c>
      <x:c r="D11" s="131" t="n">
        <x:v>194275895.14000005</x:v>
      </x:c>
      <x:c r="E11" s="131" t="n">
        <x:v>22550133485.629997</x:v>
      </x:c>
      <x:c r="F11" s="131" t="n">
        <x:v>44243761048.53368</x:v>
      </x:c>
    </x:row>
    <x:row r="12">
      <x:c r="A12" s="111" t="str">
        <x:v>INTRAG DIST. DE TÍTU</x:v>
      </x:c>
      <x:c r="B12" s="131" t="n">
        <x:v>3381119858.5700006</x:v>
      </x:c>
      <x:c r="C12" s="131" t="n">
        <x:v>0</x:v>
      </x:c>
      <x:c r="D12" s="131" t="n">
        <x:v>1167707989.5199995</x:v>
      </x:c>
      <x:c r="E12" s="131" t="n">
        <x:v>25386825385.76001</x:v>
      </x:c>
      <x:c r="F12" s="131" t="n">
        <x:v>29935653233.85001</x:v>
      </x:c>
    </x:row>
    <x:row r="13">
      <x:c r="A13" s="111" t="str">
        <x:v>Banco Genial S.A.</x:v>
      </x:c>
      <x:c r="B13" s="131" t="n">
        <x:v>6757010343.209999</x:v>
      </x:c>
      <x:c r="C13" s="131" t="n">
        <x:v>14291681166.548906</x:v>
      </x:c>
      <x:c r="D13" s="131" t="n">
        <x:v>89068789.55</x:v>
      </x:c>
      <x:c r="E13" s="131" t="n">
        <x:v>2563979118.9399996</x:v>
      </x:c>
      <x:c r="F13" s="131" t="n">
        <x:v>23701739418.2489</x:v>
      </x:c>
    </x:row>
    <x:row r="14">
      <x:c r="A14" s="111" t="str">
        <x:v>BRL TRUST DTVM</x:v>
      </x:c>
      <x:c r="B14" s="131" t="n">
        <x:v>1996467283.4800005</x:v>
      </x:c>
      <x:c r="C14" s="131" t="n">
        <x:v>6405778025.210001</x:v>
      </x:c>
      <x:c r="D14" s="131" t="n">
        <x:v>124119505.69</x:v>
      </x:c>
      <x:c r="E14" s="131" t="n">
        <x:v>11887771588.089994</x:v>
      </x:c>
      <x:c r="F14" s="131" t="n">
        <x:v>20414136402.469994</x:v>
      </x:c>
    </x:row>
    <x:row r="15">
      <x:c r="A15" s="111" t="str">
        <x:v>HEMERA DTVM</x:v>
      </x:c>
      <x:c r="B15" s="131" t="n">
        <x:v>4519545938.52</x:v>
      </x:c>
      <x:c r="C15" s="131" t="n">
        <x:v>4163366470.769999</x:v>
      </x:c>
      <x:c r="D15" s="131" t="n">
        <x:v>3761172744.249999</x:v>
      </x:c>
      <x:c r="E15" s="131" t="n">
        <x:v>7633476366.68</x:v>
      </x:c>
      <x:c r="F15" s="131" t="n">
        <x:v>20077561520.219997</x:v>
      </x:c>
    </x:row>
    <x:row r="16">
      <x:c r="A16" s="111" t="str">
        <x:v>Genial Investimentos Corretora de Valores Mobiliários S.A.</x:v>
      </x:c>
      <x:c r="B16" s="131" t="n">
        <x:v>3400141260.0499997</x:v>
      </x:c>
      <x:c r="C16" s="131" t="n">
        <x:v>2969742112.879999</x:v>
      </x:c>
      <x:c r="D16" s="131" t="n">
        <x:v>39570550.629999995</x:v>
      </x:c>
      <x:c r="E16" s="131" t="n">
        <x:v>11210294796.319998</x:v>
      </x:c>
      <x:c r="F16" s="131" t="n">
        <x:v>17619748719.879997</x:v>
      </x:c>
    </x:row>
    <x:row r="17">
      <x:c r="A17" s="111" t="str">
        <x:v>Finaxis Corretora de Títulos e Valores Mobiliários S.A.</x:v>
      </x:c>
      <x:c r="B17" s="131" t="n">
        <x:v>7273721540.12</x:v>
      </x:c>
      <x:c r="C17" s="131" t="n">
        <x:v>243324900.1</x:v>
      </x:c>
      <x:c r="D17" s="131" t="n">
        <x:v>1852176749.3399992</x:v>
      </x:c>
      <x:c r="E17" s="131" t="n">
        <x:v>7280601995.619998</x:v>
      </x:c>
      <x:c r="F17" s="131" t="n">
        <x:v>16649825185.179996</x:v>
      </x:c>
    </x:row>
    <x:row r="18">
      <x:c r="A18" s="111" t="str">
        <x:v>VERT Distribuidora de Títulos e Valores Mobiliários Ltd</x:v>
      </x:c>
      <x:c r="B18" s="131" t="n">
        <x:v>4652291203.920002</x:v>
      </x:c>
      <x:c r="C18" s="131" t="n">
        <x:v>8275033611.199997</x:v>
      </x:c>
      <x:c r="D18" s="131" t="n">
        <x:v>0</x:v>
      </x:c>
      <x:c r="E18" s="131" t="n">
        <x:v>1856294302.25</x:v>
      </x:c>
      <x:c r="F18" s="131" t="n">
        <x:v>14783619117.37</x:v>
      </x:c>
    </x:row>
    <x:row r="19">
      <x:c r="A19" s="111" t="str">
        <x:v>PLANNER CV</x:v>
      </x:c>
      <x:c r="B19" s="131" t="n">
        <x:v>124319049.71</x:v>
      </x:c>
      <x:c r="C19" s="131" t="n">
        <x:v>97044486.1</x:v>
      </x:c>
      <x:c r="D19" s="131" t="n">
        <x:v>1196542964.64</x:v>
      </x:c>
      <x:c r="E19" s="131" t="n">
        <x:v>11050885873.010004</x:v>
      </x:c>
      <x:c r="F19" s="131" t="n">
        <x:v>12468792373.460005</x:v>
      </x:c>
    </x:row>
    <x:row r="20">
      <x:c r="A20" s="111" t="str">
        <x:v>BNY MELLON SERVICOS</x:v>
      </x:c>
      <x:c r="B20" s="131" t="n">
        <x:v>0</x:v>
      </x:c>
      <x:c r="C20" s="131" t="n">
        <x:v>0</x:v>
      </x:c>
      <x:c r="D20" s="131" t="n">
        <x:v>4905112.620000001</x:v>
      </x:c>
      <x:c r="E20" s="131" t="n">
        <x:v>11647029899.781149</x:v>
      </x:c>
      <x:c r="F20" s="131" t="n">
        <x:v>11651935012.40115</x:v>
      </x:c>
    </x:row>
    <x:row r="21">
      <x:c r="A21" s="111" t="str">
        <x:v>VÓRTX DTVM</x:v>
      </x:c>
      <x:c r="B21" s="131" t="n">
        <x:v>3640654573.44</x:v>
      </x:c>
      <x:c r="C21" s="131" t="n">
        <x:v>2962345710.3499994</x:v>
      </x:c>
      <x:c r="D21" s="131" t="n">
        <x:v>122869369.8</x:v>
      </x:c>
      <x:c r="E21" s="131" t="n">
        <x:v>4569424500.979998</x:v>
      </x:c>
      <x:c r="F21" s="131" t="n">
        <x:v>11295294154.569996</x:v>
      </x:c>
    </x:row>
    <x:row r="22">
      <x:c r="A22" s="111" t="str">
        <x:v>TRUSTEE DTVM</x:v>
      </x:c>
      <x:c r="B22" s="131" t="n">
        <x:v>0</x:v>
      </x:c>
      <x:c r="C22" s="131" t="n">
        <x:v>351332791.21</x:v>
      </x:c>
      <x:c r="D22" s="131" t="n">
        <x:v>23636547.09</x:v>
      </x:c>
      <x:c r="E22" s="131" t="n">
        <x:v>10358627755.149998</x:v>
      </x:c>
      <x:c r="F22" s="131" t="n">
        <x:v>10733597093.449997</x:v>
      </x:c>
    </x:row>
    <x:row r="23">
      <x:c r="A23" s="111" t="str">
        <x:v>MAF Distribuidora de Títulos e Valores Mobiliários S.A.</x:v>
      </x:c>
      <x:c r="B23" s="131" t="n">
        <x:v>217307787.22000003</x:v>
      </x:c>
      <x:c r="C23" s="131" t="n">
        <x:v>0</x:v>
      </x:c>
      <x:c r="D23" s="131" t="n">
        <x:v>0</x:v>
      </x:c>
      <x:c r="E23" s="131" t="n">
        <x:v>10384086782.119995</x:v>
      </x:c>
      <x:c r="F23" s="131" t="n">
        <x:v>10601394569.339994</x:v>
      </x:c>
    </x:row>
    <x:row r="24">
      <x:c r="A24" s="111" t="str">
        <x:v>ID Corretora de Títulos e Valores Mobiliários S.A.</x:v>
      </x:c>
      <x:c r="B24" s="131" t="n">
        <x:v>242826095.70000005</x:v>
      </x:c>
      <x:c r="C24" s="131" t="n">
        <x:v>818474637.77</x:v>
      </x:c>
      <x:c r="D24" s="131" t="n">
        <x:v>890044311.3899999</x:v>
      </x:c>
      <x:c r="E24" s="131" t="n">
        <x:v>8003837279.730001</x:v>
      </x:c>
      <x:c r="F24" s="131" t="n">
        <x:v>9955182324.590002</x:v>
      </x:c>
    </x:row>
    <x:row r="25">
      <x:c r="A25" s="111" t="str">
        <x:v>FIDD DISTRIBUIDORA DE TITULOS E VALORES MOBILIARIOS LTD</x:v>
      </x:c>
      <x:c r="B25" s="131" t="n">
        <x:v>1019272881.3500004</x:v>
      </x:c>
      <x:c r="C25" s="131" t="n">
        <x:v>544479426</x:v>
      </x:c>
      <x:c r="D25" s="131" t="n">
        <x:v>3421677457.7099996</x:v>
      </x:c>
      <x:c r="E25" s="131" t="n">
        <x:v>4767878770.679997</x:v>
      </x:c>
      <x:c r="F25" s="131" t="n">
        <x:v>9753308535.739998</x:v>
      </x:c>
    </x:row>
    <x:row r="26">
      <x:c r="A26" s="111" t="str">
        <x:v>S3 Caceis Brasil Distribuidora de Títulos e Valores Mob</x:v>
      </x:c>
      <x:c r="B26" s="131" t="n">
        <x:v>4863388943.47999</x:v>
      </x:c>
      <x:c r="C26" s="131" t="n">
        <x:v>3492130161.23086</x:v>
      </x:c>
      <x:c r="D26" s="131" t="n">
        <x:v>407823856.64</x:v>
      </x:c>
      <x:c r="E26" s="131" t="n">
        <x:v>439302345.86</x:v>
      </x:c>
      <x:c r="F26" s="131" t="n">
        <x:v>9202645307.21085</x:v>
      </x:c>
    </x:row>
    <x:row r="27">
      <x:c r="A27" s="111" t="str">
        <x:v>Limine Trust Distribuidora de Titulos e Valores Mobiliá</x:v>
      </x:c>
      <x:c r="B27" s="131" t="n">
        <x:v>1411761085.95</x:v>
      </x:c>
      <x:c r="C27" s="131" t="n">
        <x:v>2751368030.9300013</x:v>
      </x:c>
      <x:c r="D27" s="131" t="n">
        <x:v>1035457408.755</x:v>
      </x:c>
      <x:c r="E27" s="131" t="n">
        <x:v>3318765926.8300004</x:v>
      </x:c>
      <x:c r="F27" s="131" t="n">
        <x:v>8517352452.465002</x:v>
      </x:c>
    </x:row>
    <x:row r="28">
      <x:c r="A28" s="111" t="str">
        <x:v>XPI CCTVM S/A</x:v>
      </x:c>
      <x:c r="B28" s="131" t="n">
        <x:v>1259703242.6</x:v>
      </x:c>
      <x:c r="C28" s="131" t="n">
        <x:v>55550221.620000005</x:v>
      </x:c>
      <x:c r="D28" s="131" t="n">
        <x:v>202398988.35</x:v>
      </x:c>
      <x:c r="E28" s="131" t="n">
        <x:v>6696860768.62</x:v>
      </x:c>
      <x:c r="F28" s="131" t="n">
        <x:v>8214513221.19</x:v>
      </x:c>
    </x:row>
    <x:row r="29">
      <x:c r="A29" s="111" t="str">
        <x:v>SEFER DTVM</x:v>
      </x:c>
      <x:c r="B29" s="131" t="n">
        <x:v>71553704.34</x:v>
      </x:c>
      <x:c r="C29" s="131" t="n">
        <x:v>392340969.58</x:v>
      </x:c>
      <x:c r="D29" s="131" t="n">
        <x:v>3230887550.6200004</x:v>
      </x:c>
      <x:c r="E29" s="131" t="n">
        <x:v>4282856849.31</x:v>
      </x:c>
      <x:c r="F29" s="131" t="n">
        <x:v>7977639073.85</x:v>
      </x:c>
    </x:row>
    <x:row r="30">
      <x:c r="A30" s="111" t="str">
        <x:v>Banvox DTVM</x:v>
      </x:c>
      <x:c r="B30" s="131" t="n">
        <x:v>194955841.65</x:v>
      </x:c>
      <x:c r="C30" s="131" t="n">
        <x:v>1890698051.6100008</x:v>
      </x:c>
      <x:c r="D30" s="131" t="n">
        <x:v>11607112.78</x:v>
      </x:c>
      <x:c r="E30" s="131" t="n">
        <x:v>4125351806.81</x:v>
      </x:c>
      <x:c r="F30" s="131" t="n">
        <x:v>6222612812.85</x:v>
      </x:c>
    </x:row>
    <x:row r="31">
      <x:c r="A31" s="111" t="str">
        <x:v>BANCO J. SAFRA S/A</x:v>
      </x:c>
      <x:c r="B31" s="131" t="n">
        <x:v>0</x:v>
      </x:c>
      <x:c r="C31" s="131" t="n">
        <x:v>0</x:v>
      </x:c>
      <x:c r="D31" s="131" t="n">
        <x:v>1656423053.39</x:v>
      </x:c>
      <x:c r="E31" s="131" t="n">
        <x:v>4328120063.67</x:v>
      </x:c>
      <x:c r="F31" s="131" t="n">
        <x:v>5984543117.06</x:v>
      </x:c>
    </x:row>
    <x:row r="32">
      <x:c r="A32" s="111" t="str">
        <x:v>CATÁLISE DTVM</x:v>
      </x:c>
      <x:c r="B32" s="131" t="n">
        <x:v>3748839061.81</x:v>
      </x:c>
      <x:c r="C32" s="131" t="n">
        <x:v>929899.02</x:v>
      </x:c>
      <x:c r="D32" s="131" t="n">
        <x:v>68271501.64999999</x:v>
      </x:c>
      <x:c r="E32" s="131" t="n">
        <x:v>2066686594.49</x:v>
      </x:c>
      <x:c r="F32" s="131" t="n">
        <x:v>5884727056.97</x:v>
      </x:c>
    </x:row>
    <x:row r="33">
      <x:c r="A33" s="111" t="str">
        <x:v>Banco Finaxis S.A.</x:v>
      </x:c>
      <x:c r="B33" s="131" t="n">
        <x:v>0</x:v>
      </x:c>
      <x:c r="C33" s="131" t="n">
        <x:v>0</x:v>
      </x:c>
      <x:c r="D33" s="131" t="n">
        <x:v>779743369.17</x:v>
      </x:c>
      <x:c r="E33" s="131" t="n">
        <x:v>4501238328.87</x:v>
      </x:c>
      <x:c r="F33" s="131" t="n">
        <x:v>5280981698.04</x:v>
      </x:c>
    </x:row>
    <x:row r="34">
      <x:c r="A34" s="111" t="str">
        <x:v>RJI Investimentos</x:v>
      </x:c>
      <x:c r="B34" s="131" t="n">
        <x:v>17137065.41</x:v>
      </x:c>
      <x:c r="C34" s="131" t="n">
        <x:v>67691545.19999999</x:v>
      </x:c>
      <x:c r="D34" s="131" t="n">
        <x:v>0</x:v>
      </x:c>
      <x:c r="E34" s="131" t="n">
        <x:v>4956693508.370001</x:v>
      </x:c>
      <x:c r="F34" s="131" t="n">
        <x:v>5041522118.9800005</x:v>
      </x:c>
    </x:row>
    <x:row r="35">
      <x:c r="A35" s="111" t="str">
        <x:v>QI DISTRIBUIDORA DE TITULOS E VALORES MOBILIARIOS LTDA</x:v>
      </x:c>
      <x:c r="B35" s="131" t="n">
        <x:v>0</x:v>
      </x:c>
      <x:c r="C35" s="131" t="n">
        <x:v>0</x:v>
      </x:c>
      <x:c r="D35" s="131" t="n">
        <x:v>542762002.32</x:v>
      </x:c>
      <x:c r="E35" s="131" t="n">
        <x:v>3913119298.1800017</x:v>
      </x:c>
      <x:c r="F35" s="131" t="n">
        <x:v>4455881300.500002</x:v>
      </x:c>
    </x:row>
    <x:row r="36">
      <x:c r="A36" s="111" t="str">
        <x:v>Qore DTVM</x:v>
      </x:c>
      <x:c r="B36" s="131" t="n">
        <x:v>320053389.63</x:v>
      </x:c>
      <x:c r="C36" s="131" t="n">
        <x:v>192462662.46000004</x:v>
      </x:c>
      <x:c r="D36" s="131" t="n">
        <x:v>363265159.79</x:v>
      </x:c>
      <x:c r="E36" s="131" t="n">
        <x:v>3376901668.83</x:v>
      </x:c>
      <x:c r="F36" s="131" t="n">
        <x:v>4252682880.71</x:v>
      </x:c>
    </x:row>
    <x:row r="37">
      <x:c r="A37" s="111" t="str">
        <x:v>MONETAR DISTRIBUIDORA DE TITUL</x:v>
      </x:c>
      <x:c r="B37" s="131" t="n">
        <x:v>31672271.26</x:v>
      </x:c>
      <x:c r="C37" s="131" t="n">
        <x:v>104460218.57</x:v>
      </x:c>
      <x:c r="D37" s="131" t="n">
        <x:v>315769088.08</x:v>
      </x:c>
      <x:c r="E37" s="131" t="n">
        <x:v>2172950715.51</x:v>
      </x:c>
      <x:c r="F37" s="131" t="n">
        <x:v>2624852293.42</x:v>
      </x:c>
    </x:row>
    <x:row r="38">
      <x:c r="A38" s="111" t="str">
        <x:v>ACTUAL DTVM</x:v>
      </x:c>
      <x:c r="B38" s="131" t="n">
        <x:v>0</x:v>
      </x:c>
      <x:c r="C38" s="131" t="n">
        <x:v>0</x:v>
      </x:c>
      <x:c r="D38" s="131" t="n">
        <x:v>1655465984.8999996</x:v>
      </x:c>
      <x:c r="E38" s="131" t="n">
        <x:v>737121538.9</x:v>
      </x:c>
      <x:c r="F38" s="131" t="n">
        <x:v>2392587523.7999997</x:v>
      </x:c>
    </x:row>
    <x:row r="39">
      <x:c r="A39" s="111" t="str">
        <x:v>OSLO DTVM S. A.</x:v>
      </x:c>
      <x:c r="B39" s="131" t="n">
        <x:v>30667232.43</x:v>
      </x:c>
      <x:c r="C39" s="131" t="n">
        <x:v>271328543.06</x:v>
      </x:c>
      <x:c r="D39" s="131" t="n">
        <x:v>47077488.03000001</x:v>
      </x:c>
      <x:c r="E39" s="131" t="n">
        <x:v>2034917040.09</x:v>
      </x:c>
      <x:c r="F39" s="131" t="n">
        <x:v>2383990303.61</x:v>
      </x:c>
    </x:row>
    <x:row r="40">
      <x:c r="A40" s="111" t="str">
        <x:v>AZUMI DISTRIBUIDORA DE TÍTULOS E VALORES MOBILIÁRIOS LT</x:v>
      </x:c>
      <x:c r="B40" s="131" t="n">
        <x:v>28297998.38</x:v>
      </x:c>
      <x:c r="C40" s="131" t="n">
        <x:v>81271659.31</x:v>
      </x:c>
      <x:c r="D40" s="131" t="n">
        <x:v>644678053.7199999</x:v>
      </x:c>
      <x:c r="E40" s="131" t="n">
        <x:v>918848904.6599996</x:v>
      </x:c>
      <x:c r="F40" s="131" t="n">
        <x:v>1673096616.0699997</x:v>
      </x:c>
    </x:row>
    <x:row r="41">
      <x:c r="A41" s="111" t="str">
        <x:v>Caixa Econ. Federal</x:v>
      </x:c>
      <x:c r="B41" s="131" t="n">
        <x:v>1373673301.63</x:v>
      </x:c>
      <x:c r="C41" s="131" t="n">
        <x:v>2685323.86</x:v>
      </x:c>
      <x:c r="D41" s="131" t="n">
        <x:v>0</x:v>
      </x:c>
      <x:c r="E41" s="131" t="n">
        <x:v>0</x:v>
      </x:c>
      <x:c r="F41" s="131" t="n">
        <x:v>1376358625.49</x:v>
      </x:c>
    </x:row>
    <x:row r="42">
      <x:c r="A42" s="111" t="str">
        <x:v>INTEGRAL ACCESS DTVM</x:v>
      </x:c>
      <x:c r="B42" s="131" t="n">
        <x:v>655197867.94</x:v>
      </x:c>
      <x:c r="C42" s="131" t="n">
        <x:v>184740197.11</x:v>
      </x:c>
      <x:c r="D42" s="131" t="n">
        <x:v>0</x:v>
      </x:c>
      <x:c r="E42" s="131" t="n">
        <x:v>52058377.58</x:v>
      </x:c>
      <x:c r="F42" s="131" t="n">
        <x:v>891996442.6300001</x:v>
      </x:c>
    </x:row>
    <x:row r="43">
      <x:c r="A43" s="111" t="str">
        <x:v>Inter Distribuidora de Títulos e Valores Mobiliários Lt</x:v>
      </x:c>
      <x:c r="B43" s="131" t="n">
        <x:v>752063336.42</x:v>
      </x:c>
      <x:c r="C43" s="131" t="n">
        <x:v>0</x:v>
      </x:c>
      <x:c r="D43" s="131" t="n">
        <x:v>60962351.51999998</x:v>
      </x:c>
      <x:c r="E43" s="131" t="n">
        <x:v>36306961.06999999</x:v>
      </x:c>
      <x:c r="F43" s="131" t="n">
        <x:v>849332649.01</x:v>
      </x:c>
    </x:row>
    <x:row r="44">
      <x:c r="A44" s="111" t="str">
        <x:v>BR-Capital DTVM</x:v>
      </x:c>
      <x:c r="B44" s="131" t="n">
        <x:v>0</x:v>
      </x:c>
      <x:c r="C44" s="131" t="n">
        <x:v>0</x:v>
      </x:c>
      <x:c r="D44" s="131" t="n">
        <x:v>0</x:v>
      </x:c>
      <x:c r="E44" s="131" t="n">
        <x:v>640384800.38</x:v>
      </x:c>
      <x:c r="F44" s="131" t="n">
        <x:v>640384800.38</x:v>
      </x:c>
    </x:row>
    <x:row r="45">
      <x:c r="A45" s="111" t="str">
        <x:v>LASTRO RDV DIST. DE</x:v>
      </x:c>
      <x:c r="B45" s="131" t="n">
        <x:v>0</x:v>
      </x:c>
      <x:c r="C45" s="131" t="n">
        <x:v>207078531.3</x:v>
      </x:c>
      <x:c r="D45" s="131" t="n">
        <x:v>6961865.65</x:v>
      </x:c>
      <x:c r="E45" s="131" t="n">
        <x:v>425675794.51</x:v>
      </x:c>
      <x:c r="F45" s="131" t="n">
        <x:v>639716191.46</x:v>
      </x:c>
    </x:row>
    <x:row r="46">
      <x:c r="A46" s="111" t="str">
        <x:v>SANTANDER DISTRIBUIDORA DE TÍTULOS E VALORES MOBILIÁRIOS S.A</x:v>
      </x:c>
      <x:c r="B46" s="131" t="n">
        <x:v>507114261.73</x:v>
      </x:c>
      <x:c r="C46" s="131" t="n">
        <x:v>0</x:v>
      </x:c>
      <x:c r="D46" s="131" t="n">
        <x:v>0</x:v>
      </x:c>
      <x:c r="E46" s="131" t="n">
        <x:v>0</x:v>
      </x:c>
      <x:c r="F46" s="131" t="n">
        <x:v>507114261.73</x:v>
      </x:c>
    </x:row>
    <x:row r="47">
      <x:c r="A47" s="111" t="str">
        <x:v>Finvest Digital</x:v>
      </x:c>
      <x:c r="B47" s="131" t="n">
        <x:v>115030157.89</x:v>
      </x:c>
      <x:c r="C47" s="131" t="n">
        <x:v>71832554.22999999</x:v>
      </x:c>
      <x:c r="D47" s="131" t="n">
        <x:v>56969398.88000001</x:v>
      </x:c>
      <x:c r="E47" s="131" t="n">
        <x:v>242891336.38000005</x:v>
      </x:c>
      <x:c r="F47" s="131" t="n">
        <x:v>486723447.38000005</x:v>
      </x:c>
    </x:row>
    <x:row r="48">
      <x:c r="A48" s="111" t="str">
        <x:v>WNT DTVM</x:v>
      </x:c>
      <x:c r="B48" s="131" t="n">
        <x:v>0</x:v>
      </x:c>
      <x:c r="C48" s="131" t="n">
        <x:v>5459251.17</x:v>
      </x:c>
      <x:c r="D48" s="131" t="n">
        <x:v>61160933.02</x:v>
      </x:c>
      <x:c r="E48" s="131" t="n">
        <x:v>220758198.83999997</x:v>
      </x:c>
      <x:c r="F48" s="131" t="n">
        <x:v>287378383.03</x:v>
      </x:c>
    </x:row>
    <x:row r="49">
      <x:c r="A49" s="111" t="str">
        <x:v>Baru DTVM</x:v>
      </x:c>
      <x:c r="B49" s="131" t="n">
        <x:v>0</x:v>
      </x:c>
      <x:c r="C49" s="131" t="n">
        <x:v>16165994.579999998</x:v>
      </x:c>
      <x:c r="D49" s="131" t="n">
        <x:v>0</x:v>
      </x:c>
      <x:c r="E49" s="131" t="n">
        <x:v>206824385.05</x:v>
      </x:c>
      <x:c r="F49" s="131" t="n">
        <x:v>222990379.63</x:v>
      </x:c>
    </x:row>
    <x:row r="50">
      <x:c r="A50" s="111" t="str">
        <x:v>LIONS DTVM</x:v>
      </x:c>
      <x:c r="B50" s="131" t="n">
        <x:v>38179544.29000001</x:v>
      </x:c>
      <x:c r="C50" s="131" t="n">
        <x:v>0</x:v>
      </x:c>
      <x:c r="D50" s="131" t="n">
        <x:v>0</x:v>
      </x:c>
      <x:c r="E50" s="131" t="n">
        <x:v>144177661.94</x:v>
      </x:c>
      <x:c r="F50" s="131" t="n">
        <x:v>182357206.23</x:v>
      </x:c>
    </x:row>
    <x:row r="51">
      <x:c r="A51" s="111" t="str">
        <x:v>Ativa S/A CTCV</x:v>
      </x:c>
      <x:c r="B51" s="131" t="n">
        <x:v>0</x:v>
      </x:c>
      <x:c r="C51" s="131" t="n">
        <x:v>45842.8</x:v>
      </x:c>
      <x:c r="D51" s="131" t="n">
        <x:v>0</x:v>
      </x:c>
      <x:c r="E51" s="131" t="n">
        <x:v>49665320.20999999</x:v>
      </x:c>
      <x:c r="F51" s="131" t="n">
        <x:v>49711163.00999999</x:v>
      </x:c>
    </x:row>
    <x:row r="52">
      <x:c r="A52" s="111" t="str">
        <x:v>Intra Investimentos Distribuidora de Títulos e Valores Mobiliários LTDA.</x:v>
      </x:c>
      <x:c r="B52" s="131" t="n">
        <x:v>0</x:v>
      </x:c>
      <x:c r="C52" s="131" t="n">
        <x:v>0</x:v>
      </x:c>
      <x:c r="D52" s="131" t="n">
        <x:v>0</x:v>
      </x:c>
      <x:c r="E52" s="131" t="n">
        <x:v>46144408.65999999</x:v>
      </x:c>
      <x:c r="F52" s="131" t="n">
        <x:v>46144408.65999999</x:v>
      </x:c>
    </x:row>
    <x:row r="53">
      <x:c r="A53" s="111" t="str">
        <x:v>Não Informado</x:v>
      </x:c>
      <x:c r="B53" s="131" t="n">
        <x:v>0</x:v>
      </x:c>
      <x:c r="C53" s="131" t="n">
        <x:v>0</x:v>
      </x:c>
      <x:c r="D53" s="131" t="n">
        <x:v>42255542.21</x:v>
      </x:c>
      <x:c r="E53" s="131" t="n">
        <x:v>0</x:v>
      </x:c>
      <x:c r="F53" s="131" t="n">
        <x:v>42255542.21</x:v>
      </x:c>
    </x:row>
    <x:row r="54">
      <x:c r="A54" s="111" t="str">
        <x:v>Merito DTVM</x:v>
      </x:c>
      <x:c r="B54" s="131" t="n">
        <x:v>0</x:v>
      </x:c>
      <x:c r="C54" s="131" t="n">
        <x:v>12545142.17</x:v>
      </x:c>
      <x:c r="D54" s="131" t="n">
        <x:v>0</x:v>
      </x:c>
      <x:c r="E54" s="131" t="n">
        <x:v>3448849.25</x:v>
      </x:c>
      <x:c r="F54" s="131" t="n">
        <x:v>15993991.42</x:v>
      </x:c>
    </x:row>
    <x:row r="55">
      <x:c r="A55" s="111" t="str">
        <x:v>GRADUAL CCTVM S/A</x:v>
      </x:c>
      <x:c r="B55" s="131" t="n">
        <x:v>0</x:v>
      </x:c>
      <x:c r="C55" s="131" t="n">
        <x:v>0</x:v>
      </x:c>
      <x:c r="D55" s="131" t="n">
        <x:v>0</x:v>
      </x:c>
      <x:c r="E55" s="131" t="n">
        <x:v>0</x:v>
      </x:c>
      <x:c r="F55" s="131" t="n">
        <x:v>0</x:v>
      </x:c>
    </x:row>
    <x:row r="56">
      <x:c r="A56" s="111" t="str">
        <x:v>HEDGE DTVM</x:v>
      </x:c>
      <x:c r="B56" s="131" t="n">
        <x:v>0</x:v>
      </x:c>
      <x:c r="C56" s="131" t="n">
        <x:v>0</x:v>
      </x:c>
      <x:c r="D56" s="131" t="n">
        <x:v>0</x:v>
      </x:c>
      <x:c r="E56" s="131" t="n">
        <x:v>0</x:v>
      </x:c>
      <x:c r="F56" s="131" t="n">
        <x:v>0</x:v>
      </x:c>
    </x:row>
    <x:row r="57">
      <x:c r="A57" s="111" t="str">
        <x:v>DILLON S.A DTVM</x:v>
      </x:c>
      <x:c r="B57" s="131" t="n">
        <x:v>0</x:v>
      </x:c>
      <x:c r="C57" s="131" t="n">
        <x:v>0</x:v>
      </x:c>
      <x:c r="D57" s="131" t="n">
        <x:v>0</x:v>
      </x:c>
      <x:c r="E57" s="131" t="n">
        <x:v>0</x:v>
      </x:c>
      <x:c r="F57" s="131" t="n">
        <x:v>0</x:v>
      </x:c>
    </x:row>
    <x:row r="58">
      <x:c r="A58" s="111" t="str">
        <x:v>NECTON INVESTIMENTOS</x:v>
      </x:c>
      <x:c r="B58" s="131" t="n">
        <x:v>0</x:v>
      </x:c>
      <x:c r="C58" s="131" t="n">
        <x:v>0</x:v>
      </x:c>
      <x:c r="D58" s="131" t="n">
        <x:v>0</x:v>
      </x:c>
      <x:c r="E58" s="131" t="n">
        <x:v>0</x:v>
      </x:c>
      <x:c r="F58" s="131" t="n">
        <x:v>0</x:v>
      </x:c>
    </x:row>
    <x:row r="59">
      <x:c r="A59" s="111" t="str">
        <x:v>SLW CVC LTDA</x:v>
      </x:c>
      <x:c r="B59" s="131" t="n">
        <x:v>0</x:v>
      </x:c>
      <x:c r="C59" s="131" t="n">
        <x:v>0</x:v>
      </x:c>
      <x:c r="D59" s="131" t="n">
        <x:v>0</x:v>
      </x:c>
      <x:c r="E59" s="131" t="n">
        <x:v>0</x:v>
      </x:c>
      <x:c r="F59" s="131" t="n">
        <x:v>0</x:v>
      </x:c>
    </x:row>
    <x:row r="60">
      <x:c r="A60" s="111" t="str">
        <x:v>Tivio Capital</x:v>
      </x:c>
      <x:c r="B60" s="131" t="n">
        <x:v>0</x:v>
      </x:c>
      <x:c r="C60" s="131" t="n">
        <x:v>0</x:v>
      </x:c>
      <x:c r="D60" s="131" t="n">
        <x:v>0</x:v>
      </x:c>
      <x:c r="E60" s="131" t="n">
        <x:v>0</x:v>
      </x:c>
      <x:c r="F60" s="131" t="n">
        <x:v>0</x:v>
      </x:c>
    </x:row>
    <x:row r="61">
      <x:c r="A61" s="111" t="str">
        <x:v>BFL Administração de Recursos</x:v>
      </x:c>
      <x:c r="B61" s="131" t="n">
        <x:v>0</x:v>
      </x:c>
      <x:c r="C61" s="131" t="n">
        <x:v>0</x:v>
      </x:c>
      <x:c r="D61" s="131" t="n">
        <x:v>0</x:v>
      </x:c>
      <x:c r="E61" s="131" t="n">
        <x:v>0</x:v>
      </x:c>
      <x:c r="F61" s="131" t="n">
        <x:v>0</x:v>
      </x:c>
    </x:row>
    <x:row r="62">
      <x:c r="A62" s="111" t="str">
        <x:v>MASTER S/A CORRETORA</x:v>
      </x:c>
      <x:c r="B62" s="131" t="n">
        <x:v>0</x:v>
      </x:c>
      <x:c r="C62" s="131" t="n">
        <x:v>0</x:v>
      </x:c>
      <x:c r="D62" s="131" t="n">
        <x:v>0</x:v>
      </x:c>
      <x:c r="E62" s="131" t="n">
        <x:v>0</x:v>
      </x:c>
      <x:c r="F62" s="131" t="n">
        <x:v>0</x:v>
      </x:c>
    </x:row>
    <x:row r="63">
      <x:c r="A63" s="112" t="str">
        <x:v>REAG DTVM</x:v>
      </x:c>
      <x:c r="B63" s="132" t="n">
        <x:v>0</x:v>
      </x:c>
      <x:c r="C63" s="132" t="n">
        <x:v>0</x:v>
      </x:c>
      <x:c r="D63" s="132" t="n">
        <x:v>0</x:v>
      </x:c>
      <x:c r="E63" s="132" t="n">
        <x:v>0</x:v>
      </x:c>
      <x:c r="F63" s="132" t="n">
        <x:v>0</x:v>
      </x:c>
    </x:row>
  </x:sheetData>
  <x:mergeCells>
    <x:mergeCell ref="A1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  <x:col min="3" max="3" width="18" hidden="0" customWidth="1"/>
    <x:col min="4" max="4" width="30" hidden="0" customWidth="1"/>
    <x:col min="5" max="5" width="30" hidden="0" customWidth="1"/>
    <x:col min="6" max="6" width="45" hidden="0" customWidth="1"/>
    <x:col min="7" max="7" width="45" hidden="0" customWidth="1"/>
    <x:col min="8" max="8" width="28" hidden="0" customWidth="1"/>
    <x:col min="9" max="9" width="34" hidden="0" customWidth="1"/>
    <x:col min="10" max="10" width="14" hidden="0" customWidth="1"/>
    <x:col min="11" max="11" width="12" hidden="0" customWidth="1"/>
    <x:col min="12" max="12" width="38" hidden="0" customWidth="1"/>
  </x:cols>
  <x:sheetData>
    <x:row r="1" ht="30" customHeight="1">
      <x:c r="A1" s="4" t="str">
        <x:v>Base de fundos | classificação operacional editável</x:v>
      </x:c>
      <x:c r="B1" s="4" t="str">
        <x:v>Base de fundos | classificação operacional editável</x:v>
      </x:c>
      <x:c r="C1" s="4" t="str">
        <x:v>Base de fundos | classificação operacional editável</x:v>
      </x:c>
      <x:c r="D1" s="4" t="str">
        <x:v>Base de fundos | classificação operacional editável</x:v>
      </x:c>
      <x:c r="E1" s="4" t="str">
        <x:v>Base de fundos | classificação operacional editável</x:v>
      </x:c>
      <x:c r="F1" s="4" t="str">
        <x:v>Base de fundos | classificação operacional editável</x:v>
      </x:c>
      <x:c r="G1" s="4" t="str">
        <x:v>Base de fundos | classificação operacional editável</x:v>
      </x:c>
      <x:c r="H1" s="4" t="str">
        <x:v>Base de fundos | classificação operacional editável</x:v>
      </x:c>
      <x:c r="I1" s="4" t="str">
        <x:v>Base de fundos | classificação operacional editável</x:v>
      </x:c>
      <x:c r="J1" s="4" t="str">
        <x:v>Base de fundos | classificação operacional editável</x:v>
      </x:c>
      <x:c r="K1" s="4" t="str">
        <x:v>Base de fundos | classificação operacional editável</x:v>
      </x:c>
      <x:c r="L1" s="4" t="str">
        <x:v>Base de fundos | classificação operacional editável</x:v>
      </x:c>
    </x:row>
    <x:row r="2" ht="30" customHeight="1">
      <x:c r="A2" s="4" t="str">
        <x:v>Base de fundos | classificação operacional editável</x:v>
      </x:c>
      <x:c r="B2" s="4" t="str">
        <x:v>Base de fundos | classificação operacional editável</x:v>
      </x:c>
      <x:c r="C2" s="4" t="str">
        <x:v>Base de fundos | classificação operacional editável</x:v>
      </x:c>
      <x:c r="D2" s="4" t="str">
        <x:v>Base de fundos | classificação operacional editável</x:v>
      </x:c>
      <x:c r="E2" s="4" t="str">
        <x:v>Base de fundos | classificação operacional editável</x:v>
      </x:c>
      <x:c r="F2" s="4" t="str">
        <x:v>Base de fundos | classificação operacional editável</x:v>
      </x:c>
      <x:c r="G2" s="4" t="str">
        <x:v>Base de fundos | classificação operacional editável</x:v>
      </x:c>
      <x:c r="H2" s="4" t="str">
        <x:v>Base de fundos | classificação operacional editável</x:v>
      </x:c>
      <x:c r="I2" s="4" t="str">
        <x:v>Base de fundos | classificação operacional editável</x:v>
      </x:c>
      <x:c r="J2" s="4" t="str">
        <x:v>Base de fundos | classificação operacional editável</x:v>
      </x:c>
      <x:c r="K2" s="4" t="str">
        <x:v>Base de fundos | classificação operacional editável</x:v>
      </x:c>
      <x:c r="L2" s="4" t="str">
        <x:v>Base de fundos | classificação operacional editável</x:v>
      </x:c>
    </x:row>
    <x:row r="3">
      <x:c r="A3" s="182" t="str">
        <x:v>Coluna E busca a classificação final da gestora. Coluna L é input manual para multicedente/multissacado.</x:v>
      </x:c>
      <x:c r="B3" s="182" t="str">
        <x:v>Coluna E busca a classificação final da gestora. Coluna L é input manual para multicedente/multissacado.</x:v>
      </x:c>
      <x:c r="C3" s="182" t="str">
        <x:v>Coluna E busca a classificação final da gestora. Coluna L é input manual para multicedente/multissacado.</x:v>
      </x:c>
      <x:c r="D3" s="182" t="str">
        <x:v>Coluna E busca a classificação final da gestora. Coluna L é input manual para multicedente/multissacado.</x:v>
      </x:c>
      <x:c r="E3" s="182" t="str">
        <x:v>Coluna E busca a classificação final da gestora. Coluna L é input manual para multicedente/multissacado.</x:v>
      </x:c>
      <x:c r="F3" s="182" t="str">
        <x:v>Coluna E busca a classificação final da gestora. Coluna L é input manual para multicedente/multissacado.</x:v>
      </x:c>
      <x:c r="G3" s="182" t="str">
        <x:v>Coluna E busca a classificação final da gestora. Coluna L é input manual para multicedente/multissacado.</x:v>
      </x:c>
      <x:c r="H3" s="182" t="str">
        <x:v>Coluna E busca a classificação final da gestora. Coluna L é input manual para multicedente/multissacado.</x:v>
      </x:c>
      <x:c r="I3" s="182" t="str">
        <x:v>Coluna E busca a classificação final da gestora. Coluna L é input manual para multicedente/multissacado.</x:v>
      </x:c>
      <x:c r="J3" s="182" t="str">
        <x:v>Coluna E busca a classificação final da gestora. Coluna L é input manual para multicedente/multissacado.</x:v>
      </x:c>
      <x:c r="K3" s="182" t="str">
        <x:v>Coluna E busca a classificação final da gestora. Coluna L é input manual para multicedente/multissacado.</x:v>
      </x:c>
      <x:c r="L3" s="182" t="str">
        <x:v>Coluna E busca a classificação final da gestora. Coluna L é input manual para multicedente/multissacado.</x:v>
      </x:c>
    </x:row>
    <x:row r="4">
      <x:c r="A4" s="198"/>
      <x:c r="B4" s="198"/>
      <x:c r="C4" s="198"/>
      <x:c r="D4" s="198"/>
      <x:c r="E4" s="198"/>
      <x:c r="F4" s="198"/>
      <x:c r="G4" s="198"/>
      <x:c r="H4" s="198"/>
      <x:c r="I4" s="198"/>
      <x:c r="J4" s="198"/>
      <x:c r="K4" s="198"/>
      <x:c r="L4" s="198"/>
    </x:row>
    <x:row r="5" ht="28" customHeight="1">
      <x:c r="A5" s="20" t="str">
        <x:v>CNPJ</x:v>
      </x:c>
      <x:c r="B5" s="21" t="str">
        <x:v>FIDC</x:v>
      </x:c>
      <x:c r="C5" s="21" t="str">
        <x:v>PL (R$)</x:v>
      </x:c>
      <x:c r="D5" s="21" t="str">
        <x:v>Gestora</x:v>
      </x:c>
      <x:c r="E5" s="21" t="str">
        <x:v>Grupo gestora</x:v>
      </x:c>
      <x:c r="F5" s="21" t="str">
        <x:v>Administrador</x:v>
      </x:c>
      <x:c r="G5" s="21" t="str">
        <x:v>Custodiante</x:v>
      </x:c>
      <x:c r="H5" s="21" t="str">
        <x:v>Tipo ANBIMA</x:v>
      </x:c>
      <x:c r="I5" s="21" t="str">
        <x:v>Foco de atuação</x:v>
      </x:c>
      <x:c r="J5" s="21" t="str">
        <x:v>Composição</x:v>
      </x:c>
      <x:c r="K5" s="21" t="str">
        <x:v>Cotistas</x:v>
      </x:c>
      <x:c r="L5" s="22" t="str">
        <x:v>Tipo operacional (editável)</x:v>
      </x:c>
    </x:row>
    <x:row r="6">
      <x:c r="A6" s="176" t="str">
        <x:v>09.195.235/0001-50</x:v>
      </x:c>
      <x:c r="B6" s="167" t="str">
        <x:v>FIDC DO SISTEMA PETROBRAS</x:v>
      </x:c>
      <x:c r="C6" s="189" t="n">
        <x:v>60841973938.88</x:v>
      </x:c>
      <x:c r="D6" s="167" t="str">
        <x:v>BB Asset Management</x:v>
      </x:c>
      <x:c r="E6" s="167" t="str">
        <x:f>IFERROR(INDEX('Classif Gestoras'!$H$6:$H$462,MATCH(D6,'Classif Gestoras'!$A$6:$A$462,0)),"Não classificada")</x:f>
        <x:v>Ligada a banco</x:v>
      </x:c>
      <x:c r="F6" s="167" t="str">
        <x:v>BB Asset Management</x:v>
      </x:c>
      <x:c r="G6" s="167" t="str">
        <x:v>BANCO DO BRASIL S.A.</x:v>
      </x:c>
      <x:c r="H6" s="167" t="str">
        <x:v>Agro, Indústria e Comércio</x:v>
      </x:c>
      <x:c r="I6" s="167" t="str">
        <x:v>Recebíveis Comerciais</x:v>
      </x:c>
      <x:c r="J6" s="167" t="str">
        <x:v>CI</x:v>
      </x:c>
      <x:c r="K6" s="173" t="n">
        <x:v>107</x:v>
      </x:c>
      <x:c r="L6" s="186" t="str">
        <x:v>Não classificado</x:v>
      </x:c>
    </x:row>
    <x:row r="7">
      <x:c r="A7" s="177" t="str">
        <x:v>26.287.464/0001-14</x:v>
      </x:c>
      <x:c r="B7" s="168" t="str">
        <x:v>TAPSO FUNDO DE INVESTIMENTO EM DIREITOS CREDITÓRIOS RESPONSABILIDADE LIMITADA</x:v>
      </x:c>
      <x:c r="C7" s="190" t="n">
        <x:v>40658253334.57001</x:v>
      </x:c>
      <x:c r="D7" s="168" t="str">
        <x:v>Oliveira Trust Servicer</x:v>
      </x:c>
      <x:c r="E7" s="168" t="str">
        <x:f>IFERROR(INDEX('Classif Gestoras'!$H$6:$H$462,MATCH(D7,'Classif Gestoras'!$A$6:$A$462,0)),"Não classificada")</x:f>
        <x:v>Independente</x:v>
      </x:c>
      <x:c r="F7" s="168" t="str">
        <x:v>Oliveira Trust DTVM</x:v>
      </x:c>
      <x:c r="G7" s="168" t="str">
        <x:v>OLIVEIRA TRUST DTVM S.A.</x:v>
      </x:c>
      <x:c r="H7" s="168" t="str">
        <x:v>Financeiro</x:v>
      </x:c>
      <x:c r="I7" s="168" t="str">
        <x:v>Crédito Pessoal</x:v>
      </x:c>
      <x:c r="J7" s="168" t="str">
        <x:v>CI</x:v>
      </x:c>
      <x:c r="K7" s="174" t="n">
        <x:v>10</x:v>
      </x:c>
      <x:c r="L7" s="187" t="str">
        <x:v>Não classificado</x:v>
      </x:c>
    </x:row>
    <x:row r="8">
      <x:c r="A8" s="177" t="str">
        <x:v>62.393.679/0001-83</x:v>
      </x:c>
      <x:c r="B8" s="168" t="str">
        <x:v>CLOUDWALK BELA FUNDO DE INVESTIMENTO EM DIREITOS CREDITÓRIOS SEGMENTO MEIOS DE PAGAMENTO</x:v>
      </x:c>
      <x:c r="C8" s="190" t="n">
        <x:v>9984886329.650003</x:v>
      </x:c>
      <x:c r="D8" s="168" t="str">
        <x:v>Banco Bradesco S/A</x:v>
      </x:c>
      <x:c r="E8" s="168" t="str">
        <x:f>IFERROR(INDEX('Classif Gestoras'!$H$6:$H$462,MATCH(D8,'Classif Gestoras'!$A$6:$A$462,0)),"Não classificada")</x:f>
        <x:v>Ligada a banco</x:v>
      </x:c>
      <x:c r="F8" s="168" t="str">
        <x:v>BEM - DIST. DE TÍTUL</x:v>
      </x:c>
      <x:c r="G8" s="168" t="str">
        <x:v>BANCO BRADESCO S.A.</x:v>
      </x:c>
      <x:c r="H8" s="168" t="str">
        <x:v>Outros</x:v>
      </x:c>
      <x:c r="I8" s="168" t="str">
        <x:v>Multicarteira Outros</x:v>
      </x:c>
      <x:c r="J8" s="168" t="str">
        <x:v>CI</x:v>
      </x:c>
      <x:c r="K8" s="174" t="n">
        <x:v>291</x:v>
      </x:c>
      <x:c r="L8" s="187" t="str">
        <x:v>Proxy multicedente/multissacado — revisar</x:v>
      </x:c>
    </x:row>
    <x:row r="9">
      <x:c r="A9" s="177" t="str">
        <x:v>53.286.499/0001-01</x:v>
      </x:c>
      <x:c r="B9" s="168" t="str">
        <x:v>ITAÚ CRÉDITO PRIVADO FUNDO DE INVESTIMENTO EM DIREITOS CREDITÓRIOS - RESPONSABILIDADE LIMITADA</x:v>
      </x:c>
      <x:c r="C9" s="190" t="n">
        <x:v>8615892918.289999</x:v>
      </x:c>
      <x:c r="D9" s="168" t="str">
        <x:v>ITAU ASSET</x:v>
      </x:c>
      <x:c r="E9" s="168" t="str">
        <x:f>IFERROR(INDEX('Classif Gestoras'!$H$6:$H$462,MATCH(D9,'Classif Gestoras'!$A$6:$A$462,0)),"Não classificada")</x:f>
        <x:v>Ligada a banco</x:v>
      </x:c>
      <x:c r="F9" s="168" t="str">
        <x:v>INTRAG DIST. DE TÍTU</x:v>
      </x:c>
      <x:c r="G9" s="168" t="str">
        <x:v>ITAU UNIBANCO S.A.</x:v>
      </x:c>
      <x:c r="H9" s="168" t="str">
        <x:v>Outros</x:v>
      </x:c>
      <x:c r="I9" s="168" t="str">
        <x:v>Multicarteira Outros</x:v>
      </x:c>
      <x:c r="J9" s="168" t="str">
        <x:v>CI</x:v>
      </x:c>
      <x:c r="K9" s="174" t="n">
        <x:v>4</x:v>
      </x:c>
      <x:c r="L9" s="187" t="str">
        <x:v>Proxy multicedente/multissacado — revisar</x:v>
      </x:c>
    </x:row>
    <x:row r="10">
      <x:c r="A10" s="177" t="str">
        <x:v>52.242.420/0001-88</x:v>
      </x:c>
      <x:c r="B10" s="168" t="str">
        <x:v>BTG PACTUAL CONSIGNADOS II FUNDO DE INVESTIMENTO EM DIREITOS CREDITÓRIOS</x:v>
      </x:c>
      <x:c r="C10" s="190" t="n">
        <x:v>7919216190.97</x:v>
      </x:c>
      <x:c r="D10" s="168" t="str">
        <x:v>Banco BTG Pactual</x:v>
      </x:c>
      <x:c r="E10" s="168" t="str">
        <x:f>IFERROR(INDEX('Classif Gestoras'!$H$6:$H$462,MATCH(D10,'Classif Gestoras'!$A$6:$A$462,0)),"Não classificada")</x:f>
        <x:v>Ligada a banco</x:v>
      </x:c>
      <x:c r="F10" s="168" t="str">
        <x:v>BTG Pactual Servicos Financeiros S/A DTVM</x:v>
      </x:c>
      <x:c r="G10" s="168" t="str">
        <x:v>BANCO BTG PACTUAL S/A</x:v>
      </x:c>
      <x:c r="H10" s="168" t="str">
        <x:v>Financeiro</x:v>
      </x:c>
      <x:c r="I10" s="168" t="str">
        <x:v>Crédito Pessoal</x:v>
      </x:c>
      <x:c r="J10" s="168" t="str">
        <x:v>CI</x:v>
      </x:c>
      <x:c r="K10" s="174" t="n">
        <x:v>1</x:v>
      </x:c>
      <x:c r="L10" s="187" t="str">
        <x:v>Não classificado</x:v>
      </x:c>
    </x:row>
    <x:row r="11">
      <x:c r="A11" s="177" t="str">
        <x:v>63.953.619/0001-30</x:v>
      </x:c>
      <x:c r="B11" s="168" t="str">
        <x:v>CLASSE CONSIGNADO PRIVADO DO MT GLOBAL FUNDO DE INVESTIMENTO EM DIREITOS CREDITÓRIOS RESP LIMITADA</x:v>
      </x:c>
      <x:c r="C11" s="190" t="n">
        <x:v>7778050821.13</x:v>
      </x:c>
      <x:c r="D11" s="168" t="str">
        <x:v>BTG Pactual Asset</x:v>
      </x:c>
      <x:c r="E11" s="168" t="str">
        <x:f>IFERROR(INDEX('Classif Gestoras'!$H$6:$H$462,MATCH(D11,'Classif Gestoras'!$A$6:$A$462,0)),"Não classificada")</x:f>
        <x:v>Ligada a banco</x:v>
      </x:c>
      <x:c r="F11" s="168" t="str">
        <x:v>BTG Pactual Servicos Financeiros S/A DTVM</x:v>
      </x:c>
      <x:c r="G11" s="168" t="str">
        <x:v>BANCO BTG PACTUAL S/A</x:v>
      </x:c>
      <x:c r="H11" s="168" t="str">
        <x:v>Financeiro</x:v>
      </x:c>
      <x:c r="I11" s="168" t="str">
        <x:v>Crédito Consignado</x:v>
      </x:c>
      <x:c r="J11" s="168" t="str">
        <x:v>CI</x:v>
      </x:c>
      <x:c r="K11" s="174" t="n">
        <x:v>5</x:v>
      </x:c>
      <x:c r="L11" s="187" t="str">
        <x:v>Não classificado</x:v>
      </x:c>
    </x:row>
    <x:row r="12">
      <x:c r="A12" s="177" t="str">
        <x:v>28.169.275/0001-72</x:v>
      </x:c>
      <x:c r="B12" s="168" t="str">
        <x:v>FUNDO DE INVESTIMENTO EM DIREITOS CREDITÓRIOS PAGSEGURO I</x:v>
      </x:c>
      <x:c r="C12" s="190" t="n">
        <x:v>6702778917.08</x:v>
      </x:c>
      <x:c r="D12" s="168" t="str">
        <x:v>GENIAL GESTÃO LTDA.</x:v>
      </x:c>
      <x:c r="E12" s="168" t="str">
        <x:f>IFERROR(INDEX('Classif Gestoras'!$H$6:$H$462,MATCH(D12,'Classif Gestoras'!$A$6:$A$462,0)),"Não classificada")</x:f>
        <x:v>Ligada a banco</x:v>
      </x:c>
      <x:c r="F12" s="168" t="str">
        <x:v>Genial Investimentos Corretora de Valores Mobiliários S.A.</x:v>
      </x:c>
      <x:c r="G12" s="168" t="str">
        <x:v>BANCO GENIAL S.A.</x:v>
      </x:c>
      <x:c r="H12" s="168" t="str">
        <x:v>Outros</x:v>
      </x:c>
      <x:c r="I12" s="168" t="str">
        <x:v>Multicarteira Outros</x:v>
      </x:c>
      <x:c r="J12" s="168" t="str">
        <x:v>CI</x:v>
      </x:c>
      <x:c r="K12" s="174" t="n">
        <x:v>4</x:v>
      </x:c>
      <x:c r="L12" s="187" t="str">
        <x:v>Proxy multicedente/multissacado — revisar</x:v>
      </x:c>
    </x:row>
    <x:row r="13">
      <x:c r="A13" s="177" t="str">
        <x:v>26.286.939/0001-58</x:v>
      </x:c>
      <x:c r="B13" s="168" t="str">
        <x:v>CIELO FUNDO DE INVESTIMENTO EM DIREITOS CREDITÓRIOS</x:v>
      </x:c>
      <x:c r="C13" s="190" t="n">
        <x:v>6465712398.18</x:v>
      </x:c>
      <x:c r="D13" s="168" t="str">
        <x:v>Banco Bradesco S/A</x:v>
      </x:c>
      <x:c r="E13" s="168" t="str">
        <x:f>IFERROR(INDEX('Classif Gestoras'!$H$6:$H$462,MATCH(D13,'Classif Gestoras'!$A$6:$A$462,0)),"Não classificada")</x:f>
        <x:v>Ligada a banco</x:v>
      </x:c>
      <x:c r="F13" s="168" t="str">
        <x:v>BEM - DIST. DE TÍTUL</x:v>
      </x:c>
      <x:c r="G13" s="168" t="str">
        <x:v>BANCO BRADESCO S.A.</x:v>
      </x:c>
      <x:c r="H13" s="168" t="str">
        <x:v>Financeiro</x:v>
      </x:c>
      <x:c r="I13" s="168" t="str">
        <x:v>Multicarteira Financeiro</x:v>
      </x:c>
      <x:c r="J13" s="168" t="str">
        <x:v>CI</x:v>
      </x:c>
      <x:c r="K13" s="174" t="n">
        <x:v>61</x:v>
      </x:c>
      <x:c r="L13" s="187" t="str">
        <x:v>Proxy multicedente/multissacado — revisar</x:v>
      </x:c>
    </x:row>
    <x:row r="14">
      <x:c r="A14" s="177" t="str">
        <x:v>50.906.397/0001-53</x:v>
      </x:c>
      <x:c r="B14" s="168" t="str">
        <x:v>BTG PACTUAL CONSIGNADOS FUNDO DE INVESTIMENTO EM DIREITOS CREDITÓRIOS</x:v>
      </x:c>
      <x:c r="C14" s="190" t="n">
        <x:v>5930105860.450001</x:v>
      </x:c>
      <x:c r="D14" s="168" t="str">
        <x:v>Banco BTG Pactual</x:v>
      </x:c>
      <x:c r="E14" s="168" t="str">
        <x:f>IFERROR(INDEX('Classif Gestoras'!$H$6:$H$462,MATCH(D14,'Classif Gestoras'!$A$6:$A$462,0)),"Não classificada")</x:f>
        <x:v>Ligada a banco</x:v>
      </x:c>
      <x:c r="F14" s="168" t="str">
        <x:v>BTG Pactual Servicos Financeiros S/A DTVM</x:v>
      </x:c>
      <x:c r="G14" s="168" t="str">
        <x:v>BANCO BTG PACTUAL S/A</x:v>
      </x:c>
      <x:c r="H14" s="168" t="str">
        <x:v>Financeiro</x:v>
      </x:c>
      <x:c r="I14" s="168" t="str">
        <x:v>Crédito Pessoal</x:v>
      </x:c>
      <x:c r="J14" s="168" t="str">
        <x:v>CI</x:v>
      </x:c>
      <x:c r="K14" s="174" t="n">
        <x:v>1</x:v>
      </x:c>
      <x:c r="L14" s="187" t="str">
        <x:v>Não classificado</x:v>
      </x:c>
    </x:row>
    <x:row r="15">
      <x:c r="A15" s="177" t="str">
        <x:v>29.225.241/0001-10</x:v>
      </x:c>
      <x:c r="B15" s="168" t="str">
        <x:v>FUNDO DE INVESTIMENTO EM DIREITOS CREDITÓRIOS ALTERNATIVE ASSETS III RESPONSABILIDADE LIMITADA</x:v>
      </x:c>
      <x:c r="C15" s="190" t="n">
        <x:v>5765091894.78</x:v>
      </x:c>
      <x:c r="D15" s="168" t="str">
        <x:v>Banco BTG Pactual</x:v>
      </x:c>
      <x:c r="E15" s="168" t="str">
        <x:f>IFERROR(INDEX('Classif Gestoras'!$H$6:$H$462,MATCH(D15,'Classif Gestoras'!$A$6:$A$462,0)),"Não classificada")</x:f>
        <x:v>Ligada a banco</x:v>
      </x:c>
      <x:c r="F15" s="168" t="str">
        <x:v>BTG Pactual Servicos Financeiros S/A DTVM</x:v>
      </x:c>
      <x:c r="G15" s="168" t="str">
        <x:v>BANCO BTG PACTUAL S/A</x:v>
      </x:c>
      <x:c r="H15" s="168" t="str">
        <x:v>Outros</x:v>
      </x:c>
      <x:c r="I15" s="168" t="str">
        <x:v>Multicarteira Outros</x:v>
      </x:c>
      <x:c r="J15" s="168" t="str">
        <x:v>CI</x:v>
      </x:c>
      <x:c r="K15" s="174" t="n">
        <x:v>1</x:v>
      </x:c>
      <x:c r="L15" s="187" t="str">
        <x:v>Proxy multicedente/multissacado — revisar</x:v>
      </x:c>
    </x:row>
    <x:row r="16">
      <x:c r="A16" s="177" t="str">
        <x:v>63.700.113/0001-10</x:v>
      </x:c>
      <x:c r="B16" s="168" t="str">
        <x:v>NC 2025 I FUNDO DE INVESTIMENTO EM DIREITOS CREDITÓRIOS RESPONSABILIDADE LIMITADA</x:v>
      </x:c>
      <x:c r="C16" s="190" t="n">
        <x:v>5655088696.55</x:v>
      </x:c>
      <x:c r="D16" s="168" t="str">
        <x:v>Kanastra</x:v>
      </x:c>
      <x:c r="E16" s="168" t="str">
        <x:f>IFERROR(INDEX('Classif Gestoras'!$H$6:$H$462,MATCH(D16,'Classif Gestoras'!$A$6:$A$462,0)),"Não classificada")</x:f>
        <x:v>Independente</x:v>
      </x:c>
      <x:c r="F16" s="168" t="str">
        <x:v>INTRAG DIST. DE TÍTU</x:v>
      </x:c>
      <x:c r="G16" s="168" t="str">
        <x:v>LIMINE TRUST DISTRIBUIDORA DE TITULOS E VALORES MOBILIARIOS LTDA.</x:v>
      </x:c>
      <x:c r="H16" s="168" t="str">
        <x:v>Outros</x:v>
      </x:c>
      <x:c r="I16" s="168" t="str">
        <x:v>Multicarteira Outros</x:v>
      </x:c>
      <x:c r="J16" s="168" t="str">
        <x:v>CI</x:v>
      </x:c>
      <x:c r="K16" s="174" t="n">
        <x:v>1</x:v>
      </x:c>
      <x:c r="L16" s="187" t="str">
        <x:v>Proxy multicedente/multissacado — revisar</x:v>
      </x:c>
    </x:row>
    <x:row r="17">
      <x:c r="A17" s="177" t="str">
        <x:v>42.922.136/0001-07</x:v>
      </x:c>
      <x:c r="B17" s="168" t="str">
        <x:v>FUNDO DE INVESTIMENTO EM DIREITOS CREDITÓRIOS MONEE I DE RESPONSABILIDADE LIMITADA</x:v>
      </x:c>
      <x:c r="C17" s="190" t="n">
        <x:v>5001607361.66</x:v>
      </x:c>
      <x:c r="D17" s="168" t="str">
        <x:v>VALORA RENDA FIXA LTDA.</x:v>
      </x:c>
      <x:c r="E17" s="168" t="str">
        <x:f>IFERROR(INDEX('Classif Gestoras'!$H$6:$H$462,MATCH(D17,'Classif Gestoras'!$A$6:$A$462,0)),"Não classificada")</x:f>
        <x:v>Independente</x:v>
      </x:c>
      <x:c r="F17" s="168" t="str">
        <x:v>Singulare</x:v>
      </x:c>
      <x:c r="G17" s="168" t="str">
        <x:v>QI CORRETORA DE TÍTULOS E VALORES MOBILIÁRIOS S.A.</x:v>
      </x:c>
      <x:c r="H17" s="168" t="str">
        <x:v>Outros</x:v>
      </x:c>
      <x:c r="I17" s="168" t="str">
        <x:v>Multicarteira Outros</x:v>
      </x:c>
      <x:c r="J17" s="168" t="str">
        <x:v>CI</x:v>
      </x:c>
      <x:c r="K17" s="174" t="n">
        <x:v>2</x:v>
      </x:c>
      <x:c r="L17" s="187" t="str">
        <x:v>Proxy multicedente/multissacado — revisar</x:v>
      </x:c>
    </x:row>
    <x:row r="18">
      <x:c r="A18" s="177" t="str">
        <x:v>32.527.650/0001-86</x:v>
      </x:c>
      <x:c r="B18" s="168" t="str">
        <x:v>FUNDO DE INVESTIMENTO EM DIREITOS CREDITÓRIOS PICPAY I</x:v>
      </x:c>
      <x:c r="C18" s="190" t="n">
        <x:v>4564160454.69</x:v>
      </x:c>
      <x:c r="D18" s="168" t="str">
        <x:v>GENIAL GESTÃO LTDA.</x:v>
      </x:c>
      <x:c r="E18" s="168" t="str">
        <x:f>IFERROR(INDEX('Classif Gestoras'!$H$6:$H$462,MATCH(D18,'Classif Gestoras'!$A$6:$A$462,0)),"Não classificada")</x:f>
        <x:v>Ligada a banco</x:v>
      </x:c>
      <x:c r="F18" s="168" t="str">
        <x:v>Banco Genial S.A.</x:v>
      </x:c>
      <x:c r="G18" s="168" t="str">
        <x:v>BANCO GENIAL S.A.</x:v>
      </x:c>
      <x:c r="H18" s="168" t="str">
        <x:v>Financeiro</x:v>
      </x:c>
      <x:c r="I18" s="168" t="str">
        <x:v>Multicarteira Financeiro</x:v>
      </x:c>
      <x:c r="J18" s="168" t="str">
        <x:v>CI</x:v>
      </x:c>
      <x:c r="K18" s="174" t="n">
        <x:v>2</x:v>
      </x:c>
      <x:c r="L18" s="187" t="str">
        <x:v>Proxy multicedente/multissacado — revisar</x:v>
      </x:c>
    </x:row>
    <x:row r="19">
      <x:c r="A19" s="177" t="str">
        <x:v>50.473.039/0001-02</x:v>
      </x:c>
      <x:c r="B19" s="168" t="str">
        <x:v>SELLER FIDC SEGMENTO MEIOS DE PAGAMENTO DE RESPONSABILIDADE LIMITADA</x:v>
      </x:c>
      <x:c r="C19" s="190" t="n">
        <x:v>3633849616.55</x:v>
      </x:c>
      <x:c r="D19" s="168" t="str">
        <x:v>Oliveira Trust Servicer</x:v>
      </x:c>
      <x:c r="E19" s="168" t="str">
        <x:f>IFERROR(INDEX('Classif Gestoras'!$H$6:$H$462,MATCH(D19,'Classif Gestoras'!$A$6:$A$462,0)),"Não classificada")</x:f>
        <x:v>Independente</x:v>
      </x:c>
      <x:c r="F19" s="168" t="str">
        <x:v>Oliveira Trust DTVM</x:v>
      </x:c>
      <x:c r="G19" s="168" t="str">
        <x:v>OLIVEIRA TRUST DTVM S.A.</x:v>
      </x:c>
      <x:c r="H19" s="168" t="str">
        <x:v>Financeiro</x:v>
      </x:c>
      <x:c r="I19" s="168" t="str">
        <x:v>Crédito Pessoal</x:v>
      </x:c>
      <x:c r="J19" s="168" t="str">
        <x:v>CI</x:v>
      </x:c>
      <x:c r="K19" s="174" t="n">
        <x:v>8</x:v>
      </x:c>
      <x:c r="L19" s="187" t="str">
        <x:v>Não classificado</x:v>
      </x:c>
    </x:row>
    <x:row r="20">
      <x:c r="A20" s="177" t="str">
        <x:v>54.979.779/0001-68</x:v>
      </x:c>
      <x:c r="B20" s="168" t="str">
        <x:v>FIDC ACR BEM BANCOS EMISSORES DE CARTÃO DE CRÉDITO - RESPONSABILIDADE LIMITADA</x:v>
      </x:c>
      <x:c r="C20" s="190" t="n">
        <x:v>3632322735.05</x:v>
      </x:c>
      <x:c r="D20" s="168" t="str">
        <x:v>Banco Bradesco S/A</x:v>
      </x:c>
      <x:c r="E20" s="168" t="str">
        <x:f>IFERROR(INDEX('Classif Gestoras'!$H$6:$H$462,MATCH(D20,'Classif Gestoras'!$A$6:$A$462,0)),"Não classificada")</x:f>
        <x:v>Ligada a banco</x:v>
      </x:c>
      <x:c r="F20" s="168" t="str">
        <x:v>BEM - DIST. DE TÍTUL</x:v>
      </x:c>
      <x:c r="G20" s="168" t="str">
        <x:v>BANCO BRADESCO S.A.</x:v>
      </x:c>
      <x:c r="H20" s="168" t="str">
        <x:v>Financeiro</x:v>
      </x:c>
      <x:c r="I20" s="168" t="str">
        <x:v>Multicarteira Financeiro</x:v>
      </x:c>
      <x:c r="J20" s="168" t="str">
        <x:v>CI</x:v>
      </x:c>
      <x:c r="K20" s="174" t="n">
        <x:v>66</x:v>
      </x:c>
      <x:c r="L20" s="187" t="str">
        <x:v>Proxy multicedente/multissacado — revisar</x:v>
      </x:c>
    </x:row>
    <x:row r="21">
      <x:c r="A21" s="177" t="str">
        <x:v>29.301.202/0001-55</x:v>
      </x:c>
      <x:c r="B21" s="168" t="str">
        <x:v>RSCRED MULTIESTRÉGIA - FUNDO DE INVESTIMENTO EM DIREITOS CREDITÓRIOS NÃO-PADRONIZADOS</x:v>
      </x:c>
      <x:c r="C21" s="190" t="n">
        <x:v>3599995973.4300003</x:v>
      </x:c>
      <x:c r="D21" s="168" t="str">
        <x:v>SECURITY ADMINISTRAD</x:v>
      </x:c>
      <x:c r="E21" s="168" t="str">
        <x:f>IFERROR(INDEX('Classif Gestoras'!$H$6:$H$462,MATCH(D21,'Classif Gestoras'!$A$6:$A$462,0)),"Não classificada")</x:f>
        <x:v>Independente</x:v>
      </x:c>
      <x:c r="F21" s="168" t="str">
        <x:v>RJI Investimentos</x:v>
      </x:c>
      <x:c r="G21" s="168" t="str">
        <x:v>RJI CORRETORA DE TÍTULOS E VALORES MOBILIÁRIOS LTDA.</x:v>
      </x:c>
      <x:c r="H21" s="168" t="str">
        <x:v>Outros</x:v>
      </x:c>
      <x:c r="I21" s="168" t="str">
        <x:v>Multicarteira Outros</x:v>
      </x:c>
      <x:c r="J21" s="168" t="str">
        <x:v>CI</x:v>
      </x:c>
      <x:c r="K21" s="174" t="n">
        <x:v>1</x:v>
      </x:c>
      <x:c r="L21" s="187" t="str">
        <x:v>Proxy multicedente/multissacado — revisar</x:v>
      </x:c>
    </x:row>
    <x:row r="22">
      <x:c r="A22" s="177" t="str">
        <x:v>12.817.329/0001-29</x:v>
      </x:c>
      <x:c r="B22" s="168" t="str">
        <x:v>HAVAN FUNDO DE INVESTIMENTO EM DIREITOS CREDITÓRIOS SEGMENTO ECONÔMICO, FINANCEIRO E COMERCIAL</x:v>
      </x:c>
      <x:c r="C22" s="190" t="n">
        <x:v>3576638053.52</x:v>
      </x:c>
      <x:c r="D22" s="168" t="str">
        <x:v>Petra Capital</x:v>
      </x:c>
      <x:c r="E22" s="168" t="str">
        <x:f>IFERROR(INDEX('Classif Gestoras'!$H$6:$H$462,MATCH(D22,'Classif Gestoras'!$A$6:$A$462,0)),"Não classificada")</x:f>
        <x:v>Independente</x:v>
      </x:c>
      <x:c r="F22" s="168" t="str">
        <x:v>Banco Finaxis S.A.</x:v>
      </x:c>
      <x:c r="G22" s="168" t="str">
        <x:v>BANCO FINAXIS S.A.</x:v>
      </x:c>
      <x:c r="H22" s="168" t="str">
        <x:v>Outros</x:v>
      </x:c>
      <x:c r="I22" s="168" t="str">
        <x:v>Multicarteira Outros</x:v>
      </x:c>
      <x:c r="J22" s="168" t="str">
        <x:v>CI</x:v>
      </x:c>
      <x:c r="K22" s="174" t="n">
        <x:v>1</x:v>
      </x:c>
      <x:c r="L22" s="187" t="str">
        <x:v>Proxy multicedente/multissacado — revisar</x:v>
      </x:c>
    </x:row>
    <x:row r="23">
      <x:c r="A23" s="177" t="str">
        <x:v>53.073.485/0001-00</x:v>
      </x:c>
      <x:c r="B23" s="168" t="str">
        <x:v>EXPERT III FUNDO DE INVESTIMENTO EM DIREITOS CREDITÓRIOS DE RESPONSABILIDADE ILIMITADA</x:v>
      </x:c>
      <x:c r="C23" s="190" t="n">
        <x:v>3548071251.28</x:v>
      </x:c>
      <x:c r="D23" s="168" t="str">
        <x:v>DAYCOVAL ASSET MANAG</x:v>
      </x:c>
      <x:c r="E23" s="168" t="str">
        <x:f>IFERROR(INDEX('Classif Gestoras'!$H$6:$H$462,MATCH(D23,'Classif Gestoras'!$A$6:$A$462,0)),"Não classificada")</x:f>
        <x:v>Ligada a banco</x:v>
      </x:c>
      <x:c r="F23" s="168" t="str">
        <x:v>BANCO DAYCOVAL S/A</x:v>
      </x:c>
      <x:c r="G23" s="168" t="str">
        <x:v>BANCO DAYCOVAL S.A.</x:v>
      </x:c>
      <x:c r="H23" s="168" t="str">
        <x:v>Outros</x:v>
      </x:c>
      <x:c r="I23" s="168" t="str">
        <x:v>Multicarteira Outros</x:v>
      </x:c>
      <x:c r="J23" s="168" t="str">
        <x:v>CI</x:v>
      </x:c>
      <x:c r="K23" s="174" t="n">
        <x:v>6</x:v>
      </x:c>
      <x:c r="L23" s="187" t="str">
        <x:v>Proxy multicedente/multissacado — revisar</x:v>
      </x:c>
    </x:row>
    <x:row r="24">
      <x:c r="A24" s="177" t="str">
        <x:v>21.126.275/0001-46</x:v>
      </x:c>
      <x:c r="B24" s="168" t="str">
        <x:v>VENDA DE VEÍCULOS FUNDO DE INVESTIMENTO EM DIREITOS CREDITÓRIOS</x:v>
      </x:c>
      <x:c r="C24" s="190" t="n">
        <x:v>3492130161.23086</x:v>
      </x:c>
      <x:c r="D24" s="168" t="str">
        <x:v>Integral Investimentos</x:v>
      </x:c>
      <x:c r="E24" s="168" t="str">
        <x:f>IFERROR(INDEX('Classif Gestoras'!$H$6:$H$462,MATCH(D24,'Classif Gestoras'!$A$6:$A$462,0)),"Não classificada")</x:f>
        <x:v>Independente</x:v>
      </x:c>
      <x:c r="F24" s="168" t="str">
        <x:v>S3 Caceis Brasil Distribuidora de Títulos e Valores Mob</x:v>
      </x:c>
      <x:c r="G24" s="168" t="str">
        <x:v>S3 CACEIS BRASIL DISTRIBUIDORA DE TITULOS E VALORES MOBILIARIOS S.A</x:v>
      </x:c>
      <x:c r="H24" s="168" t="str">
        <x:v>Financeiro</x:v>
      </x:c>
      <x:c r="I24" s="168" t="str">
        <x:v>Financiamento de Veículos</x:v>
      </x:c>
      <x:c r="J24" s="168" t="str">
        <x:v>CI</x:v>
      </x:c>
      <x:c r="K24" s="174" t="n">
        <x:v>1</x:v>
      </x:c>
      <x:c r="L24" s="187" t="str">
        <x:v>Não classificado</x:v>
      </x:c>
    </x:row>
    <x:row r="25">
      <x:c r="A25" s="177" t="str">
        <x:v>17.250.006/0001-10</x:v>
      </x:c>
      <x:c r="B25" s="168" t="str">
        <x:v>RED FUNDO DE INVESTIMENTO EM DIREITOS CREDITÓRIOS REAL LP DE RESPONSABILIDADE LIMITADA</x:v>
      </x:c>
      <x:c r="C25" s="190" t="n">
        <x:v>3486489139.6099997</x:v>
      </x:c>
      <x:c r="D25" s="168" t="str">
        <x:v>RedAsset Gestão de Recursos Ltda.</x:v>
      </x:c>
      <x:c r="E25" s="168" t="str">
        <x:f>IFERROR(INDEX('Classif Gestoras'!$H$6:$H$462,MATCH(D25,'Classif Gestoras'!$A$6:$A$462,0)),"Não classificada")</x:f>
        <x:v>Independente</x:v>
      </x:c>
      <x:c r="F25" s="168" t="str">
        <x:v>Finaxis Corretora de Títulos e Valores Mobiliários S.A.</x:v>
      </x:c>
      <x:c r="G25" s="168" t="str">
        <x:v>BANCO FINAXIS S.A.</x:v>
      </x:c>
      <x:c r="H25" s="168" t="str">
        <x:v>Outros</x:v>
      </x:c>
      <x:c r="I25" s="168" t="str">
        <x:v>Multicarteira Outros</x:v>
      </x:c>
      <x:c r="J25" s="168" t="str">
        <x:v>CI</x:v>
      </x:c>
      <x:c r="K25" s="174" t="n">
        <x:v>377</x:v>
      </x:c>
      <x:c r="L25" s="187" t="str">
        <x:v>Proxy multicedente/multissacado — revisar</x:v>
      </x:c>
    </x:row>
    <x:row r="26">
      <x:c r="A26" s="177" t="str">
        <x:v>60.010.416/0001-12</x:v>
      </x:c>
      <x:c r="B26" s="168" t="str">
        <x:v>MT CONSIGNADO PRIVADO I FUNDO DE INVESTIMENTO EM DIREITOS CREDITÓRIOS</x:v>
      </x:c>
      <x:c r="C26" s="190" t="n">
        <x:v>3335552591.2699995</x:v>
      </x:c>
      <x:c r="D26" s="168" t="str">
        <x:v>BTG Pactual Asset</x:v>
      </x:c>
      <x:c r="E26" s="168" t="str">
        <x:f>IFERROR(INDEX('Classif Gestoras'!$H$6:$H$462,MATCH(D26,'Classif Gestoras'!$A$6:$A$462,0)),"Não classificada")</x:f>
        <x:v>Ligada a banco</x:v>
      </x:c>
      <x:c r="F26" s="168" t="str">
        <x:v>BTG Pactual Servicos Financeiros S/A DTVM</x:v>
      </x:c>
      <x:c r="G26" s="168" t="str">
        <x:v>BANCO BTG PACTUAL S/A</x:v>
      </x:c>
      <x:c r="H26" s="168" t="str">
        <x:v>Financeiro</x:v>
      </x:c>
      <x:c r="I26" s="168" t="str">
        <x:v>Crédito Consignado</x:v>
      </x:c>
      <x:c r="J26" s="168" t="str">
        <x:v>CI</x:v>
      </x:c>
      <x:c r="K26" s="174" t="n">
        <x:v>3</x:v>
      </x:c>
      <x:c r="L26" s="187" t="str">
        <x:v>Não classificado</x:v>
      </x:c>
    </x:row>
    <x:row r="27">
      <x:c r="A27" s="177" t="str">
        <x:v>48.349.509/0001-70</x:v>
      </x:c>
      <x:c r="B27" s="168" t="str">
        <x:v>OCCAM CRÉDITO CORPORATIVO 30 FUNDO DE INVESTIMENTO EM DIREITOS CREDITÓRIOS RESPONSABILIDADE LIMITADA</x:v>
      </x:c>
      <x:c r="C27" s="190" t="n">
        <x:v>3329198240.4199996</x:v>
      </x:c>
      <x:c r="D27" s="168" t="str">
        <x:v>NOVA OCCAM BRASIL GESTÃO DE RECURSOS LTDA.</x:v>
      </x:c>
      <x:c r="E27" s="168" t="str">
        <x:f>IFERROR(INDEX('Classif Gestoras'!$H$6:$H$462,MATCH(D27,'Classif Gestoras'!$A$6:$A$462,0)),"Não classificada")</x:f>
        <x:v>Independente</x:v>
      </x:c>
      <x:c r="F27" s="168" t="str">
        <x:v>BNY MELLON SERVICOS</x:v>
      </x:c>
      <x:c r="G27" s="168" t="str">
        <x:v>BNY MELLON BANCO S.A.</x:v>
      </x:c>
      <x:c r="H27" s="168" t="str">
        <x:v>Outros</x:v>
      </x:c>
      <x:c r="I27" s="168" t="str">
        <x:v>Multicarteira Outros</x:v>
      </x:c>
      <x:c r="J27" s="168" t="str">
        <x:v>CI</x:v>
      </x:c>
      <x:c r="K27" s="174" t="n">
        <x:v>5</x:v>
      </x:c>
      <x:c r="L27" s="187" t="str">
        <x:v>Proxy multicedente/multissacado — revisar</x:v>
      </x:c>
    </x:row>
    <x:row r="28">
      <x:c r="A28" s="177" t="str">
        <x:v>60.356.171/0001-80</x:v>
      </x:c>
      <x:c r="B28" s="168" t="str">
        <x:v>CLOUDWALK PI FUNDO DE INVESTIMENTO EM DIREITOS CREDITÓRIOS SEGMENTO MEIOS DE PAGAMENTO</x:v>
      </x:c>
      <x:c r="C28" s="190" t="n">
        <x:v>3252354632.7700005</x:v>
      </x:c>
      <x:c r="D28" s="168" t="str">
        <x:v>BTG Pactual Asset</x:v>
      </x:c>
      <x:c r="E28" s="168" t="str">
        <x:f>IFERROR(INDEX('Classif Gestoras'!$H$6:$H$462,MATCH(D28,'Classif Gestoras'!$A$6:$A$462,0)),"Não classificada")</x:f>
        <x:v>Ligada a banco</x:v>
      </x:c>
      <x:c r="F28" s="168" t="str">
        <x:v>BTG Pactual Servicos Financeiros S/A DTVM</x:v>
      </x:c>
      <x:c r="G28" s="168" t="str">
        <x:v>BANCO BTG PACTUAL S/A</x:v>
      </x:c>
      <x:c r="H28" s="168" t="str">
        <x:v>Financeiro</x:v>
      </x:c>
      <x:c r="I28" s="168" t="str">
        <x:v>Multicarteira Financeiro</x:v>
      </x:c>
      <x:c r="J28" s="168" t="str">
        <x:v>CI</x:v>
      </x:c>
      <x:c r="K28" s="174" t="n">
        <x:v>14</x:v>
      </x:c>
      <x:c r="L28" s="187" t="str">
        <x:v>Proxy multicedente/multissacado — revisar</x:v>
      </x:c>
    </x:row>
    <x:row r="29">
      <x:c r="A29" s="177" t="str">
        <x:v>11.468.186/0001-24</x:v>
      </x:c>
      <x:c r="B29" s="168" t="str">
        <x:v>ATLANTA FUNDO DE INVESTIMENTO EM DIREITOS CREDITÓRIOS DE RESPONSABILIDADE LIMITADA</x:v>
      </x:c>
      <x:c r="C29" s="190" t="n">
        <x:v>3232635081.26</x:v>
      </x:c>
      <x:c r="D29" s="168" t="str">
        <x:v>TERCON ASSET MANAGEMENT</x:v>
      </x:c>
      <x:c r="E29" s="168" t="str">
        <x:f>IFERROR(INDEX('Classif Gestoras'!$H$6:$H$462,MATCH(D29,'Classif Gestoras'!$A$6:$A$462,0)),"Não classificada")</x:f>
        <x:v>Independente</x:v>
      </x:c>
      <x:c r="F29" s="168" t="str">
        <x:v>Singulare</x:v>
      </x:c>
      <x:c r="G29" s="168" t="str">
        <x:v>QI CORRETORA DE TÍTULOS E VALORES MOBILIÁRIOS S.A.</x:v>
      </x:c>
      <x:c r="H29" s="168" t="str">
        <x:v>Fomento Mercantil</x:v>
      </x:c>
      <x:c r="I29" s="168" t="str">
        <x:v>Fomento Mercantil</x:v>
      </x:c>
      <x:c r="J29" s="168" t="str">
        <x:v>CI</x:v>
      </x:c>
      <x:c r="K29" s="174" t="n">
        <x:v>14</x:v>
      </x:c>
      <x:c r="L29" s="187" t="str">
        <x:v>Não classificado</x:v>
      </x:c>
    </x:row>
    <x:row r="30">
      <x:c r="A30" s="177" t="str">
        <x:v>49.826.785/0001-45</x:v>
      </x:c>
      <x:c r="B30" s="168" t="str">
        <x:v>ASA FUNDO DE INVESTIMENTO EM DIREITOS CREDITÓRIOS RESPONSABILIDADE LIMITADA</x:v>
      </x:c>
      <x:c r="C30" s="190" t="n">
        <x:v>3153103544.27</x:v>
      </x:c>
      <x:c r="D30" s="168" t="str">
        <x:v>ASA Investments</x:v>
      </x:c>
      <x:c r="E30" s="168" t="str">
        <x:f>IFERROR(INDEX('Classif Gestoras'!$H$6:$H$462,MATCH(D30,'Classif Gestoras'!$A$6:$A$462,0)),"Não classificada")</x:f>
        <x:v>Independente</x:v>
      </x:c>
      <x:c r="F30" s="168" t="str">
        <x:v>Singulare</x:v>
      </x:c>
      <x:c r="G30" s="168" t="str">
        <x:v>QI CORRETORA DE TÍTULOS E VALORES MOBILIÁRIOS S.A.</x:v>
      </x:c>
      <x:c r="H30" s="168" t="str">
        <x:v>Outros</x:v>
      </x:c>
      <x:c r="I30" s="168" t="str">
        <x:v>Multicarteira Outros</x:v>
      </x:c>
      <x:c r="J30" s="168" t="str">
        <x:v>CI</x:v>
      </x:c>
      <x:c r="K30" s="174" t="n">
        <x:v>6</x:v>
      </x:c>
      <x:c r="L30" s="187" t="str">
        <x:v>Proxy multicedente/multissacado — revisar</x:v>
      </x:c>
    </x:row>
    <x:row r="31">
      <x:c r="A31" s="177" t="str">
        <x:v>07.727.002/0001-26</x:v>
      </x:c>
      <x:c r="B31" s="168" t="str">
        <x:v>FIDC PCG - BRASIL MULTICARTEIRA</x:v>
      </x:c>
      <x:c r="C31" s="190" t="n">
        <x:v>3089535414.12</x:v>
      </x:c>
      <x:c r="D31" s="168" t="str">
        <x:v>Bank of America</x:v>
      </x:c>
      <x:c r="E31" s="168" t="str">
        <x:f>IFERROR(INDEX('Classif Gestoras'!$H$6:$H$462,MATCH(D31,'Classif Gestoras'!$A$6:$A$462,0)),"Não classificada")</x:f>
        <x:v>Ligada a banco</x:v>
      </x:c>
      <x:c r="F31" s="168" t="str">
        <x:v>BEM - DIST. DE TÍTUL</x:v>
      </x:c>
      <x:c r="G31" s="168" t="str">
        <x:v>BANCO BRADESCO S.A.</x:v>
      </x:c>
      <x:c r="H31" s="168" t="str">
        <x:v>Outros</x:v>
      </x:c>
      <x:c r="I31" s="168" t="str">
        <x:v>Multicarteira Outros</x:v>
      </x:c>
      <x:c r="J31" s="168" t="str">
        <x:v>CI</x:v>
      </x:c>
      <x:c r="K31" s="174" t="n">
        <x:v>1</x:v>
      </x:c>
      <x:c r="L31" s="187" t="str">
        <x:v>Proxy multicedente/multissacado — revisar</x:v>
      </x:c>
    </x:row>
    <x:row r="32">
      <x:c r="A32" s="177" t="str">
        <x:v>62.393.829/0001-59</x:v>
      </x:c>
      <x:c r="B32" s="168" t="str">
        <x:v>FUNDO DE INVESTIMENTO EM DIREITOS CREDITÓRIOS COMERCIAIS MEDICI I - RESPONSABILIDADE LIMITADA</x:v>
      </x:c>
      <x:c r="C32" s="190" t="n">
        <x:v>3086961052.2299995</x:v>
      </x:c>
      <x:c r="D32" s="168" t="str">
        <x:v>QI GESTAO DE RECURSOS LTDA</x:v>
      </x:c>
      <x:c r="E32" s="168" t="str">
        <x:f>IFERROR(INDEX('Classif Gestoras'!$H$6:$H$462,MATCH(D32,'Classif Gestoras'!$A$6:$A$462,0)),"Não classificada")</x:f>
        <x:v>Independente</x:v>
      </x:c>
      <x:c r="F32" s="168" t="str">
        <x:v>Singulare</x:v>
      </x:c>
      <x:c r="G32" s="168" t="str">
        <x:v>QI CORRETORA DE TÍTULOS E VALORES MOBILIÁRIOS S.A.</x:v>
      </x:c>
      <x:c r="H32" s="168" t="str">
        <x:v>Fomento Mercantil</x:v>
      </x:c>
      <x:c r="I32" s="168" t="str">
        <x:v>Fomento Mercantil</x:v>
      </x:c>
      <x:c r="J32" s="168" t="str">
        <x:v>CI</x:v>
      </x:c>
      <x:c r="K32" s="174" t="n">
        <x:v>80</x:v>
      </x:c>
      <x:c r="L32" s="187" t="str">
        <x:v>Não classificado</x:v>
      </x:c>
    </x:row>
    <x:row r="33">
      <x:c r="A33" s="177" t="str">
        <x:v>53.029.409/0001-05</x:v>
      </x:c>
      <x:c r="B33" s="168" t="str">
        <x:v>GSR FUNDO DE INVESTIMENTO EM DIREITOS CREDITÓRIOS NÃO PADRONIZADOS</x:v>
      </x:c>
      <x:c r="C33" s="190" t="n">
        <x:v>3033254543.77</x:v>
      </x:c>
      <x:c r="D33" s="168" t="str">
        <x:v>TRUSTEE DTVM</x:v>
      </x:c>
      <x:c r="E33" s="168" t="str">
        <x:f>IFERROR(INDEX('Classif Gestoras'!$H$6:$H$462,MATCH(D33,'Classif Gestoras'!$A$6:$A$462,0)),"Não classificada")</x:f>
        <x:v>Independente</x:v>
      </x:c>
      <x:c r="F33" s="168" t="str">
        <x:v>TRUSTEE DTVM</x:v>
      </x:c>
      <x:c r="G33" s="168" t="str">
        <x:v>TRUSTEE DISTRIBUIDORA DE TITULOS E VALORES MOBILIARIOS LTDA.</x:v>
      </x:c>
      <x:c r="H33" s="168" t="str">
        <x:v>Outros</x:v>
      </x:c>
      <x:c r="I33" s="168" t="str">
        <x:v>Multicarteira Outros</x:v>
      </x:c>
      <x:c r="J33" s="168" t="str">
        <x:v>CI</x:v>
      </x:c>
      <x:c r="K33" s="174" t="n">
        <x:v>1</x:v>
      </x:c>
      <x:c r="L33" s="187" t="str">
        <x:v>Proxy multicedente/multissacado — revisar</x:v>
      </x:c>
    </x:row>
    <x:row r="34">
      <x:c r="A34" s="177" t="str">
        <x:v>11.230.727/0001-81</x:v>
      </x:c>
      <x:c r="B34" s="168" t="str">
        <x:v>FIDC GM - VENDA DE VEÍCULOS</x:v>
      </x:c>
      <x:c r="C34" s="190" t="n">
        <x:v>3014794906.64</x:v>
      </x:c>
      <x:c r="D34" s="168" t="str">
        <x:v>Integral Investimentos</x:v>
      </x:c>
      <x:c r="E34" s="168" t="str">
        <x:f>IFERROR(INDEX('Classif Gestoras'!$H$6:$H$462,MATCH(D34,'Classif Gestoras'!$A$6:$A$462,0)),"Não classificada")</x:f>
        <x:v>Independente</x:v>
      </x:c>
      <x:c r="F34" s="168" t="str">
        <x:v>BEM - DIST. DE TÍTUL</x:v>
      </x:c>
      <x:c r="G34" s="168" t="str">
        <x:v>Não identificado</x:v>
      </x:c>
      <x:c r="H34" s="168" t="str">
        <x:v>Agro, Indústria e Comércio</x:v>
      </x:c>
      <x:c r="I34" s="168" t="str">
        <x:v>Recebíveis Comerciais</x:v>
      </x:c>
      <x:c r="J34" s="168" t="str">
        <x:v>CI</x:v>
      </x:c>
      <x:c r="K34" s="174" t="n">
        <x:v>1</x:v>
      </x:c>
      <x:c r="L34" s="187" t="str">
        <x:v>Não classificado</x:v>
      </x:c>
    </x:row>
    <x:row r="35">
      <x:c r="A35" s="177" t="str">
        <x:v>24.194.675/0001-87</x:v>
      </x:c>
      <x:c r="B35" s="168" t="str">
        <x:v>FUNDO DE INVESTIMENTO EM DIREITOS CREDITÓRIOS ALTERNATIVE ASSETS I RESPONSABILIDADE LIMITADA</x:v>
      </x:c>
      <x:c r="C35" s="190" t="n">
        <x:v>3002544103.7657</x:v>
      </x:c>
      <x:c r="D35" s="168" t="str">
        <x:v>Banco BTG Pactual</x:v>
      </x:c>
      <x:c r="E35" s="168" t="str">
        <x:f>IFERROR(INDEX('Classif Gestoras'!$H$6:$H$462,MATCH(D35,'Classif Gestoras'!$A$6:$A$462,0)),"Não classificada")</x:f>
        <x:v>Ligada a banco</x:v>
      </x:c>
      <x:c r="F35" s="168" t="str">
        <x:v>BTG Pactual Servicos Financeiros S/A DTVM</x:v>
      </x:c>
      <x:c r="G35" s="168" t="str">
        <x:v>BANCO BTG PACTUAL S/A</x:v>
      </x:c>
      <x:c r="H35" s="168" t="str">
        <x:v>Outros</x:v>
      </x:c>
      <x:c r="I35" s="168" t="str">
        <x:v>Multicarteira Outros</x:v>
      </x:c>
      <x:c r="J35" s="168" t="str">
        <x:v>CI</x:v>
      </x:c>
      <x:c r="K35" s="174" t="n">
        <x:v>1</x:v>
      </x:c>
      <x:c r="L35" s="187" t="str">
        <x:v>Proxy multicedente/multissacado — revisar</x:v>
      </x:c>
    </x:row>
    <x:row r="36">
      <x:c r="A36" s="177" t="str">
        <x:v>34.197.588/0001-37</x:v>
      </x:c>
      <x:c r="B36" s="168" t="str">
        <x:v>DAY MAXX 2 FUNDO DE INVESTIMENTO EM DIREITOS CREDITÓRIOS DE RESPONSABILIDADE LIMITADA</x:v>
      </x:c>
      <x:c r="C36" s="190" t="n">
        <x:v>2992222142.8800006</x:v>
      </x:c>
      <x:c r="D36" s="168" t="str">
        <x:v>DAYCOVAL ASSET MANAG</x:v>
      </x:c>
      <x:c r="E36" s="168" t="str">
        <x:f>IFERROR(INDEX('Classif Gestoras'!$H$6:$H$462,MATCH(D36,'Classif Gestoras'!$A$6:$A$462,0)),"Não classificada")</x:f>
        <x:v>Ligada a banco</x:v>
      </x:c>
      <x:c r="F36" s="168" t="str">
        <x:v>BANCO DAYCOVAL S/A</x:v>
      </x:c>
      <x:c r="G36" s="168" t="str">
        <x:v>BANCO DAYCOVAL S.A.</x:v>
      </x:c>
      <x:c r="H36" s="168" t="str">
        <x:v>Outros</x:v>
      </x:c>
      <x:c r="I36" s="168" t="str">
        <x:v>Multicarteira Outros</x:v>
      </x:c>
      <x:c r="J36" s="168" t="str">
        <x:v>CI</x:v>
      </x:c>
      <x:c r="K36" s="174" t="n">
        <x:v>7</x:v>
      </x:c>
      <x:c r="L36" s="187" t="str">
        <x:v>Proxy multicedente/multissacado — revisar</x:v>
      </x:c>
    </x:row>
    <x:row r="37">
      <x:c r="A37" s="177" t="str">
        <x:v>65.976.848/0001-04</x:v>
      </x:c>
      <x:c r="B37" s="168" t="str">
        <x:v>FUNDO DE INVESTIMENTO EM DIREITOS CREDITÓRIOS AGIBANK II RESPONSABILIDADE LIMITADA</x:v>
      </x:c>
      <x:c r="C37" s="190" t="n">
        <x:v>2965169958.4</x:v>
      </x:c>
      <x:c r="D37" s="168" t="str">
        <x:v>Oliveira Trust Servicer</x:v>
      </x:c>
      <x:c r="E37" s="168" t="str">
        <x:f>IFERROR(INDEX('Classif Gestoras'!$H$6:$H$462,MATCH(D37,'Classif Gestoras'!$A$6:$A$462,0)),"Não classificada")</x:f>
        <x:v>Independente</x:v>
      </x:c>
      <x:c r="F37" s="168" t="str">
        <x:v>Oliveira Trust DTVM</x:v>
      </x:c>
      <x:c r="G37" s="168" t="str">
        <x:v>OLIVEIRA TRUST DTVM S.A.</x:v>
      </x:c>
      <x:c r="H37" s="168" t="str">
        <x:v>Financeiro</x:v>
      </x:c>
      <x:c r="I37" s="168" t="str">
        <x:v>Crédito Consignado</x:v>
      </x:c>
      <x:c r="J37" s="168" t="str">
        <x:v>CI</x:v>
      </x:c>
      <x:c r="K37" s="174" t="n">
        <x:v>84</x:v>
      </x:c>
      <x:c r="L37" s="187" t="str">
        <x:v>Não classificado</x:v>
      </x:c>
    </x:row>
    <x:row r="38">
      <x:c r="A38" s="177" t="str">
        <x:v>55.471.753/0001-77</x:v>
      </x:c>
      <x:c r="B38" s="168" t="str">
        <x:v>SELLER II FUNDO DE INVESTIMENTO EM DIREITOS CREDITÓRIOS SEGMENTO MEIOS DE PAGAMENTO RESP LTDA</x:v>
      </x:c>
      <x:c r="C38" s="190" t="n">
        <x:v>2794434432.66</x:v>
      </x:c>
      <x:c r="D38" s="168" t="str">
        <x:v>Oliveira Trust Servicer</x:v>
      </x:c>
      <x:c r="E38" s="168" t="str">
        <x:f>IFERROR(INDEX('Classif Gestoras'!$H$6:$H$462,MATCH(D38,'Classif Gestoras'!$A$6:$A$462,0)),"Não classificada")</x:f>
        <x:v>Independente</x:v>
      </x:c>
      <x:c r="F38" s="168" t="str">
        <x:v>Oliveira Trust DTVM</x:v>
      </x:c>
      <x:c r="G38" s="168" t="str">
        <x:v>OLIVEIRA TRUST DTVM S.A.</x:v>
      </x:c>
      <x:c r="H38" s="168" t="str">
        <x:v>Financeiro</x:v>
      </x:c>
      <x:c r="I38" s="168" t="str">
        <x:v>Crédito Pessoal</x:v>
      </x:c>
      <x:c r="J38" s="168" t="str">
        <x:v>CI</x:v>
      </x:c>
      <x:c r="K38" s="174" t="n">
        <x:v>80</x:v>
      </x:c>
      <x:c r="L38" s="187" t="str">
        <x:v>Não classificado</x:v>
      </x:c>
    </x:row>
    <x:row r="39">
      <x:c r="A39" s="177" t="str">
        <x:v>54.871.427/0001-94</x:v>
      </x:c>
      <x:c r="B39" s="168" t="str">
        <x:v>CONSIGNADO DELTA RECEIVABLES I FUNDO DE INVESTIMENTO EM DIREITOS CREDITÓRIOS</x:v>
      </x:c>
      <x:c r="C39" s="190" t="n">
        <x:v>2688071439.96</x:v>
      </x:c>
      <x:c r="D39" s="168" t="str">
        <x:v>BTG Pactual Asset</x:v>
      </x:c>
      <x:c r="E39" s="168" t="str">
        <x:f>IFERROR(INDEX('Classif Gestoras'!$H$6:$H$462,MATCH(D39,'Classif Gestoras'!$A$6:$A$462,0)),"Não classificada")</x:f>
        <x:v>Ligada a banco</x:v>
      </x:c>
      <x:c r="F39" s="168" t="str">
        <x:v>BTG Pactual Servicos Financeiros S/A DTVM</x:v>
      </x:c>
      <x:c r="G39" s="168" t="str">
        <x:v>BANCO BTG PACTUAL S/A</x:v>
      </x:c>
      <x:c r="H39" s="168" t="str">
        <x:v>Financeiro</x:v>
      </x:c>
      <x:c r="I39" s="168" t="str">
        <x:v>Crédito Pessoal</x:v>
      </x:c>
      <x:c r="J39" s="168" t="str">
        <x:v>CI</x:v>
      </x:c>
      <x:c r="K39" s="174" t="n">
        <x:v>1</x:v>
      </x:c>
      <x:c r="L39" s="187" t="str">
        <x:v>Não classificado</x:v>
      </x:c>
    </x:row>
    <x:row r="40">
      <x:c r="A40" s="177" t="str">
        <x:v>32.321.307/0001-80</x:v>
      </x:c>
      <x:c r="B40" s="168" t="str">
        <x:v>CITY - 02 FUNDO DE INVESTIMENTO EM DIREITOS CREDITÓRIOS NÃO-PADRONIZADOS RESPONSABILIDADE ILIMITADA</x:v>
      </x:c>
      <x:c r="C40" s="190" t="n">
        <x:v>2680834637.2900004</x:v>
      </x:c>
      <x:c r="D40" s="168" t="str">
        <x:v>WNT Gestora de Recursos Ltda.</x:v>
      </x:c>
      <x:c r="E40" s="168" t="str">
        <x:f>IFERROR(INDEX('Classif Gestoras'!$H$6:$H$462,MATCH(D40,'Classif Gestoras'!$A$6:$A$462,0)),"Não classificada")</x:f>
        <x:v>Independente</x:v>
      </x:c>
      <x:c r="F40" s="168" t="str">
        <x:v>SEFER DTVM</x:v>
      </x:c>
      <x:c r="G40" s="168" t="str">
        <x:v>SEFER INVESTIMENTOS DISTRIBUIDORA DE TÍTULOS E VALORES MOBILIÁRIOS LTDA.</x:v>
      </x:c>
      <x:c r="H40" s="168" t="str">
        <x:v>Fomento Mercantil</x:v>
      </x:c>
      <x:c r="I40" s="168" t="str">
        <x:v>Fomento Mercantil</x:v>
      </x:c>
      <x:c r="J40" s="168" t="str">
        <x:v>CI</x:v>
      </x:c>
      <x:c r="K40" s="174" t="n">
        <x:v>1</x:v>
      </x:c>
      <x:c r="L40" s="187" t="str">
        <x:v>Não classificado</x:v>
      </x:c>
    </x:row>
    <x:row r="41">
      <x:c r="A41" s="177" t="str">
        <x:v>52.256.912/0001-22</x:v>
      </x:c>
      <x:c r="B41" s="168" t="str">
        <x:v>FUNDO DE INVESTIMENTO EM DIREITOS CREDITÓRIOS ACR I BANCOS EMISSORES DE CARTÃO DE CRÉDITO RESP LIMI</x:v>
      </x:c>
      <x:c r="C41" s="190" t="n">
        <x:v>2634962130.9999995</x:v>
      </x:c>
      <x:c r="D41" s="168" t="str">
        <x:v>Oliveira Trust Servicer</x:v>
      </x:c>
      <x:c r="E41" s="168" t="str">
        <x:f>IFERROR(INDEX('Classif Gestoras'!$H$6:$H$462,MATCH(D41,'Classif Gestoras'!$A$6:$A$462,0)),"Não classificada")</x:f>
        <x:v>Independente</x:v>
      </x:c>
      <x:c r="F41" s="168" t="str">
        <x:v>Oliveira Trust DTVM</x:v>
      </x:c>
      <x:c r="G41" s="168" t="str">
        <x:v>OLIVEIRA TRUST DTVM S.A.</x:v>
      </x:c>
      <x:c r="H41" s="168" t="str">
        <x:v>Financeiro</x:v>
      </x:c>
      <x:c r="I41" s="168" t="str">
        <x:v>Multicarteira Financeiro</x:v>
      </x:c>
      <x:c r="J41" s="168" t="str">
        <x:v>CI</x:v>
      </x:c>
      <x:c r="K41" s="174" t="n">
        <x:v>4</x:v>
      </x:c>
      <x:c r="L41" s="187" t="str">
        <x:v>Proxy multicedente/multissacado — revisar</x:v>
      </x:c>
    </x:row>
    <x:row r="42">
      <x:c r="A42" s="177" t="str">
        <x:v>26.405.883/0001-03</x:v>
      </x:c>
      <x:c r="B42" s="168" t="str">
        <x:v>FIDC MULTISEGMENTOS NPL IPANEMA VI RESPONSABILIDADE LIMITADA</x:v>
      </x:c>
      <x:c r="C42" s="190" t="n">
        <x:v>2621845896.29</x:v>
      </x:c>
      <x:c r="D42" s="168" t="str">
        <x:v>BRL TRUST DTVM</x:v>
      </x:c>
      <x:c r="E42" s="168" t="str">
        <x:f>IFERROR(INDEX('Classif Gestoras'!$H$6:$H$462,MATCH(D42,'Classif Gestoras'!$A$6:$A$462,0)),"Não classificada")</x:f>
        <x:v>Independente</x:v>
      </x:c>
      <x:c r="F42" s="168" t="str">
        <x:v>BRL TRUST DTVM</x:v>
      </x:c>
      <x:c r="G42" s="168" t="str">
        <x:v>BRL TRUST DISTRIBUIDORA DE TITULOS E VALORES MOBILIARIOS S.A.</x:v>
      </x:c>
      <x:c r="H42" s="168" t="str">
        <x:v>Outros</x:v>
      </x:c>
      <x:c r="I42" s="168" t="str">
        <x:v>Multicarteira Outros</x:v>
      </x:c>
      <x:c r="J42" s="168" t="str">
        <x:v>CI</x:v>
      </x:c>
      <x:c r="K42" s="174" t="n">
        <x:v>1</x:v>
      </x:c>
      <x:c r="L42" s="187" t="str">
        <x:v>Proxy multicedente/multissacado — revisar</x:v>
      </x:c>
    </x:row>
    <x:row r="43">
      <x:c r="A43" s="177" t="str">
        <x:v>63.662.224/0001-89</x:v>
      </x:c>
      <x:c r="B43" s="168" t="str">
        <x:v>FIDC SANTANDER AUTO LOANS I SEGMENTO FINANCEIRO - RESPONSABILIDADE LIMITADA</x:v>
      </x:c>
      <x:c r="C43" s="190" t="n">
        <x:v>2532101392.7200003</x:v>
      </x:c>
      <x:c r="D43" s="168" t="str">
        <x:v>BRL Trust Investimentos LTDA.</x:v>
      </x:c>
      <x:c r="E43" s="168" t="str">
        <x:f>IFERROR(INDEX('Classif Gestoras'!$H$6:$H$462,MATCH(D43,'Classif Gestoras'!$A$6:$A$462,0)),"Não classificada")</x:f>
        <x:v>Independente</x:v>
      </x:c>
      <x:c r="F43" s="168" t="str">
        <x:v>BRL TRUST DTVM</x:v>
      </x:c>
      <x:c r="G43" s="168" t="str">
        <x:v>BRL TRUST DISTRIBUIDORA DE TITULOS E VALORES MOBILIARIOS S.A.</x:v>
      </x:c>
      <x:c r="H43" s="168" t="str">
        <x:v>Financeiro</x:v>
      </x:c>
      <x:c r="I43" s="168" t="str">
        <x:v>Crédito Pessoal</x:v>
      </x:c>
      <x:c r="J43" s="168" t="str">
        <x:v>CI</x:v>
      </x:c>
      <x:c r="K43" s="174" t="n">
        <x:v>129</x:v>
      </x:c>
      <x:c r="L43" s="187" t="str">
        <x:v>Não classificado</x:v>
      </x:c>
    </x:row>
    <x:row r="44">
      <x:c r="A44" s="177" t="str">
        <x:v>20.441.301/0001-68</x:v>
      </x:c>
      <x:c r="B44" s="168" t="str">
        <x:v>ARTESANAL CRÉDITO PRIVADO FUNDO DE INVESTIMENTO EM DIREITOS CREDITÓRIOS - RESPONSABILIDADE LIMITADA</x:v>
      </x:c>
      <x:c r="C44" s="190" t="n">
        <x:v>2526670855.4799995</x:v>
      </x:c>
      <x:c r="D44" s="168" t="str">
        <x:v>Artesanal Investimentos</x:v>
      </x:c>
      <x:c r="E44" s="168" t="str">
        <x:f>IFERROR(INDEX('Classif Gestoras'!$H$6:$H$462,MATCH(D44,'Classif Gestoras'!$A$6:$A$462,0)),"Não classificada")</x:f>
        <x:v>Independente</x:v>
      </x:c>
      <x:c r="F44" s="168" t="str">
        <x:v>Genial Investimentos Corretora de Valores Mobiliários S.A.</x:v>
      </x:c>
      <x:c r="G44" s="168" t="str">
        <x:v>BANCO B3 S.A.</x:v>
      </x:c>
      <x:c r="H44" s="168" t="str">
        <x:v>Outros</x:v>
      </x:c>
      <x:c r="I44" s="168" t="str">
        <x:v>Multicarteira Outros</x:v>
      </x:c>
      <x:c r="J44" s="168" t="str">
        <x:v>CI</x:v>
      </x:c>
      <x:c r="K44" s="174" t="n">
        <x:v>15894</x:v>
      </x:c>
      <x:c r="L44" s="187" t="str">
        <x:v>Proxy multicedente/multissacado — revisar</x:v>
      </x:c>
    </x:row>
    <x:row r="45">
      <x:c r="A45" s="177" t="str">
        <x:v>62.588.266/0001-54</x:v>
      </x:c>
      <x:c r="B45" s="168" t="str">
        <x:v>VTK FUNDO DE INVESTIMENTO EM DIREITOS CREDITÓRIOS RESPONSABILIDADE LIMITADA</x:v>
      </x:c>
      <x:c r="C45" s="190" t="n">
        <x:v>2489808378.68</x:v>
      </x:c>
      <x:c r="D45" s="168" t="str">
        <x:v>Oliveira Trust Servicer</x:v>
      </x:c>
      <x:c r="E45" s="168" t="str">
        <x:f>IFERROR(INDEX('Classif Gestoras'!$H$6:$H$462,MATCH(D45,'Classif Gestoras'!$A$6:$A$462,0)),"Não classificada")</x:f>
        <x:v>Independente</x:v>
      </x:c>
      <x:c r="F45" s="168" t="str">
        <x:v>Oliveira Trust DTVM</x:v>
      </x:c>
      <x:c r="G45" s="168" t="str">
        <x:v>OLIVEIRA TRUST DTVM S.A.</x:v>
      </x:c>
      <x:c r="H45" s="168" t="str">
        <x:v>Financeiro</x:v>
      </x:c>
      <x:c r="I45" s="168" t="str">
        <x:v>Crédito Consignado</x:v>
      </x:c>
      <x:c r="J45" s="168" t="str">
        <x:v>CI</x:v>
      </x:c>
      <x:c r="K45" s="174" t="n">
        <x:v>112</x:v>
      </x:c>
      <x:c r="L45" s="187" t="str">
        <x:v>Não classificado</x:v>
      </x:c>
    </x:row>
    <x:row r="46">
      <x:c r="A46" s="177" t="str">
        <x:v>59.356.753/0001-87</x:v>
      </x:c>
      <x:c r="B46" s="168" t="str">
        <x:v>ER - FUNDO DE INVESTIMENTO EM DIREITOS CREDITÓRIOS RESPONSABILIDADE LIMITADA</x:v>
      </x:c>
      <x:c r="C46" s="190" t="n">
        <x:v>2473695175.65</x:v>
      </x:c>
      <x:c r="D46" s="168" t="str">
        <x:v>VERT Gestora de Recursos Financeiros Ltda.</x:v>
      </x:c>
      <x:c r="E46" s="168" t="str">
        <x:f>IFERROR(INDEX('Classif Gestoras'!$H$6:$H$462,MATCH(D46,'Classif Gestoras'!$A$6:$A$462,0)),"Não classificada")</x:f>
        <x:v>Independente</x:v>
      </x:c>
      <x:c r="F46" s="168" t="str">
        <x:v>VERT Distribuidora de Títulos e Valores Mobiliários Ltd</x:v>
      </x:c>
      <x:c r="G46" s="168" t="str">
        <x:v>VERT DISTRIBUIDORA DE TÍTULOS E VALORES MOBILIÁRIOS LTDA.</x:v>
      </x:c>
      <x:c r="H46" s="168" t="str">
        <x:v>Agro, Indústria e Comércio</x:v>
      </x:c>
      <x:c r="I46" s="168" t="str">
        <x:v>Infraestrutura</x:v>
      </x:c>
      <x:c r="J46" s="168" t="str">
        <x:v>CI</x:v>
      </x:c>
      <x:c r="K46" s="174" t="n">
        <x:v>1</x:v>
      </x:c>
      <x:c r="L46" s="187" t="str">
        <x:v>Não classificado</x:v>
      </x:c>
    </x:row>
    <x:row r="47">
      <x:c r="A47" s="177" t="str">
        <x:v>26.142.862/0001-42</x:v>
      </x:c>
      <x:c r="B47" s="168" t="str">
        <x:v>FUNDO DE INVESTIMENTO EM DIREITOS CREDITÓRIOS CLUBCARD VAREJO - RESPONSABILIDADE LIMITADA</x:v>
      </x:c>
      <x:c r="C47" s="190" t="n">
        <x:v>2450727770.21</x:v>
      </x:c>
      <x:c r="D47" s="168" t="str">
        <x:v>Phronesis Invest.</x:v>
      </x:c>
      <x:c r="E47" s="168" t="str">
        <x:f>IFERROR(INDEX('Classif Gestoras'!$H$6:$H$462,MATCH(D47,'Classif Gestoras'!$A$6:$A$462,0)),"Não classificada")</x:f>
        <x:v>Independente</x:v>
      </x:c>
      <x:c r="F47" s="168" t="str">
        <x:v>BRL TRUST DTVM</x:v>
      </x:c>
      <x:c r="G47" s="168" t="str">
        <x:v>BRL TRUST DISTRIBUIDORA DE TITULOS E VALORES MOBILIARIOS S.A.</x:v>
      </x:c>
      <x:c r="H47" s="168" t="str">
        <x:v>Financeiro</x:v>
      </x:c>
      <x:c r="I47" s="168" t="str">
        <x:v>Multicarteira Financeiro</x:v>
      </x:c>
      <x:c r="J47" s="168" t="str">
        <x:v>CI</x:v>
      </x:c>
      <x:c r="K47" s="174" t="n">
        <x:v>8</x:v>
      </x:c>
      <x:c r="L47" s="187" t="str">
        <x:v>Proxy multicedente/multissacado — revisar</x:v>
      </x:c>
    </x:row>
    <x:row r="48">
      <x:c r="A48" s="177" t="str">
        <x:v>50.095.909/0001-49</x:v>
      </x:c>
      <x:c r="B48" s="168" t="str">
        <x:v>VITA AUTO FUNDO DE INVESTIMENTO EM DIREITOS CREDITÓRIOS</x:v>
      </x:c>
      <x:c r="C48" s="190" t="n">
        <x:v>2442924753.8399997</x:v>
      </x:c>
      <x:c r="D48" s="168" t="str">
        <x:v>Banco Bradesco S/A</x:v>
      </x:c>
      <x:c r="E48" s="168" t="str">
        <x:f>IFERROR(INDEX('Classif Gestoras'!$H$6:$H$462,MATCH(D48,'Classif Gestoras'!$A$6:$A$462,0)),"Não classificada")</x:f>
        <x:v>Ligada a banco</x:v>
      </x:c>
      <x:c r="F48" s="168" t="str">
        <x:v>BEM - DIST. DE TÍTUL</x:v>
      </x:c>
      <x:c r="G48" s="168" t="str">
        <x:v>BANCO BRADESCO S.A.</x:v>
      </x:c>
      <x:c r="H48" s="168" t="str">
        <x:v>Agro, Indústria e Comércio</x:v>
      </x:c>
      <x:c r="I48" s="168" t="str">
        <x:v>Recebíveis Comerciais</x:v>
      </x:c>
      <x:c r="J48" s="168" t="str">
        <x:v>CI</x:v>
      </x:c>
      <x:c r="K48" s="174" t="n">
        <x:v>209</x:v>
      </x:c>
      <x:c r="L48" s="187" t="str">
        <x:v>Não classificado</x:v>
      </x:c>
    </x:row>
    <x:row r="49">
      <x:c r="A49" s="177" t="str">
        <x:v>38.314.763/0001-80</x:v>
      </x:c>
      <x:c r="B49" s="168" t="str">
        <x:v>SOMA III FUNDO DE INVESTIMENTO EM DIREITOS CREDITÓRIOS RESPONSABILIDADE LIMITADA</x:v>
      </x:c>
      <x:c r="C49" s="190" t="n">
        <x:v>2436020062.13</x:v>
      </x:c>
      <x:c r="D49" s="168" t="str">
        <x:v>GENIAL GESTÃO LTDA.</x:v>
      </x:c>
      <x:c r="E49" s="168" t="str">
        <x:f>IFERROR(INDEX('Classif Gestoras'!$H$6:$H$462,MATCH(D49,'Classif Gestoras'!$A$6:$A$462,0)),"Não classificada")</x:f>
        <x:v>Ligada a banco</x:v>
      </x:c>
      <x:c r="F49" s="168" t="str">
        <x:v>Banco Genial S.A.</x:v>
      </x:c>
      <x:c r="G49" s="168" t="str">
        <x:v>BANCO GENIAL S.A.</x:v>
      </x:c>
      <x:c r="H49" s="168" t="str">
        <x:v>Financeiro</x:v>
      </x:c>
      <x:c r="I49" s="168" t="str">
        <x:v>Crédito Pessoal</x:v>
      </x:c>
      <x:c r="J49" s="168" t="str">
        <x:v>CI</x:v>
      </x:c>
      <x:c r="K49" s="174" t="n">
        <x:v>3</x:v>
      </x:c>
      <x:c r="L49" s="187" t="str">
        <x:v>Não classificado</x:v>
      </x:c>
    </x:row>
    <x:row r="50">
      <x:c r="A50" s="177" t="str">
        <x:v>29.492.605/0001-29</x:v>
      </x:c>
      <x:c r="B50" s="168" t="str">
        <x:v>GAZIN FUNDO DE INVESTIMENTO EM DIREITOS CREDITÓRIOS MULTISSEGMENTOS - RESPONSABILIDADE LIMITADA</x:v>
      </x:c>
      <x:c r="C50" s="190" t="n">
        <x:v>2403162273.62</x:v>
      </x:c>
      <x:c r="D50" s="168" t="str">
        <x:v>Petra Capital</x:v>
      </x:c>
      <x:c r="E50" s="168" t="str">
        <x:f>IFERROR(INDEX('Classif Gestoras'!$H$6:$H$462,MATCH(D50,'Classif Gestoras'!$A$6:$A$462,0)),"Não classificada")</x:f>
        <x:v>Independente</x:v>
      </x:c>
      <x:c r="F50" s="168" t="str">
        <x:v>Finaxis Corretora de Títulos e Valores Mobiliários S.A.</x:v>
      </x:c>
      <x:c r="G50" s="168" t="str">
        <x:v>BANCO FINAXIS S.A.</x:v>
      </x:c>
      <x:c r="H50" s="168" t="str">
        <x:v>Agro, Indústria e Comércio</x:v>
      </x:c>
      <x:c r="I50" s="168" t="str">
        <x:v>Multicarteira Agro, Indústria e Comércio</x:v>
      </x:c>
      <x:c r="J50" s="168" t="str">
        <x:v>CI</x:v>
      </x:c>
      <x:c r="K50" s="174" t="n">
        <x:v>5</x:v>
      </x:c>
      <x:c r="L50" s="187" t="str">
        <x:v>Proxy multicedente/multissacado — revisar</x:v>
      </x:c>
    </x:row>
    <x:row r="51">
      <x:c r="A51" s="177" t="str">
        <x:v>60.528.786/0001-46</x:v>
      </x:c>
      <x:c r="B51" s="168" t="str">
        <x:v>FUNDO DE INVESTIMENTO EM DIREITOS CREDITÓRIOS AGIBANK I RESPONSABILIDADE LIMITADA</x:v>
      </x:c>
      <x:c r="C51" s="190" t="n">
        <x:v>2371330642.84</x:v>
      </x:c>
      <x:c r="D51" s="168" t="str">
        <x:v>Oliveira Trust Servicer</x:v>
      </x:c>
      <x:c r="E51" s="168" t="str">
        <x:f>IFERROR(INDEX('Classif Gestoras'!$H$6:$H$462,MATCH(D51,'Classif Gestoras'!$A$6:$A$462,0)),"Não classificada")</x:f>
        <x:v>Independente</x:v>
      </x:c>
      <x:c r="F51" s="168" t="str">
        <x:v>Oliveira Trust DTVM</x:v>
      </x:c>
      <x:c r="G51" s="168" t="str">
        <x:v>OLIVEIRA TRUST DTVM S.A.</x:v>
      </x:c>
      <x:c r="H51" s="168" t="str">
        <x:v>Financeiro</x:v>
      </x:c>
      <x:c r="I51" s="168" t="str">
        <x:v>Crédito Consignado</x:v>
      </x:c>
      <x:c r="J51" s="168" t="str">
        <x:v>CI</x:v>
      </x:c>
      <x:c r="K51" s="174" t="n">
        <x:v>153</x:v>
      </x:c>
      <x:c r="L51" s="187" t="str">
        <x:v>Não classificado</x:v>
      </x:c>
    </x:row>
    <x:row r="52">
      <x:c r="A52" s="177" t="str">
        <x:v>22.128.298/0001-52</x:v>
      </x:c>
      <x:c r="B52" s="168" t="str">
        <x:v>VALORA GUARDIAN MASTER FUNDO DE INVESTIMENTO EM DIREITOS CREDITÓRIOS - RESPONSABILIDADE LIMITADA</x:v>
      </x:c>
      <x:c r="C52" s="190" t="n">
        <x:v>2334995599.1100006</x:v>
      </x:c>
      <x:c r="D52" s="168" t="str">
        <x:v>VALORA RENDA FIXA LTDA.</x:v>
      </x:c>
      <x:c r="E52" s="168" t="str">
        <x:f>IFERROR(INDEX('Classif Gestoras'!$H$6:$H$462,MATCH(D52,'Classif Gestoras'!$A$6:$A$462,0)),"Não classificada")</x:f>
        <x:v>Independente</x:v>
      </x:c>
      <x:c r="F52" s="168" t="str">
        <x:v>BNY MELLON SERVICOS</x:v>
      </x:c>
      <x:c r="G52" s="168" t="str">
        <x:v>Não identificado</x:v>
      </x:c>
      <x:c r="H52" s="168" t="str">
        <x:v>Outros</x:v>
      </x:c>
      <x:c r="I52" s="168" t="str">
        <x:v>Multicarteira Outros</x:v>
      </x:c>
      <x:c r="J52" s="168" t="str">
        <x:v>CIPC</x:v>
      </x:c>
      <x:c r="K52" s="174" t="n">
        <x:v>4</x:v>
      </x:c>
      <x:c r="L52" s="187" t="str">
        <x:v>Proxy multicedente/multissacado — revisar</x:v>
      </x:c>
    </x:row>
    <x:row r="53">
      <x:c r="A53" s="177" t="str">
        <x:v>47.228.232/0001-65</x:v>
      </x:c>
      <x:c r="B53" s="168" t="str">
        <x:v>AGRO FLEX FUNDO DE INVESTIMENTO EM DIREITOS CREDITÓRIOS</x:v>
      </x:c>
      <x:c r="C53" s="190" t="n">
        <x:v>2332130838.94</x:v>
      </x:c>
      <x:c r="D53" s="168" t="str">
        <x:v>Eco Gestão de Ativos LTDA.</x:v>
      </x:c>
      <x:c r="E53" s="168" t="str">
        <x:f>IFERROR(INDEX('Classif Gestoras'!$H$6:$H$462,MATCH(D53,'Classif Gestoras'!$A$6:$A$462,0)),"Não classificada")</x:f>
        <x:v>Independente</x:v>
      </x:c>
      <x:c r="F53" s="168" t="str">
        <x:v>BANCO DAYCOVAL S/A</x:v>
      </x:c>
      <x:c r="G53" s="168" t="str">
        <x:v>BANCO DAYCOVAL S.A.</x:v>
      </x:c>
      <x:c r="H53" s="168" t="str">
        <x:v>Agro, Indústria e Comércio</x:v>
      </x:c>
      <x:c r="I53" s="168" t="str">
        <x:v>Agronegócio</x:v>
      </x:c>
      <x:c r="J53" s="168" t="str">
        <x:v>CI</x:v>
      </x:c>
      <x:c r="K53" s="174" t="n">
        <x:v>7</x:v>
      </x:c>
      <x:c r="L53" s="187" t="str">
        <x:v>Não classificado</x:v>
      </x:c>
    </x:row>
    <x:row r="54">
      <x:c r="A54" s="177" t="str">
        <x:v>42.358.004/0001-96</x:v>
      </x:c>
      <x:c r="B54" s="168" t="str">
        <x:v>ACONCÁGUA FUNDO DE INVESTIMENTO EM DIREITOS CREDITÓRIOS NÃO PADRONIZADOS RESPONSABILIDADE LIMITADA</x:v>
      </x:c>
      <x:c r="C54" s="190" t="n">
        <x:v>2315681365.43</x:v>
      </x:c>
      <x:c r="D54" s="168" t="str">
        <x:v>Acura Gestora de Recursos LTDA.</x:v>
      </x:c>
      <x:c r="E54" s="168" t="str">
        <x:f>IFERROR(INDEX('Classif Gestoras'!$H$6:$H$462,MATCH(D54,'Classif Gestoras'!$A$6:$A$462,0)),"Não classificada")</x:f>
        <x:v>Independente</x:v>
      </x:c>
      <x:c r="F54" s="168" t="str">
        <x:v>SEFER DTVM</x:v>
      </x:c>
      <x:c r="G54" s="168" t="str">
        <x:v>SEFER INVESTIMENTOS DISTRIBUIDORA DE TÍTULOS E VALORES MOBILIÁRIOS LTDA.</x:v>
      </x:c>
      <x:c r="H54" s="168" t="str">
        <x:v>Outros</x:v>
      </x:c>
      <x:c r="I54" s="168" t="str">
        <x:v>Poder Público</x:v>
      </x:c>
      <x:c r="J54" s="168" t="str">
        <x:v>CI</x:v>
      </x:c>
      <x:c r="K54" s="174" t="n">
        <x:v>4</x:v>
      </x:c>
      <x:c r="L54" s="187" t="str">
        <x:v>Não classificado</x:v>
      </x:c>
    </x:row>
    <x:row r="55">
      <x:c r="A55" s="177" t="str">
        <x:v>61.432.674/0001-50</x:v>
      </x:c>
      <x:c r="B55" s="168" t="str">
        <x:v>MARNE FUNDO DE INVESTIMENTO EM DIREITOS CREDITÓRIOS NÃO - PADRONIZADOS</x:v>
      </x:c>
      <x:c r="C55" s="190" t="n">
        <x:v>2229959712.55</x:v>
      </x:c>
      <x:c r="D55" s="168" t="str">
        <x:v>NORTH SEA CAPITAL</x:v>
      </x:c>
      <x:c r="E55" s="168" t="str">
        <x:f>IFERROR(INDEX('Classif Gestoras'!$H$6:$H$462,MATCH(D55,'Classif Gestoras'!$A$6:$A$462,0)),"Não classificada")</x:f>
        <x:v>Independente</x:v>
      </x:c>
      <x:c r="F55" s="168" t="str">
        <x:v>Qore DTVM</x:v>
      </x:c>
      <x:c r="G55" s="168" t="str">
        <x:v>QORE DISTRIBUIDORA DE TÍTULOS E VALORES MOBILIÁRIOS LTDA.</x:v>
      </x:c>
      <x:c r="H55" s="168" t="str">
        <x:v>Outros</x:v>
      </x:c>
      <x:c r="I55" s="168" t="str">
        <x:v>Multicarteira Outros</x:v>
      </x:c>
      <x:c r="J55" s="168" t="str">
        <x:v>CI</x:v>
      </x:c>
      <x:c r="K55" s="174" t="n">
        <x:v>1</x:v>
      </x:c>
      <x:c r="L55" s="187" t="str">
        <x:v>Proxy multicedente/multissacado — revisar</x:v>
      </x:c>
    </x:row>
    <x:row r="56">
      <x:c r="A56" s="177" t="str">
        <x:v>52.651.831/0001-27</x:v>
      </x:c>
      <x:c r="B56" s="168" t="str">
        <x:v>HYUNDAI FUNDO DE INVESTIMENTO EM DIREITOS CREDITÓRIOS</x:v>
      </x:c>
      <x:c r="C56" s="190" t="n">
        <x:v>2159768279.28</x:v>
      </x:c>
      <x:c r="D56" s="168" t="str">
        <x:v>Integral Investimentos</x:v>
      </x:c>
      <x:c r="E56" s="168" t="str">
        <x:f>IFERROR(INDEX('Classif Gestoras'!$H$6:$H$462,MATCH(D56,'Classif Gestoras'!$A$6:$A$462,0)),"Não classificada")</x:f>
        <x:v>Independente</x:v>
      </x:c>
      <x:c r="F56" s="168" t="str">
        <x:v>S3 Caceis Brasil Distribuidora de Títulos e Valores Mob</x:v>
      </x:c>
      <x:c r="G56" s="168" t="str">
        <x:v>Não identificado</x:v>
      </x:c>
      <x:c r="H56" s="168" t="str">
        <x:v>Agro, Indústria e Comércio</x:v>
      </x:c>
      <x:c r="I56" s="168" t="str">
        <x:v>Recebíveis Comerciais</x:v>
      </x:c>
      <x:c r="J56" s="168" t="str">
        <x:v>CI</x:v>
      </x:c>
      <x:c r="K56" s="174" t="n">
        <x:v>1</x:v>
      </x:c>
      <x:c r="L56" s="187" t="str">
        <x:v>Não classificado</x:v>
      </x:c>
    </x:row>
    <x:row r="57">
      <x:c r="A57" s="177" t="str">
        <x:v>44.229.197/0001-00</x:v>
      </x:c>
      <x:c r="B57" s="168" t="str">
        <x:v>EUV SP1 FUNDO DE INVESTIMENTO EM DIREITOS CREDITORIOS</x:v>
      </x:c>
      <x:c r="C57" s="190" t="n">
        <x:v>2159139999.2799997</x:v>
      </x:c>
      <x:c r="D57" s="168" t="str">
        <x:v>EUV CAPITAL</x:v>
      </x:c>
      <x:c r="E57" s="168" t="str">
        <x:f>IFERROR(INDEX('Classif Gestoras'!$H$6:$H$462,MATCH(D57,'Classif Gestoras'!$A$6:$A$462,0)),"Não classificada")</x:f>
        <x:v>Independente</x:v>
      </x:c>
      <x:c r="F57" s="168" t="str">
        <x:v>FIDD DISTRIBUIDORA DE TITULOS E VALORES MOBILIARIOS LTD</x:v>
      </x:c>
      <x:c r="G57" s="168" t="str">
        <x:v>FIDD DISTRIBUIDORA DE TITULOS E VALORES MOBILIARIOS LTDA.</x:v>
      </x:c>
      <x:c r="H57" s="168" t="str">
        <x:v>Fomento Mercantil</x:v>
      </x:c>
      <x:c r="I57" s="168" t="str">
        <x:v>Fomento Mercantil</x:v>
      </x:c>
      <x:c r="J57" s="168" t="str">
        <x:v>CI</x:v>
      </x:c>
      <x:c r="K57" s="174" t="n">
        <x:v>1</x:v>
      </x:c>
      <x:c r="L57" s="187" t="str">
        <x:v>Não classificado</x:v>
      </x:c>
    </x:row>
    <x:row r="58">
      <x:c r="A58" s="177" t="str">
        <x:v>13.321.819/0001-00</x:v>
      </x:c>
      <x:c r="B58" s="168" t="str">
        <x:v>FUNDO DE INVESTIMENTO EM DIREITOS CREDITÓRIOS VALE</x:v>
      </x:c>
      <x:c r="C58" s="190" t="n">
        <x:v>2142684951.8</x:v>
      </x:c>
      <x:c r="D58" s="168" t="str">
        <x:v>Banco Bradesco S/A</x:v>
      </x:c>
      <x:c r="E58" s="168" t="str">
        <x:f>IFERROR(INDEX('Classif Gestoras'!$H$6:$H$462,MATCH(D58,'Classif Gestoras'!$A$6:$A$462,0)),"Não classificada")</x:f>
        <x:v>Ligada a banco</x:v>
      </x:c>
      <x:c r="F58" s="168" t="str">
        <x:v>BEM - DIST. DE TÍTUL</x:v>
      </x:c>
      <x:c r="G58" s="168" t="str">
        <x:v>BANCO BRADESCO S.A.</x:v>
      </x:c>
      <x:c r="H58" s="168" t="str">
        <x:v>Outros</x:v>
      </x:c>
      <x:c r="I58" s="168" t="str">
        <x:v>Multicarteira Outros</x:v>
      </x:c>
      <x:c r="J58" s="168" t="str">
        <x:v>CI</x:v>
      </x:c>
      <x:c r="K58" s="174" t="n">
        <x:v>6</x:v>
      </x:c>
      <x:c r="L58" s="187" t="str">
        <x:v>Proxy multicedente/multissacado — revisar</x:v>
      </x:c>
    </x:row>
    <x:row r="59">
      <x:c r="A59" s="177" t="str">
        <x:v>57.719.370/0001-09</x:v>
      </x:c>
      <x:c r="B59" s="168" t="str">
        <x:v>RSG FUNDO DE INVESTIMENTO EM DIREITOS CREDITÓRIOS</x:v>
      </x:c>
      <x:c r="C59" s="190" t="n">
        <x:v>2140828486</x:v>
      </x:c>
      <x:c r="D59" s="168" t="str">
        <x:v>Versal Finance Gestão de Recursos LTDA.</x:v>
      </x:c>
      <x:c r="E59" s="168" t="str">
        <x:f>IFERROR(INDEX('Classif Gestoras'!$H$6:$H$462,MATCH(D59,'Classif Gestoras'!$A$6:$A$462,0)),"Não classificada")</x:f>
        <x:v>Independente</x:v>
      </x:c>
      <x:c r="F59" s="168" t="str">
        <x:v>Banvox DTVM</x:v>
      </x:c>
      <x:c r="G59" s="168" t="str">
        <x:v>BANVOX DISTRIBUIDORA DE TITULOS E VALORES MOBILIARIOS LTDA</x:v>
      </x:c>
      <x:c r="H59" s="168" t="str">
        <x:v>Outros</x:v>
      </x:c>
      <x:c r="I59" s="168" t="str">
        <x:v>Multicarteira Outros</x:v>
      </x:c>
      <x:c r="J59" s="168" t="str">
        <x:v>CI</x:v>
      </x:c>
      <x:c r="K59" s="174" t="n">
        <x:v>2</x:v>
      </x:c>
      <x:c r="L59" s="187" t="str">
        <x:v>Proxy multicedente/multissacado — revisar</x:v>
      </x:c>
    </x:row>
    <x:row r="60">
      <x:c r="A60" s="177" t="str">
        <x:v>42.154.687/0001-60</x:v>
      </x:c>
      <x:c r="B60" s="168" t="str">
        <x:v>MULTIPLIKE PLUS FUNDO DE INVESTIMENTO EM DIREITOS CREDITÓRIOS</x:v>
      </x:c>
      <x:c r="C60" s="190" t="n">
        <x:v>2133238063.5699997</x:v>
      </x:c>
      <x:c r="D60" s="168" t="str">
        <x:v>Multiplike Gestão de Recursos Ltda</x:v>
      </x:c>
      <x:c r="E60" s="168" t="str">
        <x:f>IFERROR(INDEX('Classif Gestoras'!$H$6:$H$462,MATCH(D60,'Classif Gestoras'!$A$6:$A$462,0)),"Não classificada")</x:f>
        <x:v>Independente</x:v>
      </x:c>
      <x:c r="F60" s="168" t="str">
        <x:v>Singulare</x:v>
      </x:c>
      <x:c r="G60" s="168" t="str">
        <x:v>QI CORRETORA DE TÍTULOS E VALORES MOBILIÁRIOS S.A.</x:v>
      </x:c>
      <x:c r="H60" s="168" t="str">
        <x:v>Fomento Mercantil</x:v>
      </x:c>
      <x:c r="I60" s="168" t="str">
        <x:v>Fomento Mercantil</x:v>
      </x:c>
      <x:c r="J60" s="168" t="str">
        <x:v>CI</x:v>
      </x:c>
      <x:c r="K60" s="174" t="n">
        <x:v>268</x:v>
      </x:c>
      <x:c r="L60" s="187" t="str">
        <x:v>Não classificado</x:v>
      </x:c>
    </x:row>
    <x:row r="61">
      <x:c r="A61" s="177" t="str">
        <x:v>49.306.883/0001-51</x:v>
      </x:c>
      <x:c r="B61" s="168" t="str">
        <x:v>TM FUNDO DE INVESTIMENTO EM DIREITOS CREDITÓRIOS</x:v>
      </x:c>
      <x:c r="C61" s="190" t="n">
        <x:v>2095421687.34</x:v>
      </x:c>
      <x:c r="D61" s="168" t="str">
        <x:v>NEBRASKA CAPITAL</x:v>
      </x:c>
      <x:c r="E61" s="168" t="str">
        <x:f>IFERROR(INDEX('Classif Gestoras'!$H$6:$H$462,MATCH(D61,'Classif Gestoras'!$A$6:$A$462,0)),"Não classificada")</x:f>
        <x:v>Independente</x:v>
      </x:c>
      <x:c r="F61" s="168" t="str">
        <x:v>BTG Pactual Servicos Financeiros S/A DTVM</x:v>
      </x:c>
      <x:c r="G61" s="168" t="str">
        <x:v>BANCO BTG PACTUAL S/A</x:v>
      </x:c>
      <x:c r="H61" s="168" t="str">
        <x:v>Outros</x:v>
      </x:c>
      <x:c r="I61" s="168" t="str">
        <x:v>Multicarteira Outros</x:v>
      </x:c>
      <x:c r="J61" s="168" t="str">
        <x:v>CI</x:v>
      </x:c>
      <x:c r="K61" s="174" t="n">
        <x:v>1</x:v>
      </x:c>
      <x:c r="L61" s="187" t="str">
        <x:v>Proxy multicedente/multissacado — revisar</x:v>
      </x:c>
    </x:row>
    <x:row r="62">
      <x:c r="A62" s="177" t="str">
        <x:v>40.801.446/0001-30</x:v>
      </x:c>
      <x:c r="B62" s="168" t="str">
        <x:v>EB VESTA FUNDO DE INVESTIMENTO EM DIREITOS CREDITÓRIOS RESPONSABILIDADE LIMITADA</x:v>
      </x:c>
      <x:c r="C62" s="190" t="n">
        <x:v>2084491053.13</x:v>
      </x:c>
      <x:c r="D62" s="168" t="str">
        <x:v>EB CAPITAL CRÉDITO AGRO LTDA.</x:v>
      </x:c>
      <x:c r="E62" s="168" t="str">
        <x:f>IFERROR(INDEX('Classif Gestoras'!$H$6:$H$462,MATCH(D62,'Classif Gestoras'!$A$6:$A$462,0)),"Não classificada")</x:f>
        <x:v>Independente</x:v>
      </x:c>
      <x:c r="F62" s="168" t="str">
        <x:v>Banco Genial S.A.</x:v>
      </x:c>
      <x:c r="G62" s="168" t="str">
        <x:v>BANCO GENIAL S.A.</x:v>
      </x:c>
      <x:c r="H62" s="168" t="str">
        <x:v>Outros</x:v>
      </x:c>
      <x:c r="I62" s="168" t="str">
        <x:v>Multicarteira Outros</x:v>
      </x:c>
      <x:c r="J62" s="168" t="str">
        <x:v>CI</x:v>
      </x:c>
      <x:c r="K62" s="174" t="n">
        <x:v>11</x:v>
      </x:c>
      <x:c r="L62" s="187" t="str">
        <x:v>Proxy multicedente/multissacado — revisar</x:v>
      </x:c>
    </x:row>
    <x:row r="63">
      <x:c r="A63" s="177" t="str">
        <x:v>50.114.948/0001-46</x:v>
      </x:c>
      <x:c r="B63" s="168" t="str">
        <x:v>DRIVER BRASIL SIX BANCO VOLKSWAGEN FIDC FINANCIAMENTO DE VEÍCULOS - RESPONSABILIDADE LIMITADA</x:v>
      </x:c>
      <x:c r="C63" s="190" t="n">
        <x:v>2068830396.33</x:v>
      </x:c>
      <x:c r="D63" s="168" t="str">
        <x:v>Banco Bradesco S/A</x:v>
      </x:c>
      <x:c r="E63" s="168" t="str">
        <x:f>IFERROR(INDEX('Classif Gestoras'!$H$6:$H$462,MATCH(D63,'Classif Gestoras'!$A$6:$A$462,0)),"Não classificada")</x:f>
        <x:v>Ligada a banco</x:v>
      </x:c>
      <x:c r="F63" s="168" t="str">
        <x:v>BEM - DIST. DE TÍTUL</x:v>
      </x:c>
      <x:c r="G63" s="168" t="str">
        <x:v>BANCO BRADESCO S.A.</x:v>
      </x:c>
      <x:c r="H63" s="168" t="str">
        <x:v>Financeiro</x:v>
      </x:c>
      <x:c r="I63" s="168" t="str">
        <x:v>Financiamento de Veículos</x:v>
      </x:c>
      <x:c r="J63" s="168" t="str">
        <x:v>CI</x:v>
      </x:c>
      <x:c r="K63" s="174" t="n">
        <x:v>74</x:v>
      </x:c>
      <x:c r="L63" s="187" t="str">
        <x:v>Não classificado</x:v>
      </x:c>
    </x:row>
    <x:row r="64">
      <x:c r="A64" s="177" t="str">
        <x:v>62.838.025/0001-16</x:v>
      </x:c>
      <x:c r="B64" s="168" t="str">
        <x:v>ENDURANCE FUNDO DE INVESTIMENTO EM DIREITOS CREDITÓRIOS RESPONSABILIDADE LIMITADA</x:v>
      </x:c>
      <x:c r="C64" s="190" t="n">
        <x:v>2006132547.32</x:v>
      </x:c>
      <x:c r="D64" s="168" t="str">
        <x:v>Kanastra</x:v>
      </x:c>
      <x:c r="E64" s="168" t="str">
        <x:f>IFERROR(INDEX('Classif Gestoras'!$H$6:$H$462,MATCH(D64,'Classif Gestoras'!$A$6:$A$462,0)),"Não classificada")</x:f>
        <x:v>Independente</x:v>
      </x:c>
      <x:c r="F64" s="168" t="str">
        <x:v>INTRAG DIST. DE TÍTU</x:v>
      </x:c>
      <x:c r="G64" s="168" t="str">
        <x:v>LIMINE TRUST DISTRIBUIDORA DE TITULOS E VALORES MOBILIARIOS LTDA.</x:v>
      </x:c>
      <x:c r="H64" s="168" t="str">
        <x:v>Outros</x:v>
      </x:c>
      <x:c r="I64" s="168" t="str">
        <x:v>Multicarteira Outros</x:v>
      </x:c>
      <x:c r="J64" s="168" t="str">
        <x:v>CI</x:v>
      </x:c>
      <x:c r="K64" s="174" t="n">
        <x:v>2</x:v>
      </x:c>
      <x:c r="L64" s="187" t="str">
        <x:v>Proxy multicedente/multissacado — revisar</x:v>
      </x:c>
    </x:row>
    <x:row r="65">
      <x:c r="A65" s="177" t="str">
        <x:v>42.449.510/0001-90</x:v>
      </x:c>
      <x:c r="B65" s="168" t="str">
        <x:v>MONTENEGRO FUNDO DE INVESTIMENTO EM DIREITOS CREDITÓRIOS</x:v>
      </x:c>
      <x:c r="C65" s="190" t="n">
        <x:v>1971146549.17</x:v>
      </x:c>
      <x:c r="D65" s="168" t="str">
        <x:v>Versal Finance Gestão de Recursos LTDA.</x:v>
      </x:c>
      <x:c r="E65" s="168" t="str">
        <x:f>IFERROR(INDEX('Classif Gestoras'!$H$6:$H$462,MATCH(D65,'Classif Gestoras'!$A$6:$A$462,0)),"Não classificada")</x:f>
        <x:v>Independente</x:v>
      </x:c>
      <x:c r="F65" s="168" t="str">
        <x:v>TRUSTEE DTVM</x:v>
      </x:c>
      <x:c r="G65" s="168" t="str">
        <x:v>TRUSTEE DISTRIBUIDORA DE TITULOS E VALORES MOBILIARIOS LTDA.</x:v>
      </x:c>
      <x:c r="H65" s="168" t="str">
        <x:v>Outros</x:v>
      </x:c>
      <x:c r="I65" s="168" t="str">
        <x:v>Multicarteira Outros</x:v>
      </x:c>
      <x:c r="J65" s="168" t="str">
        <x:v>CI</x:v>
      </x:c>
      <x:c r="K65" s="174" t="n">
        <x:v>1</x:v>
      </x:c>
      <x:c r="L65" s="187" t="str">
        <x:v>Proxy multicedente/multissacado — revisar</x:v>
      </x:c>
    </x:row>
    <x:row r="66">
      <x:c r="A66" s="177" t="str">
        <x:v>61.652.768/0001-34</x:v>
      </x:c>
      <x:c r="B66" s="168" t="str">
        <x:v>FUNDO DE INVESTIMENTO EM DIREITOS CREDITÓRIOS DRIVER MASTER BRASIL I - RESP LIMITADA</x:v>
      </x:c>
      <x:c r="C66" s="190" t="n">
        <x:v>1949628264.9</x:v>
      </x:c>
      <x:c r="D66" s="168" t="str">
        <x:v>Banco Bradesco S/A</x:v>
      </x:c>
      <x:c r="E66" s="168" t="str">
        <x:f>IFERROR(INDEX('Classif Gestoras'!$H$6:$H$462,MATCH(D66,'Classif Gestoras'!$A$6:$A$462,0)),"Não classificada")</x:f>
        <x:v>Ligada a banco</x:v>
      </x:c>
      <x:c r="F66" s="168" t="str">
        <x:v>BEM - DIST. DE TÍTUL</x:v>
      </x:c>
      <x:c r="G66" s="168" t="str">
        <x:v>BANCO BRADESCO S.A.</x:v>
      </x:c>
      <x:c r="H66" s="168" t="str">
        <x:v>Financeiro</x:v>
      </x:c>
      <x:c r="I66" s="168" t="str">
        <x:v>Financiamento de Veículos</x:v>
      </x:c>
      <x:c r="J66" s="168" t="str">
        <x:v>CI</x:v>
      </x:c>
      <x:c r="K66" s="174" t="n">
        <x:v>2</x:v>
      </x:c>
      <x:c r="L66" s="187" t="str">
        <x:v>Não classificado</x:v>
      </x:c>
    </x:row>
    <x:row r="67">
      <x:c r="A67" s="177" t="str">
        <x:v>23.216.398/0001-01</x:v>
      </x:c>
      <x:c r="B67" s="168" t="str">
        <x:v>MULTIPLICA FUNDO DE INVESTIMENTO EM DIREITOS CREDITÓRIOS</x:v>
      </x:c>
      <x:c r="C67" s="190" t="n">
        <x:v>1917489050.13</x:v>
      </x:c>
      <x:c r="D67" s="168" t="str">
        <x:v>Multiplica Capital</x:v>
      </x:c>
      <x:c r="E67" s="168" t="str">
        <x:f>IFERROR(INDEX('Classif Gestoras'!$H$6:$H$462,MATCH(D67,'Classif Gestoras'!$A$6:$A$462,0)),"Não classificada")</x:f>
        <x:v>Independente</x:v>
      </x:c>
      <x:c r="F67" s="168" t="str">
        <x:v>Singulare</x:v>
      </x:c>
      <x:c r="G67" s="168" t="str">
        <x:v>QI CORRETORA DE TÍTULOS E VALORES MOBILIÁRIOS S.A.</x:v>
      </x:c>
      <x:c r="H67" s="168" t="str">
        <x:v>Fomento Mercantil</x:v>
      </x:c>
      <x:c r="I67" s="168" t="str">
        <x:v>Fomento Mercantil</x:v>
      </x:c>
      <x:c r="J67" s="168" t="str">
        <x:v>CI</x:v>
      </x:c>
      <x:c r="K67" s="174" t="n">
        <x:v>855</x:v>
      </x:c>
      <x:c r="L67" s="187" t="str">
        <x:v>Não classificado</x:v>
      </x:c>
    </x:row>
    <x:row r="68">
      <x:c r="A68" s="177" t="str">
        <x:v>53.841.740/0001-17</x:v>
      </x:c>
      <x:c r="B68" s="168" t="str">
        <x:v>FUNDO DE INVESTIMENTO EM DIREITOS CREDITÓRIOS CRÉDITO CONSIGNADO PRIVADO PAKETÁ DE RESPONSABILID</x:v>
      </x:c>
      <x:c r="C68" s="190" t="n">
        <x:v>1914975394.96113</x:v>
      </x:c>
      <x:c r="D68" s="168" t="str">
        <x:v>Riza Securitização e Carteiras</x:v>
      </x:c>
      <x:c r="E68" s="168" t="str">
        <x:f>IFERROR(INDEX('Classif Gestoras'!$H$6:$H$462,MATCH(D68,'Classif Gestoras'!$A$6:$A$462,0)),"Não classificada")</x:f>
        <x:v>Independente</x:v>
      </x:c>
      <x:c r="F68" s="168" t="str">
        <x:v>Singulare</x:v>
      </x:c>
      <x:c r="G68" s="168" t="str">
        <x:v>QI CORRETORA DE TÍTULOS E VALORES MOBILIÁRIOS S.A.</x:v>
      </x:c>
      <x:c r="H68" s="168" t="str">
        <x:v>Financeiro</x:v>
      </x:c>
      <x:c r="I68" s="168" t="str">
        <x:v>Crédito Consignado</x:v>
      </x:c>
      <x:c r="J68" s="168" t="str">
        <x:v>CI</x:v>
      </x:c>
      <x:c r="K68" s="174" t="n">
        <x:v>194</x:v>
      </x:c>
      <x:c r="L68" s="187" t="str">
        <x:v>Não classificado</x:v>
      </x:c>
    </x:row>
    <x:row r="69">
      <x:c r="A69" s="177" t="str">
        <x:v>43.489.824/0001-80</x:v>
      </x:c>
      <x:c r="B69" s="168" t="str">
        <x:v>FUNDO DE INVESTIMENTO EM DIREITOS CREDITÓRIOS COMPLEMENTAR AUTO-FORD</x:v>
      </x:c>
      <x:c r="C69" s="190" t="n">
        <x:v>1862200441.55</x:v>
      </x:c>
      <x:c r="D69" s="168" t="str">
        <x:v>Banco Bradesco S/A</x:v>
      </x:c>
      <x:c r="E69" s="168" t="str">
        <x:f>IFERROR(INDEX('Classif Gestoras'!$H$6:$H$462,MATCH(D69,'Classif Gestoras'!$A$6:$A$462,0)),"Não classificada")</x:f>
        <x:v>Ligada a banco</x:v>
      </x:c>
      <x:c r="F69" s="168" t="str">
        <x:v>BEM - DIST. DE TÍTUL</x:v>
      </x:c>
      <x:c r="G69" s="168" t="str">
        <x:v>BANCO BRADESCO S.A.</x:v>
      </x:c>
      <x:c r="H69" s="168" t="str">
        <x:v>Financeiro</x:v>
      </x:c>
      <x:c r="I69" s="168" t="str">
        <x:v>Financiamento de Veículos</x:v>
      </x:c>
      <x:c r="J69" s="168" t="str">
        <x:v>CI</x:v>
      </x:c>
      <x:c r="K69" s="174" t="n">
        <x:v>1</x:v>
      </x:c>
      <x:c r="L69" s="187" t="str">
        <x:v>Não classificado</x:v>
      </x:c>
    </x:row>
    <x:row r="70">
      <x:c r="A70" s="177" t="str">
        <x:v>24.504.464/0001-01</x:v>
      </x:c>
      <x:c r="B70" s="168" t="str">
        <x:v>IOX II FUNDO DE INVESTIMENTO EM DIREITOS CREDITÓRIOS DE RESPONSABILIDADE LIMITADA</x:v>
      </x:c>
      <x:c r="C70" s="190" t="n">
        <x:v>1860240578.91</x:v>
      </x:c>
      <x:c r="D70" s="168" t="str">
        <x:v>TERCON ASSET MANAGEMENT</x:v>
      </x:c>
      <x:c r="E70" s="168" t="str">
        <x:f>IFERROR(INDEX('Classif Gestoras'!$H$6:$H$462,MATCH(D70,'Classif Gestoras'!$A$6:$A$462,0)),"Não classificada")</x:f>
        <x:v>Independente</x:v>
      </x:c>
      <x:c r="F70" s="168" t="str">
        <x:v>Singulare</x:v>
      </x:c>
      <x:c r="G70" s="168" t="str">
        <x:v>QI CORRETORA DE TÍTULOS E VALORES MOBILIÁRIOS S.A.</x:v>
      </x:c>
      <x:c r="H70" s="168" t="str">
        <x:v>Fomento Mercantil</x:v>
      </x:c>
      <x:c r="I70" s="168" t="str">
        <x:v>Fomento Mercantil</x:v>
      </x:c>
      <x:c r="J70" s="168" t="str">
        <x:v>CI</x:v>
      </x:c>
      <x:c r="K70" s="174" t="n">
        <x:v>241</x:v>
      </x:c>
      <x:c r="L70" s="187" t="str">
        <x:v>Não classificado</x:v>
      </x:c>
    </x:row>
    <x:row r="71">
      <x:c r="A71" s="177" t="str">
        <x:v>28.279.473/0001-99</x:v>
      </x:c>
      <x:c r="B71" s="168" t="str">
        <x:v>FUNDO DE INVESTIMENTO EM DIREITOS CREDITÓRIOS AUTO-HONDA</x:v>
      </x:c>
      <x:c r="C71" s="190" t="n">
        <x:v>1855063946.1</x:v>
      </x:c>
      <x:c r="D71" s="168" t="str">
        <x:v>Banco Bradesco S/A</x:v>
      </x:c>
      <x:c r="E71" s="168" t="str">
        <x:f>IFERROR(INDEX('Classif Gestoras'!$H$6:$H$462,MATCH(D71,'Classif Gestoras'!$A$6:$A$462,0)),"Não classificada")</x:f>
        <x:v>Ligada a banco</x:v>
      </x:c>
      <x:c r="F71" s="168" t="str">
        <x:v>BEM - DIST. DE TÍTUL</x:v>
      </x:c>
      <x:c r="G71" s="168" t="str">
        <x:v>BANCO BRADESCO S.A.</x:v>
      </x:c>
      <x:c r="H71" s="168" t="str">
        <x:v>Agro, Indústria e Comércio</x:v>
      </x:c>
      <x:c r="I71" s="168" t="str">
        <x:v>Recebíveis Comerciais</x:v>
      </x:c>
      <x:c r="J71" s="168" t="str">
        <x:v>CI</x:v>
      </x:c>
      <x:c r="K71" s="174" t="n">
        <x:v>94</x:v>
      </x:c>
      <x:c r="L71" s="187" t="str">
        <x:v>Não classificado</x:v>
      </x:c>
    </x:row>
    <x:row r="72">
      <x:c r="A72" s="177" t="str">
        <x:v>63.572.282/0001-11</x:v>
      </x:c>
      <x:c r="B72" s="168" t="str">
        <x:v>SELLER 3 FUNDO DE INVESTIMENTO EM DIREITOS CREDITÓRIOS SEGMENTO MEIOS DE PAGAMENTO DE RESP LIMITADA</x:v>
      </x:c>
      <x:c r="C72" s="190" t="n">
        <x:v>1836029965.8</x:v>
      </x:c>
      <x:c r="D72" s="168" t="str">
        <x:v>Oliveira Trust Servicer</x:v>
      </x:c>
      <x:c r="E72" s="168" t="str">
        <x:f>IFERROR(INDEX('Classif Gestoras'!$H$6:$H$462,MATCH(D72,'Classif Gestoras'!$A$6:$A$462,0)),"Não classificada")</x:f>
        <x:v>Independente</x:v>
      </x:c>
      <x:c r="F72" s="168" t="str">
        <x:v>Oliveira Trust DTVM</x:v>
      </x:c>
      <x:c r="G72" s="168" t="str">
        <x:v>OLIVEIRA TRUST DTVM S.A.</x:v>
      </x:c>
      <x:c r="H72" s="168" t="str">
        <x:v>Financeiro</x:v>
      </x:c>
      <x:c r="I72" s="168" t="str">
        <x:v>Crédito Corporativo</x:v>
      </x:c>
      <x:c r="J72" s="168" t="str">
        <x:v>CI</x:v>
      </x:c>
      <x:c r="K72" s="174" t="n">
        <x:v>38</x:v>
      </x:c>
      <x:c r="L72" s="187" t="str">
        <x:v>Não classificado</x:v>
      </x:c>
    </x:row>
    <x:row r="73">
      <x:c r="A73" s="177" t="str">
        <x:v>53.300.525/0001-09</x:v>
      </x:c>
      <x:c r="B73" s="168" t="str">
        <x:v>IBCB-AF01 FUNDO DE INVESTIMENTO EM DIREITOS CREDITÓRIOS</x:v>
      </x:c>
      <x:c r="C73" s="190" t="n">
        <x:v>1834355869.84</x:v>
      </x:c>
      <x:c r="D73" s="168" t="str">
        <x:v>Intrabank Asset</x:v>
      </x:c>
      <x:c r="E73" s="168" t="str">
        <x:f>IFERROR(INDEX('Classif Gestoras'!$H$6:$H$462,MATCH(D73,'Classif Gestoras'!$A$6:$A$462,0)),"Não classificada")</x:f>
        <x:v>Independente</x:v>
      </x:c>
      <x:c r="F73" s="168" t="str">
        <x:v>HEMERA DTVM</x:v>
      </x:c>
      <x:c r="G73" s="168" t="str">
        <x:v>HEMERA DISTRIBUIDORA DE TITULOS E VALORES MOBILIARIOS LTDA</x:v>
      </x:c>
      <x:c r="H73" s="168" t="str">
        <x:v>Agro, Indústria e Comércio</x:v>
      </x:c>
      <x:c r="I73" s="168" t="str">
        <x:v>Recebíveis Comerciais</x:v>
      </x:c>
      <x:c r="J73" s="168" t="str">
        <x:v>CI</x:v>
      </x:c>
      <x:c r="K73" s="174" t="n">
        <x:v>4</x:v>
      </x:c>
      <x:c r="L73" s="187" t="str">
        <x:v>Não classificado</x:v>
      </x:c>
    </x:row>
    <x:row r="74">
      <x:c r="A74" s="177" t="str">
        <x:v>32.526.025/0001-10</x:v>
      </x:c>
      <x:c r="B74" s="168" t="str">
        <x:v>COBUCCIO FUNDO DE INVESTIMENTO EM DIREITOS CREDITÓRIOS DE CLASSE ÚNICA FECHADA DE RESPONS LIMITADA</x:v>
      </x:c>
      <x:c r="C74" s="190" t="n">
        <x:v>1771889839.03</x:v>
      </x:c>
      <x:c r="D74" s="168" t="str">
        <x:v>CARMEL GESTORA DE ATIVOS LTDA</x:v>
      </x:c>
      <x:c r="E74" s="168" t="str">
        <x:f>IFERROR(INDEX('Classif Gestoras'!$H$6:$H$462,MATCH(D74,'Classif Gestoras'!$A$6:$A$462,0)),"Não classificada")</x:f>
        <x:v>Independente</x:v>
      </x:c>
      <x:c r="F74" s="168" t="str">
        <x:v>Singulare</x:v>
      </x:c>
      <x:c r="G74" s="168" t="str">
        <x:v>QI CORRETORA DE TÍTULOS E VALORES MOBILIÁRIOS S.A.</x:v>
      </x:c>
      <x:c r="H74" s="168" t="str">
        <x:v>Agro, Indústria e Comércio</x:v>
      </x:c>
      <x:c r="I74" s="168" t="str">
        <x:v>Recebíveis Comerciais</x:v>
      </x:c>
      <x:c r="J74" s="168" t="str">
        <x:v>CI</x:v>
      </x:c>
      <x:c r="K74" s="174" t="n">
        <x:v>42</x:v>
      </x:c>
      <x:c r="L74" s="187" t="str">
        <x:v>Não classificado</x:v>
      </x:c>
    </x:row>
    <x:row r="75">
      <x:c r="A75" s="177" t="str">
        <x:v>41.970.012/0001-26</x:v>
      </x:c>
      <x:c r="B75" s="168" t="str">
        <x:v>MERCADO CRÉDITO II BRASIL FUNDO DE INVESTIMENTO EM DIREITOS CREDITÓRIOS DE RESPONSABILIDADE LIMITADA</x:v>
      </x:c>
      <x:c r="C75" s="190" t="n">
        <x:v>1760661987.2900002</x:v>
      </x:c>
      <x:c r="D75" s="168" t="str">
        <x:v>POLÍGONO CAPITAL LTDA.</x:v>
      </x:c>
      <x:c r="E75" s="168" t="str">
        <x:f>IFERROR(INDEX('Classif Gestoras'!$H$6:$H$462,MATCH(D75,'Classif Gestoras'!$A$6:$A$462,0)),"Não classificada")</x:f>
        <x:v>Independente</x:v>
      </x:c>
      <x:c r="F75" s="168" t="str">
        <x:v>BTG Pactual Servicos Financeiros S/A DTVM</x:v>
      </x:c>
      <x:c r="G75" s="168" t="str">
        <x:v>BANCO BTG PACTUAL S/A</x:v>
      </x:c>
      <x:c r="H75" s="168" t="str">
        <x:v>Financeiro</x:v>
      </x:c>
      <x:c r="I75" s="168" t="str">
        <x:v>Multicarteira Financeiro</x:v>
      </x:c>
      <x:c r="J75" s="168" t="str">
        <x:v>CI</x:v>
      </x:c>
      <x:c r="K75" s="174" t="n">
        <x:v>3</x:v>
      </x:c>
      <x:c r="L75" s="187" t="str">
        <x:v>Proxy multicedente/multissacado — revisar</x:v>
      </x:c>
    </x:row>
    <x:row r="76">
      <x:c r="A76" s="177" t="str">
        <x:v>40.750.266/0001-76</x:v>
      </x:c>
      <x:c r="B76" s="168" t="str">
        <x:v>FUNDO DE INVESTIMENTO EM DIREITOS CREDITÓRIOS MT I RECEIVABLES RESPONSABILIDADE LIMITADA</x:v>
      </x:c>
      <x:c r="C76" s="190" t="n">
        <x:v>1754069673.52</x:v>
      </x:c>
      <x:c r="D76" s="168" t="str">
        <x:v>BTG Pactual Asset</x:v>
      </x:c>
      <x:c r="E76" s="168" t="str">
        <x:f>IFERROR(INDEX('Classif Gestoras'!$H$6:$H$462,MATCH(D76,'Classif Gestoras'!$A$6:$A$462,0)),"Não classificada")</x:f>
        <x:v>Ligada a banco</x:v>
      </x:c>
      <x:c r="F76" s="168" t="str">
        <x:v>BTG Pactual Servicos Financeiros S/A DTVM</x:v>
      </x:c>
      <x:c r="G76" s="168" t="str">
        <x:v>BANCO BTG PACTUAL S/A</x:v>
      </x:c>
      <x:c r="H76" s="168" t="str">
        <x:v>Financeiro</x:v>
      </x:c>
      <x:c r="I76" s="168" t="str">
        <x:v>Crédito Pessoal</x:v>
      </x:c>
      <x:c r="J76" s="168" t="str">
        <x:v>CI</x:v>
      </x:c>
      <x:c r="K76" s="174" t="n">
        <x:v>1</x:v>
      </x:c>
      <x:c r="L76" s="187" t="str">
        <x:v>Não classificado</x:v>
      </x:c>
    </x:row>
    <x:row r="77">
      <x:c r="A77" s="177" t="str">
        <x:v>38.376.526/0001-43</x:v>
      </x:c>
      <x:c r="B77" s="168" t="str">
        <x:v>HOTFUND FUNDO DE INVESTIMENTO EM DIREITOS CREDITÓRIOS SEGMENTO MEIOS DE PAGAMENTO DE RESPONSABILIDAD</x:v>
      </x:c>
      <x:c r="C77" s="190" t="n">
        <x:v>1751659181.3</x:v>
      </x:c>
      <x:c r="D77" s="168" t="str">
        <x:v>GENIAL GESTÃO LTDA.</x:v>
      </x:c>
      <x:c r="E77" s="168" t="str">
        <x:f>IFERROR(INDEX('Classif Gestoras'!$H$6:$H$462,MATCH(D77,'Classif Gestoras'!$A$6:$A$462,0)),"Não classificada")</x:f>
        <x:v>Ligada a banco</x:v>
      </x:c>
      <x:c r="F77" s="168" t="str">
        <x:v>Banco Genial S.A.</x:v>
      </x:c>
      <x:c r="G77" s="168" t="str">
        <x:v>BANCO GENIAL S.A.</x:v>
      </x:c>
      <x:c r="H77" s="168" t="str">
        <x:v>Financeiro</x:v>
      </x:c>
      <x:c r="I77" s="168" t="str">
        <x:v>Multicarteira Financeiro</x:v>
      </x:c>
      <x:c r="J77" s="168" t="str">
        <x:v>CI</x:v>
      </x:c>
      <x:c r="K77" s="174" t="n">
        <x:v>4</x:v>
      </x:c>
      <x:c r="L77" s="187" t="str">
        <x:v>Proxy multicedente/multissacado — revisar</x:v>
      </x:c>
    </x:row>
    <x:row r="78">
      <x:c r="A78" s="177" t="str">
        <x:v>34.218.864/0001-04</x:v>
      </x:c>
      <x:c r="B78" s="168" t="str">
        <x:v>CNPJ 34218864000104</x:v>
      </x:c>
      <x:c r="C78" s="190" t="n">
        <x:v>1701982709.00999</x:v>
      </x:c>
      <x:c r="D78" s="168" t="str">
        <x:v>Cultinvest Asset</x:v>
      </x:c>
      <x:c r="E78" s="168" t="str">
        <x:f>IFERROR(INDEX('Classif Gestoras'!$H$6:$H$462,MATCH(D78,'Classif Gestoras'!$A$6:$A$462,0)),"Não classificada")</x:f>
        <x:v>Independente</x:v>
      </x:c>
      <x:c r="F78" s="168" t="str">
        <x:v>S3 Caceis Brasil Distribuidora de Títulos e Valores Mob</x:v>
      </x:c>
      <x:c r="G78" s="168" t="str">
        <x:v>Não identificado</x:v>
      </x:c>
      <x:c r="H78" s="168" t="str">
        <x:v>Agro, Indústria e Comércio</x:v>
      </x:c>
      <x:c r="I78" s="168" t="str">
        <x:v>Recebíveis Comerciais</x:v>
      </x:c>
      <x:c r="J78" s="168" t="str">
        <x:v>CI</x:v>
      </x:c>
      <x:c r="K78" s="174"/>
      <x:c r="L78" s="187" t="str">
        <x:v>Não classificado</x:v>
      </x:c>
    </x:row>
    <x:row r="79">
      <x:c r="A79" s="177" t="str">
        <x:v>53.036.495/0001-75</x:v>
      </x:c>
      <x:c r="B79" s="168" t="str">
        <x:v>XP RETURN I CONSIGNADO FUNDO DE INVESTIMENTO EM DIREITOS CREDITÓRIOS RESP LIMITADA</x:v>
      </x:c>
      <x:c r="C79" s="190" t="n">
        <x:v>1655183478.4099998</x:v>
      </x:c>
      <x:c r="D79" s="168" t="str">
        <x:v>Oliveira Trust Servicer</x:v>
      </x:c>
      <x:c r="E79" s="168" t="str">
        <x:f>IFERROR(INDEX('Classif Gestoras'!$H$6:$H$462,MATCH(D79,'Classif Gestoras'!$A$6:$A$462,0)),"Não classificada")</x:f>
        <x:v>Independente</x:v>
      </x:c>
      <x:c r="F79" s="168" t="str">
        <x:v>Oliveira Trust DTVM</x:v>
      </x:c>
      <x:c r="G79" s="168" t="str">
        <x:v>OLIVEIRA TRUST DTVM S.A.</x:v>
      </x:c>
      <x:c r="H79" s="168" t="str">
        <x:v>Financeiro</x:v>
      </x:c>
      <x:c r="I79" s="168" t="str">
        <x:v>Crédito Consignado</x:v>
      </x:c>
      <x:c r="J79" s="168" t="str">
        <x:v>CI</x:v>
      </x:c>
      <x:c r="K79" s="174" t="n">
        <x:v>2</x:v>
      </x:c>
      <x:c r="L79" s="187" t="str">
        <x:v>Não classificado</x:v>
      </x:c>
    </x:row>
    <x:row r="80">
      <x:c r="A80" s="177" t="str">
        <x:v>26.722.650/0001-34</x:v>
      </x:c>
      <x:c r="B80" s="168" t="str">
        <x:v>VERDECARD FUNDO DE INVESTIMENTO EM DIREITOS CREDITÓRIOS RESPONSABILIDADE LIMITADA</x:v>
      </x:c>
      <x:c r="C80" s="190" t="n">
        <x:v>1650369124.39</x:v>
      </x:c>
      <x:c r="D80" s="168" t="str">
        <x:v>Integral Investimentos</x:v>
      </x:c>
      <x:c r="E80" s="168" t="str">
        <x:f>IFERROR(INDEX('Classif Gestoras'!$H$6:$H$462,MATCH(D80,'Classif Gestoras'!$A$6:$A$462,0)),"Não classificada")</x:f>
        <x:v>Independente</x:v>
      </x:c>
      <x:c r="F80" s="168" t="str">
        <x:v>Oliveira Trust DTVM</x:v>
      </x:c>
      <x:c r="G80" s="168" t="str">
        <x:v>OLIVEIRA TRUST DTVM S.A.</x:v>
      </x:c>
      <x:c r="H80" s="168" t="str">
        <x:v>Outros</x:v>
      </x:c>
      <x:c r="I80" s="168" t="str">
        <x:v>Multicarteira Outros</x:v>
      </x:c>
      <x:c r="J80" s="168" t="str">
        <x:v>CI</x:v>
      </x:c>
      <x:c r="K80" s="174" t="n">
        <x:v>378</x:v>
      </x:c>
      <x:c r="L80" s="187" t="str">
        <x:v>Proxy multicedente/multissacado — revisar</x:v>
      </x:c>
    </x:row>
    <x:row r="81">
      <x:c r="A81" s="177" t="str">
        <x:v>05.754.060/0001-13</x:v>
      </x:c>
      <x:c r="B81" s="168" t="str">
        <x:v>CATERPILLAR FUNDO DE INVESTIMENTO EM DIREITOS CREDITÓRIOS DO SEGMENTO INDUSTRIAL II - RESP LIMITADA</x:v>
      </x:c>
      <x:c r="C81" s="190" t="n">
        <x:v>1642653085.82</x:v>
      </x:c>
      <x:c r="D81" s="168" t="str">
        <x:v>Tivio Capital</x:v>
      </x:c>
      <x:c r="E81" s="168" t="str">
        <x:f>IFERROR(INDEX('Classif Gestoras'!$H$6:$H$462,MATCH(D81,'Classif Gestoras'!$A$6:$A$462,0)),"Não classificada")</x:f>
        <x:v>Independente</x:v>
      </x:c>
      <x:c r="F81" s="168" t="str">
        <x:v>BEM - DIST. DE TÍTUL</x:v>
      </x:c>
      <x:c r="G81" s="168" t="str">
        <x:v>BANCO BRADESCO S.A.</x:v>
      </x:c>
      <x:c r="H81" s="168" t="str">
        <x:v>Agro, Indústria e Comércio</x:v>
      </x:c>
      <x:c r="I81" s="168" t="str">
        <x:v>Recebíveis Comerciais</x:v>
      </x:c>
      <x:c r="J81" s="168" t="str">
        <x:v>CI</x:v>
      </x:c>
      <x:c r="K81" s="174" t="n">
        <x:v>1</x:v>
      </x:c>
      <x:c r="L81" s="187" t="str">
        <x:v>Não classificado</x:v>
      </x:c>
    </x:row>
    <x:row r="82">
      <x:c r="A82" s="177" t="str">
        <x:v>22.358.482/0001-99</x:v>
      </x:c>
      <x:c r="B82" s="168" t="str">
        <x:v>AFINITTY MF FUNDO DE INVESTIMENTO EM DIREITOS CREDITÓRIOS FINANCEIROS - RESPONSABILIDADE LIMITADA</x:v>
      </x:c>
      <x:c r="C82" s="190" t="n">
        <x:v>1613515273.62</x:v>
      </x:c>
      <x:c r="D82" s="168" t="str">
        <x:v>ARTESANAL FINANCEIRO</x:v>
      </x:c>
      <x:c r="E82" s="168" t="str">
        <x:f>IFERROR(INDEX('Classif Gestoras'!$H$6:$H$462,MATCH(D82,'Classif Gestoras'!$A$6:$A$462,0)),"Não classificada")</x:f>
        <x:v>Independente</x:v>
      </x:c>
      <x:c r="F82" s="168" t="str">
        <x:v>Singulare</x:v>
      </x:c>
      <x:c r="G82" s="168" t="str">
        <x:v>QI CORRETORA DE TÍTULOS E VALORES MOBILIÁRIOS S.A.</x:v>
      </x:c>
      <x:c r="H82" s="168" t="str">
        <x:v>Financeiro</x:v>
      </x:c>
      <x:c r="I82" s="168" t="str">
        <x:v>Multicarteira Financeiro</x:v>
      </x:c>
      <x:c r="J82" s="168" t="str">
        <x:v>CI</x:v>
      </x:c>
      <x:c r="K82" s="174" t="n">
        <x:v>1</x:v>
      </x:c>
      <x:c r="L82" s="187" t="str">
        <x:v>Proxy multicedente/multissacado — revisar</x:v>
      </x:c>
    </x:row>
    <x:row r="83">
      <x:c r="A83" s="177" t="str">
        <x:v>54.836.930/0001-09</x:v>
      </x:c>
      <x:c r="B83" s="168" t="str">
        <x:v>FUNDO DE INVESTIMENTO EM DIREITOS CREDITÓRIOS METEORO - RESP LTDA</x:v>
      </x:c>
      <x:c r="C83" s="190" t="n">
        <x:v>1581155876.63</x:v>
      </x:c>
      <x:c r="D83" s="168" t="str">
        <x:v>Oliveira Trust Servicer</x:v>
      </x:c>
      <x:c r="E83" s="168" t="str">
        <x:f>IFERROR(INDEX('Classif Gestoras'!$H$6:$H$462,MATCH(D83,'Classif Gestoras'!$A$6:$A$462,0)),"Não classificada")</x:f>
        <x:v>Independente</x:v>
      </x:c>
      <x:c r="F83" s="168" t="str">
        <x:v>Oliveira Trust DTVM</x:v>
      </x:c>
      <x:c r="G83" s="168" t="str">
        <x:v>OLIVEIRA TRUST DTVM S.A.</x:v>
      </x:c>
      <x:c r="H83" s="168" t="str">
        <x:v>Financeiro</x:v>
      </x:c>
      <x:c r="I83" s="168" t="str">
        <x:v>Crédito Pessoal</x:v>
      </x:c>
      <x:c r="J83" s="168" t="str">
        <x:v>CI</x:v>
      </x:c>
      <x:c r="K83" s="174" t="n">
        <x:v>2</x:v>
      </x:c>
      <x:c r="L83" s="187" t="str">
        <x:v>Não classificado</x:v>
      </x:c>
    </x:row>
    <x:row r="84">
      <x:c r="A84" s="177" t="str">
        <x:v>23.200.289/0001-98</x:v>
      </x:c>
      <x:c r="B84" s="168" t="str">
        <x:v>CF FUNDO DE INVESTIMENTO EM DIREITOS CREDITÓRIOS - RESPONSABILIDADE LIMITADA</x:v>
      </x:c>
      <x:c r="C84" s="190" t="n">
        <x:v>1574623758.76</x:v>
      </x:c>
      <x:c r="D84" s="168" t="str">
        <x:v>TERCON ASSET MANAGEMENT</x:v>
      </x:c>
      <x:c r="E84" s="168" t="str">
        <x:f>IFERROR(INDEX('Classif Gestoras'!$H$6:$H$462,MATCH(D84,'Classif Gestoras'!$A$6:$A$462,0)),"Não classificada")</x:f>
        <x:v>Independente</x:v>
      </x:c>
      <x:c r="F84" s="168" t="str">
        <x:v>Singulare</x:v>
      </x:c>
      <x:c r="G84" s="168" t="str">
        <x:v>QI CORRETORA DE TÍTULOS E VALORES MOBILIÁRIOS S.A.</x:v>
      </x:c>
      <x:c r="H84" s="168" t="str">
        <x:v>Fomento Mercantil</x:v>
      </x:c>
      <x:c r="I84" s="168" t="str">
        <x:v>Fomento Mercantil</x:v>
      </x:c>
      <x:c r="J84" s="168" t="str">
        <x:v>CI</x:v>
      </x:c>
      <x:c r="K84" s="174" t="n">
        <x:v>1</x:v>
      </x:c>
      <x:c r="L84" s="187" t="str">
        <x:v>Não classificado</x:v>
      </x:c>
    </x:row>
    <x:row r="85">
      <x:c r="A85" s="177" t="str">
        <x:v>08.632.394/0001-02</x:v>
      </x:c>
      <x:c r="B85" s="168" t="str">
        <x:v>RED - FUNDO DE INVESTIMENTO EM DIREITOS CREDITÓRIOS MULTISETORIAL LP - RESPONSABILIDADE LIMITADA</x:v>
      </x:c>
      <x:c r="C85" s="190" t="n">
        <x:v>1549959247.84</x:v>
      </x:c>
      <x:c r="D85" s="168" t="str">
        <x:v>RedAsset Gestão de Recursos Ltda.</x:v>
      </x:c>
      <x:c r="E85" s="168" t="str">
        <x:f>IFERROR(INDEX('Classif Gestoras'!$H$6:$H$462,MATCH(D85,'Classif Gestoras'!$A$6:$A$462,0)),"Não classificada")</x:f>
        <x:v>Independente</x:v>
      </x:c>
      <x:c r="F85" s="168" t="str">
        <x:v>HEMERA DTVM</x:v>
      </x:c>
      <x:c r="G85" s="168" t="str">
        <x:v>HEMERA DISTRIBUIDORA DE TITULOS E VALORES MOBILIARIOS LTDA</x:v>
      </x:c>
      <x:c r="H85" s="168" t="str">
        <x:v>Agro, Indústria e Comércio</x:v>
      </x:c>
      <x:c r="I85" s="168" t="str">
        <x:v>Multicarteira Agro, Indústria e Comércio</x:v>
      </x:c>
      <x:c r="J85" s="168" t="str">
        <x:v>CI</x:v>
      </x:c>
      <x:c r="K85" s="174" t="n">
        <x:v>184</x:v>
      </x:c>
      <x:c r="L85" s="187" t="str">
        <x:v>Proxy multicedente/multissacado — revisar</x:v>
      </x:c>
    </x:row>
    <x:row r="86">
      <x:c r="A86" s="177" t="str">
        <x:v>12.428.086/0001-37</x:v>
      </x:c>
      <x:c r="B86" s="168" t="str">
        <x:v>FUNDO DE INVESTIMENTO EM DIREITOS CREDITÓRIOS NÃO-PADRONIZADOS MULTISSETORIAL BS NP</x:v>
      </x:c>
      <x:c r="C86" s="190" t="n">
        <x:v>1542410199.63</x:v>
      </x:c>
      <x:c r="D86" s="168" t="str">
        <x:v>TERCON ASSET MANAGEMENT</x:v>
      </x:c>
      <x:c r="E86" s="168" t="str">
        <x:f>IFERROR(INDEX('Classif Gestoras'!$H$6:$H$462,MATCH(D86,'Classif Gestoras'!$A$6:$A$462,0)),"Não classificada")</x:f>
        <x:v>Independente</x:v>
      </x:c>
      <x:c r="F86" s="168" t="str">
        <x:v>Singulare</x:v>
      </x:c>
      <x:c r="G86" s="168" t="str">
        <x:v>QI CORRETORA DE TÍTULOS E VALORES MOBILIÁRIOS S.A.</x:v>
      </x:c>
      <x:c r="H86" s="168" t="str">
        <x:v>Fomento Mercantil</x:v>
      </x:c>
      <x:c r="I86" s="168" t="str">
        <x:v>Fomento Mercantil</x:v>
      </x:c>
      <x:c r="J86" s="168" t="str">
        <x:v>CI</x:v>
      </x:c>
      <x:c r="K86" s="174" t="n">
        <x:v>13</x:v>
      </x:c>
      <x:c r="L86" s="187" t="str">
        <x:v>Não classificado</x:v>
      </x:c>
    </x:row>
    <x:row r="87">
      <x:c r="A87" s="177" t="str">
        <x:v>57.833.038/0001-62</x:v>
      </x:c>
      <x:c r="B87" s="168" t="str">
        <x:v>ALDEBARAN II FUNDO DE INVESTIMENTO EM DIREITOS CREDITÓRIOS - RESPONSABILIDADE LIMITADA</x:v>
      </x:c>
      <x:c r="C87" s="190" t="n">
        <x:v>1509875490.34</x:v>
      </x:c>
      <x:c r="D87" s="168" t="str">
        <x:v>Emerald Gestão de Investimento</x:v>
      </x:c>
      <x:c r="E87" s="168" t="str">
        <x:f>IFERROR(INDEX('Classif Gestoras'!$H$6:$H$462,MATCH(D87,'Classif Gestoras'!$A$6:$A$462,0)),"Não classificada")</x:f>
        <x:v>Independente</x:v>
      </x:c>
      <x:c r="F87" s="168" t="str">
        <x:v>BANCO J. SAFRA S/A</x:v>
      </x:c>
      <x:c r="G87" s="168" t="str">
        <x:v>OLIVEIRA TRUST DTVM S.A.</x:v>
      </x:c>
      <x:c r="H87" s="168" t="str">
        <x:v>Fomento Mercantil</x:v>
      </x:c>
      <x:c r="I87" s="168" t="str">
        <x:v>Fomento Mercantil</x:v>
      </x:c>
      <x:c r="J87" s="168" t="str">
        <x:v>CI</x:v>
      </x:c>
      <x:c r="K87" s="174" t="n">
        <x:v>7</x:v>
      </x:c>
      <x:c r="L87" s="187" t="str">
        <x:v>Não classificado</x:v>
      </x:c>
    </x:row>
    <x:row r="88">
      <x:c r="A88" s="177" t="str">
        <x:v>13.764.696/0001-74</x:v>
      </x:c>
      <x:c r="B88" s="168" t="str">
        <x:v>JC 4870 FUNDO DE INVESTIMENTO EM DIREITOS CREDITÓRIOS NÃO-PADRONIZADOS</x:v>
      </x:c>
      <x:c r="C88" s="190" t="n">
        <x:v>1418222760.4299998</x:v>
      </x:c>
      <x:c r="D88" s="168" t="str">
        <x:v>Jus Capital Gestão de Recursos LTDA</x:v>
      </x:c>
      <x:c r="E88" s="168" t="str">
        <x:f>IFERROR(INDEX('Classif Gestoras'!$H$6:$H$462,MATCH(D88,'Classif Gestoras'!$A$6:$A$462,0)),"Não classificada")</x:f>
        <x:v>Independente</x:v>
      </x:c>
      <x:c r="F88" s="168" t="str">
        <x:v>MAF Distribuidora de Títulos e Valores Mobiliários S.A.</x:v>
      </x:c>
      <x:c r="G88" s="168" t="str">
        <x:v>MAF DISTRIBUIDORA DE TITULOS E VALORES MOBILIARIOS S.A.</x:v>
      </x:c>
      <x:c r="H88" s="168" t="str">
        <x:v>Outros</x:v>
      </x:c>
      <x:c r="I88" s="168" t="str">
        <x:v>Multicarteira Outros</x:v>
      </x:c>
      <x:c r="J88" s="168" t="str">
        <x:v>CI</x:v>
      </x:c>
      <x:c r="K88" s="174" t="n">
        <x:v>1</x:v>
      </x:c>
      <x:c r="L88" s="187" t="str">
        <x:v>Proxy multicedente/multissacado — revisar</x:v>
      </x:c>
    </x:row>
    <x:row r="89">
      <x:c r="A89" s="177" t="str">
        <x:v>47.227.790/0001-06</x:v>
      </x:c>
      <x:c r="B89" s="168" t="str">
        <x:v>SAPPHIRE FUNDO DE INVESTIMENTO EM DIREITOS CREDITÓRIOS DE RESPONSABILIDADE LIMITADA</x:v>
      </x:c>
      <x:c r="C89" s="190" t="n">
        <x:v>1405472107.1999998</x:v>
      </x:c>
      <x:c r="D89" s="168" t="str">
        <x:v>Portofino Multi Family Office</x:v>
      </x:c>
      <x:c r="E89" s="168" t="str">
        <x:f>IFERROR(INDEX('Classif Gestoras'!$H$6:$H$462,MATCH(D89,'Classif Gestoras'!$A$6:$A$462,0)),"Não classificada")</x:f>
        <x:v>Independente</x:v>
      </x:c>
      <x:c r="F89" s="168" t="str">
        <x:v>BANCO DAYCOVAL S/A</x:v>
      </x:c>
      <x:c r="G89" s="168" t="str">
        <x:v>BANCO DAYCOVAL S.A.</x:v>
      </x:c>
      <x:c r="H89" s="168" t="str">
        <x:v>Outros</x:v>
      </x:c>
      <x:c r="I89" s="168" t="str">
        <x:v>Poder Público</x:v>
      </x:c>
      <x:c r="J89" s="168" t="str">
        <x:v>CI</x:v>
      </x:c>
      <x:c r="K89" s="174" t="n">
        <x:v>3</x:v>
      </x:c>
      <x:c r="L89" s="187" t="str">
        <x:v>Não classificado</x:v>
      </x:c>
    </x:row>
    <x:row r="90">
      <x:c r="A90" s="177" t="str">
        <x:v>57.325.251/0001-63</x:v>
      </x:c>
      <x:c r="B90" s="168" t="str">
        <x:v>ANGICO FIDC SEGMENTO INFRAESTRUTURA E AGRONEGÓCIO DE RESPONSABILIDADE LIMITADA</x:v>
      </x:c>
      <x:c r="C90" s="190" t="n">
        <x:v>1392033377.5600002</x:v>
      </x:c>
      <x:c r="D90" s="168" t="str">
        <x:v>Itau Unibanco</x:v>
      </x:c>
      <x:c r="E90" s="168" t="str">
        <x:f>IFERROR(INDEX('Classif Gestoras'!$H$6:$H$462,MATCH(D90,'Classif Gestoras'!$A$6:$A$462,0)),"Não classificada")</x:f>
        <x:v>Ligada a banco</x:v>
      </x:c>
      <x:c r="F90" s="168" t="str">
        <x:v>INTRAG DIST. DE TÍTU</x:v>
      </x:c>
      <x:c r="G90" s="168" t="str">
        <x:v>ITAU UNIBANCO S.A.</x:v>
      </x:c>
      <x:c r="H90" s="168" t="str">
        <x:v>Agro, Indústria e Comércio</x:v>
      </x:c>
      <x:c r="I90" s="168" t="str">
        <x:v>Agronegócio</x:v>
      </x:c>
      <x:c r="J90" s="168" t="str">
        <x:v>CI</x:v>
      </x:c>
      <x:c r="K90" s="174" t="n">
        <x:v>1</x:v>
      </x:c>
      <x:c r="L90" s="187" t="str">
        <x:v>Não classificado</x:v>
      </x:c>
    </x:row>
    <x:row r="91">
      <x:c r="A91" s="177" t="str">
        <x:v>31.739.396/0001-17</x:v>
      </x:c>
      <x:c r="B91" s="168" t="str">
        <x:v>LF III FUNDO DE INVESTIMENTO EM DIREITOS CREDITÓRIOS DE RESPONSABILIDADE LIMITADA</x:v>
      </x:c>
      <x:c r="C91" s="190" t="n">
        <x:v>1385095020.4899998</x:v>
      </x:c>
      <x:c r="D91" s="168" t="str">
        <x:v>Petra Capital</x:v>
      </x:c>
      <x:c r="E91" s="168" t="str">
        <x:f>IFERROR(INDEX('Classif Gestoras'!$H$6:$H$462,MATCH(D91,'Classif Gestoras'!$A$6:$A$462,0)),"Não classificada")</x:f>
        <x:v>Independente</x:v>
      </x:c>
      <x:c r="F91" s="168" t="str">
        <x:v>Finaxis Corretora de Títulos e Valores Mobiliários S.A.</x:v>
      </x:c>
      <x:c r="G91" s="168" t="str">
        <x:v>BANCO FINAXIS S.A.</x:v>
      </x:c>
      <x:c r="H91" s="168" t="str">
        <x:v>Agro, Indústria e Comércio</x:v>
      </x:c>
      <x:c r="I91" s="168" t="str">
        <x:v>Recebíveis Comerciais</x:v>
      </x:c>
      <x:c r="J91" s="168" t="str">
        <x:v>CI</x:v>
      </x:c>
      <x:c r="K91" s="174" t="n">
        <x:v>45</x:v>
      </x:c>
      <x:c r="L91" s="187" t="str">
        <x:v>Não classificado</x:v>
      </x:c>
    </x:row>
    <x:row r="92">
      <x:c r="A92" s="177" t="str">
        <x:v>45.207.707/0001-01</x:v>
      </x:c>
      <x:c r="B92" s="168" t="str">
        <x:v>LASSIE EDUCATION CRÉDITOS JUDICIAIS FUNDO DE INVESTIMENTO EM DIREITOS CREDITÓRIOS</x:v>
      </x:c>
      <x:c r="C92" s="190" t="n">
        <x:v>1373849899.13</x:v>
      </x:c>
      <x:c r="D92" s="168" t="str">
        <x:v>LASS CAPITAL</x:v>
      </x:c>
      <x:c r="E92" s="168" t="str">
        <x:f>IFERROR(INDEX('Classif Gestoras'!$H$6:$H$462,MATCH(D92,'Classif Gestoras'!$A$6:$A$462,0)),"Não classificada")</x:f>
        <x:v>Independente</x:v>
      </x:c>
      <x:c r="F92" s="168" t="str">
        <x:v>BTG Pactual Servicos Financeiros S/A DTVM</x:v>
      </x:c>
      <x:c r="G92" s="168" t="str">
        <x:v>BANCO BTG PACTUAL S/A</x:v>
      </x:c>
      <x:c r="H92" s="168" t="str">
        <x:v>Outros</x:v>
      </x:c>
      <x:c r="I92" s="168" t="str">
        <x:v>Poder Público</x:v>
      </x:c>
      <x:c r="J92" s="168" t="str">
        <x:v>CI</x:v>
      </x:c>
      <x:c r="K92" s="174" t="n">
        <x:v>4</x:v>
      </x:c>
      <x:c r="L92" s="187" t="str">
        <x:v>Não classificado</x:v>
      </x:c>
    </x:row>
    <x:row r="93">
      <x:c r="A93" s="177" t="str">
        <x:v>39.669.950/0001-49</x:v>
      </x:c>
      <x:c r="B93" s="168" t="str">
        <x:v>FUNDO DE INVESTIMENTO EM DIREITOS CREDITÓRIOS SOMACRED BACH - RESPONSABILIDADE LIMITADA</x:v>
      </x:c>
      <x:c r="C93" s="190" t="n">
        <x:v>1369294417.4099998</x:v>
      </x:c>
      <x:c r="D93" s="168" t="str">
        <x:v>VERT Gestora de Recursos Financeiros Ltda.</x:v>
      </x:c>
      <x:c r="E93" s="168" t="str">
        <x:f>IFERROR(INDEX('Classif Gestoras'!$H$6:$H$462,MATCH(D93,'Classif Gestoras'!$A$6:$A$462,0)),"Não classificada")</x:f>
        <x:v>Independente</x:v>
      </x:c>
      <x:c r="F93" s="168" t="str">
        <x:v>VERT Distribuidora de Títulos e Valores Mobiliários Ltd</x:v>
      </x:c>
      <x:c r="G93" s="168" t="str">
        <x:v>VERT DISTRIBUIDORA DE TÍTULOS E VALORES MOBILIÁRIOS LTDA.</x:v>
      </x:c>
      <x:c r="H93" s="168" t="str">
        <x:v>Outros</x:v>
      </x:c>
      <x:c r="I93" s="168" t="str">
        <x:v>Multicarteira Outros</x:v>
      </x:c>
      <x:c r="J93" s="168" t="str">
        <x:v>CI</x:v>
      </x:c>
      <x:c r="K93" s="174" t="n">
        <x:v>18</x:v>
      </x:c>
      <x:c r="L93" s="187" t="str">
        <x:v>Proxy multicedente/multissacado — revisar</x:v>
      </x:c>
    </x:row>
    <x:row r="94">
      <x:c r="A94" s="177" t="str">
        <x:v>52.327.260/0001-70</x:v>
      </x:c>
      <x:c r="B94" s="168" t="str">
        <x:v>IFOOD I FIDC SEGMENTO MEIOS DE PAGAMENTO DE RESPONSABILIDADA</x:v>
      </x:c>
      <x:c r="C94" s="190" t="n">
        <x:v>1357551434.14</x:v>
      </x:c>
      <x:c r="D94" s="168" t="str">
        <x:v>GENIAL GESTÃO LTDA.</x:v>
      </x:c>
      <x:c r="E94" s="168" t="str">
        <x:f>IFERROR(INDEX('Classif Gestoras'!$H$6:$H$462,MATCH(D94,'Classif Gestoras'!$A$6:$A$462,0)),"Não classificada")</x:f>
        <x:v>Ligada a banco</x:v>
      </x:c>
      <x:c r="F94" s="168" t="str">
        <x:v>Banco Genial S.A.</x:v>
      </x:c>
      <x:c r="G94" s="168" t="str">
        <x:v>BANCO GENIAL S.A.</x:v>
      </x:c>
      <x:c r="H94" s="168" t="str">
        <x:v>Agro, Indústria e Comércio</x:v>
      </x:c>
      <x:c r="I94" s="168" t="str">
        <x:v>Recebíveis Comerciais</x:v>
      </x:c>
      <x:c r="J94" s="168" t="str">
        <x:v>CI</x:v>
      </x:c>
      <x:c r="K94" s="174" t="n">
        <x:v>2</x:v>
      </x:c>
      <x:c r="L94" s="187" t="str">
        <x:v>Não classificado</x:v>
      </x:c>
    </x:row>
    <x:row r="95">
      <x:c r="A95" s="177" t="str">
        <x:v>61.285.603/0001-71</x:v>
      </x:c>
      <x:c r="B95" s="168" t="str">
        <x:v>MAROBÁ FUNDO DE INVESTMENTO EM DIREITOS CREDITÓRIOS RESPONSABILIDADE LIMITADA</x:v>
      </x:c>
      <x:c r="C95" s="190" t="n">
        <x:v>1354307152.86</x:v>
      </x:c>
      <x:c r="D95" s="168" t="str">
        <x:v>Kanastra</x:v>
      </x:c>
      <x:c r="E95" s="168" t="str">
        <x:f>IFERROR(INDEX('Classif Gestoras'!$H$6:$H$462,MATCH(D95,'Classif Gestoras'!$A$6:$A$462,0)),"Não classificada")</x:f>
        <x:v>Independente</x:v>
      </x:c>
      <x:c r="F95" s="168" t="str">
        <x:v>INTRAG DIST. DE TÍTU</x:v>
      </x:c>
      <x:c r="G95" s="168" t="str">
        <x:v>LIMINE TRUST DISTRIBUIDORA DE TITULOS E VALORES MOBILIARIOS LTDA.</x:v>
      </x:c>
      <x:c r="H95" s="168" t="str">
        <x:v>Outros</x:v>
      </x:c>
      <x:c r="I95" s="168" t="str">
        <x:v>Multicarteira Outros</x:v>
      </x:c>
      <x:c r="J95" s="168" t="str">
        <x:v>CI</x:v>
      </x:c>
      <x:c r="K95" s="174" t="n">
        <x:v>1</x:v>
      </x:c>
      <x:c r="L95" s="187" t="str">
        <x:v>Proxy multicedente/multissacado — revisar</x:v>
      </x:c>
    </x:row>
    <x:row r="96">
      <x:c r="A96" s="177" t="str">
        <x:v>58.893.662/0001-18</x:v>
      </x:c>
      <x:c r="B96" s="168" t="str">
        <x:v>JIVE BOSSANOVA90 - FUNDO DE INVESTIMENTO EM DIREITOS CREDITÓRIOS</x:v>
      </x:c>
      <x:c r="C96" s="190" t="n">
        <x:v>1353750980.18</x:v>
      </x:c>
      <x:c r="D96" s="168" t="str">
        <x:v>JIVE HIGH YIELD GESTÃO DE RECURSOS LTDA</x:v>
      </x:c>
      <x:c r="E96" s="168" t="str">
        <x:f>IFERROR(INDEX('Classif Gestoras'!$H$6:$H$462,MATCH(D96,'Classif Gestoras'!$A$6:$A$462,0)),"Não classificada")</x:f>
        <x:v>Independente</x:v>
      </x:c>
      <x:c r="F96" s="168" t="str">
        <x:v>BANCO DAYCOVAL S/A</x:v>
      </x:c>
      <x:c r="G96" s="168" t="str">
        <x:v>BANCO DAYCOVAL S.A.</x:v>
      </x:c>
      <x:c r="H96" s="168" t="str">
        <x:v>Outros</x:v>
      </x:c>
      <x:c r="I96" s="168" t="str">
        <x:v>Multicarteira Outros</x:v>
      </x:c>
      <x:c r="J96" s="168" t="str">
        <x:v>CI</x:v>
      </x:c>
      <x:c r="K96" s="174" t="n">
        <x:v>23847</x:v>
      </x:c>
      <x:c r="L96" s="187" t="str">
        <x:v>Proxy multicedente/multissacado — revisar</x:v>
      </x:c>
    </x:row>
    <x:row r="97">
      <x:c r="A97" s="177" t="str">
        <x:v>11.375.619/0001-05</x:v>
      </x:c>
      <x:c r="B97" s="168" t="str">
        <x:v>CJP FIDC-NP CRÉDITOS JUDICIAIS E PRECATÓRIOS</x:v>
      </x:c>
      <x:c r="C97" s="190" t="n">
        <x:v>1347830014.9</x:v>
      </x:c>
      <x:c r="D97" s="168" t="str">
        <x:v>Veritas Capital Management</x:v>
      </x:c>
      <x:c r="E97" s="168" t="str">
        <x:f>IFERROR(INDEX('Classif Gestoras'!$H$6:$H$462,MATCH(D97,'Classif Gestoras'!$A$6:$A$462,0)),"Não classificada")</x:f>
        <x:v>Independente</x:v>
      </x:c>
      <x:c r="F97" s="168" t="str">
        <x:v>RJI Investimentos</x:v>
      </x:c>
      <x:c r="G97" s="168" t="str">
        <x:v>RJI CORRETORA DE TÍTULOS E VALORES MOBILIÁRIOS LTDA.</x:v>
      </x:c>
      <x:c r="H97" s="168" t="str">
        <x:v>Outros</x:v>
      </x:c>
      <x:c r="I97" s="168" t="str">
        <x:v>Poder Público</x:v>
      </x:c>
      <x:c r="J97" s="168" t="str">
        <x:v>CI</x:v>
      </x:c>
      <x:c r="K97" s="174" t="n">
        <x:v>2</x:v>
      </x:c>
      <x:c r="L97" s="187" t="str">
        <x:v>Não classificado</x:v>
      </x:c>
    </x:row>
    <x:row r="98">
      <x:c r="A98" s="177" t="str">
        <x:v>57.532.556/0001-46</x:v>
      </x:c>
      <x:c r="B98" s="168" t="str">
        <x:v>FIDC BV AUTO I SEGMENTO FINANCEIRO - RESPONSABILIDADE LIMITADA</x:v>
      </x:c>
      <x:c r="C98" s="190" t="n">
        <x:v>1343918182.67</x:v>
      </x:c>
      <x:c r="D98" s="168" t="str">
        <x:v>ANGÁ ASSET MANAGEMENT</x:v>
      </x:c>
      <x:c r="E98" s="168" t="str">
        <x:f>IFERROR(INDEX('Classif Gestoras'!$H$6:$H$462,MATCH(D98,'Classif Gestoras'!$A$6:$A$462,0)),"Não classificada")</x:f>
        <x:v>Independente</x:v>
      </x:c>
      <x:c r="F98" s="168" t="str">
        <x:v>BANCO DAYCOVAL S/A</x:v>
      </x:c>
      <x:c r="G98" s="168" t="str">
        <x:v>BANCO DAYCOVAL S.A.</x:v>
      </x:c>
      <x:c r="H98" s="168" t="str">
        <x:v>Financeiro</x:v>
      </x:c>
      <x:c r="I98" s="168" t="str">
        <x:v>Crédito Pessoal</x:v>
      </x:c>
      <x:c r="J98" s="168" t="str">
        <x:v>CI</x:v>
      </x:c>
      <x:c r="K98" s="174" t="n">
        <x:v>215</x:v>
      </x:c>
      <x:c r="L98" s="187" t="str">
        <x:v>Não classificado</x:v>
      </x:c>
    </x:row>
    <x:row r="99">
      <x:c r="A99" s="177" t="str">
        <x:v>47.669.805/0001-96</x:v>
      </x:c>
      <x:c r="B99" s="168" t="str">
        <x:v>GONN FUNDO DE INVESTIMENTO EM DIREITOS CREDITORIOS</x:v>
      </x:c>
      <x:c r="C99" s="190" t="n">
        <x:v>1334359816.44</x:v>
      </x:c>
      <x:c r="D99" s="168" t="str">
        <x:v>GENIAL GESTÃO LTDA.</x:v>
      </x:c>
      <x:c r="E99" s="168" t="str">
        <x:f>IFERROR(INDEX('Classif Gestoras'!$H$6:$H$462,MATCH(D99,'Classif Gestoras'!$A$6:$A$462,0)),"Não classificada")</x:f>
        <x:v>Ligada a banco</x:v>
      </x:c>
      <x:c r="F99" s="168" t="str">
        <x:v>Banco Genial S.A.</x:v>
      </x:c>
      <x:c r="G99" s="168" t="str">
        <x:v>BANCO GENIAL S.A.</x:v>
      </x:c>
      <x:c r="H99" s="168" t="str">
        <x:v>Financeiro</x:v>
      </x:c>
      <x:c r="I99" s="168" t="str">
        <x:v>Crédito Pessoal</x:v>
      </x:c>
      <x:c r="J99" s="168" t="str">
        <x:v>CI</x:v>
      </x:c>
      <x:c r="K99" s="174" t="n">
        <x:v>2</x:v>
      </x:c>
      <x:c r="L99" s="187" t="str">
        <x:v>Não classificado</x:v>
      </x:c>
    </x:row>
    <x:row r="100">
      <x:c r="A100" s="177" t="str">
        <x:v>41.240.321/0001-40</x:v>
      </x:c>
      <x:c r="B100" s="168" t="str">
        <x:v>LAGUZ I FUNDO DE INVESTIMENTO EM DIREITOS CREDITÓRIOS NÃO-PADRONIZADOS</x:v>
      </x:c>
      <x:c r="C100" s="190" t="n">
        <x:v>1322502628.4499998</x:v>
      </x:c>
      <x:c r="D100" s="168" t="str">
        <x:v>Veritas Capital Management</x:v>
      </x:c>
      <x:c r="E100" s="168" t="str">
        <x:f>IFERROR(INDEX('Classif Gestoras'!$H$6:$H$462,MATCH(D100,'Classif Gestoras'!$A$6:$A$462,0)),"Não classificada")</x:f>
        <x:v>Independente</x:v>
      </x:c>
      <x:c r="F100" s="168" t="str">
        <x:v>PLANNER CV</x:v>
      </x:c>
      <x:c r="G100" s="168" t="str">
        <x:v>PLANNER CORRETORA DE VALORES S.A.</x:v>
      </x:c>
      <x:c r="H100" s="168" t="str">
        <x:v>Outros</x:v>
      </x:c>
      <x:c r="I100" s="168" t="str">
        <x:v>Poder Público</x:v>
      </x:c>
      <x:c r="J100" s="168" t="str">
        <x:v>CI</x:v>
      </x:c>
      <x:c r="K100" s="174" t="n">
        <x:v>1</x:v>
      </x:c>
      <x:c r="L100" s="187" t="str">
        <x:v>Não classificado</x:v>
      </x:c>
    </x:row>
    <x:row r="101">
      <x:c r="A101" s="177" t="str">
        <x:v>62.681.110/0001-13</x:v>
      </x:c>
      <x:c r="B101" s="168" t="str">
        <x:v>ÁSIA FUNDO DE INVESTIMENTO EM DIREITOS CREDITÓRIOS</x:v>
      </x:c>
      <x:c r="C101" s="190" t="n">
        <x:v>1322367301.51</x:v>
      </x:c>
      <x:c r="D101" s="168" t="str">
        <x:v>TRUSTEE DTVM</x:v>
      </x:c>
      <x:c r="E101" s="168" t="str">
        <x:f>IFERROR(INDEX('Classif Gestoras'!$H$6:$H$462,MATCH(D101,'Classif Gestoras'!$A$6:$A$462,0)),"Não classificada")</x:f>
        <x:v>Independente</x:v>
      </x:c>
      <x:c r="F101" s="168" t="str">
        <x:v>TRUSTEE DTVM</x:v>
      </x:c>
      <x:c r="G101" s="168" t="str">
        <x:v>TRUSTEE DISTRIBUIDORA DE TITULOS E VALORES MOBILIARIOS LTDA.</x:v>
      </x:c>
      <x:c r="H101" s="168" t="str">
        <x:v>Outros</x:v>
      </x:c>
      <x:c r="I101" s="168" t="str">
        <x:v>Multicarteira Outros</x:v>
      </x:c>
      <x:c r="J101" s="168" t="str">
        <x:v>CI</x:v>
      </x:c>
      <x:c r="K101" s="174" t="n">
        <x:v>1</x:v>
      </x:c>
      <x:c r="L101" s="187" t="str">
        <x:v>Proxy multicedente/multissacado — revisar</x:v>
      </x:c>
    </x:row>
    <x:row r="102">
      <x:c r="A102" s="177" t="str">
        <x:v>55.595.137/0001-28</x:v>
      </x:c>
      <x:c r="B102" s="168" t="str">
        <x:v>JIF II CRÉDITOS - FUNDO DE INVESTIMENTO EM DIREITOS CREDITÓRIOS CRÉDITO PRIVADO</x:v>
      </x:c>
      <x:c r="C102" s="190" t="n">
        <x:v>1284886990.01</x:v>
      </x:c>
      <x:c r="D102" s="168" t="str">
        <x:v>JIVE INVESTMENTS</x:v>
      </x:c>
      <x:c r="E102" s="168" t="str">
        <x:f>IFERROR(INDEX('Classif Gestoras'!$H$6:$H$462,MATCH(D102,'Classif Gestoras'!$A$6:$A$462,0)),"Não classificada")</x:f>
        <x:v>Independente</x:v>
      </x:c>
      <x:c r="F102" s="168" t="str">
        <x:v>BANCO DAYCOVAL S/A</x:v>
      </x:c>
      <x:c r="G102" s="168" t="str">
        <x:v>BANCO DAYCOVAL S.A.</x:v>
      </x:c>
      <x:c r="H102" s="168" t="str">
        <x:v>Outros</x:v>
      </x:c>
      <x:c r="I102" s="168" t="str">
        <x:v>Multicarteira Outros</x:v>
      </x:c>
      <x:c r="J102" s="168" t="str">
        <x:v>CI</x:v>
      </x:c>
      <x:c r="K102" s="174" t="n">
        <x:v>3</x:v>
      </x:c>
      <x:c r="L102" s="187" t="str">
        <x:v>Proxy multicedente/multissacado — revisar</x:v>
      </x:c>
    </x:row>
    <x:row r="103">
      <x:c r="A103" s="177" t="str">
        <x:v>08.417.544/0001-65</x:v>
      </x:c>
      <x:c r="B103" s="168" t="str">
        <x:v>PRAVALER CRÉDITO UNIVERSITÁRIO FUNDO DE INVESTIMENTO EM DIREITOS CREDITÓRIOS - RESP LIMITADA</x:v>
      </x:c>
      <x:c r="C103" s="190" t="n">
        <x:v>1269371168.5700002</x:v>
      </x:c>
      <x:c r="D103" s="168" t="str">
        <x:v>PRAVALER S/A</x:v>
      </x:c>
      <x:c r="E103" s="168" t="str">
        <x:f>IFERROR(INDEX('Classif Gestoras'!$H$6:$H$462,MATCH(D103,'Classif Gestoras'!$A$6:$A$462,0)),"Não classificada")</x:f>
        <x:v>Independente</x:v>
      </x:c>
      <x:c r="F103" s="168" t="str">
        <x:v>Oliveira Trust DTVM</x:v>
      </x:c>
      <x:c r="G103" s="168" t="str">
        <x:v>OLIVEIRA TRUST DTVM S.A.</x:v>
      </x:c>
      <x:c r="H103" s="168" t="str">
        <x:v>Financeiro</x:v>
      </x:c>
      <x:c r="I103" s="168" t="str">
        <x:v>Crédito Pessoal</x:v>
      </x:c>
      <x:c r="J103" s="168" t="str">
        <x:v>CI</x:v>
      </x:c>
      <x:c r="K103" s="174" t="n">
        <x:v>752</x:v>
      </x:c>
      <x:c r="L103" s="187" t="str">
        <x:v>Não classificado</x:v>
      </x:c>
    </x:row>
    <x:row r="104">
      <x:c r="A104" s="177" t="str">
        <x:v>11.489.344/0001-22</x:v>
      </x:c>
      <x:c r="B104" s="168" t="str">
        <x:v>RED PERFORMANCE FUNDO DE INVESTIMENTO EM DIREITOS CREDITÓRIOS NP DE RESPONSABILIDADE LIMITADA</x:v>
      </x:c>
      <x:c r="C104" s="190" t="n">
        <x:v>1268857768.8100004</x:v>
      </x:c>
      <x:c r="D104" s="168" t="str">
        <x:v>RedAsset Gestão de Recursos Ltda.</x:v>
      </x:c>
      <x:c r="E104" s="168" t="str">
        <x:f>IFERROR(INDEX('Classif Gestoras'!$H$6:$H$462,MATCH(D104,'Classif Gestoras'!$A$6:$A$462,0)),"Não classificada")</x:f>
        <x:v>Independente</x:v>
      </x:c>
      <x:c r="F104" s="168" t="str">
        <x:v>Finaxis Corretora de Títulos e Valores Mobiliários S.A.</x:v>
      </x:c>
      <x:c r="G104" s="168" t="str">
        <x:v>BANCO FINAXIS S.A.</x:v>
      </x:c>
      <x:c r="H104" s="168" t="str">
        <x:v>Outros</x:v>
      </x:c>
      <x:c r="I104" s="168" t="str">
        <x:v>Multicarteira Outros</x:v>
      </x:c>
      <x:c r="J104" s="168" t="str">
        <x:v>CI</x:v>
      </x:c>
      <x:c r="K104" s="174" t="n">
        <x:v>108</x:v>
      </x:c>
      <x:c r="L104" s="187" t="str">
        <x:v>Proxy multicedente/multissacado — revisar</x:v>
      </x:c>
    </x:row>
    <x:row r="105">
      <x:c r="A105" s="177" t="str">
        <x:v>14.166.140/0001-49</x:v>
      </x:c>
      <x:c r="B105" s="168" t="str">
        <x:v>FUNDO DE INVESTIMENTO EM DIREITOS CREDITÓRIOS SIFRA STAR</x:v>
      </x:c>
      <x:c r="C105" s="190" t="n">
        <x:v>1262537458.4299998</x:v>
      </x:c>
      <x:c r="D105" s="168" t="str">
        <x:v>ORRAM GESTÃO DE RECURSOS LTDA.</x:v>
      </x:c>
      <x:c r="E105" s="168" t="str">
        <x:f>IFERROR(INDEX('Classif Gestoras'!$H$6:$H$462,MATCH(D105,'Classif Gestoras'!$A$6:$A$462,0)),"Não classificada")</x:f>
        <x:v>Independente</x:v>
      </x:c>
      <x:c r="F105" s="168" t="str">
        <x:v>FIDD DISTRIBUIDORA DE TITULOS E VALORES MOBILIARIOS LTD</x:v>
      </x:c>
      <x:c r="G105" s="168" t="str">
        <x:v>FIDD DISTRIBUIDORA DE TITULOS E VALORES MOBILIARIOS LTDA.</x:v>
      </x:c>
      <x:c r="H105" s="168" t="str">
        <x:v>Fomento Mercantil</x:v>
      </x:c>
      <x:c r="I105" s="168" t="str">
        <x:v>Fomento Mercantil</x:v>
      </x:c>
      <x:c r="J105" s="168" t="str">
        <x:v>CI</x:v>
      </x:c>
      <x:c r="K105" s="174" t="n">
        <x:v>129</x:v>
      </x:c>
      <x:c r="L105" s="187" t="str">
        <x:v>Não classificado</x:v>
      </x:c>
    </x:row>
    <x:row r="106">
      <x:c r="A106" s="177" t="str">
        <x:v>19.221.032/0001-45</x:v>
      </x:c>
      <x:c r="B106" s="168" t="str">
        <x:v>FUNDO DE LIQUIDAÇÃO FINANCEIRA FIDC - RESPONSABILIDADE LIMITADA</x:v>
      </x:c>
      <x:c r="C106" s="190" t="n">
        <x:v>1260642054.97</x:v>
      </x:c>
      <x:c r="D106" s="168" t="str">
        <x:v>JIVE INVESTMENTS</x:v>
      </x:c>
      <x:c r="E106" s="168" t="str">
        <x:f>IFERROR(INDEX('Classif Gestoras'!$H$6:$H$462,MATCH(D106,'Classif Gestoras'!$A$6:$A$462,0)),"Não classificada")</x:f>
        <x:v>Independente</x:v>
      </x:c>
      <x:c r="F106" s="168" t="str">
        <x:v>MAF Distribuidora de Títulos e Valores Mobiliários S.A.</x:v>
      </x:c>
      <x:c r="G106" s="168" t="str">
        <x:v>MAF DISTRIBUIDORA DE TITULOS E VALORES MOBILIARIOS S.A.</x:v>
      </x:c>
      <x:c r="H106" s="168" t="str">
        <x:v>Outros</x:v>
      </x:c>
      <x:c r="I106" s="168" t="str">
        <x:v>Multicarteira Outros</x:v>
      </x:c>
      <x:c r="J106" s="168" t="str">
        <x:v>CI</x:v>
      </x:c>
      <x:c r="K106" s="174" t="n">
        <x:v>1</x:v>
      </x:c>
      <x:c r="L106" s="187" t="str">
        <x:v>Proxy multicedente/multissacado — revisar</x:v>
      </x:c>
    </x:row>
    <x:row r="107">
      <x:c r="A107" s="177" t="str">
        <x:v>52.610.624/0001-24</x:v>
      </x:c>
      <x:c r="B107" s="168" t="str">
        <x:v>AETOS ENERGIA FUNDO DE INVESTIMENTO EM DIREITOS CREDITÓRIOS</x:v>
      </x:c>
      <x:c r="C107" s="190" t="n">
        <x:v>1259703242.6</x:v>
      </x:c>
      <x:c r="D107" s="168" t="str">
        <x:v>XPI CCTVM S/A</x:v>
      </x:c>
      <x:c r="E107" s="168" t="str">
        <x:f>IFERROR(INDEX('Classif Gestoras'!$H$6:$H$462,MATCH(D107,'Classif Gestoras'!$A$6:$A$462,0)),"Não classificada")</x:f>
        <x:v>Ligada a banco</x:v>
      </x:c>
      <x:c r="F107" s="168" t="str">
        <x:v>XPI CCTVM S/A</x:v>
      </x:c>
      <x:c r="G107" s="168" t="str">
        <x:v>OLIVEIRA TRUST DTVM S.A.</x:v>
      </x:c>
      <x:c r="H107" s="168" t="str">
        <x:v>Agro, Indústria e Comércio</x:v>
      </x:c>
      <x:c r="I107" s="168" t="str">
        <x:v>Recebíveis Comerciais</x:v>
      </x:c>
      <x:c r="J107" s="168" t="str">
        <x:v>CI</x:v>
      </x:c>
      <x:c r="K107" s="174" t="n">
        <x:v>8</x:v>
      </x:c>
      <x:c r="L107" s="187" t="str">
        <x:v>Não classificado</x:v>
      </x:c>
    </x:row>
    <x:row r="108">
      <x:c r="A108" s="177" t="str">
        <x:v>32.388.135/0001-62</x:v>
      </x:c>
      <x:c r="B108" s="168" t="str">
        <x:v>MULTIAGRO FUNDO DE INVESTIMENTO EM DIREITOS CREDITÓRIOS</x:v>
      </x:c>
      <x:c r="C108" s="190" t="n">
        <x:v>1257394532.3200002</x:v>
      </x:c>
      <x:c r="D108" s="168" t="str">
        <x:v>Multiplica Capital</x:v>
      </x:c>
      <x:c r="E108" s="168" t="str">
        <x:f>IFERROR(INDEX('Classif Gestoras'!$H$6:$H$462,MATCH(D108,'Classif Gestoras'!$A$6:$A$462,0)),"Não classificada")</x:f>
        <x:v>Independente</x:v>
      </x:c>
      <x:c r="F108" s="168" t="str">
        <x:v>Singulare</x:v>
      </x:c>
      <x:c r="G108" s="168" t="str">
        <x:v>QI CORRETORA DE TÍTULOS E VALORES MOBILIÁRIOS S.A.</x:v>
      </x:c>
      <x:c r="H108" s="168" t="str">
        <x:v>Fomento Mercantil</x:v>
      </x:c>
      <x:c r="I108" s="168" t="str">
        <x:v>Fomento Mercantil</x:v>
      </x:c>
      <x:c r="J108" s="168" t="str">
        <x:v>CI</x:v>
      </x:c>
      <x:c r="K108" s="174" t="n">
        <x:v>1274</x:v>
      </x:c>
      <x:c r="L108" s="187" t="str">
        <x:v>Não classificado</x:v>
      </x:c>
    </x:row>
    <x:row r="109">
      <x:c r="A109" s="177" t="str">
        <x:v>63.465.818/0001-08</x:v>
      </x:c>
      <x:c r="B109" s="168" t="str">
        <x:v>FUNDO DE INVESTIMENTO EM DIREITOS CREDITÓRIOS NAGOYA - RESPONSABILIDADE LIMITADA</x:v>
      </x:c>
      <x:c r="C109" s="190" t="n">
        <x:v>1227455799.9999998</x:v>
      </x:c>
      <x:c r="D109" s="168" t="str">
        <x:v>Blue Solutions</x:v>
      </x:c>
      <x:c r="E109" s="168" t="str">
        <x:f>IFERROR(INDEX('Classif Gestoras'!$H$6:$H$462,MATCH(D109,'Classif Gestoras'!$A$6:$A$462,0)),"Não classificada")</x:f>
        <x:v>Independente</x:v>
      </x:c>
      <x:c r="F109" s="168" t="str">
        <x:v>Banvox DTVM</x:v>
      </x:c>
      <x:c r="G109" s="168" t="str">
        <x:v>BANVOX DISTRIBUIDORA DE TITULOS E VALORES MOBILIARIOS LTDA</x:v>
      </x:c>
      <x:c r="H109" s="168" t="str">
        <x:v>Outros</x:v>
      </x:c>
      <x:c r="I109" s="168" t="str">
        <x:v>Multicarteira Outros</x:v>
      </x:c>
      <x:c r="J109" s="168" t="str">
        <x:v>CI</x:v>
      </x:c>
      <x:c r="K109" s="174" t="n">
        <x:v>1</x:v>
      </x:c>
      <x:c r="L109" s="187" t="str">
        <x:v>Proxy multicedente/multissacado — revisar</x:v>
      </x:c>
    </x:row>
    <x:row r="110">
      <x:c r="A110" s="177" t="str">
        <x:v>08.678.936/0001-88</x:v>
      </x:c>
      <x:c r="B110" s="168" t="str">
        <x:v>SIFRA PLUS FUNDO DE INVESTIMENTO EM DIREITOS CREDITÓRIOS MULTISSEGMENTOS</x:v>
      </x:c>
      <x:c r="C110" s="190" t="n">
        <x:v>1224134952.39</x:v>
      </x:c>
      <x:c r="D110" s="168" t="str">
        <x:v>ORRAM GESTÃO DE RECURSOS LTDA.</x:v>
      </x:c>
      <x:c r="E110" s="168" t="str">
        <x:f>IFERROR(INDEX('Classif Gestoras'!$H$6:$H$462,MATCH(D110,'Classif Gestoras'!$A$6:$A$462,0)),"Não classificada")</x:f>
        <x:v>Independente</x:v>
      </x:c>
      <x:c r="F110" s="168" t="str">
        <x:v>Singulare</x:v>
      </x:c>
      <x:c r="G110" s="168" t="str">
        <x:v>QI CORRETORA DE TÍTULOS E VALORES MOBILIÁRIOS S.A.</x:v>
      </x:c>
      <x:c r="H110" s="168" t="str">
        <x:v>Fomento Mercantil</x:v>
      </x:c>
      <x:c r="I110" s="168" t="str">
        <x:v>Fomento Mercantil</x:v>
      </x:c>
      <x:c r="J110" s="168" t="str">
        <x:v>CI</x:v>
      </x:c>
      <x:c r="K110" s="174" t="n">
        <x:v>196</x:v>
      </x:c>
      <x:c r="L110" s="187" t="str">
        <x:v>Não classificado</x:v>
      </x:c>
    </x:row>
    <x:row r="111">
      <x:c r="A111" s="177" t="str">
        <x:v>29.226.654/0001-10</x:v>
      </x:c>
      <x:c r="B111" s="168" t="str">
        <x:v>INVESTCRED FUNDO DE INVESTIMENTO EM DIREITOS CREDITÓRIOS</x:v>
      </x:c>
      <x:c r="C111" s="190" t="n">
        <x:v>1219894572.31</x:v>
      </x:c>
      <x:c r="D111" s="168" t="str">
        <x:v>H2 CAPITAL</x:v>
      </x:c>
      <x:c r="E111" s="168" t="str">
        <x:f>IFERROR(INDEX('Classif Gestoras'!$H$6:$H$462,MATCH(D111,'Classif Gestoras'!$A$6:$A$462,0)),"Não classificada")</x:f>
        <x:v>Independente</x:v>
      </x:c>
      <x:c r="F111" s="168" t="str">
        <x:v>Singulare</x:v>
      </x:c>
      <x:c r="G111" s="168" t="str">
        <x:v>QI CORRETORA DE TÍTULOS E VALORES MOBILIÁRIOS S.A.</x:v>
      </x:c>
      <x:c r="H111" s="168" t="str">
        <x:v>Agro, Indústria e Comércio</x:v>
      </x:c>
      <x:c r="I111" s="168" t="str">
        <x:v>Recebíveis Comerciais</x:v>
      </x:c>
      <x:c r="J111" s="168" t="str">
        <x:v>CI</x:v>
      </x:c>
      <x:c r="K111" s="174" t="n">
        <x:v>4</x:v>
      </x:c>
      <x:c r="L111" s="187" t="str">
        <x:v>Não classificado</x:v>
      </x:c>
    </x:row>
    <x:row r="112">
      <x:c r="A112" s="177" t="str">
        <x:v>37.284.201/0001-78</x:v>
      </x:c>
      <x:c r="B112" s="168" t="str">
        <x:v>ARTESANAL RECEBÍVEIS IMOBILIÁRIOS FUNDO DE INVESTIMENTO EM DIREITOS CREDITÓRIOS - RESPONSABILIDADE L</x:v>
      </x:c>
      <x:c r="C112" s="190" t="n">
        <x:v>1209870846.5100002</x:v>
      </x:c>
      <x:c r="D112" s="168" t="str">
        <x:v>Artesanal Imobiliário</x:v>
      </x:c>
      <x:c r="E112" s="168" t="str">
        <x:f>IFERROR(INDEX('Classif Gestoras'!$H$6:$H$462,MATCH(D112,'Classif Gestoras'!$A$6:$A$462,0)),"Não classificada")</x:f>
        <x:v>Independente</x:v>
      </x:c>
      <x:c r="F112" s="168" t="str">
        <x:v>Singulare</x:v>
      </x:c>
      <x:c r="G112" s="168" t="str">
        <x:v>QI CORRETORA DE TÍTULOS E VALORES MOBILIÁRIOS S.A.</x:v>
      </x:c>
      <x:c r="H112" s="168" t="str">
        <x:v>Financeiro</x:v>
      </x:c>
      <x:c r="I112" s="168" t="str">
        <x:v>Crédito Imobiliário</x:v>
      </x:c>
      <x:c r="J112" s="168" t="str">
        <x:v>CI</x:v>
      </x:c>
      <x:c r="K112" s="174" t="n">
        <x:v>51</x:v>
      </x:c>
      <x:c r="L112" s="187" t="str">
        <x:v>Não classificado</x:v>
      </x:c>
    </x:row>
    <x:row r="113">
      <x:c r="A113" s="177" t="str">
        <x:v>63.546.406/0001-94</x:v>
      </x:c>
      <x:c r="B113" s="168" t="str">
        <x:v>PINE INSS III FUNDO DE INVESTIMENTO EM DIREITOS CREDITÓRIOS RESPONSABILIDADE LIMITADA</x:v>
      </x:c>
      <x:c r="C113" s="190" t="n">
        <x:v>1205566142.54</x:v>
      </x:c>
      <x:c r="D113" s="168" t="str">
        <x:v>VERT Gestora de Recursos Financeiros Ltda.</x:v>
      </x:c>
      <x:c r="E113" s="168" t="str">
        <x:f>IFERROR(INDEX('Classif Gestoras'!$H$6:$H$462,MATCH(D113,'Classif Gestoras'!$A$6:$A$462,0)),"Não classificada")</x:f>
        <x:v>Independente</x:v>
      </x:c>
      <x:c r="F113" s="168" t="str">
        <x:v>VERT Distribuidora de Títulos e Valores Mobiliários Ltd</x:v>
      </x:c>
      <x:c r="G113" s="168" t="str">
        <x:v>VERT DISTRIBUIDORA DE TÍTULOS E VALORES MOBILIÁRIOS LTDA.</x:v>
      </x:c>
      <x:c r="H113" s="168" t="str">
        <x:v>Financeiro</x:v>
      </x:c>
      <x:c r="I113" s="168" t="str">
        <x:v>Crédito Consignado</x:v>
      </x:c>
      <x:c r="J113" s="168" t="str">
        <x:v>CI</x:v>
      </x:c>
      <x:c r="K113" s="174" t="n">
        <x:v>5</x:v>
      </x:c>
      <x:c r="L113" s="187" t="str">
        <x:v>Não classificado</x:v>
      </x:c>
    </x:row>
    <x:row r="114">
      <x:c r="A114" s="177" t="str">
        <x:v>25.213.355/0001-90</x:v>
      </x:c>
      <x:c r="B114" s="168" t="str">
        <x:v>VALORA GUARDIAN ADVISORY FUNDO DE INVESTIMENTO EM DIREITOS CREDITÓRIOS - RESPONSABILIDADE LIMITADA</x:v>
      </x:c>
      <x:c r="C114" s="190" t="n">
        <x:v>1189598129.68</x:v>
      </x:c>
      <x:c r="D114" s="168" t="str">
        <x:v>VALORA RENDA FIXA LTDA.</x:v>
      </x:c>
      <x:c r="E114" s="168" t="str">
        <x:f>IFERROR(INDEX('Classif Gestoras'!$H$6:$H$462,MATCH(D114,'Classif Gestoras'!$A$6:$A$462,0)),"Não classificada")</x:f>
        <x:v>Independente</x:v>
      </x:c>
      <x:c r="F114" s="168" t="str">
        <x:v>BNY MELLON SERVICOS</x:v>
      </x:c>
      <x:c r="G114" s="168" t="str">
        <x:v>BNY MELLON BANCO S.A.</x:v>
      </x:c>
      <x:c r="H114" s="168" t="str">
        <x:v>Outros</x:v>
      </x:c>
      <x:c r="I114" s="168" t="str">
        <x:v>Multicarteira Outros</x:v>
      </x:c>
      <x:c r="J114" s="168" t="str">
        <x:v>CI</x:v>
      </x:c>
      <x:c r="K114" s="174" t="n">
        <x:v>9323</x:v>
      </x:c>
      <x:c r="L114" s="187" t="str">
        <x:v>Proxy multicedente/multissacado — revisar</x:v>
      </x:c>
    </x:row>
    <x:row r="115">
      <x:c r="A115" s="177" t="str">
        <x:v>61.267.293/0001-62</x:v>
      </x:c>
      <x:c r="B115" s="168" t="str">
        <x:v>ER 2030 FUNDO DE INVESTIMENTO EM DIREITOS CREDITÓRIOS RESPONSABILIDADE LIMITADA</x:v>
      </x:c>
      <x:c r="C115" s="190" t="n">
        <x:v>1184187714.2900002</x:v>
      </x:c>
      <x:c r="D115" s="168" t="str">
        <x:v>JGP Gestão de Crédito LTDA.</x:v>
      </x:c>
      <x:c r="E115" s="168" t="str">
        <x:f>IFERROR(INDEX('Classif Gestoras'!$H$6:$H$462,MATCH(D115,'Classif Gestoras'!$A$6:$A$462,0)),"Não classificada")</x:f>
        <x:v>Independente</x:v>
      </x:c>
      <x:c r="F115" s="168" t="str">
        <x:v>VERT Distribuidora de Títulos e Valores Mobiliários Ltd</x:v>
      </x:c>
      <x:c r="G115" s="168" t="str">
        <x:v>VERT DISTRIBUIDORA DE TÍTULOS E VALORES MOBILIÁRIOS LTDA.</x:v>
      </x:c>
      <x:c r="H115" s="168" t="str">
        <x:v>Agro, Indústria e Comércio</x:v>
      </x:c>
      <x:c r="I115" s="168" t="str">
        <x:v>Infraestrutura</x:v>
      </x:c>
      <x:c r="J115" s="168" t="str">
        <x:v>CI</x:v>
      </x:c>
      <x:c r="K115" s="174" t="n">
        <x:v>4</x:v>
      </x:c>
      <x:c r="L115" s="187" t="str">
        <x:v>Não classificado</x:v>
      </x:c>
    </x:row>
    <x:row r="116">
      <x:c r="A116" s="177" t="str">
        <x:v>47.094.392/0001-69</x:v>
      </x:c>
      <x:c r="B116" s="168" t="str">
        <x:v>LIETO11 FUNDO DE INVESTIMENTO EM DIREITOS CREDITÓRIOS NÃO-PADRONIZADO RESPONSABILIDADE ILIMITADA</x:v>
      </x:c>
      <x:c r="C116" s="190" t="n">
        <x:v>1182945731.6999998</x:v>
      </x:c>
      <x:c r="D116" s="168" t="str">
        <x:v>GESTORA DE RECURSOS ID - GRID LTDA.</x:v>
      </x:c>
      <x:c r="E116" s="168" t="str">
        <x:f>IFERROR(INDEX('Classif Gestoras'!$H$6:$H$462,MATCH(D116,'Classif Gestoras'!$A$6:$A$462,0)),"Não classificada")</x:f>
        <x:v>Independente</x:v>
      </x:c>
      <x:c r="F116" s="168" t="str">
        <x:v>ID Corretora de Títulos e Valores Mobiliários S.A.</x:v>
      </x:c>
      <x:c r="G116" s="168" t="str">
        <x:v>ID CORRETORA DE TITULOS E VALORES MOBILIARIOS S.A.</x:v>
      </x:c>
      <x:c r="H116" s="168" t="str">
        <x:v>Outros</x:v>
      </x:c>
      <x:c r="I116" s="168" t="str">
        <x:v>Multicarteira Outros</x:v>
      </x:c>
      <x:c r="J116" s="168" t="str">
        <x:v>CI</x:v>
      </x:c>
      <x:c r="K116" s="174" t="n">
        <x:v>2</x:v>
      </x:c>
      <x:c r="L116" s="187" t="str">
        <x:v>Proxy multicedente/multissacado — revisar</x:v>
      </x:c>
    </x:row>
    <x:row r="117">
      <x:c r="A117" s="177" t="str">
        <x:v>29.469.420/0001-01</x:v>
      </x:c>
      <x:c r="B117" s="168" t="str">
        <x:v>MULTIPLIKE FUNDO DE INVESTIMENTO EM DIREITOS CREDITÓRIOS - RESPONSABILIDADE LIMITADA</x:v>
      </x:c>
      <x:c r="C117" s="190" t="n">
        <x:v>1167867039.2999997</x:v>
      </x:c>
      <x:c r="D117" s="168" t="str">
        <x:v>Multiplike Gestão de Recursos Ltda</x:v>
      </x:c>
      <x:c r="E117" s="168" t="str">
        <x:f>IFERROR(INDEX('Classif Gestoras'!$H$6:$H$462,MATCH(D117,'Classif Gestoras'!$A$6:$A$462,0)),"Não classificada")</x:f>
        <x:v>Independente</x:v>
      </x:c>
      <x:c r="F117" s="168" t="str">
        <x:v>Singulare</x:v>
      </x:c>
      <x:c r="G117" s="168" t="str">
        <x:v>QI CORRETORA DE TÍTULOS E VALORES MOBILIÁRIOS S.A.</x:v>
      </x:c>
      <x:c r="H117" s="168" t="str">
        <x:v>Fomento Mercantil</x:v>
      </x:c>
      <x:c r="I117" s="168" t="str">
        <x:v>Fomento Mercantil</x:v>
      </x:c>
      <x:c r="J117" s="168" t="str">
        <x:v>CI</x:v>
      </x:c>
      <x:c r="K117" s="174" t="n">
        <x:v>272</x:v>
      </x:c>
      <x:c r="L117" s="187" t="str">
        <x:v>Não classificado</x:v>
      </x:c>
    </x:row>
    <x:row r="118">
      <x:c r="A118" s="177" t="str">
        <x:v>59.595.605/0001-15</x:v>
      </x:c>
      <x:c r="B118" s="168" t="str">
        <x:v>BTG PACTUAL ATLAS FUNDO DE INVESTIMENTO EM DIREITOS CREDITÓRIOS RESPONSABILIDADE LIMITADA</x:v>
      </x:c>
      <x:c r="C118" s="190" t="n">
        <x:v>1165691142.0100002</x:v>
      </x:c>
      <x:c r="D118" s="168" t="str">
        <x:v>BTG Pactual Asset</x:v>
      </x:c>
      <x:c r="E118" s="168" t="str">
        <x:f>IFERROR(INDEX('Classif Gestoras'!$H$6:$H$462,MATCH(D118,'Classif Gestoras'!$A$6:$A$462,0)),"Não classificada")</x:f>
        <x:v>Ligada a banco</x:v>
      </x:c>
      <x:c r="F118" s="168" t="str">
        <x:v>BTG Pactual Servicos Financeiros S/A DTVM</x:v>
      </x:c>
      <x:c r="G118" s="168" t="str">
        <x:v>BANCO BTG PACTUAL S/A</x:v>
      </x:c>
      <x:c r="H118" s="168" t="str">
        <x:v>Outros</x:v>
      </x:c>
      <x:c r="I118" s="168" t="str">
        <x:v>Multicarteira Outros</x:v>
      </x:c>
      <x:c r="J118" s="168" t="str">
        <x:v>CI</x:v>
      </x:c>
      <x:c r="K118" s="174" t="n">
        <x:v>128</x:v>
      </x:c>
      <x:c r="L118" s="187" t="str">
        <x:v>Proxy multicedente/multissacado — revisar</x:v>
      </x:c>
    </x:row>
    <x:row r="119">
      <x:c r="A119" s="177" t="str">
        <x:v>14.051.028/0001-62</x:v>
      </x:c>
      <x:c r="B119" s="168" t="str">
        <x:v>FUNDO DE INVESTIMENTO EM DIREITOS CREDITÓRIOS DA INDÚSTRIA EXODUS INSTITUCIONAL - RESPONS. LIMITADA</x:v>
      </x:c>
      <x:c r="C119" s="190" t="n">
        <x:v>1155730320.09</x:v>
      </x:c>
      <x:c r="D119" s="168" t="str">
        <x:v>NOVA S R M</x:v>
      </x:c>
      <x:c r="E119" s="168" t="str">
        <x:f>IFERROR(INDEX('Classif Gestoras'!$H$6:$H$462,MATCH(D119,'Classif Gestoras'!$A$6:$A$462,0)),"Não classificada")</x:f>
        <x:v>Independente</x:v>
      </x:c>
      <x:c r="F119" s="168" t="str">
        <x:v>Singulare</x:v>
      </x:c>
      <x:c r="G119" s="168" t="str">
        <x:v>QI CORRETORA DE TÍTULOS E VALORES MOBILIÁRIOS S.A.</x:v>
      </x:c>
      <x:c r="H119" s="168" t="str">
        <x:v>Outros</x:v>
      </x:c>
      <x:c r="I119" s="168" t="str">
        <x:v>Multicarteira Outros</x:v>
      </x:c>
      <x:c r="J119" s="168" t="str">
        <x:v>CI</x:v>
      </x:c>
      <x:c r="K119" s="174" t="n">
        <x:v>29</x:v>
      </x:c>
      <x:c r="L119" s="187" t="str">
        <x:v>Proxy multicedente/multissacado — revisar</x:v>
      </x:c>
    </x:row>
    <x:row r="120">
      <x:c r="A120" s="177" t="str">
        <x:v>42.401.957/0001-90</x:v>
      </x:c>
      <x:c r="B120" s="168" t="str">
        <x:v>ATIVOS ESPECIAIS III - FUNDO DE INVESTIMENTO EM DIREITOS CREDITÓRIOS DE RESPONSABILIDADE LIMITADA</x:v>
      </x:c>
      <x:c r="C120" s="190" t="n">
        <x:v>1149333176.31</x:v>
      </x:c>
      <x:c r="D120" s="168" t="str">
        <x:v>Vinci SPS Gestão de Recursos Ltda.</x:v>
      </x:c>
      <x:c r="E120" s="168" t="str">
        <x:f>IFERROR(INDEX('Classif Gestoras'!$H$6:$H$462,MATCH(D120,'Classif Gestoras'!$A$6:$A$462,0)),"Não classificada")</x:f>
        <x:v>Independente</x:v>
      </x:c>
      <x:c r="F120" s="168" t="str">
        <x:v>BANCO DAYCOVAL S/A</x:v>
      </x:c>
      <x:c r="G120" s="168" t="str">
        <x:v>BANCO DAYCOVAL S.A.</x:v>
      </x:c>
      <x:c r="H120" s="168" t="str">
        <x:v>Agro, Indústria e Comércio</x:v>
      </x:c>
      <x:c r="I120" s="168" t="str">
        <x:v>Multicarteira Agro, Indústria e Comércio</x:v>
      </x:c>
      <x:c r="J120" s="168" t="str">
        <x:v>CI</x:v>
      </x:c>
      <x:c r="K120" s="174" t="n">
        <x:v>3</x:v>
      </x:c>
      <x:c r="L120" s="187" t="str">
        <x:v>Proxy multicedente/multissacado — revisar</x:v>
      </x:c>
    </x:row>
    <x:row r="121">
      <x:c r="A121" s="177" t="str">
        <x:v>32.774.233/0001-38</x:v>
      </x:c>
      <x:c r="B121" s="168" t="str">
        <x:v>FUNDO DE INVESTIMENTO EM DIREITOS CREDITÓRIOS PRECATÓRIOS BRASIL</x:v>
      </x:c>
      <x:c r="C121" s="190" t="n">
        <x:v>1148173672.88</x:v>
      </x:c>
      <x:c r="D121" s="168" t="str">
        <x:v>Banco BTG Pactual</x:v>
      </x:c>
      <x:c r="E121" s="168" t="str">
        <x:f>IFERROR(INDEX('Classif Gestoras'!$H$6:$H$462,MATCH(D121,'Classif Gestoras'!$A$6:$A$462,0)),"Não classificada")</x:f>
        <x:v>Ligada a banco</x:v>
      </x:c>
      <x:c r="F121" s="168" t="str">
        <x:v>BTG Pactual Servicos Financeiros S/A DTVM</x:v>
      </x:c>
      <x:c r="G121" s="168" t="str">
        <x:v>BANCO BTG PACTUAL S/A</x:v>
      </x:c>
      <x:c r="H121" s="168" t="str">
        <x:v>Outros</x:v>
      </x:c>
      <x:c r="I121" s="168" t="str">
        <x:v>Multicarteira Outros</x:v>
      </x:c>
      <x:c r="J121" s="168" t="str">
        <x:v>CI</x:v>
      </x:c>
      <x:c r="K121" s="174" t="n">
        <x:v>1</x:v>
      </x:c>
      <x:c r="L121" s="187" t="str">
        <x:v>Proxy multicedente/multissacado — revisar</x:v>
      </x:c>
    </x:row>
    <x:row r="122">
      <x:c r="A122" s="177" t="str">
        <x:v>60.942.242/0001-26</x:v>
      </x:c>
      <x:c r="B122" s="168" t="str">
        <x:v>CARTÃO DE COMPRA SUPPLIER FUNDO DE INVESTIMENTO EM DIREITOS CREDITÓRIOS III - RESPONSABILIDADE LTDA</x:v>
      </x:c>
      <x:c r="C122" s="190" t="n">
        <x:v>1132513909.4299998</x:v>
      </x:c>
      <x:c r="D122" s="168" t="str">
        <x:v>Oliveira Trust Servicer</x:v>
      </x:c>
      <x:c r="E122" s="168" t="str">
        <x:f>IFERROR(INDEX('Classif Gestoras'!$H$6:$H$462,MATCH(D122,'Classif Gestoras'!$A$6:$A$462,0)),"Não classificada")</x:f>
        <x:v>Independente</x:v>
      </x:c>
      <x:c r="F122" s="168" t="str">
        <x:v>Oliveira Trust DTVM</x:v>
      </x:c>
      <x:c r="G122" s="168" t="str">
        <x:v>OLIVEIRA TRUST DTVM S.A.</x:v>
      </x:c>
      <x:c r="H122" s="168" t="str">
        <x:v>Financeiro</x:v>
      </x:c>
      <x:c r="I122" s="168" t="str">
        <x:v>Crédito Pessoal</x:v>
      </x:c>
      <x:c r="J122" s="168" t="str">
        <x:v>CI</x:v>
      </x:c>
      <x:c r="K122" s="174" t="n">
        <x:v>120</x:v>
      </x:c>
      <x:c r="L122" s="187" t="str">
        <x:v>Não classificado</x:v>
      </x:c>
    </x:row>
    <x:row r="123">
      <x:c r="A123" s="177" t="str">
        <x:v>15.254.301/0001-19</x:v>
      </x:c>
      <x:c r="B123" s="168" t="str">
        <x:v>FUNDO DE INVESTIMENTO EM DIREITOS CREDITÓRIOS NÃO PADRONIZADOS IV ENERGISA CENTRO OESTE</x:v>
      </x:c>
      <x:c r="C123" s="190" t="n">
        <x:v>1126388398.73</x:v>
      </x:c>
      <x:c r="D123" s="168" t="str">
        <x:v>Caixa Econ. Federal</x:v>
      </x:c>
      <x:c r="E123" s="168" t="str">
        <x:f>IFERROR(INDEX('Classif Gestoras'!$H$6:$H$462,MATCH(D123,'Classif Gestoras'!$A$6:$A$462,0)),"Não classificada")</x:f>
        <x:v>Ligada a banco</x:v>
      </x:c>
      <x:c r="F123" s="168" t="str">
        <x:v>Caixa Econ. Federal</x:v>
      </x:c>
      <x:c r="G123" s="168" t="str">
        <x:v>BANCO BRADESCO S.A.</x:v>
      </x:c>
      <x:c r="H123" s="168" t="str">
        <x:v>Agro, Indústria e Comércio</x:v>
      </x:c>
      <x:c r="I123" s="168" t="str">
        <x:v>Infraestrutura</x:v>
      </x:c>
      <x:c r="J123" s="168" t="str">
        <x:v>CI</x:v>
      </x:c>
      <x:c r="K123" s="174" t="n">
        <x:v>4</x:v>
      </x:c>
      <x:c r="L123" s="187" t="str">
        <x:v>Não classificado</x:v>
      </x:c>
    </x:row>
    <x:row r="124">
      <x:c r="A124" s="177" t="str">
        <x:v>60.431.592/0001-28</x:v>
      </x:c>
      <x:c r="B124" s="168" t="str">
        <x:v>FUNDO DE INVESTIMENTO EM DIREITOS CREDITÓRIOS KINEA CRÉDITO ESTRUTURADO RESPONSABILIDADE LIMITADA</x:v>
      </x:c>
      <x:c r="C124" s="190" t="n">
        <x:v>1095670331.31</x:v>
      </x:c>
      <x:c r="D124" s="168" t="str">
        <x:v>KINEA INVESTIMENTOS</x:v>
      </x:c>
      <x:c r="E124" s="168" t="str">
        <x:f>IFERROR(INDEX('Classif Gestoras'!$H$6:$H$462,MATCH(D124,'Classif Gestoras'!$A$6:$A$462,0)),"Não classificada")</x:f>
        <x:v>Ligada a banco</x:v>
      </x:c>
      <x:c r="F124" s="168" t="str">
        <x:v>INTRAG DIST. DE TÍTU</x:v>
      </x:c>
      <x:c r="G124" s="168" t="str">
        <x:v>ITAU UNIBANCO S.A.</x:v>
      </x:c>
      <x:c r="H124" s="168" t="str">
        <x:v>Outros</x:v>
      </x:c>
      <x:c r="I124" s="168" t="str">
        <x:v>Multicarteira Outros</x:v>
      </x:c>
      <x:c r="J124" s="168" t="str">
        <x:v>CI</x:v>
      </x:c>
      <x:c r="K124" s="174" t="n">
        <x:v>4226</x:v>
      </x:c>
      <x:c r="L124" s="187" t="str">
        <x:v>Proxy multicedente/multissacado — revisar</x:v>
      </x:c>
    </x:row>
    <x:row r="125">
      <x:c r="A125" s="177" t="str">
        <x:v>63.733.796/0001-01</x:v>
      </x:c>
      <x:c r="B125" s="168" t="str">
        <x:v>ICRED CHOPIN INSS FUNDO DE INVESTIMENTO EM DIREITOS CREDITÓRIOS RESPONSABILIDADE LIMITADA</x:v>
      </x:c>
      <x:c r="C125" s="190" t="n">
        <x:v>1095307446.06</x:v>
      </x:c>
      <x:c r="D125" s="168" t="str">
        <x:v>VERT Gestora de Recursos Financeiros Ltda.</x:v>
      </x:c>
      <x:c r="E125" s="168" t="str">
        <x:f>IFERROR(INDEX('Classif Gestoras'!$H$6:$H$462,MATCH(D125,'Classif Gestoras'!$A$6:$A$462,0)),"Não classificada")</x:f>
        <x:v>Independente</x:v>
      </x:c>
      <x:c r="F125" s="168" t="str">
        <x:v>VERT Distribuidora de Títulos e Valores Mobiliários Ltd</x:v>
      </x:c>
      <x:c r="G125" s="168" t="str">
        <x:v>VERT DISTRIBUIDORA DE TÍTULOS E VALORES MOBILIÁRIOS LTDA.</x:v>
      </x:c>
      <x:c r="H125" s="168" t="str">
        <x:v>Financeiro</x:v>
      </x:c>
      <x:c r="I125" s="168" t="str">
        <x:v>Crédito Consignado</x:v>
      </x:c>
      <x:c r="J125" s="168" t="str">
        <x:v>CI</x:v>
      </x:c>
      <x:c r="K125" s="174" t="n">
        <x:v>6</x:v>
      </x:c>
      <x:c r="L125" s="187" t="str">
        <x:v>Não classificado</x:v>
      </x:c>
    </x:row>
    <x:row r="126">
      <x:c r="A126" s="177" t="str">
        <x:v>29.292.312/0001-06</x:v>
      </x:c>
      <x:c r="B126" s="168" t="str">
        <x:v>FUNDO DE INVESTIMENTO EM DIREITOS CREDITÓRIOS NÃO PADRONIZADOS NPL II</x:v>
      </x:c>
      <x:c r="C126" s="190" t="n">
        <x:v>1092847460.34</x:v>
      </x:c>
      <x:c r="D126" s="168" t="str">
        <x:v>OSLO DTVM S. A.</x:v>
      </x:c>
      <x:c r="E126" s="168" t="str">
        <x:f>IFERROR(INDEX('Classif Gestoras'!$H$6:$H$462,MATCH(D126,'Classif Gestoras'!$A$6:$A$462,0)),"Não classificada")</x:f>
        <x:v>Independente</x:v>
      </x:c>
      <x:c r="F126" s="168" t="str">
        <x:v>OSLO DTVM S. A.</x:v>
      </x:c>
      <x:c r="G126" s="168" t="str">
        <x:v>OSLO CAPITAL DISTRIBUIDORA DE TITULOS E VALORES MOBILIARIOS S.A.</x:v>
      </x:c>
      <x:c r="H126" s="168" t="str">
        <x:v>Outros</x:v>
      </x:c>
      <x:c r="I126" s="168" t="str">
        <x:v>Multicarteira Outros</x:v>
      </x:c>
      <x:c r="J126" s="168" t="str">
        <x:v>CI</x:v>
      </x:c>
      <x:c r="K126" s="174" t="n">
        <x:v>1</x:v>
      </x:c>
      <x:c r="L126" s="187" t="str">
        <x:v>Proxy multicedente/multissacado — revisar</x:v>
      </x:c>
    </x:row>
    <x:row r="127">
      <x:c r="A127" s="177" t="str">
        <x:v>58.545.868/0001-57</x:v>
      </x:c>
      <x:c r="B127" s="168" t="str">
        <x:v>POTENCIAL INVEST FUNDO DE INVESTIMENTO EM DIREITOS CREDITÓRIOS</x:v>
      </x:c>
      <x:c r="C127" s="190" t="n">
        <x:v>1086638485.16</x:v>
      </x:c>
      <x:c r="D127" s="168" t="str">
        <x:v>Oliveira Trust Servicer</x:v>
      </x:c>
      <x:c r="E127" s="168" t="str">
        <x:f>IFERROR(INDEX('Classif Gestoras'!$H$6:$H$462,MATCH(D127,'Classif Gestoras'!$A$6:$A$462,0)),"Não classificada")</x:f>
        <x:v>Independente</x:v>
      </x:c>
      <x:c r="F127" s="168" t="str">
        <x:v>Oliveira Trust DTVM</x:v>
      </x:c>
      <x:c r="G127" s="168" t="str">
        <x:v>OLIVEIRA TRUST DTVM S.A.</x:v>
      </x:c>
      <x:c r="H127" s="168" t="str">
        <x:v>Agro, Indústria e Comércio</x:v>
      </x:c>
      <x:c r="I127" s="168" t="str">
        <x:v>Infraestrutura</x:v>
      </x:c>
      <x:c r="J127" s="168" t="str">
        <x:v>CI</x:v>
      </x:c>
      <x:c r="K127" s="174" t="n">
        <x:v>1</x:v>
      </x:c>
      <x:c r="L127" s="187" t="str">
        <x:v>Não classificado</x:v>
      </x:c>
    </x:row>
    <x:row r="128">
      <x:c r="A128" s="177" t="str">
        <x:v>42.736.995/0001-01</x:v>
      </x:c>
      <x:c r="B128" s="168" t="str">
        <x:v>CNPJ 42736995000101</x:v>
      </x:c>
      <x:c r="C128" s="190" t="n">
        <x:v>1066163833.5499996</x:v>
      </x:c>
      <x:c r="D128" s="168" t="str">
        <x:v>ITAU ASSET</x:v>
      </x:c>
      <x:c r="E128" s="168" t="str">
        <x:f>IFERROR(INDEX('Classif Gestoras'!$H$6:$H$462,MATCH(D128,'Classif Gestoras'!$A$6:$A$462,0)),"Não classificada")</x:f>
        <x:v>Ligada a banco</x:v>
      </x:c>
      <x:c r="F128" s="168" t="str">
        <x:v>INTRAG DIST. DE TÍTU</x:v>
      </x:c>
      <x:c r="G128" s="168" t="str">
        <x:v>Não identificado</x:v>
      </x:c>
      <x:c r="H128" s="168" t="str">
        <x:v>Outros</x:v>
      </x:c>
      <x:c r="I128" s="168" t="str">
        <x:v>Multicarteira Outros</x:v>
      </x:c>
      <x:c r="J128" s="168" t="str">
        <x:v>CI</x:v>
      </x:c>
      <x:c r="K128" s="174"/>
      <x:c r="L128" s="187" t="str">
        <x:v>Proxy multicedente/multissacado — revisar</x:v>
      </x:c>
    </x:row>
    <x:row r="129">
      <x:c r="A129" s="177" t="str">
        <x:v>60.598.366/0001-36</x:v>
      </x:c>
      <x:c r="B129" s="168" t="str">
        <x:v>FIDC BV AUTO II SEGMENTO FINANCEIRO - RESPONSABILIDADE LIMITADA</x:v>
      </x:c>
      <x:c r="C129" s="190" t="n">
        <x:v>1064516732.05</x:v>
      </x:c>
      <x:c r="D129" s="168" t="str">
        <x:v>ANGÁ ASSET MANAGEMENT</x:v>
      </x:c>
      <x:c r="E129" s="168" t="str">
        <x:f>IFERROR(INDEX('Classif Gestoras'!$H$6:$H$462,MATCH(D129,'Classif Gestoras'!$A$6:$A$462,0)),"Não classificada")</x:f>
        <x:v>Independente</x:v>
      </x:c>
      <x:c r="F129" s="168" t="str">
        <x:v>BANCO DAYCOVAL S/A</x:v>
      </x:c>
      <x:c r="G129" s="168" t="str">
        <x:v>BANCO DAYCOVAL S.A.</x:v>
      </x:c>
      <x:c r="H129" s="168" t="str">
        <x:v>Financeiro</x:v>
      </x:c>
      <x:c r="I129" s="168" t="str">
        <x:v>Crédito Pessoal</x:v>
      </x:c>
      <x:c r="J129" s="168" t="str">
        <x:v>CI</x:v>
      </x:c>
      <x:c r="K129" s="174" t="n">
        <x:v>79</x:v>
      </x:c>
      <x:c r="L129" s="187" t="str">
        <x:v>Não classificado</x:v>
      </x:c>
    </x:row>
    <x:row r="130">
      <x:c r="A130" s="177" t="str">
        <x:v>52.044.598/0001-14</x:v>
      </x:c>
      <x:c r="B130" s="168" t="str">
        <x:v>EMPRESAS DE TRANSPORTE FUNDO DE INVESTIMENTO EM DIREITOS CREDITÓRIOS.</x:v>
      </x:c>
      <x:c r="C130" s="190" t="n">
        <x:v>1054868800.37</x:v>
      </x:c>
      <x:c r="D130" s="168" t="str">
        <x:v>Trius Capital</x:v>
      </x:c>
      <x:c r="E130" s="168" t="str">
        <x:f>IFERROR(INDEX('Classif Gestoras'!$H$6:$H$462,MATCH(D130,'Classif Gestoras'!$A$6:$A$462,0)),"Não classificada")</x:f>
        <x:v>Independente</x:v>
      </x:c>
      <x:c r="F130" s="168" t="str">
        <x:v>Singulare</x:v>
      </x:c>
      <x:c r="G130" s="168" t="str">
        <x:v>QI CORRETORA DE TÍTULOS E VALORES MOBILIÁRIOS S.A.</x:v>
      </x:c>
      <x:c r="H130" s="168" t="str">
        <x:v>Outros</x:v>
      </x:c>
      <x:c r="I130" s="168" t="str">
        <x:v>Multicarteira Outros</x:v>
      </x:c>
      <x:c r="J130" s="168" t="str">
        <x:v>CI</x:v>
      </x:c>
      <x:c r="K130" s="174" t="n">
        <x:v>5</x:v>
      </x:c>
      <x:c r="L130" s="187" t="str">
        <x:v>Proxy multicedente/multissacado — revisar</x:v>
      </x:c>
    </x:row>
    <x:row r="131">
      <x:c r="A131" s="177" t="str">
        <x:v>58.349.979/0001-98</x:v>
      </x:c>
      <x:c r="B131" s="168" t="str">
        <x:v>VOLKSWAGEN TERA FUNDO DE INVESTIMENTO EM DIREITOS CREDITÓRIOS RECEBÍVEIS COMERCIAIS RESP LTDA</x:v>
      </x:c>
      <x:c r="C131" s="190" t="n">
        <x:v>1051247096.64</x:v>
      </x:c>
      <x:c r="D131" s="168" t="str">
        <x:v>Oliveira Trust Servicer</x:v>
      </x:c>
      <x:c r="E131" s="168" t="str">
        <x:f>IFERROR(INDEX('Classif Gestoras'!$H$6:$H$462,MATCH(D131,'Classif Gestoras'!$A$6:$A$462,0)),"Não classificada")</x:f>
        <x:v>Independente</x:v>
      </x:c>
      <x:c r="F131" s="168" t="str">
        <x:v>Oliveira Trust DTVM</x:v>
      </x:c>
      <x:c r="G131" s="168" t="str">
        <x:v>OLIVEIRA TRUST DTVM S.A.</x:v>
      </x:c>
      <x:c r="H131" s="168" t="str">
        <x:v>Agro, Indústria e Comércio</x:v>
      </x:c>
      <x:c r="I131" s="168" t="str">
        <x:v>Recebíveis Comerciais</x:v>
      </x:c>
      <x:c r="J131" s="168" t="str">
        <x:v>CI</x:v>
      </x:c>
      <x:c r="K131" s="174" t="n">
        <x:v>23</x:v>
      </x:c>
      <x:c r="L131" s="187" t="str">
        <x:v>Não classificado</x:v>
      </x:c>
    </x:row>
    <x:row r="132">
      <x:c r="A132" s="177" t="str">
        <x:v>12.236.809/0001-04</x:v>
      </x:c>
      <x:c r="B132" s="168" t="str">
        <x:v>PLR FUNDO DE INVESTIMENTO EM DIREITOS CREDITÓRIOS</x:v>
      </x:c>
      <x:c r="C132" s="190" t="n">
        <x:v>1046651295.13</x:v>
      </x:c>
      <x:c r="D132" s="168" t="str">
        <x:v>ORRAM GESTÃO DE RECURSOS LTDA.</x:v>
      </x:c>
      <x:c r="E132" s="168" t="str">
        <x:f>IFERROR(INDEX('Classif Gestoras'!$H$6:$H$462,MATCH(D132,'Classif Gestoras'!$A$6:$A$462,0)),"Não classificada")</x:f>
        <x:v>Independente</x:v>
      </x:c>
      <x:c r="F132" s="168" t="str">
        <x:v>FIDD DISTRIBUIDORA DE TITULOS E VALORES MOBILIARIOS LTD</x:v>
      </x:c>
      <x:c r="G132" s="168" t="str">
        <x:v>FIDD DISTRIBUIDORA DE TITULOS E VALORES MOBILIARIOS LTDA.</x:v>
      </x:c>
      <x:c r="H132" s="168" t="str">
        <x:v>Outros</x:v>
      </x:c>
      <x:c r="I132" s="168" t="str">
        <x:v>Multicarteira Outros</x:v>
      </x:c>
      <x:c r="J132" s="168" t="str">
        <x:v>CI</x:v>
      </x:c>
      <x:c r="K132" s="174" t="n">
        <x:v>4</x:v>
      </x:c>
      <x:c r="L132" s="187" t="str">
        <x:v>Proxy multicedente/multissacado — revisar</x:v>
      </x:c>
    </x:row>
    <x:row r="133">
      <x:c r="A133" s="177" t="str">
        <x:v>63.321.684/0001-43</x:v>
      </x:c>
      <x:c r="B133" s="168" t="str">
        <x:v>PINE INSS II FUNDO DE INVESTIMENTO EM DIREITOS CREDITÓRIOS RESPONSABILIDADE LIMITADA</x:v>
      </x:c>
      <x:c r="C133" s="190" t="n">
        <x:v>1021780760.61</x:v>
      </x:c>
      <x:c r="D133" s="168" t="str">
        <x:v>PIER GESTAO DE RECURSOS FINANCEIROS LTDA</x:v>
      </x:c>
      <x:c r="E133" s="168" t="str">
        <x:f>IFERROR(INDEX('Classif Gestoras'!$H$6:$H$462,MATCH(D133,'Classif Gestoras'!$A$6:$A$462,0)),"Não classificada")</x:f>
        <x:v>Independente</x:v>
      </x:c>
      <x:c r="F133" s="168" t="str">
        <x:v>VERT Distribuidora de Títulos e Valores Mobiliários Ltd</x:v>
      </x:c>
      <x:c r="G133" s="168" t="str">
        <x:v>VERT DISTRIBUIDORA DE TÍTULOS E VALORES MOBILIÁRIOS LTDA.</x:v>
      </x:c>
      <x:c r="H133" s="168" t="str">
        <x:v>Financeiro</x:v>
      </x:c>
      <x:c r="I133" s="168" t="str">
        <x:v>Crédito Consignado</x:v>
      </x:c>
      <x:c r="J133" s="168" t="str">
        <x:v>CI</x:v>
      </x:c>
      <x:c r="K133" s="174" t="n">
        <x:v>4</x:v>
      </x:c>
      <x:c r="L133" s="187" t="str">
        <x:v>Não classificado</x:v>
      </x:c>
    </x:row>
    <x:row r="134">
      <x:c r="A134" s="177" t="str">
        <x:v>61.271.872/0001-89</x:v>
      </x:c>
      <x:c r="B134" s="168" t="str">
        <x:v>PINE INSS FUNDO DE INVESTIMENTO EM DIREITOS CREDITÓRIOS SEGMENTO FINANCEIRO RESP LIMITADA</x:v>
      </x:c>
      <x:c r="C134" s="190" t="n">
        <x:v>1019959508.07</x:v>
      </x:c>
      <x:c r="D134" s="168" t="str">
        <x:v>VALORA RENDA FIXA ESTRUTURADOS LTDA.</x:v>
      </x:c>
      <x:c r="E134" s="168" t="str">
        <x:f>IFERROR(INDEX('Classif Gestoras'!$H$6:$H$462,MATCH(D134,'Classif Gestoras'!$A$6:$A$462,0)),"Não classificada")</x:f>
        <x:v>Independente</x:v>
      </x:c>
      <x:c r="F134" s="168" t="str">
        <x:v>VERT Distribuidora de Títulos e Valores Mobiliários Ltd</x:v>
      </x:c>
      <x:c r="G134" s="168" t="str">
        <x:v>VERT DISTRIBUIDORA DE TÍTULOS E VALORES MOBILIÁRIOS LTDA.</x:v>
      </x:c>
      <x:c r="H134" s="168" t="str">
        <x:v>Financeiro</x:v>
      </x:c>
      <x:c r="I134" s="168" t="str">
        <x:v>Crédito Consignado</x:v>
      </x:c>
      <x:c r="J134" s="168" t="str">
        <x:v>CI</x:v>
      </x:c>
      <x:c r="K134" s="174" t="n">
        <x:v>4</x:v>
      </x:c>
      <x:c r="L134" s="187" t="str">
        <x:v>Não classificado</x:v>
      </x:c>
    </x:row>
    <x:row r="135">
      <x:c r="A135" s="177" t="str">
        <x:v>62.310.468/0001-30</x:v>
      </x:c>
      <x:c r="B135" s="168" t="str">
        <x:v>MT INSS RECEIVABLES VI FUNDO DE INVESTIMENTO EM DIREITOS CREDITÓRIOS RESPONSABILIDADE LIMITADA</x:v>
      </x:c>
      <x:c r="C135" s="190" t="n">
        <x:v>1014942596.8600004</x:v>
      </x:c>
      <x:c r="D135" s="168" t="str">
        <x:v>BTG Pactual Asset</x:v>
      </x:c>
      <x:c r="E135" s="168" t="str">
        <x:f>IFERROR(INDEX('Classif Gestoras'!$H$6:$H$462,MATCH(D135,'Classif Gestoras'!$A$6:$A$462,0)),"Não classificada")</x:f>
        <x:v>Ligada a banco</x:v>
      </x:c>
      <x:c r="F135" s="168" t="str">
        <x:v>BTG Pactual Servicos Financeiros S/A DTVM</x:v>
      </x:c>
      <x:c r="G135" s="168" t="str">
        <x:v>BANCO BTG PACTUAL S/A</x:v>
      </x:c>
      <x:c r="H135" s="168" t="str">
        <x:v>Financeiro</x:v>
      </x:c>
      <x:c r="I135" s="168" t="str">
        <x:v>Crédito Consignado</x:v>
      </x:c>
      <x:c r="J135" s="168" t="str">
        <x:v>CI</x:v>
      </x:c>
      <x:c r="K135" s="174" t="n">
        <x:v>128</x:v>
      </x:c>
      <x:c r="L135" s="187" t="str">
        <x:v>Não classificado</x:v>
      </x:c>
    </x:row>
    <x:row r="136">
      <x:c r="A136" s="177" t="str">
        <x:v>26.459.204/0001-89</x:v>
      </x:c>
      <x:c r="B136" s="168" t="str">
        <x:v>JAPUÍRA FUNDO DE INVESTIMENTO EM DIREITOS CREDITÓRIOS NÃO PADRONIZADOS</x:v>
      </x:c>
      <x:c r="C136" s="190" t="n">
        <x:v>1010617767.96</x:v>
      </x:c>
      <x:c r="D136" s="168" t="str">
        <x:v>REAG BERKANA</x:v>
      </x:c>
      <x:c r="E136" s="168" t="str">
        <x:f>IFERROR(INDEX('Classif Gestoras'!$H$6:$H$462,MATCH(D136,'Classif Gestoras'!$A$6:$A$462,0)),"Não classificada")</x:f>
        <x:v>Independente</x:v>
      </x:c>
      <x:c r="F136" s="168" t="str">
        <x:v>Singulare</x:v>
      </x:c>
      <x:c r="G136" s="168" t="str">
        <x:v>QI CORRETORA DE TÍTULOS E VALORES MOBILIÁRIOS S.A.</x:v>
      </x:c>
      <x:c r="H136" s="168" t="str">
        <x:v>Agro, Indústria e Comércio</x:v>
      </x:c>
      <x:c r="I136" s="168" t="str">
        <x:v>Agronegócio</x:v>
      </x:c>
      <x:c r="J136" s="168" t="str">
        <x:v>CI</x:v>
      </x:c>
      <x:c r="K136" s="174" t="n">
        <x:v>1</x:v>
      </x:c>
      <x:c r="L136" s="187" t="str">
        <x:v>Não classificado</x:v>
      </x:c>
    </x:row>
    <x:row r="137">
      <x:c r="A137" s="177" t="str">
        <x:v>19.388.423/0001-59</x:v>
      </x:c>
      <x:c r="B137" s="168" t="str">
        <x:v>FUNDO DE INVESTIMENTO EM DIREITOS CREDITÓRIOS IOX I</x:v>
      </x:c>
      <x:c r="C137" s="190" t="n">
        <x:v>1009951736.41</x:v>
      </x:c>
      <x:c r="D137" s="168" t="str">
        <x:v>OURO PRETO INVESTIMENTOS</x:v>
      </x:c>
      <x:c r="E137" s="168" t="str">
        <x:f>IFERROR(INDEX('Classif Gestoras'!$H$6:$H$462,MATCH(D137,'Classif Gestoras'!$A$6:$A$462,0)),"Não classificada")</x:f>
        <x:v>Independente</x:v>
      </x:c>
      <x:c r="F137" s="168" t="str">
        <x:v>Singulare</x:v>
      </x:c>
      <x:c r="G137" s="168" t="str">
        <x:v>QI CORRETORA DE TÍTULOS E VALORES MOBILIÁRIOS S.A.</x:v>
      </x:c>
      <x:c r="H137" s="168" t="str">
        <x:v>Fomento Mercantil</x:v>
      </x:c>
      <x:c r="I137" s="168" t="str">
        <x:v>Fomento Mercantil</x:v>
      </x:c>
      <x:c r="J137" s="168" t="str">
        <x:v>CI</x:v>
      </x:c>
      <x:c r="K137" s="174" t="n">
        <x:v>213</x:v>
      </x:c>
      <x:c r="L137" s="187" t="str">
        <x:v>Não classificado</x:v>
      </x:c>
    </x:row>
    <x:row r="138">
      <x:c r="A138" s="177" t="str">
        <x:v>51.344.394/0001-36</x:v>
      </x:c>
      <x:c r="B138" s="168" t="str">
        <x:v>HAVAN FORNECEDORES FUNDO DE INVESTIMENTO EM DIREITOS CREDITÓRIOS MULTICARTEIRA</x:v>
      </x:c>
      <x:c r="C138" s="190" t="n">
        <x:v>993651198.36</x:v>
      </x:c>
      <x:c r="D138" s="168" t="str">
        <x:v>Petra Capital</x:v>
      </x:c>
      <x:c r="E138" s="168" t="str">
        <x:f>IFERROR(INDEX('Classif Gestoras'!$H$6:$H$462,MATCH(D138,'Classif Gestoras'!$A$6:$A$462,0)),"Não classificada")</x:f>
        <x:v>Independente</x:v>
      </x:c>
      <x:c r="F138" s="168" t="str">
        <x:v>Finaxis Corretora de Títulos e Valores Mobiliários S.A.</x:v>
      </x:c>
      <x:c r="G138" s="168" t="str">
        <x:v>BANCO FINAXIS S.A.</x:v>
      </x:c>
      <x:c r="H138" s="168" t="str">
        <x:v>Agro, Indústria e Comércio</x:v>
      </x:c>
      <x:c r="I138" s="168" t="str">
        <x:v>Recebíveis Comerciais</x:v>
      </x:c>
      <x:c r="J138" s="168" t="str">
        <x:v>CI</x:v>
      </x:c>
      <x:c r="K138" s="174" t="n">
        <x:v>1</x:v>
      </x:c>
      <x:c r="L138" s="187" t="str">
        <x:v>Não classificado</x:v>
      </x:c>
    </x:row>
    <x:row r="139">
      <x:c r="A139" s="177" t="str">
        <x:v>57.816.252/0001-00</x:v>
      </x:c>
      <x:c r="B139" s="168" t="str">
        <x:v>NATURA PAY FUNDO DE INVESTIMENTO EM DIREITOS CREDITÓRIOS CRÉDITO PESSOAL SOCIAL E IS RESP LTDA</x:v>
      </x:c>
      <x:c r="C139" s="190" t="n">
        <x:v>990943423.15</x:v>
      </x:c>
      <x:c r="D139" s="168" t="str">
        <x:v>Oliveira Trust Servicer</x:v>
      </x:c>
      <x:c r="E139" s="168" t="str">
        <x:f>IFERROR(INDEX('Classif Gestoras'!$H$6:$H$462,MATCH(D139,'Classif Gestoras'!$A$6:$A$462,0)),"Não classificada")</x:f>
        <x:v>Independente</x:v>
      </x:c>
      <x:c r="F139" s="168" t="str">
        <x:v>Oliveira Trust DTVM</x:v>
      </x:c>
      <x:c r="G139" s="168" t="str">
        <x:v>OLIVEIRA TRUST DTVM S.A.</x:v>
      </x:c>
      <x:c r="H139" s="168" t="str">
        <x:v>Financeiro</x:v>
      </x:c>
      <x:c r="I139" s="168" t="str">
        <x:v>Crédito Pessoal</x:v>
      </x:c>
      <x:c r="J139" s="168" t="str">
        <x:v>CI</x:v>
      </x:c>
      <x:c r="K139" s="174" t="n">
        <x:v>4</x:v>
      </x:c>
      <x:c r="L139" s="187" t="str">
        <x:v>Não classificado</x:v>
      </x:c>
    </x:row>
    <x:row r="140">
      <x:c r="A140" s="177" t="str">
        <x:v>57.555.582/0001-90</x:v>
      </x:c>
      <x:c r="B140" s="168" t="str">
        <x:v>ALDEBARAN FUNDO DE INVESTIMENTO EM DIREITOS CREDITÓRIOS - RESPONSABILIDADE LIMITADA</x:v>
      </x:c>
      <x:c r="C140" s="190" t="n">
        <x:v>989930998.45</x:v>
      </x:c>
      <x:c r="D140" s="168" t="str">
        <x:v>Emerald Gestão de Investimento</x:v>
      </x:c>
      <x:c r="E140" s="168" t="str">
        <x:f>IFERROR(INDEX('Classif Gestoras'!$H$6:$H$462,MATCH(D140,'Classif Gestoras'!$A$6:$A$462,0)),"Não classificada")</x:f>
        <x:v>Independente</x:v>
      </x:c>
      <x:c r="F140" s="168" t="str">
        <x:v>BANCO J. SAFRA S/A</x:v>
      </x:c>
      <x:c r="G140" s="168" t="str">
        <x:v>OLIVEIRA TRUST DTVM S.A.</x:v>
      </x:c>
      <x:c r="H140" s="168" t="str">
        <x:v>Outros</x:v>
      </x:c>
      <x:c r="I140" s="168" t="str">
        <x:v>Multicarteira Outros</x:v>
      </x:c>
      <x:c r="J140" s="168" t="str">
        <x:v>CI</x:v>
      </x:c>
      <x:c r="K140" s="174" t="n">
        <x:v>8</x:v>
      </x:c>
      <x:c r="L140" s="187" t="str">
        <x:v>Proxy multicedente/multissacado — revisar</x:v>
      </x:c>
    </x:row>
    <x:row r="141">
      <x:c r="A141" s="177" t="str">
        <x:v>47.166.884/0001-12</x:v>
      </x:c>
      <x:c r="B141" s="168" t="str">
        <x:v>FUNDO DE INVESTIMENTO EM DIREITOS CREDITÓRIOS COMERCIAIS VIKING</x:v>
      </x:c>
      <x:c r="C141" s="190" t="n">
        <x:v>988228672.84</x:v>
      </x:c>
      <x:c r="D141" s="168" t="str">
        <x:v>Integral Investimentos</x:v>
      </x:c>
      <x:c r="E141" s="168" t="str">
        <x:f>IFERROR(INDEX('Classif Gestoras'!$H$6:$H$462,MATCH(D141,'Classif Gestoras'!$A$6:$A$462,0)),"Não classificada")</x:f>
        <x:v>Independente</x:v>
      </x:c>
      <x:c r="F141" s="168" t="str">
        <x:v>BEM - DIST. DE TÍTUL</x:v>
      </x:c>
      <x:c r="G141" s="168" t="str">
        <x:v>BANCO BRADESCO S.A.</x:v>
      </x:c>
      <x:c r="H141" s="168" t="str">
        <x:v>Financeiro</x:v>
      </x:c>
      <x:c r="I141" s="168" t="str">
        <x:v>Financiamento de Veículos</x:v>
      </x:c>
      <x:c r="J141" s="168" t="str">
        <x:v>CI</x:v>
      </x:c>
      <x:c r="K141" s="174" t="n">
        <x:v>1</x:v>
      </x:c>
      <x:c r="L141" s="187" t="str">
        <x:v>Não classificado</x:v>
      </x:c>
    </x:row>
    <x:row r="142">
      <x:c r="A142" s="177" t="str">
        <x:v>54.810.968/0001-02</x:v>
      </x:c>
      <x:c r="B142" s="168" t="str">
        <x:v>ANGÁ FGTS III FUNDO DE INVESTIMENTO EM DIREITOS CREDITÓRIOS</x:v>
      </x:c>
      <x:c r="C142" s="190" t="n">
        <x:v>986234239.47</x:v>
      </x:c>
      <x:c r="D142" s="168" t="str">
        <x:v>ANGÁ ASSET MANAGEMENT</x:v>
      </x:c>
      <x:c r="E142" s="168" t="str">
        <x:f>IFERROR(INDEX('Classif Gestoras'!$H$6:$H$462,MATCH(D142,'Classif Gestoras'!$A$6:$A$462,0)),"Não classificada")</x:f>
        <x:v>Independente</x:v>
      </x:c>
      <x:c r="F142" s="168" t="str">
        <x:v>BANCO DAYCOVAL S/A</x:v>
      </x:c>
      <x:c r="G142" s="168" t="str">
        <x:v>BANCO DAYCOVAL S.A.</x:v>
      </x:c>
      <x:c r="H142" s="168" t="str">
        <x:v>Financeiro</x:v>
      </x:c>
      <x:c r="I142" s="168" t="str">
        <x:v>Crédito Pessoal</x:v>
      </x:c>
      <x:c r="J142" s="168" t="str">
        <x:v>CI</x:v>
      </x:c>
      <x:c r="K142" s="174" t="n">
        <x:v>7</x:v>
      </x:c>
      <x:c r="L142" s="187" t="str">
        <x:v>Não classificado</x:v>
      </x:c>
    </x:row>
    <x:row r="143">
      <x:c r="A143" s="177" t="str">
        <x:v>52.720.932/0001-02</x:v>
      </x:c>
      <x:c r="B143" s="168" t="str">
        <x:v>FUNDO DE INVESTIMENTO EM DIREITOS CREDITÓRIOS CLIENTES BRF II</x:v>
      </x:c>
      <x:c r="C143" s="190" t="n">
        <x:v>973060308.59</x:v>
      </x:c>
      <x:c r="D143" s="168" t="str">
        <x:v>Banco Bradesco S/A</x:v>
      </x:c>
      <x:c r="E143" s="168" t="str">
        <x:f>IFERROR(INDEX('Classif Gestoras'!$H$6:$H$462,MATCH(D143,'Classif Gestoras'!$A$6:$A$462,0)),"Não classificada")</x:f>
        <x:v>Ligada a banco</x:v>
      </x:c>
      <x:c r="F143" s="168" t="str">
        <x:v>BEM - DIST. DE TÍTUL</x:v>
      </x:c>
      <x:c r="G143" s="168" t="str">
        <x:v>BANCO BRADESCO S.A.</x:v>
      </x:c>
      <x:c r="H143" s="168" t="str">
        <x:v>Fomento Mercantil</x:v>
      </x:c>
      <x:c r="I143" s="168" t="str">
        <x:v>Fomento Mercantil</x:v>
      </x:c>
      <x:c r="J143" s="168" t="str">
        <x:v>CI</x:v>
      </x:c>
      <x:c r="K143" s="174" t="n">
        <x:v>86</x:v>
      </x:c>
      <x:c r="L143" s="187" t="str">
        <x:v>Não classificado</x:v>
      </x:c>
    </x:row>
    <x:row r="144">
      <x:c r="A144" s="177" t="str">
        <x:v>40.770.670/0001-01</x:v>
      </x:c>
      <x:c r="B144" s="168" t="str">
        <x:v>MEZZO FUNDO DE INVESTIMENTO EM DIREITOS CREDITÓRIOS</x:v>
      </x:c>
      <x:c r="C144" s="190" t="n">
        <x:v>960708741.59</x:v>
      </x:c>
      <x:c r="D144" s="168" t="str">
        <x:v>SameSide GP</x:v>
      </x:c>
      <x:c r="E144" s="168" t="str">
        <x:f>IFERROR(INDEX('Classif Gestoras'!$H$6:$H$462,MATCH(D144,'Classif Gestoras'!$A$6:$A$462,0)),"Não classificada")</x:f>
        <x:v>Independente</x:v>
      </x:c>
      <x:c r="F144" s="168" t="str">
        <x:v>BTG Pactual Servicos Financeiros S/A DTVM</x:v>
      </x:c>
      <x:c r="G144" s="168" t="str">
        <x:v>BANCO BTG PACTUAL S/A</x:v>
      </x:c>
      <x:c r="H144" s="168" t="str">
        <x:v>Outros</x:v>
      </x:c>
      <x:c r="I144" s="168" t="str">
        <x:v>Multicarteira Outros</x:v>
      </x:c>
      <x:c r="J144" s="168" t="str">
        <x:v>CI</x:v>
      </x:c>
      <x:c r="K144" s="174" t="n">
        <x:v>1</x:v>
      </x:c>
      <x:c r="L144" s="187" t="str">
        <x:v>Proxy multicedente/multissacado — revisar</x:v>
      </x:c>
    </x:row>
    <x:row r="145">
      <x:c r="A145" s="177" t="str">
        <x:v>28.651.441/0001-72</x:v>
      </x:c>
      <x:c r="B145" s="168" t="str">
        <x:v>VERMILLION I FUNDO DE INVESTIMENTO EM DIREITOS CREDITÓRIOS NÃO PADRONIZADOS</x:v>
      </x:c>
      <x:c r="C145" s="190" t="n">
        <x:v>959931553.18</x:v>
      </x:c>
      <x:c r="D145" s="168" t="str">
        <x:v>GV ATACAMA CAPITAL LTDA.</x:v>
      </x:c>
      <x:c r="E145" s="168" t="str">
        <x:f>IFERROR(INDEX('Classif Gestoras'!$H$6:$H$462,MATCH(D145,'Classif Gestoras'!$A$6:$A$462,0)),"Não classificada")</x:f>
        <x:v>Independente</x:v>
      </x:c>
      <x:c r="F145" s="168" t="str">
        <x:v>Singulare</x:v>
      </x:c>
      <x:c r="G145" s="168" t="str">
        <x:v>QI CORRETORA DE TÍTULOS E VALORES MOBILIÁRIOS S.A.</x:v>
      </x:c>
      <x:c r="H145" s="168" t="str">
        <x:v>Fomento Mercantil</x:v>
      </x:c>
      <x:c r="I145" s="168" t="str">
        <x:v>Fomento Mercantil</x:v>
      </x:c>
      <x:c r="J145" s="168" t="str">
        <x:v>CI</x:v>
      </x:c>
      <x:c r="K145" s="174" t="n">
        <x:v>1</x:v>
      </x:c>
      <x:c r="L145" s="187" t="str">
        <x:v>Não classificado</x:v>
      </x:c>
    </x:row>
    <x:row r="146">
      <x:c r="A146" s="177" t="str">
        <x:v>29.720.593/0001-42</x:v>
      </x:c>
      <x:c r="B146" s="168" t="str">
        <x:v>FUNDO DE INVESTIMENTO EM DIREITOS CREDITÓRIOS ANGÁ MULTI CONSIGNADOS I RESPONSABILIDADE LIMITADA</x:v>
      </x:c>
      <x:c r="C146" s="190" t="n">
        <x:v>957627543.12</x:v>
      </x:c>
      <x:c r="D146" s="168" t="str">
        <x:v>ANGÁ ASSET MANAGEMENT</x:v>
      </x:c>
      <x:c r="E146" s="168" t="str">
        <x:f>IFERROR(INDEX('Classif Gestoras'!$H$6:$H$462,MATCH(D146,'Classif Gestoras'!$A$6:$A$462,0)),"Não classificada")</x:f>
        <x:v>Independente</x:v>
      </x:c>
      <x:c r="F146" s="168" t="str">
        <x:v>BANCO DAYCOVAL S/A</x:v>
      </x:c>
      <x:c r="G146" s="168" t="str">
        <x:v>BANCO DAYCOVAL S.A.</x:v>
      </x:c>
      <x:c r="H146" s="168" t="str">
        <x:v>Financeiro</x:v>
      </x:c>
      <x:c r="I146" s="168" t="str">
        <x:v>Multicarteira Financeiro</x:v>
      </x:c>
      <x:c r="J146" s="168" t="str">
        <x:v>CI</x:v>
      </x:c>
      <x:c r="K146" s="174" t="n">
        <x:v>10</x:v>
      </x:c>
      <x:c r="L146" s="187" t="str">
        <x:v>Proxy multicedente/multissacado — revisar</x:v>
      </x:c>
    </x:row>
    <x:row r="147">
      <x:c r="A147" s="177" t="str">
        <x:v>35.880.835/0001-68</x:v>
      </x:c>
      <x:c r="B147" s="168" t="str">
        <x:v>FUNDO DE GESTÃO E RECUPERAÇÃO - FIDC - RESPONSABILIDADE LIMITADA</x:v>
      </x:c>
      <x:c r="C147" s="190" t="n">
        <x:v>955973193.6</x:v>
      </x:c>
      <x:c r="D147" s="168" t="str">
        <x:v>JIVE INVESTMENTS</x:v>
      </x:c>
      <x:c r="E147" s="168" t="str">
        <x:f>IFERROR(INDEX('Classif Gestoras'!$H$6:$H$462,MATCH(D147,'Classif Gestoras'!$A$6:$A$462,0)),"Não classificada")</x:f>
        <x:v>Independente</x:v>
      </x:c>
      <x:c r="F147" s="168" t="str">
        <x:v>MAF Distribuidora de Títulos e Valores Mobiliários S.A.</x:v>
      </x:c>
      <x:c r="G147" s="168" t="str">
        <x:v>MAF DISTRIBUIDORA DE TITULOS E VALORES MOBILIARIOS S.A.</x:v>
      </x:c>
      <x:c r="H147" s="168" t="str">
        <x:v>Outros</x:v>
      </x:c>
      <x:c r="I147" s="168" t="str">
        <x:v>Recuperação</x:v>
      </x:c>
      <x:c r="J147" s="168" t="str">
        <x:v>CI</x:v>
      </x:c>
      <x:c r="K147" s="174" t="n">
        <x:v>1</x:v>
      </x:c>
      <x:c r="L147" s="187" t="str">
        <x:v>Não classificado</x:v>
      </x:c>
    </x:row>
    <x:row r="148">
      <x:c r="A148" s="177" t="str">
        <x:v>26.607.493/0001-16</x:v>
      </x:c>
      <x:c r="B148" s="168" t="str">
        <x:v>CNPJ 26607493000116</x:v>
      </x:c>
      <x:c r="C148" s="190" t="n">
        <x:v>955952751.58</x:v>
      </x:c>
      <x:c r="D148" s="168" t="str">
        <x:v>Emerald Gestão de Investimento</x:v>
      </x:c>
      <x:c r="E148" s="168" t="str">
        <x:f>IFERROR(INDEX('Classif Gestoras'!$H$6:$H$462,MATCH(D148,'Classif Gestoras'!$A$6:$A$462,0)),"Não classificada")</x:f>
        <x:v>Independente</x:v>
      </x:c>
      <x:c r="F148" s="168" t="str">
        <x:v>BANCO J. SAFRA S/A</x:v>
      </x:c>
      <x:c r="G148" s="168" t="str">
        <x:v>Não identificado</x:v>
      </x:c>
      <x:c r="H148" s="168" t="str">
        <x:v>Outros</x:v>
      </x:c>
      <x:c r="I148" s="168" t="str">
        <x:v>Poder Público</x:v>
      </x:c>
      <x:c r="J148" s="168" t="str">
        <x:v>CI</x:v>
      </x:c>
      <x:c r="K148" s="174"/>
      <x:c r="L148" s="187" t="str">
        <x:v>Não classificado</x:v>
      </x:c>
    </x:row>
    <x:row r="149">
      <x:c r="A149" s="177" t="str">
        <x:v>28.472.392/0001-00</x:v>
      </x:c>
      <x:c r="B149" s="168" t="str">
        <x:v>UPL 1 FUNDO DE INVESTIMENTO EM DIREITOS CREDITÓRIOS AGRONEGÓCIO RESPONSABILIDADE LIMITADA</x:v>
      </x:c>
      <x:c r="C149" s="190" t="n">
        <x:v>955072456.1</x:v>
      </x:c>
      <x:c r="D149" s="168" t="str">
        <x:v>Eco Gestão de Ativos LTDA.</x:v>
      </x:c>
      <x:c r="E149" s="168" t="str">
        <x:f>IFERROR(INDEX('Classif Gestoras'!$H$6:$H$462,MATCH(D149,'Classif Gestoras'!$A$6:$A$462,0)),"Não classificada")</x:f>
        <x:v>Independente</x:v>
      </x:c>
      <x:c r="F149" s="168" t="str">
        <x:v>Finaxis Corretora de Títulos e Valores Mobiliários S.A.</x:v>
      </x:c>
      <x:c r="G149" s="168" t="str">
        <x:v>BANCO FINAXIS S.A.</x:v>
      </x:c>
      <x:c r="H149" s="168" t="str">
        <x:v>Agro, Indústria e Comércio</x:v>
      </x:c>
      <x:c r="I149" s="168" t="str">
        <x:v>Agronegócio</x:v>
      </x:c>
      <x:c r="J149" s="168" t="str">
        <x:v>CI</x:v>
      </x:c>
      <x:c r="K149" s="174" t="n">
        <x:v>7</x:v>
      </x:c>
      <x:c r="L149" s="187" t="str">
        <x:v>Não classificado</x:v>
      </x:c>
    </x:row>
    <x:row r="150">
      <x:c r="A150" s="177" t="str">
        <x:v>06.182.371/0001-18</x:v>
      </x:c>
      <x:c r="B150" s="168" t="str">
        <x:v>FOR-TE FIDC</x:v>
      </x:c>
      <x:c r="C150" s="190" t="n">
        <x:v>949948396.56</x:v>
      </x:c>
      <x:c r="D150" s="168" t="str">
        <x:v>Banco Bradesco S/A</x:v>
      </x:c>
      <x:c r="E150" s="168" t="str">
        <x:f>IFERROR(INDEX('Classif Gestoras'!$H$6:$H$462,MATCH(D150,'Classif Gestoras'!$A$6:$A$462,0)),"Não classificada")</x:f>
        <x:v>Ligada a banco</x:v>
      </x:c>
      <x:c r="F150" s="168" t="str">
        <x:v>BEM - DIST. DE TÍTUL</x:v>
      </x:c>
      <x:c r="G150" s="168" t="str">
        <x:v>Não identificado</x:v>
      </x:c>
      <x:c r="H150" s="168" t="str">
        <x:v>Fomento Mercantil</x:v>
      </x:c>
      <x:c r="I150" s="168" t="str">
        <x:v>Fomento Mercantil</x:v>
      </x:c>
      <x:c r="J150" s="168" t="str">
        <x:v>CI</x:v>
      </x:c>
      <x:c r="K150" s="174" t="n">
        <x:v>6</x:v>
      </x:c>
      <x:c r="L150" s="187" t="str">
        <x:v>Não classificado</x:v>
      </x:c>
    </x:row>
    <x:row r="151">
      <x:c r="A151" s="177" t="str">
        <x:v>52.989.090/0001-99</x:v>
      </x:c>
      <x:c r="B151" s="168" t="str">
        <x:v>FUNDO DE INVESTIMENTO EM DIREITOS CREDITÓRIOS NOTO CONSIGNADOS - RESPONSABILIDADE LIMITADA</x:v>
      </x:c>
      <x:c r="C151" s="190" t="n">
        <x:v>948499289.57</x:v>
      </x:c>
      <x:c r="D151" s="168" t="str">
        <x:v>VALORA RENDA FIXA ESTRUTURADOS LTDA.</x:v>
      </x:c>
      <x:c r="E151" s="168" t="str">
        <x:f>IFERROR(INDEX('Classif Gestoras'!$H$6:$H$462,MATCH(D151,'Classif Gestoras'!$A$6:$A$462,0)),"Não classificada")</x:f>
        <x:v>Independente</x:v>
      </x:c>
      <x:c r="F151" s="168" t="str">
        <x:v>Banvox DTVM</x:v>
      </x:c>
      <x:c r="G151" s="168" t="str">
        <x:v>QI CORRETORA DE TÍTULOS E VALORES MOBILIÁRIOS S.A.</x:v>
      </x:c>
      <x:c r="H151" s="168" t="str">
        <x:v>Financeiro</x:v>
      </x:c>
      <x:c r="I151" s="168" t="str">
        <x:v>Crédito Consignado</x:v>
      </x:c>
      <x:c r="J151" s="168" t="str">
        <x:v>CI</x:v>
      </x:c>
      <x:c r="K151" s="174" t="n">
        <x:v>160</x:v>
      </x:c>
      <x:c r="L151" s="187" t="str">
        <x:v>Não classificado</x:v>
      </x:c>
    </x:row>
    <x:row r="152">
      <x:c r="A152" s="177" t="str">
        <x:v>23.956.882/0001-69</x:v>
      </x:c>
      <x:c r="B152" s="168" t="str">
        <x:v>SB CRÉDITO FUNDO DE INVESTIMENTO EM DIREITOS CREDITÓRIOS MULTISSETORIAL DE CLASSE UNICA FECHADA</x:v>
      </x:c>
      <x:c r="C152" s="190" t="n">
        <x:v>948150439.08</x:v>
      </x:c>
      <x:c r="D152" s="168" t="str">
        <x:v>CARMEL GESTORA DE ATIVOS LTDA</x:v>
      </x:c>
      <x:c r="E152" s="168" t="str">
        <x:f>IFERROR(INDEX('Classif Gestoras'!$H$6:$H$462,MATCH(D152,'Classif Gestoras'!$A$6:$A$462,0)),"Não classificada")</x:f>
        <x:v>Independente</x:v>
      </x:c>
      <x:c r="F152" s="168" t="str">
        <x:v>Singulare</x:v>
      </x:c>
      <x:c r="G152" s="168" t="str">
        <x:v>QI CORRETORA DE TÍTULOS E VALORES MOBILIÁRIOS S.A.</x:v>
      </x:c>
      <x:c r="H152" s="168" t="str">
        <x:v>Fomento Mercantil</x:v>
      </x:c>
      <x:c r="I152" s="168" t="str">
        <x:v>Fomento Mercantil</x:v>
      </x:c>
      <x:c r="J152" s="168" t="str">
        <x:v>CI</x:v>
      </x:c>
      <x:c r="K152" s="174" t="n">
        <x:v>155</x:v>
      </x:c>
      <x:c r="L152" s="187" t="str">
        <x:v>Não classificado</x:v>
      </x:c>
    </x:row>
    <x:row r="153">
      <x:c r="A153" s="177" t="str">
        <x:v>24.069.733/0001-40</x:v>
      </x:c>
      <x:c r="B153" s="168" t="str">
        <x:v>MEG - FUNDO DE INVESTIMENTO EM DIREITOS CREDITÓRIOS</x:v>
      </x:c>
      <x:c r="C153" s="190" t="n">
        <x:v>930566821.42</x:v>
      </x:c>
      <x:c r="D153" s="168" t="str">
        <x:v>MAM ASSET MANAGEMENT</x:v>
      </x:c>
      <x:c r="E153" s="168" t="str">
        <x:f>IFERROR(INDEX('Classif Gestoras'!$H$6:$H$462,MATCH(D153,'Classif Gestoras'!$A$6:$A$462,0)),"Não classificada")</x:f>
        <x:v>Independente</x:v>
      </x:c>
      <x:c r="F153" s="168" t="str">
        <x:v>TRUSTEE DTVM</x:v>
      </x:c>
      <x:c r="G153" s="168" t="str">
        <x:v>TRUSTEE DISTRIBUIDORA DE TITULOS E VALORES MOBILIARIOS LTDA.</x:v>
      </x:c>
      <x:c r="H153" s="168" t="str">
        <x:v>Outros</x:v>
      </x:c>
      <x:c r="I153" s="168" t="str">
        <x:v>Poder Público</x:v>
      </x:c>
      <x:c r="J153" s="168" t="str">
        <x:v>CI</x:v>
      </x:c>
      <x:c r="K153" s="174" t="n">
        <x:v>2</x:v>
      </x:c>
      <x:c r="L153" s="187" t="str">
        <x:v>Não classificado</x:v>
      </x:c>
    </x:row>
    <x:row r="154">
      <x:c r="A154" s="177" t="str">
        <x:v>59.929.098/0001-09</x:v>
      </x:c>
      <x:c r="B154" s="168" t="str">
        <x:v>FUNDO DE INVESTIMENTO EM DIREITOS CREDITÓRIOS CREDITAS AUTO XII</x:v>
      </x:c>
      <x:c r="C154" s="190" t="n">
        <x:v>929466766.62</x:v>
      </x:c>
      <x:c r="D154" s="168" t="str">
        <x:v>ANGÁ ASSET MANAGEMENT</x:v>
      </x:c>
      <x:c r="E154" s="168" t="str">
        <x:f>IFERROR(INDEX('Classif Gestoras'!$H$6:$H$462,MATCH(D154,'Classif Gestoras'!$A$6:$A$462,0)),"Não classificada")</x:f>
        <x:v>Independente</x:v>
      </x:c>
      <x:c r="F154" s="168" t="str">
        <x:v>BANCO DAYCOVAL S/A</x:v>
      </x:c>
      <x:c r="G154" s="168" t="str">
        <x:v>BANCO DAYCOVAL S.A.</x:v>
      </x:c>
      <x:c r="H154" s="168" t="str">
        <x:v>Outros</x:v>
      </x:c>
      <x:c r="I154" s="168" t="str">
        <x:v>Multicarteira Outros</x:v>
      </x:c>
      <x:c r="J154" s="168" t="str">
        <x:v>CI</x:v>
      </x:c>
      <x:c r="K154" s="174" t="n">
        <x:v>458</x:v>
      </x:c>
      <x:c r="L154" s="187" t="str">
        <x:v>Proxy multicedente/multissacado — revisar</x:v>
      </x:c>
    </x:row>
    <x:row r="155">
      <x:c r="A155" s="177" t="str">
        <x:v>45.445.355/0001-22</x:v>
      </x:c>
      <x:c r="B155" s="168" t="str">
        <x:v>BEMOL CRÉDITO PESSOAL FIDC FINANCEIROS DE RESPONSABILIDADE LIMITADA</x:v>
      </x:c>
      <x:c r="C155" s="190" t="n">
        <x:v>919874909.34</x:v>
      </x:c>
      <x:c r="D155" s="168" t="str">
        <x:v>VERT Gestora de Recursos Financeiros Ltda.</x:v>
      </x:c>
      <x:c r="E155" s="168" t="str">
        <x:f>IFERROR(INDEX('Classif Gestoras'!$H$6:$H$462,MATCH(D155,'Classif Gestoras'!$A$6:$A$462,0)),"Não classificada")</x:f>
        <x:v>Independente</x:v>
      </x:c>
      <x:c r="F155" s="168" t="str">
        <x:v>Oliveira Trust DTVM</x:v>
      </x:c>
      <x:c r="G155" s="168" t="str">
        <x:v>OLIVEIRA TRUST DTVM S.A.</x:v>
      </x:c>
      <x:c r="H155" s="168" t="str">
        <x:v>Financeiro</x:v>
      </x:c>
      <x:c r="I155" s="168" t="str">
        <x:v>Crédito Pessoal</x:v>
      </x:c>
      <x:c r="J155" s="168" t="str">
        <x:v>CI</x:v>
      </x:c>
      <x:c r="K155" s="174" t="n">
        <x:v>193</x:v>
      </x:c>
      <x:c r="L155" s="187" t="str">
        <x:v>Não classificado</x:v>
      </x:c>
    </x:row>
    <x:row r="156">
      <x:c r="A156" s="177" t="str">
        <x:v>54.218.673/0001-41</x:v>
      </x:c>
      <x:c r="B156" s="168" t="str">
        <x:v>CLOUDWALK BIG PICTURE I FUNDO DE INVESTIMENTO EM DIREITOS CREDITÓRIOS SEGMENTO MEIOS DE PAGAMENTO</x:v>
      </x:c>
      <x:c r="C156" s="190" t="n">
        <x:v>904587000.3</x:v>
      </x:c>
      <x:c r="D156" s="168" t="str">
        <x:v>GENIAL GESTÃO LTDA.</x:v>
      </x:c>
      <x:c r="E156" s="168" t="str">
        <x:f>IFERROR(INDEX('Classif Gestoras'!$H$6:$H$462,MATCH(D156,'Classif Gestoras'!$A$6:$A$462,0)),"Não classificada")</x:f>
        <x:v>Ligada a banco</x:v>
      </x:c>
      <x:c r="F156" s="168" t="str">
        <x:v>Banco Genial S.A.</x:v>
      </x:c>
      <x:c r="G156" s="168" t="str">
        <x:v>BANCO GENIAL S.A.</x:v>
      </x:c>
      <x:c r="H156" s="168" t="str">
        <x:v>Agro, Indústria e Comércio</x:v>
      </x:c>
      <x:c r="I156" s="168" t="str">
        <x:v>Recebíveis Comerciais</x:v>
      </x:c>
      <x:c r="J156" s="168" t="str">
        <x:v>CI</x:v>
      </x:c>
      <x:c r="K156" s="174" t="n">
        <x:v>18</x:v>
      </x:c>
      <x:c r="L156" s="187" t="str">
        <x:v>Não classificado</x:v>
      </x:c>
    </x:row>
    <x:row r="157">
      <x:c r="A157" s="177" t="str">
        <x:v>60.487.508/0001-98</x:v>
      </x:c>
      <x:c r="B157" s="168" t="str">
        <x:v>MOAB FUNDO DE INVESTIMENTO EM DIREITOS CREDITÓRIOS SEGMENTO RECEBÍVEIS COMERCIAIS</x:v>
      </x:c>
      <x:c r="C157" s="190" t="n">
        <x:v>900000005.07</x:v>
      </x:c>
      <x:c r="D157" s="168" t="str">
        <x:v>Banco Bradesco S/A</x:v>
      </x:c>
      <x:c r="E157" s="168" t="str">
        <x:f>IFERROR(INDEX('Classif Gestoras'!$H$6:$H$462,MATCH(D157,'Classif Gestoras'!$A$6:$A$462,0)),"Não classificada")</x:f>
        <x:v>Ligada a banco</x:v>
      </x:c>
      <x:c r="F157" s="168" t="str">
        <x:v>BEM - DIST. DE TÍTUL</x:v>
      </x:c>
      <x:c r="G157" s="168" t="str">
        <x:v>BANCO BRADESCO S.A.</x:v>
      </x:c>
      <x:c r="H157" s="168" t="str">
        <x:v>Agro, Indústria e Comércio</x:v>
      </x:c>
      <x:c r="I157" s="168" t="str">
        <x:v>Recebíveis Comerciais</x:v>
      </x:c>
      <x:c r="J157" s="168" t="str">
        <x:v>CI</x:v>
      </x:c>
      <x:c r="K157" s="174" t="n">
        <x:v>190</x:v>
      </x:c>
      <x:c r="L157" s="187" t="str">
        <x:v>Não classificado</x:v>
      </x:c>
    </x:row>
    <x:row r="158">
      <x:c r="A158" s="177" t="str">
        <x:v>61.188.091/0001-25</x:v>
      </x:c>
      <x:c r="B158" s="168" t="str">
        <x:v>BYX MOZART FUNDO DE INVESTIMENTO EM DIREITOS CREDITÓRIOS - CRÉDITO CONSIGNADO RESP. LIMITADA</x:v>
      </x:c>
      <x:c r="C158" s="190" t="n">
        <x:v>891029584.7</x:v>
      </x:c>
      <x:c r="D158" s="168" t="str">
        <x:v>VERT Gestora de Recursos Financeiros Ltda.</x:v>
      </x:c>
      <x:c r="E158" s="168" t="str">
        <x:f>IFERROR(INDEX('Classif Gestoras'!$H$6:$H$462,MATCH(D158,'Classif Gestoras'!$A$6:$A$462,0)),"Não classificada")</x:f>
        <x:v>Independente</x:v>
      </x:c>
      <x:c r="F158" s="168" t="str">
        <x:v>VERT Distribuidora de Títulos e Valores Mobiliários Ltd</x:v>
      </x:c>
      <x:c r="G158" s="168" t="str">
        <x:v>VERT DISTRIBUIDORA DE TÍTULOS E VALORES MOBILIÁRIOS LTDA.</x:v>
      </x:c>
      <x:c r="H158" s="168" t="str">
        <x:v>Financeiro</x:v>
      </x:c>
      <x:c r="I158" s="168" t="str">
        <x:v>Crédito Consignado</x:v>
      </x:c>
      <x:c r="J158" s="168" t="str">
        <x:v>CI</x:v>
      </x:c>
      <x:c r="K158" s="174" t="n">
        <x:v>5</x:v>
      </x:c>
      <x:c r="L158" s="187" t="str">
        <x:v>Não classificado</x:v>
      </x:c>
    </x:row>
    <x:row r="159">
      <x:c r="A159" s="177" t="str">
        <x:v>58.148.845/0001-09</x:v>
      </x:c>
      <x:c r="B159" s="168" t="str">
        <x:v>FUNDO DE INVESTIMENTO EM DIREITOS CREDITÓRIOS PICPAY FGTS</x:v>
      </x:c>
      <x:c r="C159" s="190" t="n">
        <x:v>890620937.7499999</x:v>
      </x:c>
      <x:c r="D159" s="168" t="str">
        <x:v>Kanastra</x:v>
      </x:c>
      <x:c r="E159" s="168" t="str">
        <x:f>IFERROR(INDEX('Classif Gestoras'!$H$6:$H$462,MATCH(D159,'Classif Gestoras'!$A$6:$A$462,0)),"Não classificada")</x:f>
        <x:v>Independente</x:v>
      </x:c>
      <x:c r="F159" s="168" t="str">
        <x:v>Limine Trust Distribuidora de Titulos e Valores Mobiliá</x:v>
      </x:c>
      <x:c r="G159" s="168" t="str">
        <x:v>LIMINE TRUST DISTRIBUIDORA DE TITULOS E VALORES MOBILIARIOS LTDA.</x:v>
      </x:c>
      <x:c r="H159" s="168" t="str">
        <x:v>Financeiro</x:v>
      </x:c>
      <x:c r="I159" s="168" t="str">
        <x:v>Crédito Pessoal</x:v>
      </x:c>
      <x:c r="J159" s="168" t="str">
        <x:v>CI</x:v>
      </x:c>
      <x:c r="K159" s="174" t="n">
        <x:v>112</x:v>
      </x:c>
      <x:c r="L159" s="187" t="str">
        <x:v>Não classificado</x:v>
      </x:c>
    </x:row>
    <x:row r="160">
      <x:c r="A160" s="177" t="str">
        <x:v>36.672.404/0001-79</x:v>
      </x:c>
      <x:c r="B160" s="168" t="str">
        <x:v>FUNDO DE INVESTIMENTO EM DIREITOS CREDITÓRIOS CRÉDITOS NÃO PADRONIZADOS I RESPONSABILIDADE LIMITADA</x:v>
      </x:c>
      <x:c r="C160" s="190" t="n">
        <x:v>890080998.39</x:v>
      </x:c>
      <x:c r="D160" s="168" t="str">
        <x:v>Banco BTG Pactual</x:v>
      </x:c>
      <x:c r="E160" s="168" t="str">
        <x:f>IFERROR(INDEX('Classif Gestoras'!$H$6:$H$462,MATCH(D160,'Classif Gestoras'!$A$6:$A$462,0)),"Não classificada")</x:f>
        <x:v>Ligada a banco</x:v>
      </x:c>
      <x:c r="F160" s="168" t="str">
        <x:v>BTG Pactual Servicos Financeiros S/A DTVM</x:v>
      </x:c>
      <x:c r="G160" s="168" t="str">
        <x:v>BANCO BTG PACTUAL S/A</x:v>
      </x:c>
      <x:c r="H160" s="168" t="str">
        <x:v>Outros</x:v>
      </x:c>
      <x:c r="I160" s="168" t="str">
        <x:v>Multicarteira Outros</x:v>
      </x:c>
      <x:c r="J160" s="168" t="str">
        <x:v>CI</x:v>
      </x:c>
      <x:c r="K160" s="174" t="n">
        <x:v>1</x:v>
      </x:c>
      <x:c r="L160" s="187" t="str">
        <x:v>Proxy multicedente/multissacado — revisar</x:v>
      </x:c>
    </x:row>
    <x:row r="161">
      <x:c r="A161" s="177" t="str">
        <x:v>35.754.011/0001-41</x:v>
      </x:c>
      <x:c r="B161" s="168" t="str">
        <x:v>FUNDO DE INVESTIMENTO EM DIREITOS CREDITÓRIOS PORTO DESAP -RESPONSABILIDADE LIMITADA</x:v>
      </x:c>
      <x:c r="C161" s="190" t="n">
        <x:v>883285827.63</x:v>
      </x:c>
      <x:c r="D161" s="168" t="str">
        <x:v>JIVE ASSET GESTAO DE RECURSOS LTDA</x:v>
      </x:c>
      <x:c r="E161" s="168" t="str">
        <x:f>IFERROR(INDEX('Classif Gestoras'!$H$6:$H$462,MATCH(D161,'Classif Gestoras'!$A$6:$A$462,0)),"Não classificada")</x:f>
        <x:v>Independente</x:v>
      </x:c>
      <x:c r="F161" s="168" t="str">
        <x:v>MAF Distribuidora de Títulos e Valores Mobiliários S.A.</x:v>
      </x:c>
      <x:c r="G161" s="168" t="str">
        <x:v>MAF DISTRIBUIDORA DE TITULOS E VALORES MOBILIARIOS S.A.</x:v>
      </x:c>
      <x:c r="H161" s="168" t="str">
        <x:v>Outros</x:v>
      </x:c>
      <x:c r="I161" s="168" t="str">
        <x:v>Recuperação</x:v>
      </x:c>
      <x:c r="J161" s="168" t="str">
        <x:v>CI</x:v>
      </x:c>
      <x:c r="K161" s="174" t="n">
        <x:v>5</x:v>
      </x:c>
      <x:c r="L161" s="187" t="str">
        <x:v>Não classificado</x:v>
      </x:c>
    </x:row>
    <x:row r="162">
      <x:c r="A162" s="177" t="str">
        <x:v>57.976.916/0001-07</x:v>
      </x:c>
      <x:c r="B162" s="168" t="str">
        <x:v>TM II FUNDO DE INVESTIMENTO EM DIREITOS CREDITORIOS</x:v>
      </x:c>
      <x:c r="C162" s="190" t="n">
        <x:v>882857515.46</x:v>
      </x:c>
      <x:c r="D162" s="168" t="str">
        <x:v>NEBRASKA CAPITAL</x:v>
      </x:c>
      <x:c r="E162" s="168" t="str">
        <x:f>IFERROR(INDEX('Classif Gestoras'!$H$6:$H$462,MATCH(D162,'Classif Gestoras'!$A$6:$A$462,0)),"Não classificada")</x:f>
        <x:v>Independente</x:v>
      </x:c>
      <x:c r="F162" s="168" t="str">
        <x:v>BTG Pactual Servicos Financeiros S/A DTVM</x:v>
      </x:c>
      <x:c r="G162" s="168" t="str">
        <x:v>BANCO BTG PACTUAL S/A</x:v>
      </x:c>
      <x:c r="H162" s="168" t="str">
        <x:v>Outros</x:v>
      </x:c>
      <x:c r="I162" s="168" t="str">
        <x:v>Multicarteira Outros</x:v>
      </x:c>
      <x:c r="J162" s="168" t="str">
        <x:v>CI</x:v>
      </x:c>
      <x:c r="K162" s="174" t="n">
        <x:v>7</x:v>
      </x:c>
      <x:c r="L162" s="187" t="str">
        <x:v>Proxy multicedente/multissacado — revisar</x:v>
      </x:c>
    </x:row>
    <x:row r="163">
      <x:c r="A163" s="177" t="str">
        <x:v>56.321.885/0001-85</x:v>
      </x:c>
      <x:c r="B163" s="168" t="str">
        <x:v>GONN II FUNDO DE INVESTIMENTO EM DIREITOS CREDITÓRIOS RESPONSABILIDADE LIMITADA</x:v>
      </x:c>
      <x:c r="C163" s="190" t="n">
        <x:v>877133966.83</x:v>
      </x:c>
      <x:c r="D163" s="168" t="str">
        <x:v>GENIAL GESTÃO LTDA.</x:v>
      </x:c>
      <x:c r="E163" s="168" t="str">
        <x:f>IFERROR(INDEX('Classif Gestoras'!$H$6:$H$462,MATCH(D163,'Classif Gestoras'!$A$6:$A$462,0)),"Não classificada")</x:f>
        <x:v>Ligada a banco</x:v>
      </x:c>
      <x:c r="F163" s="168" t="str">
        <x:v>Banco Genial S.A.</x:v>
      </x:c>
      <x:c r="G163" s="168" t="str">
        <x:v>BANCO GENIAL S.A.</x:v>
      </x:c>
      <x:c r="H163" s="168" t="str">
        <x:v>Financeiro</x:v>
      </x:c>
      <x:c r="I163" s="168" t="str">
        <x:v>Crédito Pessoal</x:v>
      </x:c>
      <x:c r="J163" s="168" t="str">
        <x:v>CI</x:v>
      </x:c>
      <x:c r="K163" s="174" t="n">
        <x:v>1</x:v>
      </x:c>
      <x:c r="L163" s="187" t="str">
        <x:v>Não classificado</x:v>
      </x:c>
    </x:row>
    <x:row r="164">
      <x:c r="A164" s="177" t="str">
        <x:v>51.943.745/0001-25</x:v>
      </x:c>
      <x:c r="B164" s="168" t="str">
        <x:v>V SELECT FUNDO DE INVESTIMENTO EM DIREITOS CREDITÓRIOS</x:v>
      </x:c>
      <x:c r="C164" s="190" t="n">
        <x:v>861908259.11</x:v>
      </x:c>
      <x:c r="D164" s="168" t="str">
        <x:v>Intrabank Asset</x:v>
      </x:c>
      <x:c r="E164" s="168" t="str">
        <x:f>IFERROR(INDEX('Classif Gestoras'!$H$6:$H$462,MATCH(D164,'Classif Gestoras'!$A$6:$A$462,0)),"Não classificada")</x:f>
        <x:v>Independente</x:v>
      </x:c>
      <x:c r="F164" s="168" t="str">
        <x:v>HEMERA DTVM</x:v>
      </x:c>
      <x:c r="G164" s="168" t="str">
        <x:v>HEMERA DISTRIBUIDORA DE TITULOS E VALORES MOBILIARIOS LTDA</x:v>
      </x:c>
      <x:c r="H164" s="168" t="str">
        <x:v>Outros</x:v>
      </x:c>
      <x:c r="I164" s="168" t="str">
        <x:v>Multicarteira Outros</x:v>
      </x:c>
      <x:c r="J164" s="168" t="str">
        <x:v>CI</x:v>
      </x:c>
      <x:c r="K164" s="174" t="n">
        <x:v>1</x:v>
      </x:c>
      <x:c r="L164" s="187" t="str">
        <x:v>Proxy multicedente/multissacado — revisar</x:v>
      </x:c>
    </x:row>
    <x:row r="165">
      <x:c r="A165" s="177" t="str">
        <x:v>53.293.984/0001-02</x:v>
      </x:c>
      <x:c r="B165" s="168" t="str">
        <x:v>SERENA FUNDO DE INVESTIMENTO EM DIREITOS CREDITÓRIOS</x:v>
      </x:c>
      <x:c r="C165" s="190" t="n">
        <x:v>856119469.95</x:v>
      </x:c>
      <x:c r="D165" s="168" t="str">
        <x:v>SUESTE CAPITAL GESTÃO DE RECURSOS LTDA.</x:v>
      </x:c>
      <x:c r="E165" s="168" t="str">
        <x:f>IFERROR(INDEX('Classif Gestoras'!$H$6:$H$462,MATCH(D165,'Classif Gestoras'!$A$6:$A$462,0)),"Não classificada")</x:f>
        <x:v>Independente</x:v>
      </x:c>
      <x:c r="F165" s="168" t="str">
        <x:v>XPI CCTVM S/A</x:v>
      </x:c>
      <x:c r="G165" s="168" t="str">
        <x:v>OLIVEIRA TRUST DTVM S.A.</x:v>
      </x:c>
      <x:c r="H165" s="168" t="str">
        <x:v>Outros</x:v>
      </x:c>
      <x:c r="I165" s="168" t="str">
        <x:v>Multicarteira Outros</x:v>
      </x:c>
      <x:c r="J165" s="168" t="str">
        <x:v>CI</x:v>
      </x:c>
      <x:c r="K165" s="174" t="n">
        <x:v>1</x:v>
      </x:c>
      <x:c r="L165" s="187" t="str">
        <x:v>Proxy multicedente/multissacado — revisar</x:v>
      </x:c>
    </x:row>
    <x:row r="166">
      <x:c r="A166" s="177" t="str">
        <x:v>50.327.909/0001-27</x:v>
      </x:c>
      <x:c r="B166" s="168" t="str">
        <x:v>TAMBASA FUNDO DE INVESTIMENTO EM DIREITOS CREDITÓRIOS</x:v>
      </x:c>
      <x:c r="C166" s="190" t="n">
        <x:v>852374454.16</x:v>
      </x:c>
      <x:c r="D166" s="168" t="str">
        <x:v>GV ATACAMA CAPITAL LTDA.</x:v>
      </x:c>
      <x:c r="E166" s="168" t="str">
        <x:f>IFERROR(INDEX('Classif Gestoras'!$H$6:$H$462,MATCH(D166,'Classif Gestoras'!$A$6:$A$462,0)),"Não classificada")</x:f>
        <x:v>Independente</x:v>
      </x:c>
      <x:c r="F166" s="168" t="str">
        <x:v>Singulare</x:v>
      </x:c>
      <x:c r="G166" s="168" t="str">
        <x:v>QI CORRETORA DE TÍTULOS E VALORES MOBILIÁRIOS S.A.</x:v>
      </x:c>
      <x:c r="H166" s="168" t="str">
        <x:v>Outros</x:v>
      </x:c>
      <x:c r="I166" s="168" t="str">
        <x:v>Multicarteira Outros</x:v>
      </x:c>
      <x:c r="J166" s="168" t="str">
        <x:v>CI</x:v>
      </x:c>
      <x:c r="K166" s="174" t="n">
        <x:v>54</x:v>
      </x:c>
      <x:c r="L166" s="187" t="str">
        <x:v>Proxy multicedente/multissacado — revisar</x:v>
      </x:c>
    </x:row>
    <x:row r="167">
      <x:c r="A167" s="177" t="str">
        <x:v>31.848.028/0001-07</x:v>
      </x:c>
      <x:c r="B167" s="168" t="str">
        <x:v>NAZARE MASTER FUNDO DE INVESTIMENTO EM DIREITOS CREDITÓRIOS</x:v>
      </x:c>
      <x:c r="C167" s="190" t="n">
        <x:v>846530147.88</x:v>
      </x:c>
      <x:c r="D167" s="168" t="str">
        <x:v>Artesanal Investimentos</x:v>
      </x:c>
      <x:c r="E167" s="168" t="str">
        <x:f>IFERROR(INDEX('Classif Gestoras'!$H$6:$H$462,MATCH(D167,'Classif Gestoras'!$A$6:$A$462,0)),"Não classificada")</x:f>
        <x:v>Independente</x:v>
      </x:c>
      <x:c r="F167" s="168" t="str">
        <x:v>Genial Investimentos Corretora de Valores Mobiliários S.A.</x:v>
      </x:c>
      <x:c r="G167" s="168" t="str">
        <x:v>BANCO B3 S.A.</x:v>
      </x:c>
      <x:c r="H167" s="168" t="str">
        <x:v>Financeiro</x:v>
      </x:c>
      <x:c r="I167" s="168" t="str">
        <x:v>Crédito Pessoal</x:v>
      </x:c>
      <x:c r="J167" s="168" t="str">
        <x:v>CI</x:v>
      </x:c>
      <x:c r="K167" s="174" t="n">
        <x:v>8</x:v>
      </x:c>
      <x:c r="L167" s="187" t="str">
        <x:v>Não classificado</x:v>
      </x:c>
    </x:row>
    <x:row r="168">
      <x:c r="A168" s="177" t="str">
        <x:v>53.779.703/0001-26</x:v>
      </x:c>
      <x:c r="B168" s="168" t="str">
        <x:v>XP CREDIT OPPORTUNITIES FUNDO DE INVESTIMENTO EM DIREITOS CREDITÓRIOS DE RESPONSABILIDADE LIMITADA</x:v>
      </x:c>
      <x:c r="C168" s="190" t="n">
        <x:v>844169473.6099999</x:v>
      </x:c>
      <x:c r="D168" s="168" t="str">
        <x:v>Vista Real Estate</x:v>
      </x:c>
      <x:c r="E168" s="168" t="str">
        <x:f>IFERROR(INDEX('Classif Gestoras'!$H$6:$H$462,MATCH(D168,'Classif Gestoras'!$A$6:$A$462,0)),"Não classificada")</x:f>
        <x:v>Independente</x:v>
      </x:c>
      <x:c r="F168" s="168" t="str">
        <x:v>XPI CCTVM S/A</x:v>
      </x:c>
      <x:c r="G168" s="168" t="str">
        <x:v>OLIVEIRA TRUST DTVM S.A.</x:v>
      </x:c>
      <x:c r="H168" s="168" t="str">
        <x:v>Outros</x:v>
      </x:c>
      <x:c r="I168" s="168" t="str">
        <x:v>Multicarteira Outros</x:v>
      </x:c>
      <x:c r="J168" s="168" t="str">
        <x:v>CI</x:v>
      </x:c>
      <x:c r="K168" s="174" t="n">
        <x:v>10325</x:v>
      </x:c>
      <x:c r="L168" s="187" t="str">
        <x:v>Proxy multicedente/multissacado — revisar</x:v>
      </x:c>
    </x:row>
    <x:row r="169">
      <x:c r="A169" s="177" t="str">
        <x:v>29.043.573/0001-84</x:v>
      </x:c>
      <x:c r="B169" s="168" t="str">
        <x:v>MALTA II FUNDO DE INVESTIMENTO EM DIREITOS CREDITÓRIOS NÃO-PADRONIZADOS</x:v>
      </x:c>
      <x:c r="C169" s="190" t="n">
        <x:v>841872348.77</x:v>
      </x:c>
      <x:c r="D169" s="168" t="str">
        <x:v>Jus Capital Gestão de Recursos LTDA</x:v>
      </x:c>
      <x:c r="E169" s="168" t="str">
        <x:f>IFERROR(INDEX('Classif Gestoras'!$H$6:$H$462,MATCH(D169,'Classif Gestoras'!$A$6:$A$462,0)),"Não classificada")</x:f>
        <x:v>Independente</x:v>
      </x:c>
      <x:c r="F169" s="168" t="str">
        <x:v>BTG Pactual Servicos Financeiros S/A DTVM</x:v>
      </x:c>
      <x:c r="G169" s="168" t="str">
        <x:v>BANCO BTG PACTUAL S/A</x:v>
      </x:c>
      <x:c r="H169" s="168" t="str">
        <x:v>Outros</x:v>
      </x:c>
      <x:c r="I169" s="168" t="str">
        <x:v>Multicarteira Outros</x:v>
      </x:c>
      <x:c r="J169" s="168" t="str">
        <x:v>CI</x:v>
      </x:c>
      <x:c r="K169" s="174" t="n">
        <x:v>8</x:v>
      </x:c>
      <x:c r="L169" s="187" t="str">
        <x:v>Proxy multicedente/multissacado — revisar</x:v>
      </x:c>
    </x:row>
    <x:row r="170">
      <x:c r="A170" s="177" t="str">
        <x:v>49.805.246/0001-20</x:v>
      </x:c>
      <x:c r="B170" s="168" t="str">
        <x:v>LASSIE 1 CRÉDITOS JUDICIAIS FUNDO DE INVESTIMENTO EM DIREITOS CREDITÓRIOS</x:v>
      </x:c>
      <x:c r="C170" s="190" t="n">
        <x:v>834710358.86</x:v>
      </x:c>
      <x:c r="D170" s="168" t="str">
        <x:v>LASS CAPITAL</x:v>
      </x:c>
      <x:c r="E170" s="168" t="str">
        <x:f>IFERROR(INDEX('Classif Gestoras'!$H$6:$H$462,MATCH(D170,'Classif Gestoras'!$A$6:$A$462,0)),"Não classificada")</x:f>
        <x:v>Independente</x:v>
      </x:c>
      <x:c r="F170" s="168" t="str">
        <x:v>BTG Pactual Servicos Financeiros S/A DTVM</x:v>
      </x:c>
      <x:c r="G170" s="168" t="str">
        <x:v>BANCO BTG PACTUAL S/A</x:v>
      </x:c>
      <x:c r="H170" s="168" t="str">
        <x:v>Outros</x:v>
      </x:c>
      <x:c r="I170" s="168" t="str">
        <x:v>Poder Público</x:v>
      </x:c>
      <x:c r="J170" s="168" t="str">
        <x:v>CI</x:v>
      </x:c>
      <x:c r="K170" s="174" t="n">
        <x:v>1</x:v>
      </x:c>
      <x:c r="L170" s="187" t="str">
        <x:v>Não classificado</x:v>
      </x:c>
    </x:row>
    <x:row r="171">
      <x:c r="A171" s="177" t="str">
        <x:v>32.321.306/0001-36</x:v>
      </x:c>
      <x:c r="B171" s="168" t="str">
        <x:v>ARAGUAIA FUNDO DE INVESTIMENTO EM DIREITOS CREDITÓRIOS RESPONSABILIDADE LIMITADA</x:v>
      </x:c>
      <x:c r="C171" s="190" t="n">
        <x:v>819765665.0300002</x:v>
      </x:c>
      <x:c r="D171" s="168" t="str">
        <x:v>Redwood Asset Management</x:v>
      </x:c>
      <x:c r="E171" s="168" t="str">
        <x:f>IFERROR(INDEX('Classif Gestoras'!$H$6:$H$462,MATCH(D171,'Classif Gestoras'!$A$6:$A$462,0)),"Não classificada")</x:f>
        <x:v>Independente</x:v>
      </x:c>
      <x:c r="F171" s="168" t="str">
        <x:v>PLANNER CV</x:v>
      </x:c>
      <x:c r="G171" s="168" t="str">
        <x:v>PLANNER CORRETORA DE VALORES S.A.</x:v>
      </x:c>
      <x:c r="H171" s="168" t="str">
        <x:v>Outros</x:v>
      </x:c>
      <x:c r="I171" s="168" t="str">
        <x:v>Multicarteira Outros</x:v>
      </x:c>
      <x:c r="J171" s="168" t="str">
        <x:v>CI</x:v>
      </x:c>
      <x:c r="K171" s="174" t="n">
        <x:v>3</x:v>
      </x:c>
      <x:c r="L171" s="187" t="str">
        <x:v>Proxy multicedente/multissacado — revisar</x:v>
      </x:c>
    </x:row>
    <x:row r="172">
      <x:c r="A172" s="177" t="str">
        <x:v>54.518.191/0001-07</x:v>
      </x:c>
      <x:c r="B172" s="168" t="str">
        <x:v>ICRED FGTS FUNDO DE INVESTIMENTO EM DIREITOS CREDITÓRIOS RESPONSABILIDADE LIMITADA</x:v>
      </x:c>
      <x:c r="C172" s="190" t="n">
        <x:v>813412014.52</x:v>
      </x:c>
      <x:c r="D172" s="168" t="str">
        <x:v>Oliveira Trust DTVM</x:v>
      </x:c>
      <x:c r="E172" s="168" t="str">
        <x:f>IFERROR(INDEX('Classif Gestoras'!$H$6:$H$462,MATCH(D172,'Classif Gestoras'!$A$6:$A$462,0)),"Não classificada")</x:f>
        <x:v>Independente</x:v>
      </x:c>
      <x:c r="F172" s="168" t="str">
        <x:v>Oliveira Trust DTVM</x:v>
      </x:c>
      <x:c r="G172" s="168" t="str">
        <x:v>OLIVEIRA TRUST DTVM S.A.</x:v>
      </x:c>
      <x:c r="H172" s="168" t="str">
        <x:v>Financeiro</x:v>
      </x:c>
      <x:c r="I172" s="168" t="str">
        <x:v>Crédito Pessoal</x:v>
      </x:c>
      <x:c r="J172" s="168" t="str">
        <x:v>CI</x:v>
      </x:c>
      <x:c r="K172" s="174" t="n">
        <x:v>147</x:v>
      </x:c>
      <x:c r="L172" s="187" t="str">
        <x:v>Não classificado</x:v>
      </x:c>
    </x:row>
    <x:row r="173">
      <x:c r="A173" s="177" t="str">
        <x:v>26.405.874/0001-12</x:v>
      </x:c>
      <x:c r="B173" s="168" t="str">
        <x:v>FUNDO DE INVESTIMENTO EM DIREITOS CREDITÓRIOS ATACADO RESPONSABILIDADE LIMITADA</x:v>
      </x:c>
      <x:c r="C173" s="190" t="n">
        <x:v>811932857.77</x:v>
      </x:c>
      <x:c r="D173" s="168" t="str">
        <x:v>BRL TRUST DTVM</x:v>
      </x:c>
      <x:c r="E173" s="168" t="str">
        <x:f>IFERROR(INDEX('Classif Gestoras'!$H$6:$H$462,MATCH(D173,'Classif Gestoras'!$A$6:$A$462,0)),"Não classificada")</x:f>
        <x:v>Independente</x:v>
      </x:c>
      <x:c r="F173" s="168" t="str">
        <x:v>BRL TRUST DTVM</x:v>
      </x:c>
      <x:c r="G173" s="168" t="str">
        <x:v>BRL TRUST DISTRIBUIDORA DE TITULOS E VALORES MOBILIARIOS S.A.</x:v>
      </x:c>
      <x:c r="H173" s="168" t="str">
        <x:v>Outros</x:v>
      </x:c>
      <x:c r="I173" s="168" t="str">
        <x:v>Multicarteira Outros</x:v>
      </x:c>
      <x:c r="J173" s="168" t="str">
        <x:v>CI</x:v>
      </x:c>
      <x:c r="K173" s="174" t="n">
        <x:v>1</x:v>
      </x:c>
      <x:c r="L173" s="187" t="str">
        <x:v>Proxy multicedente/multissacado — revisar</x:v>
      </x:c>
    </x:row>
    <x:row r="174">
      <x:c r="A174" s="177" t="str">
        <x:v>41.196.241/0001-35</x:v>
      </x:c>
      <x:c r="B174" s="168" t="str">
        <x:v>BRAVE 30 FUNDO DE INVESTIMENTO EM DIREITOS CREDITÓRIOS</x:v>
      </x:c>
      <x:c r="C174" s="190" t="n">
        <x:v>811842242.8022</x:v>
      </x:c>
      <x:c r="D174" s="168" t="str">
        <x:v>Brave Asset</x:v>
      </x:c>
      <x:c r="E174" s="168" t="str">
        <x:f>IFERROR(INDEX('Classif Gestoras'!$H$6:$H$462,MATCH(D174,'Classif Gestoras'!$A$6:$A$462,0)),"Não classificada")</x:f>
        <x:v>Independente</x:v>
      </x:c>
      <x:c r="F174" s="168" t="str">
        <x:v>BTG Pactual Servicos Financeiros S/A DTVM</x:v>
      </x:c>
      <x:c r="G174" s="168" t="str">
        <x:v>BANCO BTG PACTUAL S/A</x:v>
      </x:c>
      <x:c r="H174" s="168" t="str">
        <x:v>Outros</x:v>
      </x:c>
      <x:c r="I174" s="168" t="str">
        <x:v>Multicarteira Outros</x:v>
      </x:c>
      <x:c r="J174" s="168" t="str">
        <x:v>CI</x:v>
      </x:c>
      <x:c r="K174" s="174" t="n">
        <x:v>3374</x:v>
      </x:c>
      <x:c r="L174" s="187" t="str">
        <x:v>Proxy multicedente/multissacado — revisar</x:v>
      </x:c>
    </x:row>
    <x:row r="175">
      <x:c r="A175" s="177" t="str">
        <x:v>36.246.327/0001-95</x:v>
      </x:c>
      <x:c r="B175" s="168" t="str">
        <x:v>AMAZONITA FUNDO DE INVESTIMENTO EM DIREITOS CREDITÓRIOS</x:v>
      </x:c>
      <x:c r="C175" s="190" t="n">
        <x:v>811771955.91</x:v>
      </x:c>
      <x:c r="D175" s="168" t="str">
        <x:v>SMART AGRO INVESTIMENTOS LTDA.</x:v>
      </x:c>
      <x:c r="E175" s="168" t="str">
        <x:f>IFERROR(INDEX('Classif Gestoras'!$H$6:$H$462,MATCH(D175,'Classif Gestoras'!$A$6:$A$462,0)),"Não classificada")</x:f>
        <x:v>Independente</x:v>
      </x:c>
      <x:c r="F175" s="168" t="str">
        <x:v>TRUSTEE DTVM</x:v>
      </x:c>
      <x:c r="G175" s="168" t="str">
        <x:v>TRUSTEE DISTRIBUIDORA DE TITULOS E VALORES MOBILIARIOS LTDA.</x:v>
      </x:c>
      <x:c r="H175" s="168" t="str">
        <x:v>Outros</x:v>
      </x:c>
      <x:c r="I175" s="168" t="str">
        <x:v>Multicarteira Outros</x:v>
      </x:c>
      <x:c r="J175" s="168" t="str">
        <x:v>CI</x:v>
      </x:c>
      <x:c r="K175" s="174" t="n">
        <x:v>2</x:v>
      </x:c>
      <x:c r="L175" s="187" t="str">
        <x:v>Proxy multicedente/multissacado — revisar</x:v>
      </x:c>
    </x:row>
    <x:row r="176">
      <x:c r="A176" s="177" t="str">
        <x:v>10.613.882/0001-14</x:v>
      </x:c>
      <x:c r="B176" s="168" t="str">
        <x:v>ROYAL BANK FUNDO DE INVESTIMENTO EM DIREITOS CREDITÓRIOS DE RESPONSABILIDADE LIMITADA</x:v>
      </x:c>
      <x:c r="C176" s="190" t="n">
        <x:v>802422100.79</x:v>
      </x:c>
      <x:c r="D176" s="168" t="str">
        <x:v>Seven Pounds Asset</x:v>
      </x:c>
      <x:c r="E176" s="168" t="str">
        <x:f>IFERROR(INDEX('Classif Gestoras'!$H$6:$H$462,MATCH(D176,'Classif Gestoras'!$A$6:$A$462,0)),"Não classificada")</x:f>
        <x:v>Independente</x:v>
      </x:c>
      <x:c r="F176" s="168" t="str">
        <x:v>INTRAG DIST. DE TÍTU</x:v>
      </x:c>
      <x:c r="G176" s="168" t="str">
        <x:v>ITAU UNIBANCO S.A.</x:v>
      </x:c>
      <x:c r="H176" s="168" t="str">
        <x:v>Fomento Mercantil</x:v>
      </x:c>
      <x:c r="I176" s="168" t="str">
        <x:v>Fomento Mercantil</x:v>
      </x:c>
      <x:c r="J176" s="168" t="str">
        <x:v>CI</x:v>
      </x:c>
      <x:c r="K176" s="174" t="n">
        <x:v>1</x:v>
      </x:c>
      <x:c r="L176" s="187" t="str">
        <x:v>Não classificado</x:v>
      </x:c>
    </x:row>
    <x:row r="177">
      <x:c r="A177" s="177" t="str">
        <x:v>59.063.143/0001-95</x:v>
      </x:c>
      <x:c r="B177" s="168" t="str">
        <x:v>GUARDIAN MULTI CONSIGNADO XIII FUNDO DE INVESTIMENTO EM DIREITOS CREDITÓRIOS RESP LTDA</x:v>
      </x:c>
      <x:c r="C177" s="190" t="n">
        <x:v>785556591.55</x:v>
      </x:c>
      <x:c r="D177" s="168" t="str">
        <x:v>Guardian Crédito</x:v>
      </x:c>
      <x:c r="E177" s="168" t="str">
        <x:f>IFERROR(INDEX('Classif Gestoras'!$H$6:$H$462,MATCH(D177,'Classif Gestoras'!$A$6:$A$462,0)),"Não classificada")</x:f>
        <x:v>Independente</x:v>
      </x:c>
      <x:c r="F177" s="168" t="str">
        <x:v>Oliveira Trust DTVM</x:v>
      </x:c>
      <x:c r="G177" s="168" t="str">
        <x:v>OLIVEIRA TRUST DTVM S.A.</x:v>
      </x:c>
      <x:c r="H177" s="168" t="str">
        <x:v>Financeiro</x:v>
      </x:c>
      <x:c r="I177" s="168" t="str">
        <x:v>Crédito Consignado</x:v>
      </x:c>
      <x:c r="J177" s="168" t="str">
        <x:v>CI</x:v>
      </x:c>
      <x:c r="K177" s="174" t="n">
        <x:v>83</x:v>
      </x:c>
      <x:c r="L177" s="187" t="str">
        <x:v>Não classificado</x:v>
      </x:c>
    </x:row>
    <x:row r="178">
      <x:c r="A178" s="177" t="str">
        <x:v>62.092.802/0001-26</x:v>
      </x:c>
      <x:c r="B178" s="168" t="str">
        <x:v>IA II - FUNDO DE INVESTIMENTO EM DIREITOS CREDITÓRIOS RESPONSABILIDADE LIMITADA</x:v>
      </x:c>
      <x:c r="C178" s="190" t="n">
        <x:v>783253116.09</x:v>
      </x:c>
      <x:c r="D178" s="168" t="str">
        <x:v>Itau Unibanco</x:v>
      </x:c>
      <x:c r="E178" s="168" t="str">
        <x:f>IFERROR(INDEX('Classif Gestoras'!$H$6:$H$462,MATCH(D178,'Classif Gestoras'!$A$6:$A$462,0)),"Não classificada")</x:f>
        <x:v>Ligada a banco</x:v>
      </x:c>
      <x:c r="F178" s="168" t="str">
        <x:v>INTRAG DIST. DE TÍTU</x:v>
      </x:c>
      <x:c r="G178" s="168" t="str">
        <x:v>ITAU UNIBANCO S.A.</x:v>
      </x:c>
      <x:c r="H178" s="168" t="str">
        <x:v>Outros</x:v>
      </x:c>
      <x:c r="I178" s="168" t="str">
        <x:v>Poder Público</x:v>
      </x:c>
      <x:c r="J178" s="168" t="str">
        <x:v>CI</x:v>
      </x:c>
      <x:c r="K178" s="174" t="n">
        <x:v>1</x:v>
      </x:c>
      <x:c r="L178" s="187" t="str">
        <x:v>Não classificado</x:v>
      </x:c>
    </x:row>
    <x:row r="179">
      <x:c r="A179" s="177" t="str">
        <x:v>61.799.604/0001-34</x:v>
      </x:c>
      <x:c r="B179" s="168" t="str">
        <x:v>GCB FORNECEDORES FUNDO DE INVESTIMENTO EM DIREITOS CREDITÓRIOS COMERCIAIS RESPONSABILIDADE LIMITADA</x:v>
      </x:c>
      <x:c r="C179" s="190" t="n">
        <x:v>782272473.17</x:v>
      </x:c>
      <x:c r="D179" s="168" t="str">
        <x:v>Riza Securitização e Carteiras</x:v>
      </x:c>
      <x:c r="E179" s="168" t="str">
        <x:f>IFERROR(INDEX('Classif Gestoras'!$H$6:$H$462,MATCH(D179,'Classif Gestoras'!$A$6:$A$462,0)),"Não classificada")</x:f>
        <x:v>Independente</x:v>
      </x:c>
      <x:c r="F179" s="168" t="str">
        <x:v>Oliveira Trust DTVM</x:v>
      </x:c>
      <x:c r="G179" s="168" t="str">
        <x:v>OLIVEIRA TRUST DTVM S.A.</x:v>
      </x:c>
      <x:c r="H179" s="168" t="str">
        <x:v>Agro, Indústria e Comércio</x:v>
      </x:c>
      <x:c r="I179" s="168" t="str">
        <x:v>Recebíveis Comerciais</x:v>
      </x:c>
      <x:c r="J179" s="168" t="str">
        <x:v>CI</x:v>
      </x:c>
      <x:c r="K179" s="174" t="n">
        <x:v>158</x:v>
      </x:c>
      <x:c r="L179" s="187" t="str">
        <x:v>Não classificado</x:v>
      </x:c>
    </x:row>
    <x:row r="180">
      <x:c r="A180" s="177" t="str">
        <x:v>50.168.890/0001-13</x:v>
      </x:c>
      <x:c r="B180" s="168" t="str">
        <x:v>CEA PAY FUNDO DE INVESTIMENTO EM DIREITOS CREDITÓRIOS FINANCEIROS RESPONSABILIDADE LIMITADA</x:v>
      </x:c>
      <x:c r="C180" s="190" t="n">
        <x:v>776982789.62</x:v>
      </x:c>
      <x:c r="D180" s="168" t="str">
        <x:v>GENIAL GESTÃO LTDA.</x:v>
      </x:c>
      <x:c r="E180" s="168" t="str">
        <x:f>IFERROR(INDEX('Classif Gestoras'!$H$6:$H$462,MATCH(D180,'Classif Gestoras'!$A$6:$A$462,0)),"Não classificada")</x:f>
        <x:v>Ligada a banco</x:v>
      </x:c>
      <x:c r="F180" s="168" t="str">
        <x:v>Banco Genial S.A.</x:v>
      </x:c>
      <x:c r="G180" s="168" t="str">
        <x:v>BANCO GENIAL S.A.</x:v>
      </x:c>
      <x:c r="H180" s="168" t="str">
        <x:v>Agro, Indústria e Comércio</x:v>
      </x:c>
      <x:c r="I180" s="168" t="str">
        <x:v>Recebíveis Comerciais</x:v>
      </x:c>
      <x:c r="J180" s="168" t="str">
        <x:v>CI</x:v>
      </x:c>
      <x:c r="K180" s="174" t="n">
        <x:v>1</x:v>
      </x:c>
      <x:c r="L180" s="187" t="str">
        <x:v>Não classificado</x:v>
      </x:c>
    </x:row>
    <x:row r="181">
      <x:c r="A181" s="177" t="str">
        <x:v>63.322.011/0001-08</x:v>
      </x:c>
      <x:c r="B181" s="168" t="str">
        <x:v>FUNDO DE INVESTIMENTO EM DIREITOS CREDITÓRIOS STELLANTIS MOBILITY II - RESPONSABILIDADE LIMITADA</x:v>
      </x:c>
      <x:c r="C181" s="190" t="n">
        <x:v>775536893.4900001</x:v>
      </x:c>
      <x:c r="D181" s="168" t="str">
        <x:v>QI GESTAO DE RECURSOS LTDA</x:v>
      </x:c>
      <x:c r="E181" s="168" t="str">
        <x:f>IFERROR(INDEX('Classif Gestoras'!$H$6:$H$462,MATCH(D181,'Classif Gestoras'!$A$6:$A$462,0)),"Não classificada")</x:f>
        <x:v>Independente</x:v>
      </x:c>
      <x:c r="F181" s="168" t="str">
        <x:v>Singulare</x:v>
      </x:c>
      <x:c r="G181" s="168" t="str">
        <x:v>QI CORRETORA DE TÍTULOS E VALORES MOBILIÁRIOS S.A.</x:v>
      </x:c>
      <x:c r="H181" s="168" t="str">
        <x:v>Financeiro</x:v>
      </x:c>
      <x:c r="I181" s="168" t="str">
        <x:v>Financiamento de Veículos</x:v>
      </x:c>
      <x:c r="J181" s="168" t="str">
        <x:v>CI</x:v>
      </x:c>
      <x:c r="K181" s="174" t="n">
        <x:v>73</x:v>
      </x:c>
      <x:c r="L181" s="187" t="str">
        <x:v>Não classificado</x:v>
      </x:c>
    </x:row>
    <x:row r="182">
      <x:c r="A182" s="177" t="str">
        <x:v>30.144.066/0001-16</x:v>
      </x:c>
      <x:c r="B182" s="168" t="str">
        <x:v>CITY FUNDO DE INVESTIMENTO EM DIREITOS CREDITÓRIOS NÃO PADRONIZADO</x:v>
      </x:c>
      <x:c r="C182" s="190" t="n">
        <x:v>772069392.1300001</x:v>
      </x:c>
      <x:c r="D182" s="168" t="str">
        <x:v>Acura Gestora de Recursos LTDA.</x:v>
      </x:c>
      <x:c r="E182" s="168" t="str">
        <x:f>IFERROR(INDEX('Classif Gestoras'!$H$6:$H$462,MATCH(D182,'Classif Gestoras'!$A$6:$A$462,0)),"Não classificada")</x:f>
        <x:v>Independente</x:v>
      </x:c>
      <x:c r="F182" s="168" t="str">
        <x:v>SEFER DTVM</x:v>
      </x:c>
      <x:c r="G182" s="168" t="str">
        <x:v>SEFER INVESTIMENTOS DISTRIBUIDORA DE TÍTULOS E VALORES MOBILIÁRIOS LTDA.</x:v>
      </x:c>
      <x:c r="H182" s="168" t="str">
        <x:v>Outros</x:v>
      </x:c>
      <x:c r="I182" s="168" t="str">
        <x:v>Multicarteira Outros</x:v>
      </x:c>
      <x:c r="J182" s="168" t="str">
        <x:v>CI</x:v>
      </x:c>
      <x:c r="K182" s="174" t="n">
        <x:v>1</x:v>
      </x:c>
      <x:c r="L182" s="187" t="str">
        <x:v>Proxy multicedente/multissacado — revisar</x:v>
      </x:c>
    </x:row>
    <x:row r="183">
      <x:c r="A183" s="177" t="str">
        <x:v>29.986.319/0001-10</x:v>
      </x:c>
      <x:c r="B183" s="168" t="str">
        <x:v>KINEA VÉRTICE FUNDO DE INVESTIMENTO EM DIREITOS CREDITÓRIOS ABERTO RESPONSABILIDADE LIMITADA</x:v>
      </x:c>
      <x:c r="C183" s="190" t="n">
        <x:v>762416742.73</x:v>
      </x:c>
      <x:c r="D183" s="168" t="str">
        <x:v>KINEA INVESTIMENTOS</x:v>
      </x:c>
      <x:c r="E183" s="168" t="str">
        <x:f>IFERROR(INDEX('Classif Gestoras'!$H$6:$H$462,MATCH(D183,'Classif Gestoras'!$A$6:$A$462,0)),"Não classificada")</x:f>
        <x:v>Ligada a banco</x:v>
      </x:c>
      <x:c r="F183" s="168" t="str">
        <x:v>INTRAG DIST. DE TÍTU</x:v>
      </x:c>
      <x:c r="G183" s="168" t="str">
        <x:v>ITAU UNIBANCO S.A.</x:v>
      </x:c>
      <x:c r="H183" s="168" t="str">
        <x:v>Outros</x:v>
      </x:c>
      <x:c r="I183" s="168" t="str">
        <x:v>Multicarteira Outros</x:v>
      </x:c>
      <x:c r="J183" s="168" t="str">
        <x:v>CI</x:v>
      </x:c>
      <x:c r="K183" s="174" t="n">
        <x:v>3</x:v>
      </x:c>
      <x:c r="L183" s="187" t="str">
        <x:v>Proxy multicedente/multissacado — revisar</x:v>
      </x:c>
    </x:row>
    <x:row r="184">
      <x:c r="A184" s="177" t="str">
        <x:v>48.997.793/0001-91</x:v>
      </x:c>
      <x:c r="B184" s="168" t="str">
        <x:v>IA FUNDO DE INVESTIMENTO EM DIREITOS CREDITÓRIOS - RESPONSABILIDADE LIMITADA</x:v>
      </x:c>
      <x:c r="C184" s="190" t="n">
        <x:v>757787506.76</x:v>
      </x:c>
      <x:c r="D184" s="168" t="str">
        <x:v>Itau Unibanco</x:v>
      </x:c>
      <x:c r="E184" s="168" t="str">
        <x:f>IFERROR(INDEX('Classif Gestoras'!$H$6:$H$462,MATCH(D184,'Classif Gestoras'!$A$6:$A$462,0)),"Não classificada")</x:f>
        <x:v>Ligada a banco</x:v>
      </x:c>
      <x:c r="F184" s="168" t="str">
        <x:v>Oliveira Trust DTVM</x:v>
      </x:c>
      <x:c r="G184" s="168" t="str">
        <x:v>MAF DISTRIBUIDORA DE TITULOS E VALORES MOBILIARIOS S.A.</x:v>
      </x:c>
      <x:c r="H184" s="168" t="str">
        <x:v>Outros</x:v>
      </x:c>
      <x:c r="I184" s="168" t="str">
        <x:v>Multicarteira Outros</x:v>
      </x:c>
      <x:c r="J184" s="168" t="str">
        <x:v>CI</x:v>
      </x:c>
      <x:c r="K184" s="174" t="n">
        <x:v>1</x:v>
      </x:c>
      <x:c r="L184" s="187" t="str">
        <x:v>Proxy multicedente/multissacado — revisar</x:v>
      </x:c>
    </x:row>
    <x:row r="185">
      <x:c r="A185" s="177" t="str">
        <x:v>37.511.828/0001-14</x:v>
      </x:c>
      <x:c r="B185" s="168" t="str">
        <x:v>MERCADO CRÉDITO I BRASIL FIDC SEGMENTO FINANCEIRO DE RESPONSABILIDADE LIMITADA</x:v>
      </x:c>
      <x:c r="C185" s="190" t="n">
        <x:v>753481606.8289099</x:v>
      </x:c>
      <x:c r="D185" s="168" t="str">
        <x:v>GENIAL GESTÃO LTDA.</x:v>
      </x:c>
      <x:c r="E185" s="168" t="str">
        <x:f>IFERROR(INDEX('Classif Gestoras'!$H$6:$H$462,MATCH(D185,'Classif Gestoras'!$A$6:$A$462,0)),"Não classificada")</x:f>
        <x:v>Ligada a banco</x:v>
      </x:c>
      <x:c r="F185" s="168" t="str">
        <x:v>Banco Genial S.A.</x:v>
      </x:c>
      <x:c r="G185" s="168" t="str">
        <x:v>BANCO GENIAL S.A.</x:v>
      </x:c>
      <x:c r="H185" s="168" t="str">
        <x:v>Financeiro</x:v>
      </x:c>
      <x:c r="I185" s="168" t="str">
        <x:v>Multicarteira Financeiro</x:v>
      </x:c>
      <x:c r="J185" s="168" t="str">
        <x:v>CI</x:v>
      </x:c>
      <x:c r="K185" s="174" t="n">
        <x:v>3</x:v>
      </x:c>
      <x:c r="L185" s="187" t="str">
        <x:v>Proxy multicedente/multissacado — revisar</x:v>
      </x:c>
    </x:row>
    <x:row r="186">
      <x:c r="A186" s="177" t="str">
        <x:v>55.562.158/0001-47</x:v>
      </x:c>
      <x:c r="B186" s="168" t="str">
        <x:v>LANDBANK FUNDO DE INVESTIMENTO EM DIREITOS CREDITÓRIOS RESPONSABILIDADE LIMITADA</x:v>
      </x:c>
      <x:c r="C186" s="190" t="n">
        <x:v>752063336.42</x:v>
      </x:c>
      <x:c r="D186" s="168" t="str">
        <x:v>Inter Asset</x:v>
      </x:c>
      <x:c r="E186" s="168" t="str">
        <x:f>IFERROR(INDEX('Classif Gestoras'!$H$6:$H$462,MATCH(D186,'Classif Gestoras'!$A$6:$A$462,0)),"Não classificada")</x:f>
        <x:v>Ligada a banco</x:v>
      </x:c>
      <x:c r="F186" s="168" t="str">
        <x:v>Inter Distribuidora de Títulos e Valores Mobiliários Lt</x:v>
      </x:c>
      <x:c r="G186" s="168" t="str">
        <x:v>INTER DISTRIBUIDORA DE TÍTULOS E VALORES MOBILIÁRIOS</x:v>
      </x:c>
      <x:c r="H186" s="168" t="str">
        <x:v>Agro, Indústria e Comércio</x:v>
      </x:c>
      <x:c r="I186" s="168" t="str">
        <x:v>Recebíveis Comerciais</x:v>
      </x:c>
      <x:c r="J186" s="168" t="str">
        <x:v>CI</x:v>
      </x:c>
      <x:c r="K186" s="174" t="n">
        <x:v>4</x:v>
      </x:c>
      <x:c r="L186" s="187" t="str">
        <x:v>Não classificado</x:v>
      </x:c>
    </x:row>
    <x:row r="187">
      <x:c r="A187" s="177" t="str">
        <x:v>32.113.780/0001-72</x:v>
      </x:c>
      <x:c r="B187" s="168" t="str">
        <x:v>PASSO FUNDO RS FUNDO DE INVESTIMENTO EM DIREITOS CREDITÓRIOS RESPONSABILIDADE LIMITADA</x:v>
      </x:c>
      <x:c r="C187" s="190" t="n">
        <x:v>748280148.7</x:v>
      </x:c>
      <x:c r="D187" s="168" t="str">
        <x:v>Renova Gestora</x:v>
      </x:c>
      <x:c r="E187" s="168" t="str">
        <x:f>IFERROR(INDEX('Classif Gestoras'!$H$6:$H$462,MATCH(D187,'Classif Gestoras'!$A$6:$A$462,0)),"Não classificada")</x:f>
        <x:v>Independente</x:v>
      </x:c>
      <x:c r="F187" s="168" t="str">
        <x:v>MONETAR DISTRIBUIDORA DE TITUL</x:v>
      </x:c>
      <x:c r="G187" s="168" t="str">
        <x:v>TERRA INVESTIMENTOS DISTRIBUIDORA DE TITULOS E VALORES MOBILIARIOS LTDA</x:v>
      </x:c>
      <x:c r="H187" s="168" t="str">
        <x:v>Outros</x:v>
      </x:c>
      <x:c r="I187" s="168" t="str">
        <x:v>Multicarteira Outros</x:v>
      </x:c>
      <x:c r="J187" s="168" t="str">
        <x:v>CI</x:v>
      </x:c>
      <x:c r="K187" s="174" t="n">
        <x:v>31</x:v>
      </x:c>
      <x:c r="L187" s="187" t="str">
        <x:v>Proxy multicedente/multissacado — revisar</x:v>
      </x:c>
    </x:row>
    <x:row r="188">
      <x:c r="A188" s="177" t="str">
        <x:v>54.759.252/0001-28</x:v>
      </x:c>
      <x:c r="B188" s="168" t="str">
        <x:v>ITAÚ PIRINEUS II FUNDO DE INVESTIMENTO EM DIREITOS CREDITÓRIOS DE INFRA - RESP LIMITADA</x:v>
      </x:c>
      <x:c r="C188" s="190" t="n">
        <x:v>741571299.21</x:v>
      </x:c>
      <x:c r="D188" s="168" t="str">
        <x:v>ITAU ASSET</x:v>
      </x:c>
      <x:c r="E188" s="168" t="str">
        <x:f>IFERROR(INDEX('Classif Gestoras'!$H$6:$H$462,MATCH(D188,'Classif Gestoras'!$A$6:$A$462,0)),"Não classificada")</x:f>
        <x:v>Ligada a banco</x:v>
      </x:c>
      <x:c r="F188" s="168" t="str">
        <x:v>INTRAG DIST. DE TÍTU</x:v>
      </x:c>
      <x:c r="G188" s="168" t="str">
        <x:v>ITAU UNIBANCO S.A.</x:v>
      </x:c>
      <x:c r="H188" s="168" t="str">
        <x:v>Outros</x:v>
      </x:c>
      <x:c r="I188" s="168" t="str">
        <x:v>Multicarteira Outros</x:v>
      </x:c>
      <x:c r="J188" s="168" t="str">
        <x:v>CI</x:v>
      </x:c>
      <x:c r="K188" s="174" t="n">
        <x:v>7</x:v>
      </x:c>
      <x:c r="L188" s="187" t="str">
        <x:v>Proxy multicedente/multissacado — revisar</x:v>
      </x:c>
    </x:row>
    <x:row r="189">
      <x:c r="A189" s="177" t="str">
        <x:v>52.069.691/0001-83</x:v>
      </x:c>
      <x:c r="B189" s="168" t="str">
        <x:v>HERMON FUNDO DE INVESTIMENTO EM DIREITOS CREDITÓRIOS NÃO PADRONIZADOS RESPONSABILIDADE LIMITADA</x:v>
      </x:c>
      <x:c r="C189" s="190" t="n">
        <x:v>740657026.55</x:v>
      </x:c>
      <x:c r="D189" s="168" t="str">
        <x:v>Bless Capital Gestora de Recursos Ltda.</x:v>
      </x:c>
      <x:c r="E189" s="168" t="str">
        <x:f>IFERROR(INDEX('Classif Gestoras'!$H$6:$H$462,MATCH(D189,'Classif Gestoras'!$A$6:$A$462,0)),"Não classificada")</x:f>
        <x:v>Independente</x:v>
      </x:c>
      <x:c r="F189" s="168" t="str">
        <x:v>ID Corretora de Títulos e Valores Mobiliários S.A.</x:v>
      </x:c>
      <x:c r="G189" s="168" t="str">
        <x:v>ID CORRETORA DE TITULOS E VALORES MOBILIARIOS S.A.</x:v>
      </x:c>
      <x:c r="H189" s="168" t="str">
        <x:v>Outros</x:v>
      </x:c>
      <x:c r="I189" s="168" t="str">
        <x:v>Multicarteira Outros</x:v>
      </x:c>
      <x:c r="J189" s="168" t="str">
        <x:v>CI</x:v>
      </x:c>
      <x:c r="K189" s="174" t="n">
        <x:v>1</x:v>
      </x:c>
      <x:c r="L189" s="187" t="str">
        <x:v>Proxy multicedente/multissacado — revisar</x:v>
      </x:c>
    </x:row>
    <x:row r="190">
      <x:c r="A190" s="177" t="str">
        <x:v>29.226.704/0001-69</x:v>
      </x:c>
      <x:c r="B190" s="168" t="str">
        <x:v>OPERA FUNDO DE INVESTIMENTO EM DIREITOS CREDITÓRIOS MULTISETORIAL</x:v>
      </x:c>
      <x:c r="C190" s="190" t="n">
        <x:v>739293584.79</x:v>
      </x:c>
      <x:c r="D190" s="168" t="str">
        <x:v>BS2 ASSET MANAGEMENT – ADMINISTRADORA DE RECURSOS LTDA.</x:v>
      </x:c>
      <x:c r="E190" s="168" t="str">
        <x:f>IFERROR(INDEX('Classif Gestoras'!$H$6:$H$462,MATCH(D190,'Classif Gestoras'!$A$6:$A$462,0)),"Não classificada")</x:f>
        <x:v>Independente</x:v>
      </x:c>
      <x:c r="F190" s="168" t="str">
        <x:v>Singulare</x:v>
      </x:c>
      <x:c r="G190" s="168" t="str">
        <x:v>QI CORRETORA DE TÍTULOS E VALORES MOBILIÁRIOS S.A.</x:v>
      </x:c>
      <x:c r="H190" s="168" t="str">
        <x:v>Fomento Mercantil</x:v>
      </x:c>
      <x:c r="I190" s="168" t="str">
        <x:v>Fomento Mercantil</x:v>
      </x:c>
      <x:c r="J190" s="168" t="str">
        <x:v>CI</x:v>
      </x:c>
      <x:c r="K190" s="174" t="n">
        <x:v>7</x:v>
      </x:c>
      <x:c r="L190" s="187" t="str">
        <x:v>Não classificado</x:v>
      </x:c>
    </x:row>
    <x:row r="191">
      <x:c r="A191" s="177" t="str">
        <x:v>65.783.221/0001-29</x:v>
      </x:c>
      <x:c r="B191" s="168" t="str">
        <x:v>FIDC JOHN DEERE I SEGMENTO RECEBÍVEIS COMERCIAIS - RESPONSABILIDADE LIMITADA</x:v>
      </x:c>
      <x:c r="C191" s="190" t="n">
        <x:v>736393218.57</x:v>
      </x:c>
      <x:c r="D191" s="168" t="str">
        <x:v>Banco Bradesco S/A</x:v>
      </x:c>
      <x:c r="E191" s="168" t="str">
        <x:f>IFERROR(INDEX('Classif Gestoras'!$H$6:$H$462,MATCH(D191,'Classif Gestoras'!$A$6:$A$462,0)),"Não classificada")</x:f>
        <x:v>Ligada a banco</x:v>
      </x:c>
      <x:c r="F191" s="168" t="str">
        <x:v>BEM - DIST. DE TÍTUL</x:v>
      </x:c>
      <x:c r="G191" s="168" t="str">
        <x:v>BANCO BRADESCO S.A.</x:v>
      </x:c>
      <x:c r="H191" s="168" t="str">
        <x:v>Agro, Indústria e Comércio</x:v>
      </x:c>
      <x:c r="I191" s="168" t="str">
        <x:v>Recebíveis Comerciais</x:v>
      </x:c>
      <x:c r="J191" s="168" t="str">
        <x:v>CI</x:v>
      </x:c>
      <x:c r="K191" s="174" t="n">
        <x:v>28</x:v>
      </x:c>
      <x:c r="L191" s="187" t="str">
        <x:v>Não classificado</x:v>
      </x:c>
    </x:row>
    <x:row r="192">
      <x:c r="A192" s="177" t="str">
        <x:v>26.709.975/0001-87</x:v>
      </x:c>
      <x:c r="B192" s="168" t="str">
        <x:v>ARON FUNDO DE INVESTIMENTO EM DIREITOS CREDITÓRIOS - RESPONSABILIDADE LIMITADA</x:v>
      </x:c>
      <x:c r="C192" s="190" t="n">
        <x:v>734727704.23</x:v>
      </x:c>
      <x:c r="D192" s="168" t="str">
        <x:v>SUESTE CAPITAL GESTÃO DE RECURSOS LTDA.</x:v>
      </x:c>
      <x:c r="E192" s="168" t="str">
        <x:f>IFERROR(INDEX('Classif Gestoras'!$H$6:$H$462,MATCH(D192,'Classif Gestoras'!$A$6:$A$462,0)),"Não classificada")</x:f>
        <x:v>Independente</x:v>
      </x:c>
      <x:c r="F192" s="168" t="str">
        <x:v>Oliveira Trust DTVM</x:v>
      </x:c>
      <x:c r="G192" s="168" t="str">
        <x:v>OLIVEIRA TRUST DTVM S.A.</x:v>
      </x:c>
      <x:c r="H192" s="168" t="str">
        <x:v>Agro, Indústria e Comércio</x:v>
      </x:c>
      <x:c r="I192" s="168" t="str">
        <x:v>Crédito Corporativo</x:v>
      </x:c>
      <x:c r="J192" s="168" t="str">
        <x:v>CI</x:v>
      </x:c>
      <x:c r="K192" s="174" t="n">
        <x:v>1</x:v>
      </x:c>
      <x:c r="L192" s="187" t="str">
        <x:v>Não classificado</x:v>
      </x:c>
    </x:row>
    <x:row r="193">
      <x:c r="A193" s="177" t="str">
        <x:v>46.655.552/0001-39</x:v>
      </x:c>
      <x:c r="B193" s="168" t="str">
        <x:v>FUNDO DE INVESTIMENTO EM DIREITOS CREDITÓRIOS BULLLA CARTÕES RESPONSABILIDADE LIMITADA</x:v>
      </x:c>
      <x:c r="C193" s="190" t="n">
        <x:v>718064604.3499999</x:v>
      </x:c>
      <x:c r="D193" s="168" t="str">
        <x:v>Vila Rica Capital</x:v>
      </x:c>
      <x:c r="E193" s="168" t="str">
        <x:f>IFERROR(INDEX('Classif Gestoras'!$H$6:$H$462,MATCH(D193,'Classif Gestoras'!$A$6:$A$462,0)),"Não classificada")</x:f>
        <x:v>Independente</x:v>
      </x:c>
      <x:c r="F193" s="168" t="str">
        <x:v>Oliveira Trust DTVM</x:v>
      </x:c>
      <x:c r="G193" s="168" t="str">
        <x:v>OLIVEIRA TRUST DTVM S.A.</x:v>
      </x:c>
      <x:c r="H193" s="168" t="str">
        <x:v>Financeiro</x:v>
      </x:c>
      <x:c r="I193" s="168" t="str">
        <x:v>Multicarteira Financeiro</x:v>
      </x:c>
      <x:c r="J193" s="168" t="str">
        <x:v>CI</x:v>
      </x:c>
      <x:c r="K193" s="174" t="n">
        <x:v>123</x:v>
      </x:c>
      <x:c r="L193" s="187" t="str">
        <x:v>Proxy multicedente/multissacado — revisar</x:v>
      </x:c>
    </x:row>
    <x:row r="194">
      <x:c r="A194" s="177" t="str">
        <x:v>62.274.607/0001-17</x:v>
      </x:c>
      <x:c r="B194" s="168" t="str">
        <x:v>MT CP III FUNDO DE INVESTIMENTO EM DIREITOS CREDITÓRIOS RESPONSABILIDADE LIMITADA</x:v>
      </x:c>
      <x:c r="C194" s="190" t="n">
        <x:v>706560734.13</x:v>
      </x:c>
      <x:c r="D194" s="168" t="str">
        <x:v>BTG Pactual Asset</x:v>
      </x:c>
      <x:c r="E194" s="168" t="str">
        <x:f>IFERROR(INDEX('Classif Gestoras'!$H$6:$H$462,MATCH(D194,'Classif Gestoras'!$A$6:$A$462,0)),"Não classificada")</x:f>
        <x:v>Ligada a banco</x:v>
      </x:c>
      <x:c r="F194" s="168" t="str">
        <x:v>BTG Pactual Servicos Financeiros S/A DTVM</x:v>
      </x:c>
      <x:c r="G194" s="168" t="str">
        <x:v>BANCO BTG PACTUAL S/A</x:v>
      </x:c>
      <x:c r="H194" s="168" t="str">
        <x:v>Financeiro</x:v>
      </x:c>
      <x:c r="I194" s="168" t="str">
        <x:v>Crédito Consignado</x:v>
      </x:c>
      <x:c r="J194" s="168" t="str">
        <x:v>CI</x:v>
      </x:c>
      <x:c r="K194" s="174" t="n">
        <x:v>16</x:v>
      </x:c>
      <x:c r="L194" s="187" t="str">
        <x:v>Não classificado</x:v>
      </x:c>
    </x:row>
    <x:row r="195">
      <x:c r="A195" s="177" t="str">
        <x:v>59.688.936/0001-08</x:v>
      </x:c>
      <x:c r="B195" s="168" t="str">
        <x:v>ITAÚ PIRINEUS III FUNDO DE INVESTIMENTOS EM DIREITOS CREDITÓRIOS DE INFRAESTRUTURA RESP LIMITADA</x:v>
      </x:c>
      <x:c r="C195" s="190" t="n">
        <x:v>704962784.3</x:v>
      </x:c>
      <x:c r="D195" s="168" t="str">
        <x:v>ITAU ASSET</x:v>
      </x:c>
      <x:c r="E195" s="168" t="str">
        <x:f>IFERROR(INDEX('Classif Gestoras'!$H$6:$H$462,MATCH(D195,'Classif Gestoras'!$A$6:$A$462,0)),"Não classificada")</x:f>
        <x:v>Ligada a banco</x:v>
      </x:c>
      <x:c r="F195" s="168" t="str">
        <x:v>INTRAG DIST. DE TÍTU</x:v>
      </x:c>
      <x:c r="G195" s="168" t="str">
        <x:v>ITAU UNIBANCO S.A.</x:v>
      </x:c>
      <x:c r="H195" s="168" t="str">
        <x:v>Agro, Indústria e Comércio</x:v>
      </x:c>
      <x:c r="I195" s="168" t="str">
        <x:v>Infraestrutura</x:v>
      </x:c>
      <x:c r="J195" s="168" t="str">
        <x:v>CIPC</x:v>
      </x:c>
      <x:c r="K195" s="174" t="n">
        <x:v>5</x:v>
      </x:c>
      <x:c r="L195" s="187" t="str">
        <x:v>Não classificado</x:v>
      </x:c>
    </x:row>
    <x:row r="196">
      <x:c r="A196" s="177" t="str">
        <x:v>28.079.873/0001-50</x:v>
      </x:c>
      <x:c r="B196" s="168" t="str">
        <x:v>MULTIPLIKE INVESTIMENTOS FUNDO DE INVESTIMENTO EM DIREITOS CREDITÓRIOS MULTISSETORIAL - RESPONSABILI</x:v>
      </x:c>
      <x:c r="C196" s="190" t="n">
        <x:v>704829785.14</x:v>
      </x:c>
      <x:c r="D196" s="168" t="str">
        <x:v>OURO PRETO INVESTIMENTOS</x:v>
      </x:c>
      <x:c r="E196" s="168" t="str">
        <x:f>IFERROR(INDEX('Classif Gestoras'!$H$6:$H$462,MATCH(D196,'Classif Gestoras'!$A$6:$A$462,0)),"Não classificada")</x:f>
        <x:v>Independente</x:v>
      </x:c>
      <x:c r="F196" s="168" t="str">
        <x:v>Singulare</x:v>
      </x:c>
      <x:c r="G196" s="168" t="str">
        <x:v>QI CORRETORA DE TÍTULOS E VALORES MOBILIÁRIOS S.A.</x:v>
      </x:c>
      <x:c r="H196" s="168" t="str">
        <x:v>Outros</x:v>
      </x:c>
      <x:c r="I196" s="168" t="str">
        <x:v>Multicarteira Outros</x:v>
      </x:c>
      <x:c r="J196" s="168" t="str">
        <x:v>CI</x:v>
      </x:c>
      <x:c r="K196" s="174" t="n">
        <x:v>1</x:v>
      </x:c>
      <x:c r="L196" s="187" t="str">
        <x:v>Proxy multicedente/multissacado — revisar</x:v>
      </x:c>
    </x:row>
    <x:row r="197">
      <x:c r="A197" s="177" t="str">
        <x:v>12.813.212/0001-77</x:v>
      </x:c>
      <x:c r="B197" s="168" t="str">
        <x:v>RNX FUNDO DE INVESTIMENTO EM DIREITOS CREDITÓRIOS MULTISSETORIAL DE RESPONSABILIDADE LIMITADA</x:v>
      </x:c>
      <x:c r="C197" s="190" t="n">
        <x:v>701740972.9200001</x:v>
      </x:c>
      <x:c r="D197" s="168" t="str">
        <x:v>OURO PRETO INVESTIMENTOS</x:v>
      </x:c>
      <x:c r="E197" s="168" t="str">
        <x:f>IFERROR(INDEX('Classif Gestoras'!$H$6:$H$462,MATCH(D197,'Classif Gestoras'!$A$6:$A$462,0)),"Não classificada")</x:f>
        <x:v>Independente</x:v>
      </x:c>
      <x:c r="F197" s="168" t="str">
        <x:v>Singulare</x:v>
      </x:c>
      <x:c r="G197" s="168" t="str">
        <x:v>QI CORRETORA DE TÍTULOS E VALORES MOBILIÁRIOS S.A.</x:v>
      </x:c>
      <x:c r="H197" s="168" t="str">
        <x:v>Fomento Mercantil</x:v>
      </x:c>
      <x:c r="I197" s="168" t="str">
        <x:v>Fomento Mercantil</x:v>
      </x:c>
      <x:c r="J197" s="168" t="str">
        <x:v>CI</x:v>
      </x:c>
      <x:c r="K197" s="174" t="n">
        <x:v>285</x:v>
      </x:c>
      <x:c r="L197" s="187" t="str">
        <x:v>Não classificado</x:v>
      </x:c>
    </x:row>
    <x:row r="198">
      <x:c r="A198" s="177" t="str">
        <x:v>50.491.214/0001-86</x:v>
      </x:c>
      <x:c r="B198" s="168" t="str">
        <x:v>ADGM FUNDO DE INVESTIMENTO EM DIREITOS CREDITÓRIOS</x:v>
      </x:c>
      <x:c r="C198" s="190" t="n">
        <x:v>697366458.3999999</x:v>
      </x:c>
      <x:c r="D198" s="168" t="str">
        <x:v>M8 Partners</x:v>
      </x:c>
      <x:c r="E198" s="168" t="str">
        <x:f>IFERROR(INDEX('Classif Gestoras'!$H$6:$H$462,MATCH(D198,'Classif Gestoras'!$A$6:$A$462,0)),"Não classificada")</x:f>
        <x:v>Independente</x:v>
      </x:c>
      <x:c r="F198" s="168" t="str">
        <x:v>Singulare</x:v>
      </x:c>
      <x:c r="G198" s="168" t="str">
        <x:v>QI CORRETORA DE TÍTULOS E VALORES MOBILIÁRIOS S.A.</x:v>
      </x:c>
      <x:c r="H198" s="168" t="str">
        <x:v>Fomento Mercantil</x:v>
      </x:c>
      <x:c r="I198" s="168" t="str">
        <x:v>Fomento Mercantil</x:v>
      </x:c>
      <x:c r="J198" s="168" t="str">
        <x:v>CI</x:v>
      </x:c>
      <x:c r="K198" s="174" t="n">
        <x:v>147</x:v>
      </x:c>
      <x:c r="L198" s="187" t="str">
        <x:v>Não classificado</x:v>
      </x:c>
    </x:row>
    <x:row r="199">
      <x:c r="A199" s="177" t="str">
        <x:v>44.516.049/0001-77</x:v>
      </x:c>
      <x:c r="B199" s="168" t="str">
        <x:v>ISAAC FUNDO DE INVESTIMENTO EM DIREITOS CREDITÓRIOS DO SEGMENTO DE SERVIÇOS EDUCACIONAIS</x:v>
      </x:c>
      <x:c r="C199" s="190" t="n">
        <x:v>697277375.05</x:v>
      </x:c>
      <x:c r="D199" s="168" t="str">
        <x:v>VERT Gestora de Recursos Financeiros Ltda.</x:v>
      </x:c>
      <x:c r="E199" s="168" t="str">
        <x:f>IFERROR(INDEX('Classif Gestoras'!$H$6:$H$462,MATCH(D199,'Classif Gestoras'!$A$6:$A$462,0)),"Não classificada")</x:f>
        <x:v>Independente</x:v>
      </x:c>
      <x:c r="F199" s="168" t="str">
        <x:v>Banco Genial S.A.</x:v>
      </x:c>
      <x:c r="G199" s="168" t="str">
        <x:v>BANCO GENIAL S.A.</x:v>
      </x:c>
      <x:c r="H199" s="168" t="str">
        <x:v>Agro, Indústria e Comércio</x:v>
      </x:c>
      <x:c r="I199" s="168" t="str">
        <x:v>Recebíveis Comerciais</x:v>
      </x:c>
      <x:c r="J199" s="168" t="str">
        <x:v>CI</x:v>
      </x:c>
      <x:c r="K199" s="174" t="n">
        <x:v>150</x:v>
      </x:c>
      <x:c r="L199" s="187" t="str">
        <x:v>Não classificado</x:v>
      </x:c>
    </x:row>
    <x:row r="200">
      <x:c r="A200" s="177" t="str">
        <x:v>37.120.828/0001-93</x:v>
      </x:c>
      <x:c r="B200" s="168" t="str">
        <x:v>G5 SPECIAL F FUNDO DE INVESTIMENTO EM DIREITOS CREDITÓRIOS</x:v>
      </x:c>
      <x:c r="C200" s="190" t="n">
        <x:v>694781209.73</x:v>
      </x:c>
      <x:c r="D200" s="168" t="str">
        <x:v>G5 Adm. de Recursos</x:v>
      </x:c>
      <x:c r="E200" s="168" t="str">
        <x:f>IFERROR(INDEX('Classif Gestoras'!$H$6:$H$462,MATCH(D200,'Classif Gestoras'!$A$6:$A$462,0)),"Não classificada")</x:f>
        <x:v>Independente</x:v>
      </x:c>
      <x:c r="F200" s="168" t="str">
        <x:v>Singulare</x:v>
      </x:c>
      <x:c r="G200" s="168" t="str">
        <x:v>QI CORRETORA DE TÍTULOS E VALORES MOBILIÁRIOS S.A.</x:v>
      </x:c>
      <x:c r="H200" s="168" t="str">
        <x:v>Outros</x:v>
      </x:c>
      <x:c r="I200" s="168" t="str">
        <x:v>Multicarteira Outros</x:v>
      </x:c>
      <x:c r="J200" s="168" t="str">
        <x:v>CI</x:v>
      </x:c>
      <x:c r="K200" s="174" t="n">
        <x:v>94</x:v>
      </x:c>
      <x:c r="L200" s="187" t="str">
        <x:v>Proxy multicedente/multissacado — revisar</x:v>
      </x:c>
    </x:row>
    <x:row r="201">
      <x:c r="A201" s="177" t="str">
        <x:v>35.880.735/0001-31</x:v>
      </x:c>
      <x:c r="B201" s="168" t="str">
        <x:v>DJF FUNDO DE INVESTIMENTO EM DIREITOS CREDITÓRIOS - RESPONSABILIDADE LIMITADA</x:v>
      </x:c>
      <x:c r="C201" s="190" t="n">
        <x:v>694006106.7299999</x:v>
      </x:c>
      <x:c r="D201" s="168" t="str">
        <x:v>JIVE INVESTMENTS</x:v>
      </x:c>
      <x:c r="E201" s="168" t="str">
        <x:f>IFERROR(INDEX('Classif Gestoras'!$H$6:$H$462,MATCH(D201,'Classif Gestoras'!$A$6:$A$462,0)),"Não classificada")</x:f>
        <x:v>Independente</x:v>
      </x:c>
      <x:c r="F201" s="168" t="str">
        <x:v>MAF Distribuidora de Títulos e Valores Mobiliários S.A.</x:v>
      </x:c>
      <x:c r="G201" s="168" t="str">
        <x:v>MAF DISTRIBUIDORA DE TITULOS E VALORES MOBILIARIOS S.A.</x:v>
      </x:c>
      <x:c r="H201" s="168" t="str">
        <x:v>Outros</x:v>
      </x:c>
      <x:c r="I201" s="168" t="str">
        <x:v>Multicarteira Outros</x:v>
      </x:c>
      <x:c r="J201" s="168" t="str">
        <x:v>CI</x:v>
      </x:c>
      <x:c r="K201" s="174" t="n">
        <x:v>1</x:v>
      </x:c>
      <x:c r="L201" s="187" t="str">
        <x:v>Proxy multicedente/multissacado — revisar</x:v>
      </x:c>
    </x:row>
    <x:row r="202">
      <x:c r="A202" s="177" t="str">
        <x:v>37.022.236/0001-39</x:v>
      </x:c>
      <x:c r="B202" s="168" t="str">
        <x:v>ESPRESSO CRÉDITOS JUDICIAIS FUNDO DE INVESTIMENTO EM DIREITOS CREDITÓRIOS</x:v>
      </x:c>
      <x:c r="C202" s="190" t="n">
        <x:v>690128220.7899998</x:v>
      </x:c>
      <x:c r="D202" s="168" t="str">
        <x:v>LASS CAPITAL</x:v>
      </x:c>
      <x:c r="E202" s="168" t="str">
        <x:f>IFERROR(INDEX('Classif Gestoras'!$H$6:$H$462,MATCH(D202,'Classif Gestoras'!$A$6:$A$462,0)),"Não classificada")</x:f>
        <x:v>Independente</x:v>
      </x:c>
      <x:c r="F202" s="168" t="str">
        <x:v>BTG Pactual Servicos Financeiros S/A DTVM</x:v>
      </x:c>
      <x:c r="G202" s="168" t="str">
        <x:v>BANCO BTG PACTUAL S/A</x:v>
      </x:c>
      <x:c r="H202" s="168" t="str">
        <x:v>Outros</x:v>
      </x:c>
      <x:c r="I202" s="168" t="str">
        <x:v>Multicarteira Outros</x:v>
      </x:c>
      <x:c r="J202" s="168" t="str">
        <x:v>CI</x:v>
      </x:c>
      <x:c r="K202" s="174" t="n">
        <x:v>3</x:v>
      </x:c>
      <x:c r="L202" s="187" t="str">
        <x:v>Proxy multicedente/multissacado — revisar</x:v>
      </x:c>
    </x:row>
    <x:row r="203">
      <x:c r="A203" s="177" t="str">
        <x:v>35.138.028/0001-74</x:v>
      </x:c>
      <x:c r="B203" s="168" t="str">
        <x:v>JIF CRÉDITOS - FUNDO DE INVESTIMENTO EM DIREITOS CREDITÓRIOS CRÉD PRIV DE RESPONSABILIDADE ILIMITAD</x:v>
      </x:c>
      <x:c r="C203" s="190" t="n">
        <x:v>686733958.73</x:v>
      </x:c>
      <x:c r="D203" s="168" t="str">
        <x:v>JIVE HIGH YIELD GESTÃO DE RECURSOS LTDA</x:v>
      </x:c>
      <x:c r="E203" s="168" t="str">
        <x:f>IFERROR(INDEX('Classif Gestoras'!$H$6:$H$462,MATCH(D203,'Classif Gestoras'!$A$6:$A$462,0)),"Não classificada")</x:f>
        <x:v>Independente</x:v>
      </x:c>
      <x:c r="F203" s="168" t="str">
        <x:v>BANCO DAYCOVAL S/A</x:v>
      </x:c>
      <x:c r="G203" s="168" t="str">
        <x:v>BANCO DAYCOVAL S.A.</x:v>
      </x:c>
      <x:c r="H203" s="168" t="str">
        <x:v>Outros</x:v>
      </x:c>
      <x:c r="I203" s="168" t="str">
        <x:v>Multicarteira Outros</x:v>
      </x:c>
      <x:c r="J203" s="168" t="str">
        <x:v>CI</x:v>
      </x:c>
      <x:c r="K203" s="174" t="n">
        <x:v>2</x:v>
      </x:c>
      <x:c r="L203" s="187" t="str">
        <x:v>Proxy multicedente/multissacado — revisar</x:v>
      </x:c>
    </x:row>
    <x:row r="204">
      <x:c r="A204" s="177" t="str">
        <x:v>41.197.066/0001-09</x:v>
      </x:c>
      <x:c r="B204" s="168" t="str">
        <x:v>IFOOD PAGO CRÉDITO I FUNDO DE INVESTIMENTO EM DIREITOS CREDITÓRIOS FINANCEIRO DE RESP LIMITADA</x:v>
      </x:c>
      <x:c r="C204" s="190" t="n">
        <x:v>679892399.78</x:v>
      </x:c>
      <x:c r="D204" s="168" t="str">
        <x:v>GENIAL GESTÃO LTDA.</x:v>
      </x:c>
      <x:c r="E204" s="168" t="str">
        <x:f>IFERROR(INDEX('Classif Gestoras'!$H$6:$H$462,MATCH(D204,'Classif Gestoras'!$A$6:$A$462,0)),"Não classificada")</x:f>
        <x:v>Ligada a banco</x:v>
      </x:c>
      <x:c r="F204" s="168" t="str">
        <x:v>Banco Genial S.A.</x:v>
      </x:c>
      <x:c r="G204" s="168" t="str">
        <x:v>BANCO GENIAL S.A.</x:v>
      </x:c>
      <x:c r="H204" s="168" t="str">
        <x:v>Financeiro</x:v>
      </x:c>
      <x:c r="I204" s="168" t="str">
        <x:v>Crédito Pessoal</x:v>
      </x:c>
      <x:c r="J204" s="168" t="str">
        <x:v>CI</x:v>
      </x:c>
      <x:c r="K204" s="174" t="n">
        <x:v>224</x:v>
      </x:c>
      <x:c r="L204" s="187" t="str">
        <x:v>Não classificado</x:v>
      </x:c>
    </x:row>
    <x:row r="205">
      <x:c r="A205" s="177" t="str">
        <x:v>61.288.838/0001-17</x:v>
      </x:c>
      <x:c r="B205" s="168" t="str">
        <x:v>IFOOD PAGO CRÉDITO III FUNDO DE INVESTIMENTO EM DIREITOS CREDITÓRIOS FINANCEIRO RESP. LIMITADA</x:v>
      </x:c>
      <x:c r="C205" s="190" t="n">
        <x:v>679673236.1</x:v>
      </x:c>
      <x:c r="D205" s="168" t="str">
        <x:v>VERT Gestora de Recursos Financeiros Ltda.</x:v>
      </x:c>
      <x:c r="E205" s="168" t="str">
        <x:f>IFERROR(INDEX('Classif Gestoras'!$H$6:$H$462,MATCH(D205,'Classif Gestoras'!$A$6:$A$462,0)),"Não classificada")</x:f>
        <x:v>Independente</x:v>
      </x:c>
      <x:c r="F205" s="168" t="str">
        <x:v>VERT Distribuidora de Títulos e Valores Mobiliários Ltd</x:v>
      </x:c>
      <x:c r="G205" s="168" t="str">
        <x:v>VERT DISTRIBUIDORA DE TÍTULOS E VALORES MOBILIÁRIOS LTDA.</x:v>
      </x:c>
      <x:c r="H205" s="168" t="str">
        <x:v>Financeiro</x:v>
      </x:c>
      <x:c r="I205" s="168" t="str">
        <x:v>Multicarteira Financeiro</x:v>
      </x:c>
      <x:c r="J205" s="168" t="str">
        <x:v>CI</x:v>
      </x:c>
      <x:c r="K205" s="174" t="n">
        <x:v>2</x:v>
      </x:c>
      <x:c r="L205" s="187" t="str">
        <x:v>Proxy multicedente/multissacado — revisar</x:v>
      </x:c>
    </x:row>
    <x:row r="206">
      <x:c r="A206" s="177" t="str">
        <x:v>09.115.244/0001-94</x:v>
      </x:c>
      <x:c r="B206" s="168" t="str">
        <x:v>FUNDO DE INVESTIMENTO EM DIREITOS CREDITÓRIOS TRATEX PRECATÓRIO II - RESPONSABILIDADE LIMITADA</x:v>
      </x:c>
      <x:c r="C206" s="190" t="n">
        <x:v>678224729.96</x:v>
      </x:c>
      <x:c r="D206" s="168" t="str">
        <x:v>Oliveira Trust Servicer</x:v>
      </x:c>
      <x:c r="E206" s="168" t="str">
        <x:f>IFERROR(INDEX('Classif Gestoras'!$H$6:$H$462,MATCH(D206,'Classif Gestoras'!$A$6:$A$462,0)),"Não classificada")</x:f>
        <x:v>Independente</x:v>
      </x:c>
      <x:c r="F206" s="168" t="str">
        <x:v>Oliveira Trust DTVM</x:v>
      </x:c>
      <x:c r="G206" s="168" t="str">
        <x:v>BANCO BRADESCO S.A.</x:v>
      </x:c>
      <x:c r="H206" s="168" t="str">
        <x:v>Outros</x:v>
      </x:c>
      <x:c r="I206" s="168" t="str">
        <x:v>Poder Público</x:v>
      </x:c>
      <x:c r="J206" s="168" t="str">
        <x:v>CI</x:v>
      </x:c>
      <x:c r="K206" s="174" t="n">
        <x:v>2</x:v>
      </x:c>
      <x:c r="L206" s="187" t="str">
        <x:v>Não classificado</x:v>
      </x:c>
    </x:row>
    <x:row r="207">
      <x:c r="A207" s="177" t="str">
        <x:v>31.495.065/0001-89</x:v>
      </x:c>
      <x:c r="B207" s="168" t="str">
        <x:v>JP MM FUNDO DE INVESTIMENTO EM DIREITOS CREDITÓRIOS MULTISSEGMENTOS DE RESPONSABILIDADE LIMITADA</x:v>
      </x:c>
      <x:c r="C207" s="190" t="n">
        <x:v>673386227.2199999</x:v>
      </x:c>
      <x:c r="D207" s="168" t="str">
        <x:v>Petra Capital</x:v>
      </x:c>
      <x:c r="E207" s="168" t="str">
        <x:f>IFERROR(INDEX('Classif Gestoras'!$H$6:$H$462,MATCH(D207,'Classif Gestoras'!$A$6:$A$462,0)),"Não classificada")</x:f>
        <x:v>Independente</x:v>
      </x:c>
      <x:c r="F207" s="168" t="str">
        <x:v>Finaxis Corretora de Títulos e Valores Mobiliários S.A.</x:v>
      </x:c>
      <x:c r="G207" s="168" t="str">
        <x:v>BANCO FINAXIS S.A.</x:v>
      </x:c>
      <x:c r="H207" s="168" t="str">
        <x:v>Outros</x:v>
      </x:c>
      <x:c r="I207" s="168" t="str">
        <x:v>Multicarteira Outros</x:v>
      </x:c>
      <x:c r="J207" s="168" t="str">
        <x:v>CI</x:v>
      </x:c>
      <x:c r="K207" s="174" t="n">
        <x:v>7</x:v>
      </x:c>
      <x:c r="L207" s="187" t="str">
        <x:v>Proxy multicedente/multissacado — revisar</x:v>
      </x:c>
    </x:row>
    <x:row r="208">
      <x:c r="A208" s="177" t="str">
        <x:v>37.021.511/0001-08</x:v>
      </x:c>
      <x:c r="B208" s="168" t="str">
        <x:v>MASONE FUNDO DE INVESTIMENTO EM DIREITOS CREDITÓRIOS</x:v>
      </x:c>
      <x:c r="C208" s="190" t="n">
        <x:v>673294970.7224</x:v>
      </x:c>
      <x:c r="D208" s="168" t="str">
        <x:v>Quadra Gestão de Recursos S.A.</x:v>
      </x:c>
      <x:c r="E208" s="168" t="str">
        <x:f>IFERROR(INDEX('Classif Gestoras'!$H$6:$H$462,MATCH(D208,'Classif Gestoras'!$A$6:$A$462,0)),"Não classificada")</x:f>
        <x:v>Independente</x:v>
      </x:c>
      <x:c r="F208" s="168" t="str">
        <x:v>BTG Pactual Servicos Financeiros S/A DTVM</x:v>
      </x:c>
      <x:c r="G208" s="168" t="str">
        <x:v>BANCO BTG PACTUAL S/A</x:v>
      </x:c>
      <x:c r="H208" s="168" t="str">
        <x:v>Outros</x:v>
      </x:c>
      <x:c r="I208" s="168" t="str">
        <x:v>Multicarteira Outros</x:v>
      </x:c>
      <x:c r="J208" s="168" t="str">
        <x:v>CI</x:v>
      </x:c>
      <x:c r="K208" s="174" t="n">
        <x:v>1</x:v>
      </x:c>
      <x:c r="L208" s="187" t="str">
        <x:v>Proxy multicedente/multissacado — revisar</x:v>
      </x:c>
    </x:row>
    <x:row r="209">
      <x:c r="A209" s="177" t="str">
        <x:v>28.153.046/0001-60</x:v>
      </x:c>
      <x:c r="B209" s="168" t="str">
        <x:v>BLC II FUNDO DE INVESTIMENTO EM DIREITOS CREDITÓRIOS NÃO-PADRONIZADOS</x:v>
      </x:c>
      <x:c r="C209" s="190" t="n">
        <x:v>667521190.18</x:v>
      </x:c>
      <x:c r="D209" s="168" t="str">
        <x:v>Jus Capital Gestão de Recursos LTDA</x:v>
      </x:c>
      <x:c r="E209" s="168" t="str">
        <x:f>IFERROR(INDEX('Classif Gestoras'!$H$6:$H$462,MATCH(D209,'Classif Gestoras'!$A$6:$A$462,0)),"Não classificada")</x:f>
        <x:v>Independente</x:v>
      </x:c>
      <x:c r="F209" s="168" t="str">
        <x:v>Singulare</x:v>
      </x:c>
      <x:c r="G209" s="168" t="str">
        <x:v>QI CORRETORA DE TÍTULOS E VALORES MOBILIÁRIOS S.A.</x:v>
      </x:c>
      <x:c r="H209" s="168" t="str">
        <x:v>Outros</x:v>
      </x:c>
      <x:c r="I209" s="168" t="str">
        <x:v>Poder Público</x:v>
      </x:c>
      <x:c r="J209" s="168" t="str">
        <x:v>CIC</x:v>
      </x:c>
      <x:c r="K209" s="174" t="n">
        <x:v>3</x:v>
      </x:c>
      <x:c r="L209" s="187" t="str">
        <x:v>Não classificado</x:v>
      </x:c>
    </x:row>
    <x:row r="210">
      <x:c r="A210" s="177" t="str">
        <x:v>25.382.606/0001-60</x:v>
      </x:c>
      <x:c r="B210" s="168" t="str">
        <x:v>URA AGRO FUNDO DE INVESTIMENTO EM DIREITOS CREDITÓRIOS - RESPONSABILIDADE LIMITADA</x:v>
      </x:c>
      <x:c r="C210" s="190" t="n">
        <x:v>665164567.18</x:v>
      </x:c>
      <x:c r="D210" s="168" t="str">
        <x:v>Artesanal Agro</x:v>
      </x:c>
      <x:c r="E210" s="168" t="str">
        <x:f>IFERROR(INDEX('Classif Gestoras'!$H$6:$H$462,MATCH(D210,'Classif Gestoras'!$A$6:$A$462,0)),"Não classificada")</x:f>
        <x:v>Independente</x:v>
      </x:c>
      <x:c r="F210" s="168" t="str">
        <x:v>Singulare</x:v>
      </x:c>
      <x:c r="G210" s="168" t="str">
        <x:v>QI CORRETORA DE TÍTULOS E VALORES MOBILIÁRIOS S.A.</x:v>
      </x:c>
      <x:c r="H210" s="168" t="str">
        <x:v>Agro, Indústria e Comércio</x:v>
      </x:c>
      <x:c r="I210" s="168" t="str">
        <x:v>Agronegócio</x:v>
      </x:c>
      <x:c r="J210" s="168" t="str">
        <x:v>CI</x:v>
      </x:c>
      <x:c r="K210" s="174" t="n">
        <x:v>326</x:v>
      </x:c>
      <x:c r="L210" s="187" t="str">
        <x:v>Não classificado</x:v>
      </x:c>
    </x:row>
    <x:row r="211">
      <x:c r="A211" s="177" t="str">
        <x:v>32.302.163/0001-15</x:v>
      </x:c>
      <x:c r="B211" s="168" t="str">
        <x:v>ALPE FUNDO DE INVESTIMENTO EM DIREITOS CREDITÓRIOS</x:v>
      </x:c>
      <x:c r="C211" s="190" t="n">
        <x:v>664861318.84</x:v>
      </x:c>
      <x:c r="D211" s="168" t="str">
        <x:v>Solis</x:v>
      </x:c>
      <x:c r="E211" s="168" t="str">
        <x:f>IFERROR(INDEX('Classif Gestoras'!$H$6:$H$462,MATCH(D211,'Classif Gestoras'!$A$6:$A$462,0)),"Não classificada")</x:f>
        <x:v>Independente</x:v>
      </x:c>
      <x:c r="F211" s="168" t="str">
        <x:v>HEMERA DTVM</x:v>
      </x:c>
      <x:c r="G211" s="168" t="str">
        <x:v>HEMERA DISTRIBUIDORA DE TITULOS E VALORES MOBILIARIOS LTDA</x:v>
      </x:c>
      <x:c r="H211" s="168" t="str">
        <x:v>Outros</x:v>
      </x:c>
      <x:c r="I211" s="168" t="str">
        <x:v>Multicarteira Outros</x:v>
      </x:c>
      <x:c r="J211" s="168" t="str">
        <x:v>CI</x:v>
      </x:c>
      <x:c r="K211" s="174" t="n">
        <x:v>1</x:v>
      </x:c>
      <x:c r="L211" s="187" t="str">
        <x:v>Proxy multicedente/multissacado — revisar</x:v>
      </x:c>
    </x:row>
    <x:row r="212">
      <x:c r="A212" s="177" t="str">
        <x:v>65.347.578/0001-64</x:v>
      </x:c>
      <x:c r="B212" s="168" t="str">
        <x:v>ICRED INSS III FUNDO DE INVESTIMENTO EM DIREITOS CREDITÓRIOS RESPONSABILIDADE LIMITADA</x:v>
      </x:c>
      <x:c r="C212" s="190" t="n">
        <x:v>659285879.43</x:v>
      </x:c>
      <x:c r="D212" s="168" t="str">
        <x:v>VERT Gestora de Recursos Financeiros Ltda.</x:v>
      </x:c>
      <x:c r="E212" s="168" t="str">
        <x:f>IFERROR(INDEX('Classif Gestoras'!$H$6:$H$462,MATCH(D212,'Classif Gestoras'!$A$6:$A$462,0)),"Não classificada")</x:f>
        <x:v>Independente</x:v>
      </x:c>
      <x:c r="F212" s="168" t="str">
        <x:v>VERT Distribuidora de Títulos e Valores Mobiliários Ltd</x:v>
      </x:c>
      <x:c r="G212" s="168" t="str">
        <x:v>VERT DISTRIBUIDORA DE TÍTULOS E VALORES MOBILIÁRIOS LTDA.</x:v>
      </x:c>
      <x:c r="H212" s="168" t="str">
        <x:v>Financeiro</x:v>
      </x:c>
      <x:c r="I212" s="168" t="str">
        <x:v>Crédito Consignado</x:v>
      </x:c>
      <x:c r="J212" s="168" t="str">
        <x:v>CI</x:v>
      </x:c>
      <x:c r="K212" s="174" t="n">
        <x:v>4</x:v>
      </x:c>
      <x:c r="L212" s="187" t="str">
        <x:v>Não classificado</x:v>
      </x:c>
    </x:row>
    <x:row r="213">
      <x:c r="A213" s="177" t="str">
        <x:v>47.424.724/0001-26</x:v>
      </x:c>
      <x:c r="B213" s="168" t="str">
        <x:v>MF GROUP FUNDO DE INVESTIMENTO EM DIREITOS CREDITÓRIOS NÃO PADRONIZADOS</x:v>
      </x:c>
      <x:c r="C213" s="190" t="n">
        <x:v>658869404.35</x:v>
      </x:c>
      <x:c r="D213" s="168" t="str">
        <x:v>Catálise Investimentos</x:v>
      </x:c>
      <x:c r="E213" s="168" t="str">
        <x:f>IFERROR(INDEX('Classif Gestoras'!$H$6:$H$462,MATCH(D213,'Classif Gestoras'!$A$6:$A$462,0)),"Não classificada")</x:f>
        <x:v>Independente</x:v>
      </x:c>
      <x:c r="F213" s="168" t="str">
        <x:v>CATÁLISE DTVM</x:v>
      </x:c>
      <x:c r="G213" s="168" t="str">
        <x:v>BANCO DAYCOVAL S.A.</x:v>
      </x:c>
      <x:c r="H213" s="168" t="str">
        <x:v>Outros</x:v>
      </x:c>
      <x:c r="I213" s="168" t="str">
        <x:v>Multicarteira Outros</x:v>
      </x:c>
      <x:c r="J213" s="168" t="str">
        <x:v>CI</x:v>
      </x:c>
      <x:c r="K213" s="174" t="n">
        <x:v>1</x:v>
      </x:c>
      <x:c r="L213" s="187" t="str">
        <x:v>Proxy multicedente/multissacado — revisar</x:v>
      </x:c>
    </x:row>
    <x:row r="214">
      <x:c r="A214" s="177" t="str">
        <x:v>15.675.220/0001-92</x:v>
      </x:c>
      <x:c r="B214" s="168" t="str">
        <x:v>MP FUNDO DE INVESTIMENTO EM DIREITOS CREDITÓRIOS</x:v>
      </x:c>
      <x:c r="C214" s="190" t="n">
        <x:v>654695229.7199999</x:v>
      </x:c>
      <x:c r="D214" s="168" t="str">
        <x:v>ARTESANAL FINANCEIRO</x:v>
      </x:c>
      <x:c r="E214" s="168" t="str">
        <x:f>IFERROR(INDEX('Classif Gestoras'!$H$6:$H$462,MATCH(D214,'Classif Gestoras'!$A$6:$A$462,0)),"Não classificada")</x:f>
        <x:v>Independente</x:v>
      </x:c>
      <x:c r="F214" s="168" t="str">
        <x:v>Singulare</x:v>
      </x:c>
      <x:c r="G214" s="168" t="str">
        <x:v>QI CORRETORA DE TÍTULOS E VALORES MOBILIÁRIOS S.A.</x:v>
      </x:c>
      <x:c r="H214" s="168" t="str">
        <x:v>Outros</x:v>
      </x:c>
      <x:c r="I214" s="168" t="str">
        <x:v>Multicarteira Outros</x:v>
      </x:c>
      <x:c r="J214" s="168" t="str">
        <x:v>CI</x:v>
      </x:c>
      <x:c r="K214" s="174" t="n">
        <x:v>14</x:v>
      </x:c>
      <x:c r="L214" s="187" t="str">
        <x:v>Proxy multicedente/multissacado — revisar</x:v>
      </x:c>
    </x:row>
    <x:row r="215">
      <x:c r="A215" s="177" t="str">
        <x:v>32.528.241/0001-02</x:v>
      </x:c>
      <x:c r="B215" s="168" t="str">
        <x:v>DANIELE MÚLTIPLO FUNDO DE INVESTIMENTO EM DIREITOS CREDITÓRIOS</x:v>
      </x:c>
      <x:c r="C215" s="190" t="n">
        <x:v>651588301.8199999</x:v>
      </x:c>
      <x:c r="D215" s="168" t="str">
        <x:v>Solis</x:v>
      </x:c>
      <x:c r="E215" s="168" t="str">
        <x:f>IFERROR(INDEX('Classif Gestoras'!$H$6:$H$462,MATCH(D215,'Classif Gestoras'!$A$6:$A$462,0)),"Não classificada")</x:f>
        <x:v>Independente</x:v>
      </x:c>
      <x:c r="F215" s="168" t="str">
        <x:v>HEMERA DTVM</x:v>
      </x:c>
      <x:c r="G215" s="168" t="str">
        <x:v>HEMERA DISTRIBUIDORA DE TITULOS E VALORES MOBILIARIOS LTDA</x:v>
      </x:c>
      <x:c r="H215" s="168" t="str">
        <x:v>Outros</x:v>
      </x:c>
      <x:c r="I215" s="168" t="str">
        <x:v>Multicarteira Outros</x:v>
      </x:c>
      <x:c r="J215" s="168" t="str">
        <x:v>CI</x:v>
      </x:c>
      <x:c r="K215" s="174" t="n">
        <x:v>1</x:v>
      </x:c>
      <x:c r="L215" s="187" t="str">
        <x:v>Proxy multicedente/multissacado — revisar</x:v>
      </x:c>
    </x:row>
    <x:row r="216">
      <x:c r="A216" s="177" t="str">
        <x:v>31.570.767/0001-80</x:v>
      </x:c>
      <x:c r="B216" s="168" t="str">
        <x:v>FUNDO DE INVESTIMENTO EM DIREITOS CREDITÓRIOS TRADEPAY VAREJO I - RESPONSABILIDADE LIMITADA</x:v>
      </x:c>
      <x:c r="C216" s="190" t="n">
        <x:v>650989733.9699999</x:v>
      </x:c>
      <x:c r="D216" s="168" t="str">
        <x:v>Solis</x:v>
      </x:c>
      <x:c r="E216" s="168" t="str">
        <x:f>IFERROR(INDEX('Classif Gestoras'!$H$6:$H$462,MATCH(D216,'Classif Gestoras'!$A$6:$A$462,0)),"Não classificada")</x:f>
        <x:v>Independente</x:v>
      </x:c>
      <x:c r="F216" s="168" t="str">
        <x:v>HEMERA DTVM</x:v>
      </x:c>
      <x:c r="G216" s="168" t="str">
        <x:v>HEMERA DISTRIBUIDORA DE TITULOS E VALORES MOBILIARIOS LTDA</x:v>
      </x:c>
      <x:c r="H216" s="168" t="str">
        <x:v>Agro, Indústria e Comércio</x:v>
      </x:c>
      <x:c r="I216" s="168" t="str">
        <x:v>Recebíveis Comerciais</x:v>
      </x:c>
      <x:c r="J216" s="168" t="str">
        <x:v>CI</x:v>
      </x:c>
      <x:c r="K216" s="174" t="n">
        <x:v>96</x:v>
      </x:c>
      <x:c r="L216" s="187" t="str">
        <x:v>Não classificado</x:v>
      </x:c>
    </x:row>
    <x:row r="217">
      <x:c r="A217" s="177" t="str">
        <x:v>37.037.144/0001-22</x:v>
      </x:c>
      <x:c r="B217" s="168" t="str">
        <x:v>GALAPAGOS WM FUNDO DE INVESTIMENTO EM DIREITOS CREDITÓRIOS</x:v>
      </x:c>
      <x:c r="C217" s="190" t="n">
        <x:v>650932444.2100002</x:v>
      </x:c>
      <x:c r="D217" s="168" t="str">
        <x:v>Galápagos</x:v>
      </x:c>
      <x:c r="E217" s="168" t="str">
        <x:f>IFERROR(INDEX('Classif Gestoras'!$H$6:$H$462,MATCH(D217,'Classif Gestoras'!$A$6:$A$462,0)),"Não classificada")</x:f>
        <x:v>Independente</x:v>
      </x:c>
      <x:c r="F217" s="168" t="str">
        <x:v>VÓRTX DTVM</x:v>
      </x:c>
      <x:c r="G217" s="168" t="str">
        <x:v>VORTX DISTRIBUIDORA DE TITULOS E VALORES MOBILIARIOS LTDA.</x:v>
      </x:c>
      <x:c r="H217" s="168" t="str">
        <x:v>Outros</x:v>
      </x:c>
      <x:c r="I217" s="168" t="str">
        <x:v>Multicarteira Outros</x:v>
      </x:c>
      <x:c r="J217" s="168" t="str">
        <x:v>CI</x:v>
      </x:c>
      <x:c r="K217" s="174" t="n">
        <x:v>19</x:v>
      </x:c>
      <x:c r="L217" s="187" t="str">
        <x:v>Proxy multicedente/multissacado — revisar</x:v>
      </x:c>
    </x:row>
    <x:row r="218">
      <x:c r="A218" s="177" t="str">
        <x:v>62.690.693/0001-49</x:v>
      </x:c>
      <x:c r="B218" s="168" t="str">
        <x:v>FIDC RANDONCORP SEGMENTO RECEBÍVEIS COMERCIAIS RESPONSABILIDADE LIMITADA</x:v>
      </x:c>
      <x:c r="C218" s="190" t="n">
        <x:v>649756762.62</x:v>
      </x:c>
      <x:c r="D218" s="168" t="str">
        <x:v>Integral Investimentos</x:v>
      </x:c>
      <x:c r="E218" s="168" t="str">
        <x:f>IFERROR(INDEX('Classif Gestoras'!$H$6:$H$462,MATCH(D218,'Classif Gestoras'!$A$6:$A$462,0)),"Não classificada")</x:f>
        <x:v>Independente</x:v>
      </x:c>
      <x:c r="F218" s="168" t="str">
        <x:v>INTEGRAL ACCESS DTVM</x:v>
      </x:c>
      <x:c r="G218" s="168" t="str">
        <x:v>OLIVEIRA TRUST DTVM S.A.</x:v>
      </x:c>
      <x:c r="H218" s="168" t="str">
        <x:v>Agro, Indústria e Comércio</x:v>
      </x:c>
      <x:c r="I218" s="168" t="str">
        <x:v>Recebíveis Comerciais</x:v>
      </x:c>
      <x:c r="J218" s="168" t="str">
        <x:v>CI</x:v>
      </x:c>
      <x:c r="K218" s="174" t="n">
        <x:v>1</x:v>
      </x:c>
      <x:c r="L218" s="187" t="str">
        <x:v>Não classificado</x:v>
      </x:c>
    </x:row>
    <x:row r="219">
      <x:c r="A219" s="177" t="str">
        <x:v>52.653.470/0001-58</x:v>
      </x:c>
      <x:c r="B219" s="168" t="str">
        <x:v>FUNDO DE INVESTIMENTO EM DIREITOS CREDITÓRIOS ST</x:v>
      </x:c>
      <x:c r="C219" s="190" t="n">
        <x:v>646026804.37</x:v>
      </x:c>
      <x:c r="D219" s="168" t="str">
        <x:v>BTG Pactual Asset</x:v>
      </x:c>
      <x:c r="E219" s="168" t="str">
        <x:f>IFERROR(INDEX('Classif Gestoras'!$H$6:$H$462,MATCH(D219,'Classif Gestoras'!$A$6:$A$462,0)),"Não classificada")</x:f>
        <x:v>Ligada a banco</x:v>
      </x:c>
      <x:c r="F219" s="168" t="str">
        <x:v>BTG Pactual Servicos Financeiros S/A DTVM</x:v>
      </x:c>
      <x:c r="G219" s="168" t="str">
        <x:v>BANCO BTG PACTUAL S/A</x:v>
      </x:c>
      <x:c r="H219" s="168" t="str">
        <x:v>Outros</x:v>
      </x:c>
      <x:c r="I219" s="168" t="str">
        <x:v>Multicarteira Outros</x:v>
      </x:c>
      <x:c r="J219" s="168" t="str">
        <x:v>CI</x:v>
      </x:c>
      <x:c r="K219" s="174" t="n">
        <x:v>5</x:v>
      </x:c>
      <x:c r="L219" s="187" t="str">
        <x:v>Proxy multicedente/multissacado — revisar</x:v>
      </x:c>
    </x:row>
    <x:row r="220">
      <x:c r="A220" s="177" t="str">
        <x:v>45.938.235/0001-67</x:v>
      </x:c>
      <x:c r="B220" s="168" t="str">
        <x:v>MAKENA FUNDO DE INVESTIMENTO EM DIREITOS CREDITÓRIOS</x:v>
      </x:c>
      <x:c r="C220" s="190" t="n">
        <x:v>643260775.5000001</x:v>
      </x:c>
      <x:c r="D220" s="168" t="str">
        <x:v>MAKENA GESTORA DE RECURSOS LTDA.</x:v>
      </x:c>
      <x:c r="E220" s="168" t="str">
        <x:f>IFERROR(INDEX('Classif Gestoras'!$H$6:$H$462,MATCH(D220,'Classif Gestoras'!$A$6:$A$462,0)),"Não classificada")</x:f>
        <x:v>Independente</x:v>
      </x:c>
      <x:c r="F220" s="168" t="str">
        <x:v>Limine Trust Distribuidora de Titulos e Valores Mobiliá</x:v>
      </x:c>
      <x:c r="G220" s="168" t="str">
        <x:v>LIMINE TRUST DISTRIBUIDORA DE TITULOS E VALORES MOBILIARIOS LTDA.</x:v>
      </x:c>
      <x:c r="H220" s="168" t="str">
        <x:v>Outros</x:v>
      </x:c>
      <x:c r="I220" s="168" t="str">
        <x:v>Multicarteira Outros</x:v>
      </x:c>
      <x:c r="J220" s="168" t="str">
        <x:v>CI</x:v>
      </x:c>
      <x:c r="K220" s="174" t="n">
        <x:v>5</x:v>
      </x:c>
      <x:c r="L220" s="187" t="str">
        <x:v>Proxy multicedente/multissacado — revisar</x:v>
      </x:c>
    </x:row>
    <x:row r="221">
      <x:c r="A221" s="177" t="str">
        <x:v>10.841.847/0001-52</x:v>
      </x:c>
      <x:c r="B221" s="168" t="str">
        <x:v>MULTI ASSET FUNDO DE INVESTIMENTO EM DIREITOS CREDITÓRIOS</x:v>
      </x:c>
      <x:c r="C221" s="190" t="n">
        <x:v>640594943.4399998</x:v>
      </x:c>
      <x:c r="D221" s="168" t="str">
        <x:v>TERCON ASSET MANAGEMENT</x:v>
      </x:c>
      <x:c r="E221" s="168" t="str">
        <x:f>IFERROR(INDEX('Classif Gestoras'!$H$6:$H$462,MATCH(D221,'Classif Gestoras'!$A$6:$A$462,0)),"Não classificada")</x:f>
        <x:v>Independente</x:v>
      </x:c>
      <x:c r="F221" s="168" t="str">
        <x:v>Singulare</x:v>
      </x:c>
      <x:c r="G221" s="168" t="str">
        <x:v>QI CORRETORA DE TÍTULOS E VALORES MOBILIÁRIOS S.A.</x:v>
      </x:c>
      <x:c r="H221" s="168" t="str">
        <x:v>Fomento Mercantil</x:v>
      </x:c>
      <x:c r="I221" s="168" t="str">
        <x:v>Fomento Mercantil</x:v>
      </x:c>
      <x:c r="J221" s="168" t="str">
        <x:v>CI</x:v>
      </x:c>
      <x:c r="K221" s="174" t="n">
        <x:v>84</x:v>
      </x:c>
      <x:c r="L221" s="187" t="str">
        <x:v>Não classificado</x:v>
      </x:c>
    </x:row>
    <x:row r="222">
      <x:c r="A222" s="177" t="str">
        <x:v>21.838.483/0001-78</x:v>
      </x:c>
      <x:c r="B222" s="168" t="str">
        <x:v>RIO FORMOSO II FUNDO DE INVESTIMENTO EM DIREITOS CREDITÓRIOS NÃO-PADRONIZADOS MULTISSETORIAL NP</x:v>
      </x:c>
      <x:c r="C222" s="190" t="n">
        <x:v>640384800.38</x:v>
      </x:c>
      <x:c r="D222" s="168" t="str">
        <x:v>BR-Capital DTVM</x:v>
      </x:c>
      <x:c r="E222" s="168" t="str">
        <x:f>IFERROR(INDEX('Classif Gestoras'!$H$6:$H$462,MATCH(D222,'Classif Gestoras'!$A$6:$A$462,0)),"Não classificada")</x:f>
        <x:v>Independente</x:v>
      </x:c>
      <x:c r="F222" s="168" t="str">
        <x:v>BR-Capital DTVM</x:v>
      </x:c>
      <x:c r="G222" s="168" t="str">
        <x:v>BR-CAPITAL DTVM S.A.</x:v>
      </x:c>
      <x:c r="H222" s="168" t="str">
        <x:v>Outros</x:v>
      </x:c>
      <x:c r="I222" s="168" t="str">
        <x:v>Multicarteira Outros</x:v>
      </x:c>
      <x:c r="J222" s="168" t="str">
        <x:v>CI</x:v>
      </x:c>
      <x:c r="K222" s="174" t="n">
        <x:v>4</x:v>
      </x:c>
      <x:c r="L222" s="187" t="str">
        <x:v>Proxy multicedente/multissacado — revisar</x:v>
      </x:c>
    </x:row>
    <x:row r="223">
      <x:c r="A223" s="177" t="str">
        <x:v>55.519.337/0001-00</x:v>
      </x:c>
      <x:c r="B223" s="168" t="str">
        <x:v>BT VAREJO FUNDO DE INVESTIMENTO EM DIREITOS CREDITÓRIOS</x:v>
      </x:c>
      <x:c r="C223" s="190" t="n">
        <x:v>639276182.72</x:v>
      </x:c>
      <x:c r="D223" s="168" t="str">
        <x:v>Prisma Claims Ltda.</x:v>
      </x:c>
      <x:c r="E223" s="168" t="str">
        <x:f>IFERROR(INDEX('Classif Gestoras'!$H$6:$H$462,MATCH(D223,'Classif Gestoras'!$A$6:$A$462,0)),"Não classificada")</x:f>
        <x:v>Independente</x:v>
      </x:c>
      <x:c r="F223" s="168" t="str">
        <x:v>FIDD DISTRIBUIDORA DE TITULOS E VALORES MOBILIARIOS LTD</x:v>
      </x:c>
      <x:c r="G223" s="168" t="str">
        <x:v>FIDD DISTRIBUIDORA DE TITULOS E VALORES MOBILIARIOS LTDA.</x:v>
      </x:c>
      <x:c r="H223" s="168" t="str">
        <x:v>Outros</x:v>
      </x:c>
      <x:c r="I223" s="168" t="str">
        <x:v>Recuperação</x:v>
      </x:c>
      <x:c r="J223" s="168" t="str">
        <x:v>CI</x:v>
      </x:c>
      <x:c r="K223" s="174" t="n">
        <x:v>39</x:v>
      </x:c>
      <x:c r="L223" s="187" t="str">
        <x:v>Não classificado</x:v>
      </x:c>
    </x:row>
    <x:row r="224">
      <x:c r="A224" s="177" t="str">
        <x:v>31.216.543/0001-74</x:v>
      </x:c>
      <x:c r="B224" s="168" t="str">
        <x:v>FUNDO DE INVESTIMENTO EM DIREITOS CREDITÓRIOS XPCE INFRA</x:v>
      </x:c>
      <x:c r="C224" s="190" t="n">
        <x:v>638950574.68</x:v>
      </x:c>
      <x:c r="D224" s="168" t="str">
        <x:v>Vista Real Estate</x:v>
      </x:c>
      <x:c r="E224" s="168" t="str">
        <x:f>IFERROR(INDEX('Classif Gestoras'!$H$6:$H$462,MATCH(D224,'Classif Gestoras'!$A$6:$A$462,0)),"Não classificada")</x:f>
        <x:v>Independente</x:v>
      </x:c>
      <x:c r="F224" s="168" t="str">
        <x:v>XPI CCTVM S/A</x:v>
      </x:c>
      <x:c r="G224" s="168" t="str">
        <x:v>OLIVEIRA TRUST DTVM S.A.</x:v>
      </x:c>
      <x:c r="H224" s="168" t="str">
        <x:v>Outros</x:v>
      </x:c>
      <x:c r="I224" s="168" t="str">
        <x:v>Multicarteira Outros</x:v>
      </x:c>
      <x:c r="J224" s="168" t="str">
        <x:v>CI</x:v>
      </x:c>
      <x:c r="K224" s="174" t="n">
        <x:v>4</x:v>
      </x:c>
      <x:c r="L224" s="187" t="str">
        <x:v>Proxy multicedente/multissacado — revisar</x:v>
      </x:c>
    </x:row>
    <x:row r="225">
      <x:c r="A225" s="177" t="str">
        <x:v>44.062.564/0001-24</x:v>
      </x:c>
      <x:c r="B225" s="168" t="str">
        <x:v>SFT FUNDO DE INVESTIMENTO EM DIREITOS CREDITÓRIOS</x:v>
      </x:c>
      <x:c r="C225" s="190" t="n">
        <x:v>637526437.92</x:v>
      </x:c>
      <x:c r="D225" s="168" t="str">
        <x:v>M8 Partners</x:v>
      </x:c>
      <x:c r="E225" s="168" t="str">
        <x:f>IFERROR(INDEX('Classif Gestoras'!$H$6:$H$462,MATCH(D225,'Classif Gestoras'!$A$6:$A$462,0)),"Não classificada")</x:f>
        <x:v>Independente</x:v>
      </x:c>
      <x:c r="F225" s="168" t="str">
        <x:v>HEMERA DTVM</x:v>
      </x:c>
      <x:c r="G225" s="168" t="str">
        <x:v>HEMERA DISTRIBUIDORA DE TITULOS E VALORES MOBILIARIOS LTDA</x:v>
      </x:c>
      <x:c r="H225" s="168" t="str">
        <x:v>Outros</x:v>
      </x:c>
      <x:c r="I225" s="168" t="str">
        <x:v>Multicarteira Outros</x:v>
      </x:c>
      <x:c r="J225" s="168" t="str">
        <x:v>CI</x:v>
      </x:c>
      <x:c r="K225" s="174" t="n">
        <x:v>179</x:v>
      </x:c>
      <x:c r="L225" s="187" t="str">
        <x:v>Proxy multicedente/multissacado — revisar</x:v>
      </x:c>
    </x:row>
    <x:row r="226">
      <x:c r="A226" s="177" t="str">
        <x:v>15.428.505/0001-29</x:v>
      </x:c>
      <x:c r="B226" s="168" t="str">
        <x:v>JC 4870 II FUNDO DE INVESTIMENTO EM DIREITOS CREDITÓRIOS NÃO-PADRONIZADOS</x:v>
      </x:c>
      <x:c r="C226" s="190" t="n">
        <x:v>636227149.1999999</x:v>
      </x:c>
      <x:c r="D226" s="168" t="str">
        <x:v>Jus Capital Gestão de Recursos LTDA</x:v>
      </x:c>
      <x:c r="E226" s="168" t="str">
        <x:f>IFERROR(INDEX('Classif Gestoras'!$H$6:$H$462,MATCH(D226,'Classif Gestoras'!$A$6:$A$462,0)),"Não classificada")</x:f>
        <x:v>Independente</x:v>
      </x:c>
      <x:c r="F226" s="168" t="str">
        <x:v>MAF Distribuidora de Títulos e Valores Mobiliários S.A.</x:v>
      </x:c>
      <x:c r="G226" s="168" t="str">
        <x:v>MAF DISTRIBUIDORA DE TITULOS E VALORES MOBILIARIOS S.A.</x:v>
      </x:c>
      <x:c r="H226" s="168" t="str">
        <x:v>Outros</x:v>
      </x:c>
      <x:c r="I226" s="168" t="str">
        <x:v>Multicarteira Outros</x:v>
      </x:c>
      <x:c r="J226" s="168" t="str">
        <x:v>CI</x:v>
      </x:c>
      <x:c r="K226" s="174" t="n">
        <x:v>1</x:v>
      </x:c>
      <x:c r="L226" s="187" t="str">
        <x:v>Proxy multicedente/multissacado — revisar</x:v>
      </x:c>
    </x:row>
    <x:row r="227">
      <x:c r="A227" s="177" t="str">
        <x:v>52.756.013/0001-99</x:v>
      </x:c>
      <x:c r="B227" s="168" t="str">
        <x:v>NM VOLPI MORTGAGE FUNDO DE INVESTIMENTO EM DIREITOS CREDITORIOS RESPONSABILIDADE LIMITADA</x:v>
      </x:c>
      <x:c r="C227" s="190" t="n">
        <x:v>635484300.3999999</x:v>
      </x:c>
      <x:c r="D227" s="168" t="str">
        <x:v>QI GESTAO DE RECURSOS LTDA</x:v>
      </x:c>
      <x:c r="E227" s="168" t="str">
        <x:f>IFERROR(INDEX('Classif Gestoras'!$H$6:$H$462,MATCH(D227,'Classif Gestoras'!$A$6:$A$462,0)),"Não classificada")</x:f>
        <x:v>Independente</x:v>
      </x:c>
      <x:c r="F227" s="168" t="str">
        <x:v>Singulare</x:v>
      </x:c>
      <x:c r="G227" s="168" t="str">
        <x:v>QI CORRETORA DE TÍTULOS E VALORES MOBILIÁRIOS S.A.</x:v>
      </x:c>
      <x:c r="H227" s="168" t="str">
        <x:v>Fomento Mercantil</x:v>
      </x:c>
      <x:c r="I227" s="168" t="str">
        <x:v>Fomento Mercantil</x:v>
      </x:c>
      <x:c r="J227" s="168" t="str">
        <x:v>CI</x:v>
      </x:c>
      <x:c r="K227" s="174" t="n">
        <x:v>8</x:v>
      </x:c>
      <x:c r="L227" s="187" t="str">
        <x:v>Não classificado</x:v>
      </x:c>
    </x:row>
    <x:row r="228">
      <x:c r="A228" s="177" t="str">
        <x:v>47.117.855/0001-60</x:v>
      </x:c>
      <x:c r="B228" s="168" t="str">
        <x:v>FUNDO DE INVESTIMENTO EM DIREITOS CREDITÓRIOS SOL CONSIG - RESPONSABILIDADE LIMITADA</x:v>
      </x:c>
      <x:c r="C228" s="190" t="n">
        <x:v>630605322.7199998</x:v>
      </x:c>
      <x:c r="D228" s="168" t="str">
        <x:v>Solis</x:v>
      </x:c>
      <x:c r="E228" s="168" t="str">
        <x:f>IFERROR(INDEX('Classif Gestoras'!$H$6:$H$462,MATCH(D228,'Classif Gestoras'!$A$6:$A$462,0)),"Não classificada")</x:f>
        <x:v>Independente</x:v>
      </x:c>
      <x:c r="F228" s="168" t="str">
        <x:v>HEMERA DTVM</x:v>
      </x:c>
      <x:c r="G228" s="168" t="str">
        <x:v>HEMERA DISTRIBUIDORA DE TITULOS E VALORES MOBILIARIOS LTDA</x:v>
      </x:c>
      <x:c r="H228" s="168" t="str">
        <x:v>Financeiro</x:v>
      </x:c>
      <x:c r="I228" s="168" t="str">
        <x:v>Crédito Consignado</x:v>
      </x:c>
      <x:c r="J228" s="168" t="str">
        <x:v>CI</x:v>
      </x:c>
      <x:c r="K228" s="174" t="n">
        <x:v>120</x:v>
      </x:c>
      <x:c r="L228" s="187" t="str">
        <x:v>Não classificado</x:v>
      </x:c>
    </x:row>
    <x:row r="229">
      <x:c r="A229" s="177" t="str">
        <x:v>61.351.481/0001-74</x:v>
      </x:c>
      <x:c r="B229" s="168" t="str">
        <x:v>FUNDO DE INVESTIMENTO EM DIREITOS CREDITÓRIOS STELLANTIS MOBILITY I - RESPONSABILIDADE LIMITADA</x:v>
      </x:c>
      <x:c r="C229" s="190" t="n">
        <x:v>629623425.8699999</x:v>
      </x:c>
      <x:c r="D229" s="168" t="str">
        <x:v>QI GESTAO DE RECURSOS LTDA</x:v>
      </x:c>
      <x:c r="E229" s="168" t="str">
        <x:f>IFERROR(INDEX('Classif Gestoras'!$H$6:$H$462,MATCH(D229,'Classif Gestoras'!$A$6:$A$462,0)),"Não classificada")</x:f>
        <x:v>Independente</x:v>
      </x:c>
      <x:c r="F229" s="168" t="str">
        <x:v>Singulare</x:v>
      </x:c>
      <x:c r="G229" s="168" t="str">
        <x:v>QI CORRETORA DE TÍTULOS E VALORES MOBILIÁRIOS S.A.</x:v>
      </x:c>
      <x:c r="H229" s="168" t="str">
        <x:v>Financeiro</x:v>
      </x:c>
      <x:c r="I229" s="168" t="str">
        <x:v>Financiamento de Veículos</x:v>
      </x:c>
      <x:c r="J229" s="168" t="str">
        <x:v>CI</x:v>
      </x:c>
      <x:c r="K229" s="174" t="n">
        <x:v>121</x:v>
      </x:c>
      <x:c r="L229" s="187" t="str">
        <x:v>Não classificado</x:v>
      </x:c>
    </x:row>
    <x:row r="230">
      <x:c r="A230" s="177" t="str">
        <x:v>13.733.804/0001-41</x:v>
      </x:c>
      <x:c r="B230" s="168" t="str">
        <x:v>FUNDO DE INVESTIMENTO EM DIREITOS CREDITÓRIOS MIT RESPONSABILIDADE LIMITADA</x:v>
      </x:c>
      <x:c r="C230" s="190" t="n">
        <x:v>629613376.5600001</x:v>
      </x:c>
      <x:c r="D230" s="168" t="str">
        <x:v>Integral Investimentos</x:v>
      </x:c>
      <x:c r="E230" s="168" t="str">
        <x:f>IFERROR(INDEX('Classif Gestoras'!$H$6:$H$462,MATCH(D230,'Classif Gestoras'!$A$6:$A$462,0)),"Não classificada")</x:f>
        <x:v>Independente</x:v>
      </x:c>
      <x:c r="F230" s="168" t="str">
        <x:v>BTG Pactual Servicos Financeiros S/A DTVM</x:v>
      </x:c>
      <x:c r="G230" s="168" t="str">
        <x:v>BANCO BRADESCO S.A.</x:v>
      </x:c>
      <x:c r="H230" s="168" t="str">
        <x:v>Fomento Mercantil</x:v>
      </x:c>
      <x:c r="I230" s="168" t="str">
        <x:v>Fomento Mercantil</x:v>
      </x:c>
      <x:c r="J230" s="168" t="str">
        <x:v>CI</x:v>
      </x:c>
      <x:c r="K230" s="174" t="n">
        <x:v>92</x:v>
      </x:c>
      <x:c r="L230" s="187" t="str">
        <x:v>Não classificado</x:v>
      </x:c>
    </x:row>
    <x:row r="231">
      <x:c r="A231" s="177" t="str">
        <x:v>11.701.985/0001-07</x:v>
      </x:c>
      <x:c r="B231" s="168" t="str">
        <x:v>VALORA GUARDIAN FUNDO DE INVESTIMENTO EM DIREITOS CREDITÓRIOS - RESPONSABILIDADE LIMITADA</x:v>
      </x:c>
      <x:c r="C231" s="190" t="n">
        <x:v>624552197.02</x:v>
      </x:c>
      <x:c r="D231" s="168" t="str">
        <x:v>VALORA RENDA FIXA LTDA.</x:v>
      </x:c>
      <x:c r="E231" s="168" t="str">
        <x:f>IFERROR(INDEX('Classif Gestoras'!$H$6:$H$462,MATCH(D231,'Classif Gestoras'!$A$6:$A$462,0)),"Não classificada")</x:f>
        <x:v>Independente</x:v>
      </x:c>
      <x:c r="F231" s="168" t="str">
        <x:v>BNY MELLON SERVICOS</x:v>
      </x:c>
      <x:c r="G231" s="168" t="str">
        <x:v>BNY MELLON BANCO S.A.</x:v>
      </x:c>
      <x:c r="H231" s="168" t="str">
        <x:v>Outros</x:v>
      </x:c>
      <x:c r="I231" s="168" t="str">
        <x:v>Multicarteira Outros</x:v>
      </x:c>
      <x:c r="J231" s="168" t="str">
        <x:v>CI</x:v>
      </x:c>
      <x:c r="K231" s="174" t="n">
        <x:v>3995</x:v>
      </x:c>
      <x:c r="L231" s="187" t="str">
        <x:v>Proxy multicedente/multissacado — revisar</x:v>
      </x:c>
    </x:row>
    <x:row r="232">
      <x:c r="A232" s="177" t="str">
        <x:v>23.729.525/0001-68</x:v>
      </x:c>
      <x:c r="B232" s="168" t="str">
        <x:v>VALORA GUARDIAN II FUNDO DE INVESTIMENTO EM DIREITOS CREDITÓRIOS RESPONSABILIDADE LIMITADA</x:v>
      </x:c>
      <x:c r="C232" s="190" t="n">
        <x:v>617470143.54</x:v>
      </x:c>
      <x:c r="D232" s="168" t="str">
        <x:v>VALORA RENDA FIXA LTDA.</x:v>
      </x:c>
      <x:c r="E232" s="168" t="str">
        <x:f>IFERROR(INDEX('Classif Gestoras'!$H$6:$H$462,MATCH(D232,'Classif Gestoras'!$A$6:$A$462,0)),"Não classificada")</x:f>
        <x:v>Independente</x:v>
      </x:c>
      <x:c r="F232" s="168" t="str">
        <x:v>BNY MELLON SERVICOS</x:v>
      </x:c>
      <x:c r="G232" s="168" t="str">
        <x:v>BNY MELLON BANCO S.A.</x:v>
      </x:c>
      <x:c r="H232" s="168" t="str">
        <x:v>Outros</x:v>
      </x:c>
      <x:c r="I232" s="168" t="str">
        <x:v>Multicarteira Outros</x:v>
      </x:c>
      <x:c r="J232" s="168" t="str">
        <x:v>CI</x:v>
      </x:c>
      <x:c r="K232" s="174" t="n">
        <x:v>3081</x:v>
      </x:c>
      <x:c r="L232" s="187" t="str">
        <x:v>Proxy multicedente/multissacado — revisar</x:v>
      </x:c>
    </x:row>
    <x:row r="233">
      <x:c r="A233" s="177" t="str">
        <x:v>27.227.796/0001-76</x:v>
      </x:c>
      <x:c r="B233" s="168" t="str">
        <x:v>XP CRÉDITO ESTRUTURADO 360 FUNDO DE INVESTIMENTO EM DIREITOS CREDITÓRIOS RESPONSABILIDADE LIMITADA</x:v>
      </x:c>
      <x:c r="C233" s="190" t="n">
        <x:v>613591944.32</x:v>
      </x:c>
      <x:c r="D233" s="168" t="str">
        <x:v>Vista Real Estate</x:v>
      </x:c>
      <x:c r="E233" s="168" t="str">
        <x:f>IFERROR(INDEX('Classif Gestoras'!$H$6:$H$462,MATCH(D233,'Classif Gestoras'!$A$6:$A$462,0)),"Não classificada")</x:f>
        <x:v>Independente</x:v>
      </x:c>
      <x:c r="F233" s="168" t="str">
        <x:v>BNY MELLON SERVICOS</x:v>
      </x:c>
      <x:c r="G233" s="168" t="str">
        <x:v>BNY MELLON BANCO S.A.</x:v>
      </x:c>
      <x:c r="H233" s="168" t="str">
        <x:v>Outros</x:v>
      </x:c>
      <x:c r="I233" s="168" t="str">
        <x:v>Multicarteira Outros</x:v>
      </x:c>
      <x:c r="J233" s="168" t="str">
        <x:v>CI</x:v>
      </x:c>
      <x:c r="K233" s="174" t="n">
        <x:v>2922</x:v>
      </x:c>
      <x:c r="L233" s="187" t="str">
        <x:v>Proxy multicedente/multissacado — revisar</x:v>
      </x:c>
    </x:row>
    <x:row r="234">
      <x:c r="A234" s="177" t="str">
        <x:v>52.258.677/0001-28</x:v>
      </x:c>
      <x:c r="B234" s="168" t="str">
        <x:v>ITAÚ PIRINEUS FUNDO DE INVESTIMENTOS EM DIREITOS CREDITÓRIOS DE INFRAESTRUTURA - RESP LIMITADA</x:v>
      </x:c>
      <x:c r="C234" s="190" t="n">
        <x:v>610468656.1999999</x:v>
      </x:c>
      <x:c r="D234" s="168" t="str">
        <x:v>ITAU ASSET</x:v>
      </x:c>
      <x:c r="E234" s="168" t="str">
        <x:f>IFERROR(INDEX('Classif Gestoras'!$H$6:$H$462,MATCH(D234,'Classif Gestoras'!$A$6:$A$462,0)),"Não classificada")</x:f>
        <x:v>Ligada a banco</x:v>
      </x:c>
      <x:c r="F234" s="168" t="str">
        <x:v>INTRAG DIST. DE TÍTU</x:v>
      </x:c>
      <x:c r="G234" s="168" t="str">
        <x:v>ITAU UNIBANCO S.A.</x:v>
      </x:c>
      <x:c r="H234" s="168" t="str">
        <x:v>Outros</x:v>
      </x:c>
      <x:c r="I234" s="168" t="str">
        <x:v>Multicarteira Outros</x:v>
      </x:c>
      <x:c r="J234" s="168" t="str">
        <x:v>CI</x:v>
      </x:c>
      <x:c r="K234" s="174" t="n">
        <x:v>3</x:v>
      </x:c>
      <x:c r="L234" s="187" t="str">
        <x:v>Proxy multicedente/multissacado — revisar</x:v>
      </x:c>
    </x:row>
    <x:row r="235">
      <x:c r="A235" s="177" t="str">
        <x:v>31.164.462/0001-78</x:v>
      </x:c>
      <x:c r="B235" s="168" t="str">
        <x:v>TARANIS - FUNDO DE INVESTIMENTO EM DIREITOS CREDITÓRIOS - RESPONSABILIDADE LIMITADA</x:v>
      </x:c>
      <x:c r="C235" s="190" t="n">
        <x:v>608579694.6700001</x:v>
      </x:c>
      <x:c r="D235" s="168" t="str">
        <x:v>Starboard Asset</x:v>
      </x:c>
      <x:c r="E235" s="168" t="str">
        <x:f>IFERROR(INDEX('Classif Gestoras'!$H$6:$H$462,MATCH(D235,'Classif Gestoras'!$A$6:$A$462,0)),"Não classificada")</x:f>
        <x:v>Independente</x:v>
      </x:c>
      <x:c r="F235" s="168" t="str">
        <x:v>Oliveira Trust DTVM</x:v>
      </x:c>
      <x:c r="G235" s="168" t="str">
        <x:v>OLIVEIRA TRUST DTVM S.A.</x:v>
      </x:c>
      <x:c r="H235" s="168" t="str">
        <x:v>Outros</x:v>
      </x:c>
      <x:c r="I235" s="168" t="str">
        <x:v>Poder Público</x:v>
      </x:c>
      <x:c r="J235" s="168" t="str">
        <x:v>CI</x:v>
      </x:c>
      <x:c r="K235" s="174" t="n">
        <x:v>9</x:v>
      </x:c>
      <x:c r="L235" s="187" t="str">
        <x:v>Não classificado</x:v>
      </x:c>
    </x:row>
    <x:row r="236">
      <x:c r="A236" s="177" t="str">
        <x:v>10.434.089/0001-58</x:v>
      </x:c>
      <x:c r="B236" s="168" t="str">
        <x:v>BMA FUNDO DE INVESTIMENTO EM DIREITOS CREDITÓRIOS MULTISSETORIAL - RESPONSABILIDADE LIMITADA</x:v>
      </x:c>
      <x:c r="C236" s="190" t="n">
        <x:v>606376155.84</x:v>
      </x:c>
      <x:c r="D236" s="168" t="str">
        <x:v>BMA ASSET</x:v>
      </x:c>
      <x:c r="E236" s="168" t="str">
        <x:f>IFERROR(INDEX('Classif Gestoras'!$H$6:$H$462,MATCH(D236,'Classif Gestoras'!$A$6:$A$462,0)),"Não classificada")</x:f>
        <x:v>Independente</x:v>
      </x:c>
      <x:c r="F236" s="168" t="str">
        <x:v>Singulare</x:v>
      </x:c>
      <x:c r="G236" s="168" t="str">
        <x:v>QI CORRETORA DE TÍTULOS E VALORES MOBILIÁRIOS S.A.</x:v>
      </x:c>
      <x:c r="H236" s="168" t="str">
        <x:v>Outros</x:v>
      </x:c>
      <x:c r="I236" s="168" t="str">
        <x:v>Multicarteira Outros</x:v>
      </x:c>
      <x:c r="J236" s="168" t="str">
        <x:v>CI</x:v>
      </x:c>
      <x:c r="K236" s="174" t="n">
        <x:v>40</x:v>
      </x:c>
      <x:c r="L236" s="187" t="str">
        <x:v>Proxy multicedente/multissacado — revisar</x:v>
      </x:c>
    </x:row>
    <x:row r="237">
      <x:c r="A237" s="177" t="str">
        <x:v>28.903.657/0001-88</x:v>
      </x:c>
      <x:c r="B237" s="168" t="str">
        <x:v>KP CP FUNDO DE INVESTIMENTO EM DIREITOS CREDITÓRIOS RESPONSABILIDADE LIMITADA</x:v>
      </x:c>
      <x:c r="C237" s="190" t="n">
        <x:v>605535335.9400002</x:v>
      </x:c>
      <x:c r="D237" s="168" t="str">
        <x:v>KP GESTÃO DE RECURSOS LTDA.</x:v>
      </x:c>
      <x:c r="E237" s="168" t="str">
        <x:f>IFERROR(INDEX('Classif Gestoras'!$H$6:$H$462,MATCH(D237,'Classif Gestoras'!$A$6:$A$462,0)),"Não classificada")</x:f>
        <x:v>Independente</x:v>
      </x:c>
      <x:c r="F237" s="168" t="str">
        <x:v>BNY MELLON SERVICOS</x:v>
      </x:c>
      <x:c r="G237" s="168" t="str">
        <x:v>BNY MELLON BANCO S.A.</x:v>
      </x:c>
      <x:c r="H237" s="168" t="str">
        <x:v>Outros</x:v>
      </x:c>
      <x:c r="I237" s="168" t="str">
        <x:v>Multicarteira Outros</x:v>
      </x:c>
      <x:c r="J237" s="168" t="str">
        <x:v>CI</x:v>
      </x:c>
      <x:c r="K237" s="174" t="n">
        <x:v>4497</x:v>
      </x:c>
      <x:c r="L237" s="187" t="str">
        <x:v>Proxy multicedente/multissacado — revisar</x:v>
      </x:c>
    </x:row>
    <x:row r="238">
      <x:c r="A238" s="177" t="str">
        <x:v>20.057.764/0001-20</x:v>
      </x:c>
      <x:c r="B238" s="168" t="str">
        <x:v>HARPIA FUNDO DE INVESTIMENTO EM DIREITOS CREDITÓRIOS - RESPONSABILIDADE LIMITADA</x:v>
      </x:c>
      <x:c r="C238" s="190" t="n">
        <x:v>601698935.51</x:v>
      </x:c>
      <x:c r="D238" s="168" t="str">
        <x:v>Golden Asset Gestora de Recursos</x:v>
      </x:c>
      <x:c r="E238" s="168" t="str">
        <x:f>IFERROR(INDEX('Classif Gestoras'!$H$6:$H$462,MATCH(D238,'Classif Gestoras'!$A$6:$A$462,0)),"Não classificada")</x:f>
        <x:v>Independente</x:v>
      </x:c>
      <x:c r="F238" s="168" t="str">
        <x:v>HEMERA DTVM</x:v>
      </x:c>
      <x:c r="G238" s="168" t="str">
        <x:v>HEMERA DISTRIBUIDORA DE TITULOS E VALORES MOBILIARIOS LTDA</x:v>
      </x:c>
      <x:c r="H238" s="168" t="str">
        <x:v>Fomento Mercantil</x:v>
      </x:c>
      <x:c r="I238" s="168" t="str">
        <x:v>Fomento Mercantil</x:v>
      </x:c>
      <x:c r="J238" s="168" t="str">
        <x:v>CI</x:v>
      </x:c>
      <x:c r="K238" s="174" t="n">
        <x:v>148</x:v>
      </x:c>
      <x:c r="L238" s="187" t="str">
        <x:v>Não classificado</x:v>
      </x:c>
    </x:row>
    <x:row r="239">
      <x:c r="A239" s="177" t="str">
        <x:v>32.400.342/0001-95</x:v>
      </x:c>
      <x:c r="B239" s="168" t="str">
        <x:v>KYKLOS N FUNDO DE INVESTIMENTO EM DIREITOS CREDITÓRIOS RESPONSABILIDADE LIMITADA</x:v>
      </x:c>
      <x:c r="C239" s="190" t="n">
        <x:v>600127641.37</x:v>
      </x:c>
      <x:c r="D239" s="168" t="str">
        <x:v>Kobold Gestora de Fundos LTDA.</x:v>
      </x:c>
      <x:c r="E239" s="168" t="str">
        <x:f>IFERROR(INDEX('Classif Gestoras'!$H$6:$H$462,MATCH(D239,'Classif Gestoras'!$A$6:$A$462,0)),"Não classificada")</x:f>
        <x:v>Independente</x:v>
      </x:c>
      <x:c r="F239" s="168" t="str">
        <x:v>Finaxis Corretora de Títulos e Valores Mobiliários S.A.</x:v>
      </x:c>
      <x:c r="G239" s="168" t="str">
        <x:v>BANCO FINAXIS S.A.</x:v>
      </x:c>
      <x:c r="H239" s="168" t="str">
        <x:v>Outros</x:v>
      </x:c>
      <x:c r="I239" s="168" t="str">
        <x:v>Multicarteira Outros</x:v>
      </x:c>
      <x:c r="J239" s="168" t="str">
        <x:v>CI</x:v>
      </x:c>
      <x:c r="K239" s="174" t="n">
        <x:v>12</x:v>
      </x:c>
      <x:c r="L239" s="187" t="str">
        <x:v>Proxy multicedente/multissacado — revisar</x:v>
      </x:c>
    </x:row>
    <x:row r="240">
      <x:c r="A240" s="177" t="str">
        <x:v>40.132.424/0001-24</x:v>
      </x:c>
      <x:c r="B240" s="168" t="str">
        <x:v>SAINTE JULIE FUNDO DE INVESTIMENTO EM DIREITOS CREDITÓRIOS NÃO-PADRONIZADOS RESP LIMITADA</x:v>
      </x:c>
      <x:c r="C240" s="190" t="n">
        <x:v>592629025.79</x:v>
      </x:c>
      <x:c r="D240" s="168" t="str">
        <x:v>Oliveira Trust Servicer</x:v>
      </x:c>
      <x:c r="E240" s="168" t="str">
        <x:f>IFERROR(INDEX('Classif Gestoras'!$H$6:$H$462,MATCH(D240,'Classif Gestoras'!$A$6:$A$462,0)),"Não classificada")</x:f>
        <x:v>Independente</x:v>
      </x:c>
      <x:c r="F240" s="168" t="str">
        <x:v>Oliveira Trust DTVM</x:v>
      </x:c>
      <x:c r="G240" s="168" t="str">
        <x:v>OLIVEIRA TRUST DTVM S.A.</x:v>
      </x:c>
      <x:c r="H240" s="168" t="str">
        <x:v>Financeiro</x:v>
      </x:c>
      <x:c r="I240" s="168" t="str">
        <x:v>Multicarteira Financeiro</x:v>
      </x:c>
      <x:c r="J240" s="168" t="str">
        <x:v>CI</x:v>
      </x:c>
      <x:c r="K240" s="174" t="n">
        <x:v>2</x:v>
      </x:c>
      <x:c r="L240" s="187" t="str">
        <x:v>Proxy multicedente/multissacado — revisar</x:v>
      </x:c>
    </x:row>
    <x:row r="241">
      <x:c r="A241" s="177" t="str">
        <x:v>65.505.678/0001-71</x:v>
      </x:c>
      <x:c r="B241" s="168" t="str">
        <x:v>ERYTHRINA FIDC SEGMENTO INFRAESTRUTURA E AGRONEGÓCIO DE RESPONSABILIDADE LIMITADA</x:v>
      </x:c>
      <x:c r="C241" s="190" t="n">
        <x:v>587623984.11</x:v>
      </x:c>
      <x:c r="D241" s="168" t="str">
        <x:v>Itau Unibanco</x:v>
      </x:c>
      <x:c r="E241" s="168" t="str">
        <x:f>IFERROR(INDEX('Classif Gestoras'!$H$6:$H$462,MATCH(D241,'Classif Gestoras'!$A$6:$A$462,0)),"Não classificada")</x:f>
        <x:v>Ligada a banco</x:v>
      </x:c>
      <x:c r="F241" s="168" t="str">
        <x:v>INTRAG DIST. DE TÍTU</x:v>
      </x:c>
      <x:c r="G241" s="168" t="str">
        <x:v>ITAU UNIBANCO S.A.</x:v>
      </x:c>
      <x:c r="H241" s="168" t="str">
        <x:v>Agro, Indústria e Comércio</x:v>
      </x:c>
      <x:c r="I241" s="168" t="str">
        <x:v>Infraestrutura</x:v>
      </x:c>
      <x:c r="J241" s="168" t="str">
        <x:v>CI</x:v>
      </x:c>
      <x:c r="K241" s="174" t="n">
        <x:v>1</x:v>
      </x:c>
      <x:c r="L241" s="187" t="str">
        <x:v>Não classificado</x:v>
      </x:c>
    </x:row>
    <x:row r="242">
      <x:c r="A242" s="177" t="str">
        <x:v>54.464.892/0001-00</x:v>
      </x:c>
      <x:c r="B242" s="168" t="str">
        <x:v>FUNDO DE INVESTIMENTO EM DIREITOS CREDITÓRIOS MT FGTS RECEIVABLES II</x:v>
      </x:c>
      <x:c r="C242" s="190" t="n">
        <x:v>584515144.18</x:v>
      </x:c>
      <x:c r="D242" s="168" t="str">
        <x:v>Solis</x:v>
      </x:c>
      <x:c r="E242" s="168" t="str">
        <x:f>IFERROR(INDEX('Classif Gestoras'!$H$6:$H$462,MATCH(D242,'Classif Gestoras'!$A$6:$A$462,0)),"Não classificada")</x:f>
        <x:v>Independente</x:v>
      </x:c>
      <x:c r="F242" s="168" t="str">
        <x:v>VÓRTX DTVM</x:v>
      </x:c>
      <x:c r="G242" s="168" t="str">
        <x:v>VORTX DISTRIBUIDORA DE TITULOS E VALORES MOBILIARIOS LTDA.</x:v>
      </x:c>
      <x:c r="H242" s="168" t="str">
        <x:v>Financeiro</x:v>
      </x:c>
      <x:c r="I242" s="168" t="str">
        <x:v>Crédito Pessoal</x:v>
      </x:c>
      <x:c r="J242" s="168" t="str">
        <x:v>CI</x:v>
      </x:c>
      <x:c r="K242" s="174" t="n">
        <x:v>71</x:v>
      </x:c>
      <x:c r="L242" s="187" t="str">
        <x:v>Não classificado</x:v>
      </x:c>
    </x:row>
    <x:row r="243">
      <x:c r="A243" s="177" t="str">
        <x:v>19.746.810/0001-10</x:v>
      </x:c>
      <x:c r="B243" s="168" t="str">
        <x:v>FUNDO DE INVESTIMENTO EM DIREITOS CREDITÓRIOS SUMITOMO RESPONSABILIDADE LIMITADA</x:v>
      </x:c>
      <x:c r="C243" s="190" t="n">
        <x:v>584315664.6999999</x:v>
      </x:c>
      <x:c r="D243" s="168" t="str">
        <x:v>Beyond Capital Ltda</x:v>
      </x:c>
      <x:c r="E243" s="168" t="str">
        <x:f>IFERROR(INDEX('Classif Gestoras'!$H$6:$H$462,MATCH(D243,'Classif Gestoras'!$A$6:$A$462,0)),"Não classificada")</x:f>
        <x:v>Independente</x:v>
      </x:c>
      <x:c r="F243" s="168" t="str">
        <x:v>Oliveira Trust DTVM</x:v>
      </x:c>
      <x:c r="G243" s="168" t="str">
        <x:v>OLIVEIRA TRUST DTVM S.A.</x:v>
      </x:c>
      <x:c r="H243" s="168" t="str">
        <x:v>Agro, Indústria e Comércio</x:v>
      </x:c>
      <x:c r="I243" s="168" t="str">
        <x:v>Multicarteira Agro, Indústria e Comércio</x:v>
      </x:c>
      <x:c r="J243" s="168" t="str">
        <x:v>CI</x:v>
      </x:c>
      <x:c r="K243" s="174" t="n">
        <x:v>7</x:v>
      </x:c>
      <x:c r="L243" s="187" t="str">
        <x:v>Proxy multicedente/multissacado — revisar</x:v>
      </x:c>
    </x:row>
    <x:row r="244">
      <x:c r="A244" s="177" t="str">
        <x:v>57.584.403/0001-42</x:v>
      </x:c>
      <x:c r="B244" s="168" t="str">
        <x:v>CAPRI FUNDO DE INVESTIMENTO EM DIREITOS CREDITÓRIOS</x:v>
      </x:c>
      <x:c r="C244" s="190" t="n">
        <x:v>583757914.4399999</x:v>
      </x:c>
      <x:c r="D244" s="168" t="str">
        <x:v>Trius Capital</x:v>
      </x:c>
      <x:c r="E244" s="168" t="str">
        <x:f>IFERROR(INDEX('Classif Gestoras'!$H$6:$H$462,MATCH(D244,'Classif Gestoras'!$A$6:$A$462,0)),"Não classificada")</x:f>
        <x:v>Independente</x:v>
      </x:c>
      <x:c r="F244" s="168" t="str">
        <x:v>BTG Pactual Servicos Financeiros S/A DTVM</x:v>
      </x:c>
      <x:c r="G244" s="168" t="str">
        <x:v>BANCO BTG PACTUAL S/A</x:v>
      </x:c>
      <x:c r="H244" s="168" t="str">
        <x:v>Outros</x:v>
      </x:c>
      <x:c r="I244" s="168" t="str">
        <x:v>Multicarteira Outros</x:v>
      </x:c>
      <x:c r="J244" s="168" t="str">
        <x:v>CI</x:v>
      </x:c>
      <x:c r="K244" s="174" t="n">
        <x:v>1</x:v>
      </x:c>
      <x:c r="L244" s="187" t="str">
        <x:v>Proxy multicedente/multissacado — revisar</x:v>
      </x:c>
    </x:row>
    <x:row r="245">
      <x:c r="A245" s="177" t="str">
        <x:v>42.700.626/0001-50</x:v>
      </x:c>
      <x:c r="B245" s="168" t="str">
        <x:v>STARS BANK FUNDO DE INVESTIMENTO EM DIREITOS CREDITÓRIOS LP DE RESPONSABILIDADE LIMITADA</x:v>
      </x:c>
      <x:c r="C245" s="190" t="n">
        <x:v>582244775.4599999</x:v>
      </x:c>
      <x:c r="D245" s="168" t="str">
        <x:v>TERCON ASSET MANAGEMENT</x:v>
      </x:c>
      <x:c r="E245" s="168" t="str">
        <x:f>IFERROR(INDEX('Classif Gestoras'!$H$6:$H$462,MATCH(D245,'Classif Gestoras'!$A$6:$A$462,0)),"Não classificada")</x:f>
        <x:v>Independente</x:v>
      </x:c>
      <x:c r="F245" s="168" t="str">
        <x:v>Singulare</x:v>
      </x:c>
      <x:c r="G245" s="168" t="str">
        <x:v>QI CORRETORA DE TÍTULOS E VALORES MOBILIÁRIOS S.A.</x:v>
      </x:c>
      <x:c r="H245" s="168" t="str">
        <x:v>Fomento Mercantil</x:v>
      </x:c>
      <x:c r="I245" s="168" t="str">
        <x:v>Fomento Mercantil</x:v>
      </x:c>
      <x:c r="J245" s="168" t="str">
        <x:v>CI</x:v>
      </x:c>
      <x:c r="K245" s="174" t="n">
        <x:v>72</x:v>
      </x:c>
      <x:c r="L245" s="187" t="str">
        <x:v>Não classificado</x:v>
      </x:c>
    </x:row>
    <x:row r="246">
      <x:c r="A246" s="177" t="str">
        <x:v>17.313.316/0001-36</x:v>
      </x:c>
      <x:c r="B246" s="168" t="str">
        <x:v>VALORA HORIZON HIGH YIELD FUNDO DE INVESTIMENTO EM DIREITOS CREDITÓRIOS</x:v>
      </x:c>
      <x:c r="C246" s="190" t="n">
        <x:v>581571635.0930998</x:v>
      </x:c>
      <x:c r="D246" s="168" t="str">
        <x:v>VALORA IMOBILIÁRIO E INFRAESTRUTURA LTDA</x:v>
      </x:c>
      <x:c r="E246" s="168" t="str">
        <x:f>IFERROR(INDEX('Classif Gestoras'!$H$6:$H$462,MATCH(D246,'Classif Gestoras'!$A$6:$A$462,0)),"Não classificada")</x:f>
        <x:v>Independente</x:v>
      </x:c>
      <x:c r="F246" s="168" t="str">
        <x:v>BTG Pactual Servicos Financeiros S/A DTVM</x:v>
      </x:c>
      <x:c r="G246" s="168" t="str">
        <x:v>BANCO BTG PACTUAL S/A</x:v>
      </x:c>
      <x:c r="H246" s="168" t="str">
        <x:v>Outros</x:v>
      </x:c>
      <x:c r="I246" s="168" t="str">
        <x:v>Multicarteira Outros</x:v>
      </x:c>
      <x:c r="J246" s="168" t="str">
        <x:v>CI</x:v>
      </x:c>
      <x:c r="K246" s="174" t="n">
        <x:v>3441</x:v>
      </x:c>
      <x:c r="L246" s="187" t="str">
        <x:v>Proxy multicedente/multissacado — revisar</x:v>
      </x:c>
    </x:row>
    <x:row r="247">
      <x:c r="A247" s="177" t="str">
        <x:v>20.460.014/0001-03</x:v>
      </x:c>
      <x:c r="B247" s="168" t="str">
        <x:v>FLOWINVEST FUNDO DE INVESTIMENTO EM DIREITOS CREDITÓRIOS RESPONSABILIDADE LIMITADA</x:v>
      </x:c>
      <x:c r="C247" s="190" t="n">
        <x:v>578156012.3500001</x:v>
      </x:c>
      <x:c r="D247" s="168" t="str">
        <x:v>ARTESANAL MCMS</x:v>
      </x:c>
      <x:c r="E247" s="168" t="str">
        <x:f>IFERROR(INDEX('Classif Gestoras'!$H$6:$H$462,MATCH(D247,'Classif Gestoras'!$A$6:$A$462,0)),"Não classificada")</x:f>
        <x:v>Independente</x:v>
      </x:c>
      <x:c r="F247" s="168" t="str">
        <x:v>Singulare</x:v>
      </x:c>
      <x:c r="G247" s="168" t="str">
        <x:v>QI CORRETORA DE TÍTULOS E VALORES MOBILIÁRIOS S.A.</x:v>
      </x:c>
      <x:c r="H247" s="168" t="str">
        <x:v>Agro, Indústria e Comércio</x:v>
      </x:c>
      <x:c r="I247" s="168" t="str">
        <x:v>Multicarteira Agro, Indústria e Comércio</x:v>
      </x:c>
      <x:c r="J247" s="168" t="str">
        <x:v>CI</x:v>
      </x:c>
      <x:c r="K247" s="174" t="n">
        <x:v>61</x:v>
      </x:c>
      <x:c r="L247" s="187" t="str">
        <x:v>Proxy multicedente/multissacado — revisar</x:v>
      </x:c>
    </x:row>
    <x:row r="248">
      <x:c r="A248" s="177" t="str">
        <x:v>51.767.969/0001-23</x:v>
      </x:c>
      <x:c r="B248" s="168" t="str">
        <x:v>GUARDIAN GDF FUNDO DE INVESTIMENTO EM DIREITOS CREDITÓRIOS RESPONSABILIDADE LIMITADA</x:v>
      </x:c>
      <x:c r="C248" s="190" t="n">
        <x:v>577711540.49</x:v>
      </x:c>
      <x:c r="D248" s="168" t="str">
        <x:v>Guardian Gestora</x:v>
      </x:c>
      <x:c r="E248" s="168" t="str">
        <x:f>IFERROR(INDEX('Classif Gestoras'!$H$6:$H$462,MATCH(D248,'Classif Gestoras'!$A$6:$A$462,0)),"Não classificada")</x:f>
        <x:v>Independente</x:v>
      </x:c>
      <x:c r="F248" s="168" t="str">
        <x:v>Banvox DTVM</x:v>
      </x:c>
      <x:c r="G248" s="168" t="str">
        <x:v>BANCO DAYCOVAL S.A.</x:v>
      </x:c>
      <x:c r="H248" s="168" t="str">
        <x:v>Financeiro</x:v>
      </x:c>
      <x:c r="I248" s="168" t="str">
        <x:v>Crédito Consignado</x:v>
      </x:c>
      <x:c r="J248" s="168" t="str">
        <x:v>CI</x:v>
      </x:c>
      <x:c r="K248" s="174" t="n">
        <x:v>4</x:v>
      </x:c>
      <x:c r="L248" s="187" t="str">
        <x:v>Não classificado</x:v>
      </x:c>
    </x:row>
    <x:row r="249">
      <x:c r="A249" s="177" t="str">
        <x:v>51.295.720/0001-62</x:v>
      </x:c>
      <x:c r="B249" s="168" t="str">
        <x:v>OPI GOOROO FUNDO DE INVESTIMENTO EM DIREITOS CREDITÓRIOS MULTISSETORIAL - RESP LIMITADA</x:v>
      </x:c>
      <x:c r="C249" s="190" t="n">
        <x:v>573731805.4599999</x:v>
      </x:c>
      <x:c r="D249" s="168" t="str">
        <x:v>OURO PRETO INVESTIMENTOS</x:v>
      </x:c>
      <x:c r="E249" s="168" t="str">
        <x:f>IFERROR(INDEX('Classif Gestoras'!$H$6:$H$462,MATCH(D249,'Classif Gestoras'!$A$6:$A$462,0)),"Não classificada")</x:f>
        <x:v>Independente</x:v>
      </x:c>
      <x:c r="F249" s="168" t="str">
        <x:v>Limine Trust Distribuidora de Titulos e Valores Mobiliá</x:v>
      </x:c>
      <x:c r="G249" s="168" t="str">
        <x:v>LIMINE TRUST DISTRIBUIDORA DE TITULOS E VALORES MOBILIARIOS LTDA.</x:v>
      </x:c>
      <x:c r="H249" s="168" t="str">
        <x:v>Financeiro</x:v>
      </x:c>
      <x:c r="I249" s="168" t="str">
        <x:v>Crédito Consignado</x:v>
      </x:c>
      <x:c r="J249" s="168" t="str">
        <x:v>CI</x:v>
      </x:c>
      <x:c r="K249" s="174" t="n">
        <x:v>147</x:v>
      </x:c>
      <x:c r="L249" s="187" t="str">
        <x:v>Não classificado</x:v>
      </x:c>
    </x:row>
    <x:row r="250">
      <x:c r="A250" s="177" t="str">
        <x:v>97.533.979/0001-03</x:v>
      </x:c>
      <x:c r="B250" s="168" t="str">
        <x:v>FUNDO DE INVESTIMENTO EM DIREITOS CREDITORIOS CASH FLOW MULTISSEGMENTOS</x:v>
      </x:c>
      <x:c r="C250" s="190" t="n">
        <x:v>572456867.98</x:v>
      </x:c>
      <x:c r="D250" s="168" t="str">
        <x:v>Petra Capital</x:v>
      </x:c>
      <x:c r="E250" s="168" t="str">
        <x:f>IFERROR(INDEX('Classif Gestoras'!$H$6:$H$462,MATCH(D250,'Classif Gestoras'!$A$6:$A$462,0)),"Não classificada")</x:f>
        <x:v>Independente</x:v>
      </x:c>
      <x:c r="F250" s="168" t="str">
        <x:v>Finaxis Corretora de Títulos e Valores Mobiliários S.A.</x:v>
      </x:c>
      <x:c r="G250" s="168" t="str">
        <x:v>BANCO FINAXIS S.A.</x:v>
      </x:c>
      <x:c r="H250" s="168" t="str">
        <x:v>Agro, Indústria e Comércio</x:v>
      </x:c>
      <x:c r="I250" s="168" t="str">
        <x:v>Multicarteira Agro, Indústria e Comércio</x:v>
      </x:c>
      <x:c r="J250" s="168" t="str">
        <x:v>CI</x:v>
      </x:c>
      <x:c r="K250" s="174" t="n">
        <x:v>1</x:v>
      </x:c>
      <x:c r="L250" s="187" t="str">
        <x:v>Proxy multicedente/multissacado — revisar</x:v>
      </x:c>
    </x:row>
    <x:row r="251">
      <x:c r="A251" s="177" t="str">
        <x:v>29.746.371/0001-07</x:v>
      </x:c>
      <x:c r="B251" s="168" t="str">
        <x:v>CNPJ 29746371000107</x:v>
      </x:c>
      <x:c r="C251" s="190" t="n">
        <x:v>572112753.1</x:v>
      </x:c>
      <x:c r="D251" s="168" t="str">
        <x:v>Emerald Gestão de Investimento</x:v>
      </x:c>
      <x:c r="E251" s="168" t="str">
        <x:f>IFERROR(INDEX('Classif Gestoras'!$H$6:$H$462,MATCH(D251,'Classif Gestoras'!$A$6:$A$462,0)),"Não classificada")</x:f>
        <x:v>Independente</x:v>
      </x:c>
      <x:c r="F251" s="168" t="str">
        <x:v>BANCO J. SAFRA S/A</x:v>
      </x:c>
      <x:c r="G251" s="168" t="str">
        <x:v>Não identificado</x:v>
      </x:c>
      <x:c r="H251" s="168" t="str">
        <x:v>Outros</x:v>
      </x:c>
      <x:c r="I251" s="168" t="str">
        <x:v>Poder Público</x:v>
      </x:c>
      <x:c r="J251" s="168" t="str">
        <x:v>CI</x:v>
      </x:c>
      <x:c r="K251" s="174"/>
      <x:c r="L251" s="187" t="str">
        <x:v>Não classificado</x:v>
      </x:c>
    </x:row>
    <x:row r="252">
      <x:c r="A252" s="177" t="str">
        <x:v>62.010.175/0001-37</x:v>
      </x:c>
      <x:c r="B252" s="168" t="str">
        <x:v>FUNDO DE INVESTIMENTO EM DIREITOS CREDITÓRIOS MT FGTS RECEIVABLES IV</x:v>
      </x:c>
      <x:c r="C252" s="190" t="n">
        <x:v>567408596.86</x:v>
      </x:c>
      <x:c r="D252" s="168" t="str">
        <x:v>Solis</x:v>
      </x:c>
      <x:c r="E252" s="168" t="str">
        <x:f>IFERROR(INDEX('Classif Gestoras'!$H$6:$H$462,MATCH(D252,'Classif Gestoras'!$A$6:$A$462,0)),"Não classificada")</x:f>
        <x:v>Independente</x:v>
      </x:c>
      <x:c r="F252" s="168" t="str">
        <x:v>VÓRTX DTVM</x:v>
      </x:c>
      <x:c r="G252" s="168" t="str">
        <x:v>VORTX DISTRIBUIDORA DE TITULOS E VALORES MOBILIARIOS LTDA.</x:v>
      </x:c>
      <x:c r="H252" s="168" t="str">
        <x:v>Agro, Indústria e Comércio</x:v>
      </x:c>
      <x:c r="I252" s="168" t="str">
        <x:v>Crédito Pessoal</x:v>
      </x:c>
      <x:c r="J252" s="168" t="str">
        <x:v>CI</x:v>
      </x:c>
      <x:c r="K252" s="174" t="n">
        <x:v>58</x:v>
      </x:c>
      <x:c r="L252" s="187" t="str">
        <x:v>Não classificado</x:v>
      </x:c>
    </x:row>
    <x:row r="253">
      <x:c r="A253" s="177" t="str">
        <x:v>16.874.770/0001-01</x:v>
      </x:c>
      <x:c r="B253" s="168" t="str">
        <x:v>VHG FUNDO DE INVEST EM DIREITOS CREDITÓRIOS RECEBÍVEIS MULTISEGMENTOS DE RESPONSABILIDADE LIMITADA</x:v>
      </x:c>
      <x:c r="C253" s="190" t="n">
        <x:v>561748160.04</x:v>
      </x:c>
      <x:c r="D253" s="168" t="str">
        <x:v>Vinci Gestora de Recursos LTDA</x:v>
      </x:c>
      <x:c r="E253" s="168" t="str">
        <x:f>IFERROR(INDEX('Classif Gestoras'!$H$6:$H$462,MATCH(D253,'Classif Gestoras'!$A$6:$A$462,0)),"Não classificada")</x:f>
        <x:v>Independente</x:v>
      </x:c>
      <x:c r="F253" s="168" t="str">
        <x:v>Banco Finaxis S.A.</x:v>
      </x:c>
      <x:c r="G253" s="168" t="str">
        <x:v>BANCO FINAXIS S.A.</x:v>
      </x:c>
      <x:c r="H253" s="168" t="str">
        <x:v>Outros</x:v>
      </x:c>
      <x:c r="I253" s="168" t="str">
        <x:v>Multicarteira Outros</x:v>
      </x:c>
      <x:c r="J253" s="168" t="str">
        <x:v>CI</x:v>
      </x:c>
      <x:c r="K253" s="174" t="n">
        <x:v>22</x:v>
      </x:c>
      <x:c r="L253" s="187" t="str">
        <x:v>Proxy multicedente/multissacado — revisar</x:v>
      </x:c>
    </x:row>
    <x:row r="254">
      <x:c r="A254" s="177" t="str">
        <x:v>52.810.196/0001-83</x:v>
      </x:c>
      <x:c r="B254" s="168" t="str">
        <x:v>FUNDO DE INVESTIMENTO EM DIREITOS CREDITÓRIOS FUTURO PREVIDÊNCIA CONSIGNADO PÚBLICO II RESP LTDA</x:v>
      </x:c>
      <x:c r="C254" s="190" t="n">
        <x:v>560495842.9</x:v>
      </x:c>
      <x:c r="D254" s="168" t="str">
        <x:v>Guardian Crédito</x:v>
      </x:c>
      <x:c r="E254" s="168" t="str">
        <x:f>IFERROR(INDEX('Classif Gestoras'!$H$6:$H$462,MATCH(D254,'Classif Gestoras'!$A$6:$A$462,0)),"Não classificada")</x:f>
        <x:v>Independente</x:v>
      </x:c>
      <x:c r="F254" s="168" t="str">
        <x:v>Oliveira Trust DTVM</x:v>
      </x:c>
      <x:c r="G254" s="168" t="str">
        <x:v>OLIVEIRA TRUST DTVM S.A.</x:v>
      </x:c>
      <x:c r="H254" s="168" t="str">
        <x:v>Financeiro</x:v>
      </x:c>
      <x:c r="I254" s="168" t="str">
        <x:v>Crédito Consignado</x:v>
      </x:c>
      <x:c r="J254" s="168" t="str">
        <x:v>CI</x:v>
      </x:c>
      <x:c r="K254" s="174" t="n">
        <x:v>146</x:v>
      </x:c>
      <x:c r="L254" s="187" t="str">
        <x:v>Não classificado</x:v>
      </x:c>
    </x:row>
    <x:row r="255">
      <x:c r="A255" s="177" t="str">
        <x:v>26.756.137/0001-64</x:v>
      </x:c>
      <x:c r="B255" s="168" t="str">
        <x:v>BASSO FUNDO DE INVESTIMENTO EM DIREITOS CREDITORIOS</x:v>
      </x:c>
      <x:c r="C255" s="190" t="n">
        <x:v>559933026.36</x:v>
      </x:c>
      <x:c r="D255" s="168" t="str">
        <x:v>OURO PRETO INVESTIMENTOS</x:v>
      </x:c>
      <x:c r="E255" s="168" t="str">
        <x:f>IFERROR(INDEX('Classif Gestoras'!$H$6:$H$462,MATCH(D255,'Classif Gestoras'!$A$6:$A$462,0)),"Não classificada")</x:f>
        <x:v>Independente</x:v>
      </x:c>
      <x:c r="F255" s="168" t="str">
        <x:v>Singulare</x:v>
      </x:c>
      <x:c r="G255" s="168" t="str">
        <x:v>QI CORRETORA DE TÍTULOS E VALORES MOBILIÁRIOS S.A.</x:v>
      </x:c>
      <x:c r="H255" s="168" t="str">
        <x:v>Fomento Mercantil</x:v>
      </x:c>
      <x:c r="I255" s="168" t="str">
        <x:v>Fomento Mercantil</x:v>
      </x:c>
      <x:c r="J255" s="168" t="str">
        <x:v>CI</x:v>
      </x:c>
      <x:c r="K255" s="174" t="n">
        <x:v>119</x:v>
      </x:c>
      <x:c r="L255" s="187" t="str">
        <x:v>Não classificado</x:v>
      </x:c>
    </x:row>
    <x:row r="256">
      <x:c r="A256" s="177" t="str">
        <x:v>63.882.874/0001-30</x:v>
      </x:c>
      <x:c r="B256" s="168" t="str">
        <x:v>FUNDO DE INVESTIMENTO EM DIREITOS CREDITÓRIOS MOTO HONDA II</x:v>
      </x:c>
      <x:c r="C256" s="190" t="n">
        <x:v>558202599.3000001</x:v>
      </x:c>
      <x:c r="D256" s="168" t="str">
        <x:v>Cultinvest Asset</x:v>
      </x:c>
      <x:c r="E256" s="168" t="str">
        <x:f>IFERROR(INDEX('Classif Gestoras'!$H$6:$H$462,MATCH(D256,'Classif Gestoras'!$A$6:$A$462,0)),"Não classificada")</x:f>
        <x:v>Independente</x:v>
      </x:c>
      <x:c r="F256" s="168" t="str">
        <x:v>S3 Caceis Brasil Distribuidora de Títulos e Valores Mob</x:v>
      </x:c>
      <x:c r="G256" s="168" t="str">
        <x:v>S3 CACEIS BRASIL DISTRIBUIDORA DE TITULOS E VALORES MOBILIARIOS S.A</x:v>
      </x:c>
      <x:c r="H256" s="168" t="str">
        <x:v>Agro, Indústria e Comércio</x:v>
      </x:c>
      <x:c r="I256" s="168" t="str">
        <x:v>Recebíveis Comerciais</x:v>
      </x:c>
      <x:c r="J256" s="168" t="str">
        <x:v>CI</x:v>
      </x:c>
      <x:c r="K256" s="174" t="n">
        <x:v>331</x:v>
      </x:c>
      <x:c r="L256" s="187" t="str">
        <x:v>Não classificado</x:v>
      </x:c>
    </x:row>
    <x:row r="257">
      <x:c r="A257" s="177" t="str">
        <x:v>25.043.891/0001-94</x:v>
      </x:c>
      <x:c r="B257" s="168" t="str">
        <x:v>FUNDO DE INVESTIMENTO EM DIREITOS CREDITÓRIOS XPCE III</x:v>
      </x:c>
      <x:c r="C257" s="190" t="n">
        <x:v>556950642.37</x:v>
      </x:c>
      <x:c r="D257" s="168" t="str">
        <x:v>XP Gestão de Recurso</x:v>
      </x:c>
      <x:c r="E257" s="168" t="str">
        <x:f>IFERROR(INDEX('Classif Gestoras'!$H$6:$H$462,MATCH(D257,'Classif Gestoras'!$A$6:$A$462,0)),"Não classificada")</x:f>
        <x:v>Ligada a banco</x:v>
      </x:c>
      <x:c r="F257" s="168" t="str">
        <x:v>VÓRTX DTVM</x:v>
      </x:c>
      <x:c r="G257" s="168" t="str">
        <x:v>VORTX DISTRIBUIDORA DE TITULOS E VALORES MOBILIARIOS LTDA.</x:v>
      </x:c>
      <x:c r="H257" s="168" t="str">
        <x:v>Financeiro</x:v>
      </x:c>
      <x:c r="I257" s="168" t="str">
        <x:v>Multicarteira Financeiro</x:v>
      </x:c>
      <x:c r="J257" s="168" t="str">
        <x:v>CI</x:v>
      </x:c>
      <x:c r="K257" s="174" t="n">
        <x:v>5</x:v>
      </x:c>
      <x:c r="L257" s="187" t="str">
        <x:v>Proxy multicedente/multissacado — revisar</x:v>
      </x:c>
    </x:row>
    <x:row r="258">
      <x:c r="A258" s="177" t="str">
        <x:v>31.024.386/0001-03</x:v>
      </x:c>
      <x:c r="B258" s="168" t="str">
        <x:v>GAVEA OPEN FUNDO DE INVESTIMENTO EM DIREITOS CREDITÓRIOS</x:v>
      </x:c>
      <x:c r="C258" s="190" t="n">
        <x:v>554232776.9799999</x:v>
      </x:c>
      <x:c r="D258" s="168" t="str">
        <x:v>M8 Partners</x:v>
      </x:c>
      <x:c r="E258" s="168" t="str">
        <x:f>IFERROR(INDEX('Classif Gestoras'!$H$6:$H$462,MATCH(D258,'Classif Gestoras'!$A$6:$A$462,0)),"Não classificada")</x:f>
        <x:v>Independente</x:v>
      </x:c>
      <x:c r="F258" s="168" t="str">
        <x:v>Singulare</x:v>
      </x:c>
      <x:c r="G258" s="168" t="str">
        <x:v>QI CORRETORA DE TÍTULOS E VALORES MOBILIÁRIOS S.A.</x:v>
      </x:c>
      <x:c r="H258" s="168" t="str">
        <x:v>Fomento Mercantil</x:v>
      </x:c>
      <x:c r="I258" s="168" t="str">
        <x:v>Fomento Mercantil</x:v>
      </x:c>
      <x:c r="J258" s="168" t="str">
        <x:v>CI</x:v>
      </x:c>
      <x:c r="K258" s="174" t="n">
        <x:v>89</x:v>
      </x:c>
      <x:c r="L258" s="187" t="str">
        <x:v>Não classificado</x:v>
      </x:c>
    </x:row>
    <x:row r="259">
      <x:c r="A259" s="177" t="str">
        <x:v>37.457.423/0001-45</x:v>
      </x:c>
      <x:c r="B259" s="168" t="str">
        <x:v>FUNDO DE INVESTIMENTO EM DIREITOS CREDITÓRIOS ATIVOS JUDICIAIS I RESPONSABILIDADE LIMITADA</x:v>
      </x:c>
      <x:c r="C259" s="190" t="n">
        <x:v>552566090.23</x:v>
      </x:c>
      <x:c r="D259" s="168" t="str">
        <x:v>Vista Real Estate</x:v>
      </x:c>
      <x:c r="E259" s="168" t="str">
        <x:f>IFERROR(INDEX('Classif Gestoras'!$H$6:$H$462,MATCH(D259,'Classif Gestoras'!$A$6:$A$462,0)),"Não classificada")</x:f>
        <x:v>Independente</x:v>
      </x:c>
      <x:c r="F259" s="168" t="str">
        <x:v>BRL TRUST DTVM</x:v>
      </x:c>
      <x:c r="G259" s="168" t="str">
        <x:v>BRL TRUST DISTRIBUIDORA DE TITULOS E VALORES MOBILIARIOS S.A.</x:v>
      </x:c>
      <x:c r="H259" s="168" t="str">
        <x:v>Outros</x:v>
      </x:c>
      <x:c r="I259" s="168" t="str">
        <x:v>Poder Público</x:v>
      </x:c>
      <x:c r="J259" s="168" t="str">
        <x:v>CI</x:v>
      </x:c>
      <x:c r="K259" s="174" t="n">
        <x:v>32</x:v>
      </x:c>
      <x:c r="L259" s="187" t="str">
        <x:v>Não classificado</x:v>
      </x:c>
    </x:row>
    <x:row r="260">
      <x:c r="A260" s="177" t="str">
        <x:v>32.113.885/0001-21</x:v>
      </x:c>
      <x:c r="B260" s="168" t="str">
        <x:v>MN I FUNDO DE INVESTIMENTO EM DIREITOS CREDITORIOS NAO-PADRONIZADOS</x:v>
      </x:c>
      <x:c r="C260" s="190" t="n">
        <x:v>549614280.9499999</x:v>
      </x:c>
      <x:c r="D260" s="168" t="str">
        <x:v>Acura Gestora de Recursos LTDA.</x:v>
      </x:c>
      <x:c r="E260" s="168" t="str">
        <x:f>IFERROR(INDEX('Classif Gestoras'!$H$6:$H$462,MATCH(D260,'Classif Gestoras'!$A$6:$A$462,0)),"Não classificada")</x:f>
        <x:v>Independente</x:v>
      </x:c>
      <x:c r="F260" s="168" t="str">
        <x:v>SEFER DTVM</x:v>
      </x:c>
      <x:c r="G260" s="168" t="str">
        <x:v>SEFER INVESTIMENTOS DISTRIBUIDORA DE TÍTULOS E VALORES MOBILIÁRIOS LTDA.</x:v>
      </x:c>
      <x:c r="H260" s="168" t="str">
        <x:v>Fomento Mercantil</x:v>
      </x:c>
      <x:c r="I260" s="168" t="str">
        <x:v>Fomento Mercantil</x:v>
      </x:c>
      <x:c r="J260" s="168" t="str">
        <x:v>CI</x:v>
      </x:c>
      <x:c r="K260" s="174" t="n">
        <x:v>3</x:v>
      </x:c>
      <x:c r="L260" s="187" t="str">
        <x:v>Não classificado</x:v>
      </x:c>
    </x:row>
    <x:row r="261">
      <x:c r="A261" s="177" t="str">
        <x:v>17.024.546/0001-85</x:v>
      </x:c>
      <x:c r="B261" s="168" t="str">
        <x:v>AUSTER FUNDO DE INVESTIMENTO EM DIREITOS CREDITÓRIOS</x:v>
      </x:c>
      <x:c r="C261" s="190" t="n">
        <x:v>549596002.27</x:v>
      </x:c>
      <x:c r="D261" s="168" t="str">
        <x:v>BTG PACTUAL GESTAO E CONSULTORIA DE INVESTIMENTOS</x:v>
      </x:c>
      <x:c r="E261" s="168" t="str">
        <x:f>IFERROR(INDEX('Classif Gestoras'!$H$6:$H$462,MATCH(D261,'Classif Gestoras'!$A$6:$A$462,0)),"Não classificada")</x:f>
        <x:v>Ligada a banco</x:v>
      </x:c>
      <x:c r="F261" s="168" t="str">
        <x:v>BTG Pactual Servicos Financeiros S/A DTVM</x:v>
      </x:c>
      <x:c r="G261" s="168" t="str">
        <x:v>BANCO BTG PACTUAL S/A</x:v>
      </x:c>
      <x:c r="H261" s="168" t="str">
        <x:v>Agro, Indústria e Comércio</x:v>
      </x:c>
      <x:c r="I261" s="168" t="str">
        <x:v>Multicarteira Agro, Indústria e Comércio</x:v>
      </x:c>
      <x:c r="J261" s="168" t="str">
        <x:v>CI</x:v>
      </x:c>
      <x:c r="K261" s="174" t="n">
        <x:v>0</x:v>
      </x:c>
      <x:c r="L261" s="187" t="str">
        <x:v>Proxy multicedente/multissacado — revisar</x:v>
      </x:c>
    </x:row>
    <x:row r="262">
      <x:c r="A262" s="177" t="str">
        <x:v>30.366.204/0001-01</x:v>
      </x:c>
      <x:c r="B262" s="168" t="str">
        <x:v>ITAPEVA XI MULTICARTEIRA FUNDO DE INVESTIMENTO EM DIREITOS CREDITÓRIOS RESPONSABILIDADE LIMITADA</x:v>
      </x:c>
      <x:c r="C262" s="190" t="n">
        <x:v>546182102.6299999</x:v>
      </x:c>
      <x:c r="D262" s="168" t="str">
        <x:v>RCB PORTFOLIOS</x:v>
      </x:c>
      <x:c r="E262" s="168" t="str">
        <x:f>IFERROR(INDEX('Classif Gestoras'!$H$6:$H$462,MATCH(D262,'Classif Gestoras'!$A$6:$A$462,0)),"Não classificada")</x:f>
        <x:v>Independente</x:v>
      </x:c>
      <x:c r="F262" s="168" t="str">
        <x:v>OSLO DTVM S. A.</x:v>
      </x:c>
      <x:c r="G262" s="168" t="str">
        <x:v>OSLO CAPITAL DISTRIBUIDORA DE TITULOS E VALORES MOBILIARIOS S.A.</x:v>
      </x:c>
      <x:c r="H262" s="168" t="str">
        <x:v>Outros</x:v>
      </x:c>
      <x:c r="I262" s="168" t="str">
        <x:v>Multicarteira Outros</x:v>
      </x:c>
      <x:c r="J262" s="168" t="str">
        <x:v>CI</x:v>
      </x:c>
      <x:c r="K262" s="174" t="n">
        <x:v>3</x:v>
      </x:c>
      <x:c r="L262" s="187" t="str">
        <x:v>Proxy multicedente/multissacado — revisar</x:v>
      </x:c>
    </x:row>
    <x:row r="263">
      <x:c r="A263" s="177" t="str">
        <x:v>55.144.787/0001-57</x:v>
      </x:c>
      <x:c r="B263" s="168" t="str">
        <x:v>GERA FUNDO DE INVESTIMENTO EM DIREITOS CREDITÓRIOS</x:v>
      </x:c>
      <x:c r="C263" s="190" t="n">
        <x:v>545944064</x:v>
      </x:c>
      <x:c r="D263" s="168" t="str">
        <x:v>H2 CAPITAL</x:v>
      </x:c>
      <x:c r="E263" s="168" t="str">
        <x:f>IFERROR(INDEX('Classif Gestoras'!$H$6:$H$462,MATCH(D263,'Classif Gestoras'!$A$6:$A$462,0)),"Não classificada")</x:f>
        <x:v>Independente</x:v>
      </x:c>
      <x:c r="F263" s="168" t="str">
        <x:v>Genial Investimentos Corretora de Valores Mobiliários S.A.</x:v>
      </x:c>
      <x:c r="G263" s="168" t="str">
        <x:v>BANCO GENIAL S.A.</x:v>
      </x:c>
      <x:c r="H263" s="168" t="str">
        <x:v>Agro, Indústria e Comércio</x:v>
      </x:c>
      <x:c r="I263" s="168" t="str">
        <x:v>Multicarteira Agro, Indústria e Comércio</x:v>
      </x:c>
      <x:c r="J263" s="168" t="str">
        <x:v>CI</x:v>
      </x:c>
      <x:c r="K263" s="174" t="n">
        <x:v>5</x:v>
      </x:c>
      <x:c r="L263" s="187" t="str">
        <x:v>Proxy multicedente/multissacado — revisar</x:v>
      </x:c>
    </x:row>
    <x:row r="264">
      <x:c r="A264" s="177" t="str">
        <x:v>60.871.638/0001-20</x:v>
      </x:c>
      <x:c r="B264" s="168" t="str">
        <x:v>MINERVA FUNDO DE INVESTIMENTO EM DIREITOS CREDITÓRIOS II - CRÉDITO MERCANTIL RESP LIMITADA</x:v>
      </x:c>
      <x:c r="C264" s="190" t="n">
        <x:v>544486945.93</x:v>
      </x:c>
      <x:c r="D264" s="168" t="str">
        <x:v>Banco Bradesco S/A</x:v>
      </x:c>
      <x:c r="E264" s="168" t="str">
        <x:f>IFERROR(INDEX('Classif Gestoras'!$H$6:$H$462,MATCH(D264,'Classif Gestoras'!$A$6:$A$462,0)),"Não classificada")</x:f>
        <x:v>Ligada a banco</x:v>
      </x:c>
      <x:c r="F264" s="168" t="str">
        <x:v>BEM - DIST. DE TÍTUL</x:v>
      </x:c>
      <x:c r="G264" s="168" t="str">
        <x:v>BANCO BRADESCO S.A.</x:v>
      </x:c>
      <x:c r="H264" s="168" t="str">
        <x:v>Agro, Indústria e Comércio</x:v>
      </x:c>
      <x:c r="I264" s="168" t="str">
        <x:v>Recebíveis Comerciais</x:v>
      </x:c>
      <x:c r="J264" s="168" t="str">
        <x:v>CI</x:v>
      </x:c>
      <x:c r="K264" s="174" t="n">
        <x:v>3</x:v>
      </x:c>
      <x:c r="L264" s="187" t="str">
        <x:v>Não classificado</x:v>
      </x:c>
    </x:row>
    <x:row r="265">
      <x:c r="A265" s="177" t="str">
        <x:v>35.654.776/0001-00</x:v>
      </x:c>
      <x:c r="B265" s="168" t="str">
        <x:v>PANTANAL DO BRASIL FUNDO DE INVESTIMENTO EM DIREITOS CREDITÓRIOS NÃO PADRONIZADOS</x:v>
      </x:c>
      <x:c r="C265" s="190" t="n">
        <x:v>543410435.6899999</x:v>
      </x:c>
      <x:c r="D265" s="168" t="str">
        <x:v>REAG BERKANA</x:v>
      </x:c>
      <x:c r="E265" s="168" t="str">
        <x:f>IFERROR(INDEX('Classif Gestoras'!$H$6:$H$462,MATCH(D265,'Classif Gestoras'!$A$6:$A$462,0)),"Não classificada")</x:f>
        <x:v>Independente</x:v>
      </x:c>
      <x:c r="F265" s="168" t="str">
        <x:v>Singulare</x:v>
      </x:c>
      <x:c r="G265" s="168" t="str">
        <x:v>QI CORRETORA DE TÍTULOS E VALORES MOBILIÁRIOS S.A.</x:v>
      </x:c>
      <x:c r="H265" s="168" t="str">
        <x:v>Agro, Indústria e Comércio</x:v>
      </x:c>
      <x:c r="I265" s="168" t="str">
        <x:v>Agronegócio</x:v>
      </x:c>
      <x:c r="J265" s="168" t="str">
        <x:v>CI</x:v>
      </x:c>
      <x:c r="K265" s="174" t="n">
        <x:v>1</x:v>
      </x:c>
      <x:c r="L265" s="187" t="str">
        <x:v>Não classificado</x:v>
      </x:c>
    </x:row>
    <x:row r="266">
      <x:c r="A266" s="177" t="str">
        <x:v>62.837.773/0001-84</x:v>
      </x:c>
      <x:c r="B266" s="168" t="str">
        <x:v>JACARANDÁ FUNDO DE INVESTIMENTO EM DIREITOS CREDITÓRIOS ECO INVEST BRASIL DE RESP LIMITADA</x:v>
      </x:c>
      <x:c r="C266" s="190" t="n">
        <x:v>542937829</x:v>
      </x:c>
      <x:c r="D266" s="168" t="str">
        <x:v>Itau Unibanco</x:v>
      </x:c>
      <x:c r="E266" s="168" t="str">
        <x:f>IFERROR(INDEX('Classif Gestoras'!$H$6:$H$462,MATCH(D266,'Classif Gestoras'!$A$6:$A$462,0)),"Não classificada")</x:f>
        <x:v>Ligada a banco</x:v>
      </x:c>
      <x:c r="F266" s="168" t="str">
        <x:v>INTRAG DIST. DE TÍTU</x:v>
      </x:c>
      <x:c r="G266" s="168" t="str">
        <x:v>ITAU UNIBANCO S.A.</x:v>
      </x:c>
      <x:c r="H266" s="168" t="str">
        <x:v>Outros</x:v>
      </x:c>
      <x:c r="I266" s="168" t="str">
        <x:v>Multicarteira Outros</x:v>
      </x:c>
      <x:c r="J266" s="168" t="str">
        <x:v>CI</x:v>
      </x:c>
      <x:c r="K266" s="174" t="n">
        <x:v>1</x:v>
      </x:c>
      <x:c r="L266" s="187" t="str">
        <x:v>Proxy multicedente/multissacado — revisar</x:v>
      </x:c>
    </x:row>
    <x:row r="267">
      <x:c r="A267" s="177" t="str">
        <x:v>18.911.897/0001-70</x:v>
      </x:c>
      <x:c r="B267" s="168" t="str">
        <x:v>SPREAD INVESTIMENTOS FUNDO DE INVESTIMENTO EM DIREITOS CREDITÓRIOS</x:v>
      </x:c>
      <x:c r="C267" s="190" t="n">
        <x:v>542257973.75</x:v>
      </x:c>
      <x:c r="D267" s="168" t="str">
        <x:v>M8 Partners</x:v>
      </x:c>
      <x:c r="E267" s="168" t="str">
        <x:f>IFERROR(INDEX('Classif Gestoras'!$H$6:$H$462,MATCH(D267,'Classif Gestoras'!$A$6:$A$462,0)),"Não classificada")</x:f>
        <x:v>Independente</x:v>
      </x:c>
      <x:c r="F267" s="168" t="str">
        <x:v>Singulare</x:v>
      </x:c>
      <x:c r="G267" s="168" t="str">
        <x:v>QI CORRETORA DE TÍTULOS E VALORES MOBILIÁRIOS S.A.</x:v>
      </x:c>
      <x:c r="H267" s="168" t="str">
        <x:v>Outros</x:v>
      </x:c>
      <x:c r="I267" s="168" t="str">
        <x:v>Multicarteira Outros</x:v>
      </x:c>
      <x:c r="J267" s="168" t="str">
        <x:v>CI</x:v>
      </x:c>
      <x:c r="K267" s="174" t="n">
        <x:v>3</x:v>
      </x:c>
      <x:c r="L267" s="187" t="str">
        <x:v>Proxy multicedente/multissacado — revisar</x:v>
      </x:c>
    </x:row>
    <x:row r="268">
      <x:c r="A268" s="177" t="str">
        <x:v>54.427.427/0001-08</x:v>
      </x:c>
      <x:c r="B268" s="168" t="str">
        <x:v>FUNDO DE INVESTIMENTO EM DIREITOS CREDITÓRIOS VOITER CONSIGNADO II - RESPONSABILIDADE LIMITADA</x:v>
      </x:c>
      <x:c r="C268" s="190" t="n">
        <x:v>541601043.7</x:v>
      </x:c>
      <x:c r="D268" s="168" t="str">
        <x:v>WNT Gestora de Recursos Ltda.</x:v>
      </x:c>
      <x:c r="E268" s="168" t="str">
        <x:f>IFERROR(INDEX('Classif Gestoras'!$H$6:$H$462,MATCH(D268,'Classif Gestoras'!$A$6:$A$462,0)),"Não classificada")</x:f>
        <x:v>Independente</x:v>
      </x:c>
      <x:c r="F268" s="168" t="str">
        <x:v>Banvox DTVM</x:v>
      </x:c>
      <x:c r="G268" s="168" t="str">
        <x:v>BANVOX DISTRIBUIDORA DE TITULOS E VALORES MOBILIARIOS LTDA</x:v>
      </x:c>
      <x:c r="H268" s="168" t="str">
        <x:v>Financeiro</x:v>
      </x:c>
      <x:c r="I268" s="168" t="str">
        <x:v>Crédito Consignado</x:v>
      </x:c>
      <x:c r="J268" s="168" t="str">
        <x:v>CI</x:v>
      </x:c>
      <x:c r="K268" s="174" t="n">
        <x:v>1</x:v>
      </x:c>
      <x:c r="L268" s="187" t="str">
        <x:v>Não classificado</x:v>
      </x:c>
    </x:row>
    <x:row r="269">
      <x:c r="A269" s="177" t="str">
        <x:v>36.953.080/0001-47</x:v>
      </x:c>
      <x:c r="B269" s="168" t="str">
        <x:v>ENDURANCE INVEST FUNDO DE INVESTIMENTO EM DIREITOS CREDITÓRIOS</x:v>
      </x:c>
      <x:c r="C269" s="190" t="n">
        <x:v>538085867.25</x:v>
      </x:c>
      <x:c r="D269" s="168" t="str">
        <x:v>GV ATACAMA CAPITAL LTDA.</x:v>
      </x:c>
      <x:c r="E269" s="168" t="str">
        <x:f>IFERROR(INDEX('Classif Gestoras'!$H$6:$H$462,MATCH(D269,'Classif Gestoras'!$A$6:$A$462,0)),"Não classificada")</x:f>
        <x:v>Independente</x:v>
      </x:c>
      <x:c r="F269" s="168" t="str">
        <x:v>Singulare</x:v>
      </x:c>
      <x:c r="G269" s="168" t="str">
        <x:v>QI CORRETORA DE TÍTULOS E VALORES MOBILIÁRIOS S.A.</x:v>
      </x:c>
      <x:c r="H269" s="168" t="str">
        <x:v>Outros</x:v>
      </x:c>
      <x:c r="I269" s="168" t="str">
        <x:v>Multicarteira Outros</x:v>
      </x:c>
      <x:c r="J269" s="168" t="str">
        <x:v>CI</x:v>
      </x:c>
      <x:c r="K269" s="174" t="n">
        <x:v>1</x:v>
      </x:c>
      <x:c r="L269" s="187" t="str">
        <x:v>Proxy multicedente/multissacado — revisar</x:v>
      </x:c>
    </x:row>
    <x:row r="270">
      <x:c r="A270" s="177" t="str">
        <x:v>40.211.693/0001-86</x:v>
      </x:c>
      <x:c r="B270" s="168" t="str">
        <x:v>30E FUNDO DE INVESTIMENTO EM DIREITOS CREDITÓRIOS - RESPONSABILIDADE LIMITADA</x:v>
      </x:c>
      <x:c r="C270" s="190" t="n">
        <x:v>534947313.42</x:v>
      </x:c>
      <x:c r="D270" s="168" t="str">
        <x:v>ARTESANAL MCMS</x:v>
      </x:c>
      <x:c r="E270" s="168" t="str">
        <x:f>IFERROR(INDEX('Classif Gestoras'!$H$6:$H$462,MATCH(D270,'Classif Gestoras'!$A$6:$A$462,0)),"Não classificada")</x:f>
        <x:v>Independente</x:v>
      </x:c>
      <x:c r="F270" s="168" t="str">
        <x:v>Singulare</x:v>
      </x:c>
      <x:c r="G270" s="168" t="str">
        <x:v>QI CORRETORA DE TÍTULOS E VALORES MOBILIÁRIOS S.A.</x:v>
      </x:c>
      <x:c r="H270" s="168" t="str">
        <x:v>Fomento Mercantil</x:v>
      </x:c>
      <x:c r="I270" s="168" t="str">
        <x:v>Fomento Mercantil</x:v>
      </x:c>
      <x:c r="J270" s="168" t="str">
        <x:v>CI</x:v>
      </x:c>
      <x:c r="K270" s="174" t="n">
        <x:v>23</x:v>
      </x:c>
      <x:c r="L270" s="187" t="str">
        <x:v>Não classificado</x:v>
      </x:c>
    </x:row>
    <x:row r="271">
      <x:c r="A271" s="177" t="str">
        <x:v>50.440.392/0001-88</x:v>
      </x:c>
      <x:c r="B271" s="168" t="str">
        <x:v>PLATINUM FUNDO DE INVESTIMENTO EM DIREITOS CREDITÓRIOS</x:v>
      </x:c>
      <x:c r="C271" s="190" t="n">
        <x:v>526938878.17</x:v>
      </x:c>
      <x:c r="D271" s="168" t="str">
        <x:v>Redwood Asset Management</x:v>
      </x:c>
      <x:c r="E271" s="168" t="str">
        <x:f>IFERROR(INDEX('Classif Gestoras'!$H$6:$H$462,MATCH(D271,'Classif Gestoras'!$A$6:$A$462,0)),"Não classificada")</x:f>
        <x:v>Independente</x:v>
      </x:c>
      <x:c r="F271" s="168" t="str">
        <x:v>PLANNER CV</x:v>
      </x:c>
      <x:c r="G271" s="168" t="str">
        <x:v>PLANNER CORRETORA DE VALORES S.A.</x:v>
      </x:c>
      <x:c r="H271" s="168" t="str">
        <x:v>Outros</x:v>
      </x:c>
      <x:c r="I271" s="168" t="str">
        <x:v>Multicarteira Outros</x:v>
      </x:c>
      <x:c r="J271" s="168" t="str">
        <x:v>CI</x:v>
      </x:c>
      <x:c r="K271" s="174" t="n">
        <x:v>1</x:v>
      </x:c>
      <x:c r="L271" s="187" t="str">
        <x:v>Proxy multicedente/multissacado — revisar</x:v>
      </x:c>
    </x:row>
    <x:row r="272">
      <x:c r="A272" s="177" t="str">
        <x:v>29.109.350/0001-72</x:v>
      </x:c>
      <x:c r="B272" s="168" t="str">
        <x:v>JC DIVERSIFICADO III FUNDO DE INVESTIMENTO EM DIREITOS CREDITORIOS NAO-PADRONIZADOS</x:v>
      </x:c>
      <x:c r="C272" s="190" t="n">
        <x:v>526764060.21</x:v>
      </x:c>
      <x:c r="D272" s="168" t="str">
        <x:v>Jus Capital Gestão de Recursos LTDA</x:v>
      </x:c>
      <x:c r="E272" s="168" t="str">
        <x:f>IFERROR(INDEX('Classif Gestoras'!$H$6:$H$462,MATCH(D272,'Classif Gestoras'!$A$6:$A$462,0)),"Não classificada")</x:f>
        <x:v>Independente</x:v>
      </x:c>
      <x:c r="F272" s="168" t="str">
        <x:v>Singulare</x:v>
      </x:c>
      <x:c r="G272" s="168" t="str">
        <x:v>QI CORRETORA DE TÍTULOS E VALORES MOBILIÁRIOS S.A.</x:v>
      </x:c>
      <x:c r="H272" s="168" t="str">
        <x:v>Outros</x:v>
      </x:c>
      <x:c r="I272" s="168" t="str">
        <x:v>Poder Público</x:v>
      </x:c>
      <x:c r="J272" s="168" t="str">
        <x:v>CI</x:v>
      </x:c>
      <x:c r="K272" s="174" t="n">
        <x:v>8</x:v>
      </x:c>
      <x:c r="L272" s="187" t="str">
        <x:v>Não classificado</x:v>
      </x:c>
    </x:row>
    <x:row r="273">
      <x:c r="A273" s="177" t="str">
        <x:v>20.998.706/0001-00</x:v>
      </x:c>
      <x:c r="B273" s="168" t="str">
        <x:v>FMC 202201 FUNDO DE INVESTIMENTO EM DIREITOS CREDITÓRIOS - RESPONSABILIDADE LIMITADA</x:v>
      </x:c>
      <x:c r="C273" s="190" t="n">
        <x:v>526141447.56</x:v>
      </x:c>
      <x:c r="D273" s="168" t="str">
        <x:v>Beyond Capital Ltda</x:v>
      </x:c>
      <x:c r="E273" s="168" t="str">
        <x:f>IFERROR(INDEX('Classif Gestoras'!$H$6:$H$462,MATCH(D273,'Classif Gestoras'!$A$6:$A$462,0)),"Não classificada")</x:f>
        <x:v>Independente</x:v>
      </x:c>
      <x:c r="F273" s="168" t="str">
        <x:v>Finaxis Corretora de Títulos e Valores Mobiliários S.A.</x:v>
      </x:c>
      <x:c r="G273" s="168" t="str">
        <x:v>BANCO FINAXIS S.A.</x:v>
      </x:c>
      <x:c r="H273" s="168" t="str">
        <x:v>Agro, Indústria e Comércio</x:v>
      </x:c>
      <x:c r="I273" s="168" t="str">
        <x:v>Agronegócio</x:v>
      </x:c>
      <x:c r="J273" s="168" t="str">
        <x:v>CI</x:v>
      </x:c>
      <x:c r="K273" s="174" t="n">
        <x:v>5</x:v>
      </x:c>
      <x:c r="L273" s="187" t="str">
        <x:v>Não classificado</x:v>
      </x:c>
    </x:row>
    <x:row r="274">
      <x:c r="A274" s="177" t="str">
        <x:v>51.983.832/0001-06</x:v>
      </x:c>
      <x:c r="B274" s="168" t="str">
        <x:v>FUNDO DE INVESTIMENTO EM DIREITOS CREDITÓRIOS - ACR IV</x:v>
      </x:c>
      <x:c r="C274" s="190" t="n">
        <x:v>520806769.33</x:v>
      </x:c>
      <x:c r="D274" s="168" t="str">
        <x:v>GENIAL GESTÃO LTDA.</x:v>
      </x:c>
      <x:c r="E274" s="168" t="str">
        <x:f>IFERROR(INDEX('Classif Gestoras'!$H$6:$H$462,MATCH(D274,'Classif Gestoras'!$A$6:$A$462,0)),"Não classificada")</x:f>
        <x:v>Ligada a banco</x:v>
      </x:c>
      <x:c r="F274" s="168" t="str">
        <x:v>Banco Genial S.A.</x:v>
      </x:c>
      <x:c r="G274" s="168" t="str">
        <x:v>BANCO GENIAL S.A.</x:v>
      </x:c>
      <x:c r="H274" s="168" t="str">
        <x:v>Agro, Indústria e Comércio</x:v>
      </x:c>
      <x:c r="I274" s="168" t="str">
        <x:v>Recebíveis Comerciais</x:v>
      </x:c>
      <x:c r="J274" s="168" t="str">
        <x:v>CI</x:v>
      </x:c>
      <x:c r="K274" s="174" t="n">
        <x:v>7</x:v>
      </x:c>
      <x:c r="L274" s="187" t="str">
        <x:v>Não classificado</x:v>
      </x:c>
    </x:row>
    <x:row r="275">
      <x:c r="A275" s="177" t="str">
        <x:v>55.581.400/0001-20</x:v>
      </x:c>
      <x:c r="B275" s="168" t="str">
        <x:v>INSS SOLIS ITER FUNDO DE INVESTIMENTO EM DIREITOS CREDITÓRIOS - RESPONSABILIDADE LIMITADA</x:v>
      </x:c>
      <x:c r="C275" s="190" t="n">
        <x:v>520083141.67</x:v>
      </x:c>
      <x:c r="D275" s="168" t="str">
        <x:v>Solis</x:v>
      </x:c>
      <x:c r="E275" s="168" t="str">
        <x:f>IFERROR(INDEX('Classif Gestoras'!$H$6:$H$462,MATCH(D275,'Classif Gestoras'!$A$6:$A$462,0)),"Não classificada")</x:f>
        <x:v>Independente</x:v>
      </x:c>
      <x:c r="F275" s="168" t="str">
        <x:v>HEMERA DTVM</x:v>
      </x:c>
      <x:c r="G275" s="168" t="str">
        <x:v>HEMERA DISTRIBUIDORA DE TITULOS E VALORES MOBILIARIOS LTDA</x:v>
      </x:c>
      <x:c r="H275" s="168" t="str">
        <x:v>Financeiro</x:v>
      </x:c>
      <x:c r="I275" s="168" t="str">
        <x:v>Crédito Consignado</x:v>
      </x:c>
      <x:c r="J275" s="168" t="str">
        <x:v>CI</x:v>
      </x:c>
      <x:c r="K275" s="174" t="n">
        <x:v>51</x:v>
      </x:c>
      <x:c r="L275" s="187" t="str">
        <x:v>Não classificado</x:v>
      </x:c>
    </x:row>
    <x:row r="276">
      <x:c r="A276" s="177" t="str">
        <x:v>26.558.785/0001-06</x:v>
      </x:c>
      <x:c r="B276" s="168" t="str">
        <x:v>UNIQUE FUNDO DE INVESTIMENTO EM DIREITOS CREDITÓRIOS - RESPONSABILIDADE LIMITADA</x:v>
      </x:c>
      <x:c r="C276" s="190" t="n">
        <x:v>519739746.75</x:v>
      </x:c>
      <x:c r="D276" s="168" t="str">
        <x:v>ARTESANAL MCMS</x:v>
      </x:c>
      <x:c r="E276" s="168" t="str">
        <x:f>IFERROR(INDEX('Classif Gestoras'!$H$6:$H$462,MATCH(D276,'Classif Gestoras'!$A$6:$A$462,0)),"Não classificada")</x:f>
        <x:v>Independente</x:v>
      </x:c>
      <x:c r="F276" s="168" t="str">
        <x:v>Singulare</x:v>
      </x:c>
      <x:c r="G276" s="168" t="str">
        <x:v>QI CORRETORA DE TÍTULOS E VALORES MOBILIÁRIOS S.A.</x:v>
      </x:c>
      <x:c r="H276" s="168" t="str">
        <x:v>Fomento Mercantil</x:v>
      </x:c>
      <x:c r="I276" s="168" t="str">
        <x:v>Fomento Mercantil</x:v>
      </x:c>
      <x:c r="J276" s="168" t="str">
        <x:v>CI</x:v>
      </x:c>
      <x:c r="K276" s="174" t="n">
        <x:v>85</x:v>
      </x:c>
      <x:c r="L276" s="187" t="str">
        <x:v>Não classificado</x:v>
      </x:c>
    </x:row>
    <x:row r="277">
      <x:c r="A277" s="177" t="str">
        <x:v>59.534.745/0001-83</x:v>
      </x:c>
      <x:c r="B277" s="168" t="str">
        <x:v>CHEMICAL XIV - FIDC - INDÚSTRIA PETROQUÍMICA</x:v>
      </x:c>
      <x:c r="C277" s="190" t="n">
        <x:v>519120527.6</x:v>
      </x:c>
      <x:c r="D277" s="168" t="str">
        <x:v>Banco Bradesco S/A</x:v>
      </x:c>
      <x:c r="E277" s="168" t="str">
        <x:f>IFERROR(INDEX('Classif Gestoras'!$H$6:$H$462,MATCH(D277,'Classif Gestoras'!$A$6:$A$462,0)),"Não classificada")</x:f>
        <x:v>Ligada a banco</x:v>
      </x:c>
      <x:c r="F277" s="168" t="str">
        <x:v>BEM - DIST. DE TÍTUL</x:v>
      </x:c>
      <x:c r="G277" s="168" t="str">
        <x:v>BANCO BRADESCO S.A.</x:v>
      </x:c>
      <x:c r="H277" s="168" t="str">
        <x:v>Agro, Indústria e Comércio</x:v>
      </x:c>
      <x:c r="I277" s="168" t="str">
        <x:v>Multicarteira Agro, Indústria e Comércio</x:v>
      </x:c>
      <x:c r="J277" s="168" t="str">
        <x:v>CI</x:v>
      </x:c>
      <x:c r="K277" s="174" t="n">
        <x:v>87</x:v>
      </x:c>
      <x:c r="L277" s="187" t="str">
        <x:v>Proxy multicedente/multissacado — revisar</x:v>
      </x:c>
    </x:row>
    <x:row r="278">
      <x:c r="A278" s="177" t="str">
        <x:v>57.449.433/0001-46</x:v>
      </x:c>
      <x:c r="B278" s="168" t="str">
        <x:v>SOA FUNDO DE INVESTIMENTO EM DIREITOS CREDITÓRIOS NÃO - PADRONIZADOS</x:v>
      </x:c>
      <x:c r="C278" s="190" t="n">
        <x:v>518671918.57000005</x:v>
      </x:c>
      <x:c r="D278" s="168" t="str">
        <x:v>NORTH SEA CAPITAL</x:v>
      </x:c>
      <x:c r="E278" s="168" t="str">
        <x:f>IFERROR(INDEX('Classif Gestoras'!$H$6:$H$462,MATCH(D278,'Classif Gestoras'!$A$6:$A$462,0)),"Não classificada")</x:f>
        <x:v>Independente</x:v>
      </x:c>
      <x:c r="F278" s="168" t="str">
        <x:v>Qore DTVM</x:v>
      </x:c>
      <x:c r="G278" s="168" t="str">
        <x:v>QORE DISTRIBUIDORA DE TÍTULOS E VALORES MOBILIÁRIOS LTDA.</x:v>
      </x:c>
      <x:c r="H278" s="168" t="str">
        <x:v>Outros</x:v>
      </x:c>
      <x:c r="I278" s="168" t="str">
        <x:v>Multicarteira Outros</x:v>
      </x:c>
      <x:c r="J278" s="168" t="str">
        <x:v>CI</x:v>
      </x:c>
      <x:c r="K278" s="174" t="n">
        <x:v>1</x:v>
      </x:c>
      <x:c r="L278" s="187" t="str">
        <x:v>Proxy multicedente/multissacado — revisar</x:v>
      </x:c>
    </x:row>
    <x:row r="279">
      <x:c r="A279" s="177" t="str">
        <x:v>47.280.025/0001-50</x:v>
      </x:c>
      <x:c r="B279" s="168" t="str">
        <x:v>FIDC AGRO CAPITAL FINANCE RESPONSABILIDADE LIMITADA</x:v>
      </x:c>
      <x:c r="C279" s="190" t="n">
        <x:v>517459019.09</x:v>
      </x:c>
      <x:c r="D279" s="168" t="str">
        <x:v>Kanastra</x:v>
      </x:c>
      <x:c r="E279" s="168" t="str">
        <x:f>IFERROR(INDEX('Classif Gestoras'!$H$6:$H$462,MATCH(D279,'Classif Gestoras'!$A$6:$A$462,0)),"Não classificada")</x:f>
        <x:v>Independente</x:v>
      </x:c>
      <x:c r="F279" s="168" t="str">
        <x:v>Limine Trust Distribuidora de Titulos e Valores Mobiliá</x:v>
      </x:c>
      <x:c r="G279" s="168" t="str">
        <x:v>LIMINE TRUST DISTRIBUIDORA DE TITULOS E VALORES MOBILIARIOS LTDA.</x:v>
      </x:c>
      <x:c r="H279" s="168" t="str">
        <x:v>Agro, Indústria e Comércio</x:v>
      </x:c>
      <x:c r="I279" s="168" t="str">
        <x:v>Recebíveis Comerciais</x:v>
      </x:c>
      <x:c r="J279" s="168" t="str">
        <x:v>CI</x:v>
      </x:c>
      <x:c r="K279" s="174" t="n">
        <x:v>3</x:v>
      </x:c>
      <x:c r="L279" s="187" t="str">
        <x:v>Não classificado</x:v>
      </x:c>
    </x:row>
    <x:row r="280">
      <x:c r="A280" s="177" t="str">
        <x:v>40.054.735/0001-12</x:v>
      </x:c>
      <x:c r="B280" s="168" t="str">
        <x:v>JCI II - FUNDO DE INVESTIMENTO EM DIREITOS CREDITÓRIOS RESPONSABILIDADE LIMITADA</x:v>
      </x:c>
      <x:c r="C280" s="190" t="n">
        <x:v>513739028.2</x:v>
      </x:c>
      <x:c r="D280" s="168" t="str">
        <x:v>JIVE INVESTMENTS</x:v>
      </x:c>
      <x:c r="E280" s="168" t="str">
        <x:f>IFERROR(INDEX('Classif Gestoras'!$H$6:$H$462,MATCH(D280,'Classif Gestoras'!$A$6:$A$462,0)),"Não classificada")</x:f>
        <x:v>Independente</x:v>
      </x:c>
      <x:c r="F280" s="168" t="str">
        <x:v>MAF Distribuidora de Títulos e Valores Mobiliários S.A.</x:v>
      </x:c>
      <x:c r="G280" s="168" t="str">
        <x:v>MAF DISTRIBUIDORA DE TITULOS E VALORES MOBILIARIOS S.A.</x:v>
      </x:c>
      <x:c r="H280" s="168" t="str">
        <x:v>Outros</x:v>
      </x:c>
      <x:c r="I280" s="168" t="str">
        <x:v>Recuperação</x:v>
      </x:c>
      <x:c r="J280" s="168" t="str">
        <x:v>CI</x:v>
      </x:c>
      <x:c r="K280" s="174" t="n">
        <x:v>6</x:v>
      </x:c>
      <x:c r="L280" s="187" t="str">
        <x:v>Não classificado</x:v>
      </x:c>
    </x:row>
    <x:row r="281">
      <x:c r="A281" s="177" t="str">
        <x:v>45.963.809/0001-57</x:v>
      </x:c>
      <x:c r="B281" s="168" t="str">
        <x:v>PAYJOY I FUNDO DE INVESTIMENTO EM DIREITOS CREDITÓRIOS SEGMENTO FINANCEIRO</x:v>
      </x:c>
      <x:c r="C281" s="190" t="n">
        <x:v>509815862.03</x:v>
      </x:c>
      <x:c r="D281" s="168" t="str">
        <x:v>Integral Investimentos</x:v>
      </x:c>
      <x:c r="E281" s="168" t="str">
        <x:f>IFERROR(INDEX('Classif Gestoras'!$H$6:$H$462,MATCH(D281,'Classif Gestoras'!$A$6:$A$462,0)),"Não classificada")</x:f>
        <x:v>Independente</x:v>
      </x:c>
      <x:c r="F281" s="168" t="str">
        <x:v>Genial Investimentos Corretora de Valores Mobiliários S.A.</x:v>
      </x:c>
      <x:c r="G281" s="168" t="str">
        <x:v>BANCO GENIAL S.A.</x:v>
      </x:c>
      <x:c r="H281" s="168" t="str">
        <x:v>Financeiro</x:v>
      </x:c>
      <x:c r="I281" s="168" t="str">
        <x:v>Multicarteira Financeiro</x:v>
      </x:c>
      <x:c r="J281" s="168" t="str">
        <x:v>CI</x:v>
      </x:c>
      <x:c r="K281" s="174" t="n">
        <x:v>5</x:v>
      </x:c>
      <x:c r="L281" s="187" t="str">
        <x:v>Proxy multicedente/multissacado — revisar</x:v>
      </x:c>
    </x:row>
    <x:row r="282">
      <x:c r="A282" s="177" t="str">
        <x:v>65.411.764/0001-15</x:v>
      </x:c>
      <x:c r="B282" s="168" t="str">
        <x:v>ATENA FUNDO DE INVESTIMENTO EM DIREITOS CREDITÓRIOS SEGMENTO INFRAESTRUTURA DE RESP LIMITADA</x:v>
      </x:c>
      <x:c r="C282" s="190" t="n">
        <x:v>507114261.73</x:v>
      </x:c>
      <x:c r="D282" s="168" t="str">
        <x:v>Banco Santander</x:v>
      </x:c>
      <x:c r="E282" s="168" t="str">
        <x:f>IFERROR(INDEX('Classif Gestoras'!$H$6:$H$462,MATCH(D282,'Classif Gestoras'!$A$6:$A$462,0)),"Não classificada")</x:f>
        <x:v>Ligada a banco</x:v>
      </x:c>
      <x:c r="F282" s="168" t="str">
        <x:v>SANTANDER DISTRIBUIDORA DE TÍTULOS E VALORES MOBILIÁRIOS S.A</x:v>
      </x:c>
      <x:c r="G282" s="168" t="str">
        <x:v>S3 CACEIS BRASIL DISTRIBUIDORA DE TITULOS E VALORES MOBILIARIOS S.A</x:v>
      </x:c>
      <x:c r="H282" s="168" t="str">
        <x:v>Agro, Indústria e Comércio</x:v>
      </x:c>
      <x:c r="I282" s="168" t="str">
        <x:v>Infraestrutura</x:v>
      </x:c>
      <x:c r="J282" s="168" t="str">
        <x:v>CI</x:v>
      </x:c>
      <x:c r="K282" s="174" t="n">
        <x:v>1</x:v>
      </x:c>
      <x:c r="L282" s="187" t="str">
        <x:v>Não classificado</x:v>
      </x:c>
    </x:row>
    <x:row r="283">
      <x:c r="A283" s="177" t="str">
        <x:v>52.363.951/0001-29</x:v>
      </x:c>
      <x:c r="B283" s="168" t="str">
        <x:v>ARC DIP JS FUNDO DE INVESTIMENTO EM DIREITOS CREDITÓRIOS NÃO PADRONIZADO</x:v>
      </x:c>
      <x:c r="C283" s="190" t="n">
        <x:v>505308600.57</x:v>
      </x:c>
      <x:c r="D283" s="168" t="str">
        <x:v>ARC Capital</x:v>
      </x:c>
      <x:c r="E283" s="168" t="str">
        <x:f>IFERROR(INDEX('Classif Gestoras'!$H$6:$H$462,MATCH(D283,'Classif Gestoras'!$A$6:$A$462,0)),"Não classificada")</x:f>
        <x:v>Independente</x:v>
      </x:c>
      <x:c r="F283" s="168" t="str">
        <x:v>BANCO DAYCOVAL S/A</x:v>
      </x:c>
      <x:c r="G283" s="168" t="str">
        <x:v>BANCO DAYCOVAL S.A.</x:v>
      </x:c>
      <x:c r="H283" s="168" t="str">
        <x:v>Outros</x:v>
      </x:c>
      <x:c r="I283" s="168" t="str">
        <x:v>Recuperação</x:v>
      </x:c>
      <x:c r="J283" s="168" t="str">
        <x:v>CI</x:v>
      </x:c>
      <x:c r="K283" s="174" t="n">
        <x:v>30</x:v>
      </x:c>
      <x:c r="L283" s="187" t="str">
        <x:v>Não classificado</x:v>
      </x:c>
    </x:row>
    <x:row r="284">
      <x:c r="A284" s="177" t="str">
        <x:v>33.254.370/0001-04</x:v>
      </x:c>
      <x:c r="B284" s="168" t="str">
        <x:v>MERCADO CRÉDITO FUNDO DE INVESTIMENTO EM DIREITOS CREDITÓRIOS RESPONSABILIDADE LIMITADA</x:v>
      </x:c>
      <x:c r="C284" s="190" t="n">
        <x:v>504444772.15</x:v>
      </x:c>
      <x:c r="D284" s="168" t="str">
        <x:v>POLÍGONO CAPITAL LTDA.</x:v>
      </x:c>
      <x:c r="E284" s="168" t="str">
        <x:f>IFERROR(INDEX('Classif Gestoras'!$H$6:$H$462,MATCH(D284,'Classif Gestoras'!$A$6:$A$462,0)),"Não classificada")</x:f>
        <x:v>Independente</x:v>
      </x:c>
      <x:c r="F284" s="168" t="str">
        <x:v>BTG Pactual Servicos Financeiros S/A DTVM</x:v>
      </x:c>
      <x:c r="G284" s="168" t="str">
        <x:v>BANCO BTG PACTUAL S/A</x:v>
      </x:c>
      <x:c r="H284" s="168" t="str">
        <x:v>Financeiro</x:v>
      </x:c>
      <x:c r="I284" s="168" t="str">
        <x:v>Multicarteira Financeiro</x:v>
      </x:c>
      <x:c r="J284" s="168" t="str">
        <x:v>CI</x:v>
      </x:c>
      <x:c r="K284" s="174" t="n">
        <x:v>11</x:v>
      </x:c>
      <x:c r="L284" s="187" t="str">
        <x:v>Proxy multicedente/multissacado — revisar</x:v>
      </x:c>
    </x:row>
    <x:row r="285">
      <x:c r="A285" s="177" t="str">
        <x:v>46.285.232/0001-34</x:v>
      </x:c>
      <x:c r="B285" s="168" t="str">
        <x:v>ROQUEDAL FUNDO DE INVESTIMENTO EM DIREITOS CREDITÓRIOS</x:v>
      </x:c>
      <x:c r="C285" s="190" t="n">
        <x:v>502790706.0100001</x:v>
      </x:c>
      <x:c r="D285" s="168" t="str">
        <x:v>SOMMA Investimentos</x:v>
      </x:c>
      <x:c r="E285" s="168" t="str">
        <x:f>IFERROR(INDEX('Classif Gestoras'!$H$6:$H$462,MATCH(D285,'Classif Gestoras'!$A$6:$A$462,0)),"Não classificada")</x:f>
        <x:v>Independente</x:v>
      </x:c>
      <x:c r="F285" s="168" t="str">
        <x:v>Singulare</x:v>
      </x:c>
      <x:c r="G285" s="168" t="str">
        <x:v>QI CORRETORA DE TÍTULOS E VALORES MOBILIÁRIOS S.A.</x:v>
      </x:c>
      <x:c r="H285" s="168" t="str">
        <x:v>Outros</x:v>
      </x:c>
      <x:c r="I285" s="168" t="str">
        <x:v>Multicarteira Outros</x:v>
      </x:c>
      <x:c r="J285" s="168" t="str">
        <x:v>CI</x:v>
      </x:c>
      <x:c r="K285" s="174" t="n">
        <x:v>5</x:v>
      </x:c>
      <x:c r="L285" s="187" t="str">
        <x:v>Proxy multicedente/multissacado — revisar</x:v>
      </x:c>
    </x:row>
    <x:row r="286">
      <x:c r="A286" s="177" t="str">
        <x:v>51.290.497/0001-60</x:v>
      </x:c>
      <x:c r="B286" s="168" t="str">
        <x:v>MT INSS RECEIVABLES V FUNDO DE INVESTIMENTO EM DIREITOS CREDITÓRIOS CONSIGNADOS</x:v>
      </x:c>
      <x:c r="C286" s="190" t="n">
        <x:v>501667206.84</x:v>
      </x:c>
      <x:c r="D286" s="168" t="str">
        <x:v>Oliveira Trust Servicer</x:v>
      </x:c>
      <x:c r="E286" s="168" t="str">
        <x:f>IFERROR(INDEX('Classif Gestoras'!$H$6:$H$462,MATCH(D286,'Classif Gestoras'!$A$6:$A$462,0)),"Não classificada")</x:f>
        <x:v>Independente</x:v>
      </x:c>
      <x:c r="F286" s="168" t="str">
        <x:v>Oliveira Trust DTVM</x:v>
      </x:c>
      <x:c r="G286" s="168" t="str">
        <x:v>OLIVEIRA TRUST DTVM S.A.</x:v>
      </x:c>
      <x:c r="H286" s="168" t="str">
        <x:v>Financeiro</x:v>
      </x:c>
      <x:c r="I286" s="168" t="str">
        <x:v>Crédito Consignado</x:v>
      </x:c>
      <x:c r="J286" s="168" t="str">
        <x:v>CI</x:v>
      </x:c>
      <x:c r="K286" s="174" t="n">
        <x:v>30</x:v>
      </x:c>
      <x:c r="L286" s="187" t="str">
        <x:v>Não classificado</x:v>
      </x:c>
    </x:row>
    <x:row r="287">
      <x:c r="A287" s="177" t="str">
        <x:v>56.805.661/0001-49</x:v>
      </x:c>
      <x:c r="B287" s="168" t="str">
        <x:v>PJUS COBALTO FIDC DE PRECATÓRIOS DE RESPONSABILIDADE LIMITADA</x:v>
      </x:c>
      <x:c r="C287" s="190" t="n">
        <x:v>500393825.3400001</x:v>
      </x:c>
      <x:c r="D287" s="168" t="str">
        <x:v>Vista Real Estate</x:v>
      </x:c>
      <x:c r="E287" s="168" t="str">
        <x:f>IFERROR(INDEX('Classif Gestoras'!$H$6:$H$462,MATCH(D287,'Classif Gestoras'!$A$6:$A$462,0)),"Não classificada")</x:f>
        <x:v>Independente</x:v>
      </x:c>
      <x:c r="F287" s="168" t="str">
        <x:v>BRL TRUST DTVM</x:v>
      </x:c>
      <x:c r="G287" s="168" t="str">
        <x:v>BRL TRUST DISTRIBUIDORA DE TITULOS E VALORES MOBILIARIOS S.A.</x:v>
      </x:c>
      <x:c r="H287" s="168" t="str">
        <x:v>Outros</x:v>
      </x:c>
      <x:c r="I287" s="168" t="str">
        <x:v>Poder Público</x:v>
      </x:c>
      <x:c r="J287" s="168" t="str">
        <x:v>CI</x:v>
      </x:c>
      <x:c r="K287" s="174" t="n">
        <x:v>43</x:v>
      </x:c>
      <x:c r="L287" s="187" t="str">
        <x:v>Não classificado</x:v>
      </x:c>
    </x:row>
    <x:row r="288">
      <x:c r="A288" s="177" t="str">
        <x:v>23.104.485/0001-69</x:v>
      </x:c>
      <x:c r="B288" s="168" t="str">
        <x:v>CVPAR I FUNDO DE INVESTIMENTO EM DIREITOS CREDITÓRIOS RESPONSABILIDADE LIMITADA</x:v>
      </x:c>
      <x:c r="C288" s="190" t="n">
        <x:v>496900809.2900001</x:v>
      </x:c>
      <x:c r="D288" s="168" t="str">
        <x:v>CVPAR Investimentos ltda</x:v>
      </x:c>
      <x:c r="E288" s="168" t="str">
        <x:f>IFERROR(INDEX('Classif Gestoras'!$H$6:$H$462,MATCH(D288,'Classif Gestoras'!$A$6:$A$462,0)),"Não classificada")</x:f>
        <x:v>Independente</x:v>
      </x:c>
      <x:c r="F288" s="168" t="str">
        <x:v>Singulare</x:v>
      </x:c>
      <x:c r="G288" s="168" t="str">
        <x:v>QI CORRETORA DE TÍTULOS E VALORES MOBILIÁRIOS S.A.</x:v>
      </x:c>
      <x:c r="H288" s="168" t="str">
        <x:v>Outros</x:v>
      </x:c>
      <x:c r="I288" s="168" t="str">
        <x:v>Multicarteira Outros</x:v>
      </x:c>
      <x:c r="J288" s="168" t="str">
        <x:v>CI</x:v>
      </x:c>
      <x:c r="K288" s="174" t="n">
        <x:v>62</x:v>
      </x:c>
      <x:c r="L288" s="187" t="str">
        <x:v>Proxy multicedente/multissacado — revisar</x:v>
      </x:c>
    </x:row>
    <x:row r="289">
      <x:c r="A289" s="177" t="str">
        <x:v>32.156.017/0001-29</x:v>
      </x:c>
      <x:c r="B289" s="168" t="str">
        <x:v>POLONIA FUNDO DE INVESTIMENTO EM DIREITOS CREDITORIOS NÃO PADRONIZADO - FIDC NP</x:v>
      </x:c>
      <x:c r="C289" s="190" t="n">
        <x:v>495628744.77</x:v>
      </x:c>
      <x:c r="D289" s="168" t="str">
        <x:v>Acura Gestora de Recursos LTDA.</x:v>
      </x:c>
      <x:c r="E289" s="168" t="str">
        <x:f>IFERROR(INDEX('Classif Gestoras'!$H$6:$H$462,MATCH(D289,'Classif Gestoras'!$A$6:$A$462,0)),"Não classificada")</x:f>
        <x:v>Independente</x:v>
      </x:c>
      <x:c r="F289" s="168" t="str">
        <x:v>SEFER DTVM</x:v>
      </x:c>
      <x:c r="G289" s="168" t="str">
        <x:v>SEFER INVESTIMENTOS DISTRIBUIDORA DE TÍTULOS E VALORES MOBILIÁRIOS LTDA.</x:v>
      </x:c>
      <x:c r="H289" s="168" t="str">
        <x:v>Outros</x:v>
      </x:c>
      <x:c r="I289" s="168" t="str">
        <x:v>Multicarteira Outros</x:v>
      </x:c>
      <x:c r="J289" s="168" t="str">
        <x:v>CI</x:v>
      </x:c>
      <x:c r="K289" s="174" t="n">
        <x:v>11</x:v>
      </x:c>
      <x:c r="L289" s="187" t="str">
        <x:v>Proxy multicedente/multissacado — revisar</x:v>
      </x:c>
    </x:row>
    <x:row r="290">
      <x:c r="A290" s="177" t="str">
        <x:v>38.137.056/0001-65</x:v>
      </x:c>
      <x:c r="B290" s="168" t="str">
        <x:v>UNITY FUNDO DE INVESTIMENTO EM DIREITOS CREDITÓRIOS NÃO-PADRONIZADOS</x:v>
      </x:c>
      <x:c r="C290" s="190" t="n">
        <x:v>490494154.6</x:v>
      </x:c>
      <x:c r="D290" s="168" t="str">
        <x:v>Catálise Investimentos</x:v>
      </x:c>
      <x:c r="E290" s="168" t="str">
        <x:f>IFERROR(INDEX('Classif Gestoras'!$H$6:$H$462,MATCH(D290,'Classif Gestoras'!$A$6:$A$462,0)),"Não classificada")</x:f>
        <x:v>Independente</x:v>
      </x:c>
      <x:c r="F290" s="168" t="str">
        <x:v>CATÁLISE DTVM</x:v>
      </x:c>
      <x:c r="G290" s="168" t="str">
        <x:v>BANCO DAYCOVAL S.A.</x:v>
      </x:c>
      <x:c r="H290" s="168" t="str">
        <x:v>Agro, Indústria e Comércio</x:v>
      </x:c>
      <x:c r="I290" s="168" t="str">
        <x:v>Multicarteira Agro, Indústria e Comércio</x:v>
      </x:c>
      <x:c r="J290" s="168" t="str">
        <x:v>CI</x:v>
      </x:c>
      <x:c r="K290" s="174" t="n">
        <x:v>1</x:v>
      </x:c>
      <x:c r="L290" s="187" t="str">
        <x:v>Proxy multicedente/multissacado — revisar</x:v>
      </x:c>
    </x:row>
    <x:row r="291">
      <x:c r="A291" s="177" t="str">
        <x:v>18.686.800/0001-73</x:v>
      </x:c>
      <x:c r="B291" s="168" t="str">
        <x:v>CERRADO I FUNDO DE INVESTIMENTO EM DIREITOS CREDITÓRIOS</x:v>
      </x:c>
      <x:c r="C291" s="190" t="n">
        <x:v>486999232.3</x:v>
      </x:c>
      <x:c r="D291" s="168" t="str">
        <x:v>CRD Capital Administração de Recursos Ltda</x:v>
      </x:c>
      <x:c r="E291" s="168" t="str">
        <x:f>IFERROR(INDEX('Classif Gestoras'!$H$6:$H$462,MATCH(D291,'Classif Gestoras'!$A$6:$A$462,0)),"Não classificada")</x:f>
        <x:v>Independente</x:v>
      </x:c>
      <x:c r="F291" s="168" t="str">
        <x:v>BTG Pactual Servicos Financeiros S/A DTVM</x:v>
      </x:c>
      <x:c r="G291" s="168" t="str">
        <x:v>BANCO BTG PACTUAL S/A</x:v>
      </x:c>
      <x:c r="H291" s="168" t="str">
        <x:v>Agro, Indústria e Comércio</x:v>
      </x:c>
      <x:c r="I291" s="168" t="str">
        <x:v>Agronegócio</x:v>
      </x:c>
      <x:c r="J291" s="168" t="str">
        <x:v>CI</x:v>
      </x:c>
      <x:c r="K291" s="174" t="n">
        <x:v>1</x:v>
      </x:c>
      <x:c r="L291" s="187" t="str">
        <x:v>Não classificado</x:v>
      </x:c>
    </x:row>
    <x:row r="292">
      <x:c r="A292" s="177" t="str">
        <x:v>19.424.642/0001-46</x:v>
      </x:c>
      <x:c r="B292" s="168" t="str">
        <x:v>LOTUS PERFORMANCE FUNDO DE INVESTIMENTO EM DIREITOS CREDITÓRIOS MULTISEGMENTOS</x:v>
      </x:c>
      <x:c r="C292" s="190" t="n">
        <x:v>485255813.47</x:v>
      </x:c>
      <x:c r="D292" s="168" t="str">
        <x:v>M8 Partners</x:v>
      </x:c>
      <x:c r="E292" s="168" t="str">
        <x:f>IFERROR(INDEX('Classif Gestoras'!$H$6:$H$462,MATCH(D292,'Classif Gestoras'!$A$6:$A$462,0)),"Não classificada")</x:f>
        <x:v>Independente</x:v>
      </x:c>
      <x:c r="F292" s="168" t="str">
        <x:v>Finaxis Corretora de Títulos e Valores Mobiliários S.A.</x:v>
      </x:c>
      <x:c r="G292" s="168" t="str">
        <x:v>BANCO FINAXIS S.A.</x:v>
      </x:c>
      <x:c r="H292" s="168" t="str">
        <x:v>Fomento Mercantil</x:v>
      </x:c>
      <x:c r="I292" s="168" t="str">
        <x:v>Fomento Mercantil</x:v>
      </x:c>
      <x:c r="J292" s="168" t="str">
        <x:v>CI</x:v>
      </x:c>
      <x:c r="K292" s="174" t="n">
        <x:v>155</x:v>
      </x:c>
      <x:c r="L292" s="187" t="str">
        <x:v>Não classificado</x:v>
      </x:c>
    </x:row>
    <x:row r="293">
      <x:c r="A293" s="177" t="str">
        <x:v>52.998.078/0001-40</x:v>
      </x:c>
      <x:c r="B293" s="168" t="str">
        <x:v>M12 FUNDO DE INVESTIMENTO EM DIREITOS CREDITORIOS LONGO PRAZO</x:v>
      </x:c>
      <x:c r="C293" s="190" t="n">
        <x:v>484726303.52</x:v>
      </x:c>
      <x:c r="D293" s="168" t="str">
        <x:v>Aurum</x:v>
      </x:c>
      <x:c r="E293" s="168" t="str">
        <x:f>IFERROR(INDEX('Classif Gestoras'!$H$6:$H$462,MATCH(D293,'Classif Gestoras'!$A$6:$A$462,0)),"Não classificada")</x:f>
        <x:v>Independente</x:v>
      </x:c>
      <x:c r="F293" s="168" t="str">
        <x:v>BANCO DAYCOVAL S/A</x:v>
      </x:c>
      <x:c r="G293" s="168" t="str">
        <x:v>BANCO DAYCOVAL S.A.</x:v>
      </x:c>
      <x:c r="H293" s="168" t="str">
        <x:v>Outros</x:v>
      </x:c>
      <x:c r="I293" s="168" t="str">
        <x:v>Multicarteira Outros</x:v>
      </x:c>
      <x:c r="J293" s="168" t="str">
        <x:v>CI</x:v>
      </x:c>
      <x:c r="K293" s="174" t="n">
        <x:v>1</x:v>
      </x:c>
      <x:c r="L293" s="187" t="str">
        <x:v>Proxy multicedente/multissacado — revisar</x:v>
      </x:c>
    </x:row>
    <x:row r="294">
      <x:c r="A294" s="177" t="str">
        <x:v>44.574.361/0001-17</x:v>
      </x:c>
      <x:c r="B294" s="168" t="str">
        <x:v>FUNDO DE INVESTIMENTO EM DIREITOS CREDITORIOS UPL 02 - RESPONSABILIDADE LIMITADA</x:v>
      </x:c>
      <x:c r="C294" s="190" t="n">
        <x:v>483216348.7600001</x:v>
      </x:c>
      <x:c r="D294" s="168" t="str">
        <x:v>Farmtech Gestão de Recursos Ltda.</x:v>
      </x:c>
      <x:c r="E294" s="168" t="str">
        <x:f>IFERROR(INDEX('Classif Gestoras'!$H$6:$H$462,MATCH(D294,'Classif Gestoras'!$A$6:$A$462,0)),"Não classificada")</x:f>
        <x:v>Independente</x:v>
      </x:c>
      <x:c r="F294" s="168" t="str">
        <x:v>Oliveira Trust DTVM</x:v>
      </x:c>
      <x:c r="G294" s="168" t="str">
        <x:v>OLIVEIRA TRUST DTVM S.A.</x:v>
      </x:c>
      <x:c r="H294" s="168" t="str">
        <x:v>Agro, Indústria e Comércio</x:v>
      </x:c>
      <x:c r="I294" s="168" t="str">
        <x:v>Multicarteira Agro, Indústria e Comércio</x:v>
      </x:c>
      <x:c r="J294" s="168" t="str">
        <x:v>CI</x:v>
      </x:c>
      <x:c r="K294" s="174" t="n">
        <x:v>2</x:v>
      </x:c>
      <x:c r="L294" s="187" t="str">
        <x:v>Proxy multicedente/multissacado — revisar</x:v>
      </x:c>
    </x:row>
    <x:row r="295">
      <x:c r="A295" s="177" t="str">
        <x:v>29.828.733/0001-09</x:v>
      </x:c>
      <x:c r="B295" s="168" t="str">
        <x:v>C6 BANK TV1 FUNDO DE INVESTIMENTO EM DIREITOS CREDITÓRIOS - RESPONSABILIDADE LIMITADA</x:v>
      </x:c>
      <x:c r="C295" s="190" t="n">
        <x:v>482972637.91</x:v>
      </x:c>
      <x:c r="D295" s="168" t="str">
        <x:v>Solis</x:v>
      </x:c>
      <x:c r="E295" s="168" t="str">
        <x:f>IFERROR(INDEX('Classif Gestoras'!$H$6:$H$462,MATCH(D295,'Classif Gestoras'!$A$6:$A$462,0)),"Não classificada")</x:f>
        <x:v>Independente</x:v>
      </x:c>
      <x:c r="F295" s="168" t="str">
        <x:v>HEMERA DTVM</x:v>
      </x:c>
      <x:c r="G295" s="168" t="str">
        <x:v>HEMERA DISTRIBUIDORA DE TITULOS E VALORES MOBILIARIOS LTDA</x:v>
      </x:c>
      <x:c r="H295" s="168" t="str">
        <x:v>Outros</x:v>
      </x:c>
      <x:c r="I295" s="168" t="str">
        <x:v>Multicarteira Outros</x:v>
      </x:c>
      <x:c r="J295" s="168" t="str">
        <x:v>CI</x:v>
      </x:c>
      <x:c r="K295" s="174" t="n">
        <x:v>1</x:v>
      </x:c>
      <x:c r="L295" s="187" t="str">
        <x:v>Proxy multicedente/multissacado — revisar</x:v>
      </x:c>
    </x:row>
    <x:row r="296">
      <x:c r="A296" s="177" t="str">
        <x:v>50.442.399/0001-39</x:v>
      </x:c>
      <x:c r="B296" s="168" t="str">
        <x:v>PRINZ DISCOVERY MASTER FUNDO DE INVESTIMENTO EM DIREITOS CREDITÓRIOS</x:v>
      </x:c>
      <x:c r="C296" s="190" t="n">
        <x:v>481490149.9899999</x:v>
      </x:c>
      <x:c r="D296" s="168" t="str">
        <x:v>Prinz Gestora de Recursos Ltda</x:v>
      </x:c>
      <x:c r="E296" s="168" t="str">
        <x:f>IFERROR(INDEX('Classif Gestoras'!$H$6:$H$462,MATCH(D296,'Classif Gestoras'!$A$6:$A$462,0)),"Não classificada")</x:f>
        <x:v>Independente</x:v>
      </x:c>
      <x:c r="F296" s="168" t="str">
        <x:v>XPI CCTVM S/A</x:v>
      </x:c>
      <x:c r="G296" s="168" t="str">
        <x:v>OLIVEIRA TRUST DTVM S.A.</x:v>
      </x:c>
      <x:c r="H296" s="168" t="str">
        <x:v>Outros</x:v>
      </x:c>
      <x:c r="I296" s="168" t="str">
        <x:v>Multicarteira Outros</x:v>
      </x:c>
      <x:c r="J296" s="168" t="str">
        <x:v>CI</x:v>
      </x:c>
      <x:c r="K296" s="174" t="n">
        <x:v>1</x:v>
      </x:c>
      <x:c r="L296" s="187" t="str">
        <x:v>Proxy multicedente/multissacado — revisar</x:v>
      </x:c>
    </x:row>
    <x:row r="297">
      <x:c r="A297" s="177" t="str">
        <x:v>07.727.757/0001-20</x:v>
      </x:c>
      <x:c r="B297" s="168" t="str">
        <x:v>EMPRESARIAL FUNDO DE INVESTIMENTO EM DIREITOS CREDITÓRIOS MULTISEGMENTOS</x:v>
      </x:c>
      <x:c r="C297" s="190" t="n">
        <x:v>480853352.64</x:v>
      </x:c>
      <x:c r="D297" s="168" t="str">
        <x:v>ANTHARUS GESTORA DE RECURSOS LTDA</x:v>
      </x:c>
      <x:c r="E297" s="168" t="str">
        <x:f>IFERROR(INDEX('Classif Gestoras'!$H$6:$H$462,MATCH(D297,'Classif Gestoras'!$A$6:$A$462,0)),"Não classificada")</x:f>
        <x:v>Independente</x:v>
      </x:c>
      <x:c r="F297" s="168" t="str">
        <x:v>HEMERA DTVM</x:v>
      </x:c>
      <x:c r="G297" s="168" t="str">
        <x:v>HEMERA DISTRIBUIDORA DE TITULOS E VALORES MOBILIARIOS LTDA</x:v>
      </x:c>
      <x:c r="H297" s="168" t="str">
        <x:v>Fomento Mercantil</x:v>
      </x:c>
      <x:c r="I297" s="168" t="str">
        <x:v>Fomento Mercantil</x:v>
      </x:c>
      <x:c r="J297" s="168" t="str">
        <x:v>CI</x:v>
      </x:c>
      <x:c r="K297" s="174" t="n">
        <x:v>95</x:v>
      </x:c>
      <x:c r="L297" s="187" t="str">
        <x:v>Não classificado</x:v>
      </x:c>
    </x:row>
    <x:row r="298">
      <x:c r="A298" s="177" t="str">
        <x:v>28.492.719/0001-06</x:v>
      </x:c>
      <x:c r="B298" s="168" t="str">
        <x:v>VINCI ENERGIA SUSTENTÁVEL FIDC - IS RESPONSABILIDADE LIMITADA</x:v>
      </x:c>
      <x:c r="C298" s="190" t="n">
        <x:v>480186075.36</x:v>
      </x:c>
      <x:c r="D298" s="168" t="str">
        <x:v>Vinci Gestora de Recursos LTDA</x:v>
      </x:c>
      <x:c r="E298" s="168" t="str">
        <x:f>IFERROR(INDEX('Classif Gestoras'!$H$6:$H$462,MATCH(D298,'Classif Gestoras'!$A$6:$A$462,0)),"Não classificada")</x:f>
        <x:v>Independente</x:v>
      </x:c>
      <x:c r="F298" s="168" t="str">
        <x:v>BRL TRUST DTVM</x:v>
      </x:c>
      <x:c r="G298" s="168" t="str">
        <x:v>BRL TRUST DISTRIBUIDORA DE TITULOS E VALORES MOBILIARIOS S.A.</x:v>
      </x:c>
      <x:c r="H298" s="168" t="str">
        <x:v>Agro, Indústria e Comércio</x:v>
      </x:c>
      <x:c r="I298" s="168" t="str">
        <x:v>Infraestrutura</x:v>
      </x:c>
      <x:c r="J298" s="168" t="str">
        <x:v>CI</x:v>
      </x:c>
      <x:c r="K298" s="174" t="n">
        <x:v>14</x:v>
      </x:c>
      <x:c r="L298" s="187" t="str">
        <x:v>Não classificado</x:v>
      </x:c>
    </x:row>
    <x:row r="299">
      <x:c r="A299" s="177" t="str">
        <x:v>35.689.601/0001-38</x:v>
      </x:c>
      <x:c r="B299" s="168" t="str">
        <x:v>ÁGIS - FUNDO DE INVESTIMENTO EM DIREITOS CREDITÓRIOS NÃO PADRONIZADOS</x:v>
      </x:c>
      <x:c r="C299" s="190" t="n">
        <x:v>479786822.91</x:v>
      </x:c>
      <x:c r="D299" s="168" t="str">
        <x:v>Catálise Investimentos</x:v>
      </x:c>
      <x:c r="E299" s="168" t="str">
        <x:f>IFERROR(INDEX('Classif Gestoras'!$H$6:$H$462,MATCH(D299,'Classif Gestoras'!$A$6:$A$462,0)),"Não classificada")</x:f>
        <x:v>Independente</x:v>
      </x:c>
      <x:c r="F299" s="168" t="str">
        <x:v>CATÁLISE DTVM</x:v>
      </x:c>
      <x:c r="G299" s="168" t="str">
        <x:v>BANCO DAYCOVAL S.A.</x:v>
      </x:c>
      <x:c r="H299" s="168" t="str">
        <x:v>Outros</x:v>
      </x:c>
      <x:c r="I299" s="168" t="str">
        <x:v>Multicarteira Outros</x:v>
      </x:c>
      <x:c r="J299" s="168" t="str">
        <x:v>CI</x:v>
      </x:c>
      <x:c r="K299" s="174" t="n">
        <x:v>3</x:v>
      </x:c>
      <x:c r="L299" s="187" t="str">
        <x:v>Proxy multicedente/multissacado — revisar</x:v>
      </x:c>
    </x:row>
    <x:row r="300">
      <x:c r="A300" s="177" t="str">
        <x:v>37.294.759/0001-34</x:v>
      </x:c>
      <x:c r="B300" s="168" t="str">
        <x:v>GALLERIA HOME EQUITY FIDC</x:v>
      </x:c>
      <x:c r="C300" s="190" t="n">
        <x:v>479270257.77</x:v>
      </x:c>
      <x:c r="D300" s="168" t="str">
        <x:v>VERT Gestora de Recursos Financeiros Ltda.</x:v>
      </x:c>
      <x:c r="E300" s="168" t="str">
        <x:f>IFERROR(INDEX('Classif Gestoras'!$H$6:$H$462,MATCH(D300,'Classif Gestoras'!$A$6:$A$462,0)),"Não classificada")</x:f>
        <x:v>Independente</x:v>
      </x:c>
      <x:c r="F300" s="168" t="str">
        <x:v>VERT Distribuidora de Títulos e Valores Mobiliários Ltd</x:v>
      </x:c>
      <x:c r="G300" s="168" t="str">
        <x:v>VERT DISTRIBUIDORA DE TÍTULOS E VALORES MOBILIÁRIOS LTDA.</x:v>
      </x:c>
      <x:c r="H300" s="168" t="str">
        <x:v>Financeiro</x:v>
      </x:c>
      <x:c r="I300" s="168" t="str">
        <x:v>Multicarteira Financeiro</x:v>
      </x:c>
      <x:c r="J300" s="168" t="str">
        <x:v>CI</x:v>
      </x:c>
      <x:c r="K300" s="174" t="n">
        <x:v>10</x:v>
      </x:c>
      <x:c r="L300" s="187" t="str">
        <x:v>Proxy multicedente/multissacado — revisar</x:v>
      </x:c>
    </x:row>
    <x:row r="301">
      <x:c r="A301" s="177" t="str">
        <x:v>53.164.652/0001-28</x:v>
      </x:c>
      <x:c r="B301" s="168" t="str">
        <x:v>IS SOL AGORA GREEN II ESG FIDC SEGMENTO FINANCEIRO DE RESPONSABILIDADE LIMITADA</x:v>
      </x:c>
      <x:c r="C301" s="190" t="n">
        <x:v>477130082.13</x:v>
      </x:c>
      <x:c r="D301" s="168" t="str">
        <x:v>JGP Gestão de Crédito LTDA.</x:v>
      </x:c>
      <x:c r="E301" s="168" t="str">
        <x:f>IFERROR(INDEX('Classif Gestoras'!$H$6:$H$462,MATCH(D301,'Classif Gestoras'!$A$6:$A$462,0)),"Não classificada")</x:f>
        <x:v>Independente</x:v>
      </x:c>
      <x:c r="F301" s="168" t="str">
        <x:v>Banco Genial S.A.</x:v>
      </x:c>
      <x:c r="G301" s="168" t="str">
        <x:v>BANCO GENIAL S.A.</x:v>
      </x:c>
      <x:c r="H301" s="168" t="str">
        <x:v>Financeiro</x:v>
      </x:c>
      <x:c r="I301" s="168" t="str">
        <x:v>Crédito Pessoal</x:v>
      </x:c>
      <x:c r="J301" s="168" t="str">
        <x:v>CI</x:v>
      </x:c>
      <x:c r="K301" s="174" t="n">
        <x:v>101</x:v>
      </x:c>
      <x:c r="L301" s="187" t="str">
        <x:v>Não classificado</x:v>
      </x:c>
    </x:row>
    <x:row r="302">
      <x:c r="A302" s="177" t="str">
        <x:v>53.245.260/0001-93</x:v>
      </x:c>
      <x:c r="B302" s="168" t="str">
        <x:v>CP II FUNDO DE INVESTIMENTO DE DIREITOS CREDITÓRIOS RESPONSABILIDADE LIMITADA</x:v>
      </x:c>
      <x:c r="C302" s="190" t="n">
        <x:v>476416652.37</x:v>
      </x:c>
      <x:c r="D302" s="168" t="str">
        <x:v>Lumina</x:v>
      </x:c>
      <x:c r="E302" s="168" t="str">
        <x:f>IFERROR(INDEX('Classif Gestoras'!$H$6:$H$462,MATCH(D302,'Classif Gestoras'!$A$6:$A$462,0)),"Não classificada")</x:f>
        <x:v>Independente</x:v>
      </x:c>
      <x:c r="F302" s="168" t="str">
        <x:v>Singulare</x:v>
      </x:c>
      <x:c r="G302" s="168" t="str">
        <x:v>QI CORRETORA DE TÍTULOS E VALORES MOBILIÁRIOS S.A.</x:v>
      </x:c>
      <x:c r="H302" s="168" t="str">
        <x:v>Outros</x:v>
      </x:c>
      <x:c r="I302" s="168" t="str">
        <x:v>Poder Público</x:v>
      </x:c>
      <x:c r="J302" s="168" t="str">
        <x:v>CI</x:v>
      </x:c>
      <x:c r="K302" s="174" t="n">
        <x:v>7</x:v>
      </x:c>
      <x:c r="L302" s="187" t="str">
        <x:v>Não classificado</x:v>
      </x:c>
    </x:row>
    <x:row r="303">
      <x:c r="A303" s="177" t="str">
        <x:v>17.468.142/0001-80</x:v>
      </x:c>
      <x:c r="B303" s="168" t="str">
        <x:v>VALOREM FUNDO DE INVESTIMENTO EM DIREITOS CREDITÓRIOS MULTISETORIAL RESPONSABILIDADE LIMITADA</x:v>
      </x:c>
      <x:c r="C303" s="190" t="n">
        <x:v>475431938.4</x:v>
      </x:c>
      <x:c r="D303" s="168" t="str">
        <x:v>OURO PRETO INVESTIMENTOS</x:v>
      </x:c>
      <x:c r="E303" s="168" t="str">
        <x:f>IFERROR(INDEX('Classif Gestoras'!$H$6:$H$462,MATCH(D303,'Classif Gestoras'!$A$6:$A$462,0)),"Não classificada")</x:f>
        <x:v>Independente</x:v>
      </x:c>
      <x:c r="F303" s="168" t="str">
        <x:v>Singulare</x:v>
      </x:c>
      <x:c r="G303" s="168" t="str">
        <x:v>QI CORRETORA DE TÍTULOS E VALORES MOBILIÁRIOS S.A.</x:v>
      </x:c>
      <x:c r="H303" s="168" t="str">
        <x:v>Fomento Mercantil</x:v>
      </x:c>
      <x:c r="I303" s="168" t="str">
        <x:v>Fomento Mercantil</x:v>
      </x:c>
      <x:c r="J303" s="168" t="str">
        <x:v>CI</x:v>
      </x:c>
      <x:c r="K303" s="174" t="n">
        <x:v>75</x:v>
      </x:c>
      <x:c r="L303" s="187" t="str">
        <x:v>Não classificado</x:v>
      </x:c>
    </x:row>
    <x:row r="304">
      <x:c r="A304" s="177" t="str">
        <x:v>40.211.675/0001-02</x:v>
      </x:c>
      <x:c r="B304" s="168" t="str">
        <x:v>G VALUE FUNDO DE INVESTIMENTO EM DIREITOS CREDITÓRIOS NÃO PADRONIZADO</x:v>
      </x:c>
      <x:c r="C304" s="190" t="n">
        <x:v>474326229.94</x:v>
      </x:c>
      <x:c r="D304" s="168" t="str">
        <x:v>Multiplica Capital</x:v>
      </x:c>
      <x:c r="E304" s="168" t="str">
        <x:f>IFERROR(INDEX('Classif Gestoras'!$H$6:$H$462,MATCH(D304,'Classif Gestoras'!$A$6:$A$462,0)),"Não classificada")</x:f>
        <x:v>Independente</x:v>
      </x:c>
      <x:c r="F304" s="168" t="str">
        <x:v>PLANNER CV</x:v>
      </x:c>
      <x:c r="G304" s="168" t="str">
        <x:v>PLANNER CORRETORA DE VALORES S.A.</x:v>
      </x:c>
      <x:c r="H304" s="168" t="str">
        <x:v>Outros</x:v>
      </x:c>
      <x:c r="I304" s="168" t="str">
        <x:v>Multicarteira Outros</x:v>
      </x:c>
      <x:c r="J304" s="168" t="str">
        <x:v>CI</x:v>
      </x:c>
      <x:c r="K304" s="174" t="n">
        <x:v>1</x:v>
      </x:c>
      <x:c r="L304" s="187" t="str">
        <x:v>Proxy multicedente/multissacado — revisar</x:v>
      </x:c>
    </x:row>
    <x:row r="305">
      <x:c r="A305" s="177" t="str">
        <x:v>62.390.922/0001-00</x:v>
      </x:c>
      <x:c r="B305" s="168" t="str">
        <x:v>FUNDO DE INVESTIMENTO EM DIREITOS CREDITÓRIOS CLT NOW RESPONSABILIDADE LIMITADA</x:v>
      </x:c>
      <x:c r="C305" s="190" t="n">
        <x:v>471003804.75000006</x:v>
      </x:c>
      <x:c r="D305" s="168" t="str">
        <x:v>Solis</x:v>
      </x:c>
      <x:c r="E305" s="168" t="str">
        <x:f>IFERROR(INDEX('Classif Gestoras'!$H$6:$H$462,MATCH(D305,'Classif Gestoras'!$A$6:$A$462,0)),"Não classificada")</x:f>
        <x:v>Independente</x:v>
      </x:c>
      <x:c r="F305" s="168" t="str">
        <x:v>Oliveira Trust DTVM</x:v>
      </x:c>
      <x:c r="G305" s="168" t="str">
        <x:v>OLIVEIRA TRUST DTVM S.A.</x:v>
      </x:c>
      <x:c r="H305" s="168" t="str">
        <x:v>Financeiro</x:v>
      </x:c>
      <x:c r="I305" s="168" t="str">
        <x:v>Crédito Consignado</x:v>
      </x:c>
      <x:c r="J305" s="168" t="str">
        <x:v>CI</x:v>
      </x:c>
      <x:c r="K305" s="174" t="n">
        <x:v>31</x:v>
      </x:c>
      <x:c r="L305" s="187" t="str">
        <x:v>Não classificado</x:v>
      </x:c>
    </x:row>
    <x:row r="306">
      <x:c r="A306" s="177" t="str">
        <x:v>63.505.455/0001-89</x:v>
      </x:c>
      <x:c r="B306" s="168" t="str">
        <x:v>IS GREEN SOLFÁCIL VII FINANCEIRO FUNDO DE INVESTIMENTO EM DIREITOS CREDITÓRIOS RESP LIMITADA LIM</x:v>
      </x:c>
      <x:c r="C306" s="190" t="n">
        <x:v>468311586.93</x:v>
      </x:c>
      <x:c r="D306" s="168" t="str">
        <x:v>GENIAL GESTÃO LTDA.</x:v>
      </x:c>
      <x:c r="E306" s="168" t="str">
        <x:f>IFERROR(INDEX('Classif Gestoras'!$H$6:$H$462,MATCH(D306,'Classif Gestoras'!$A$6:$A$462,0)),"Não classificada")</x:f>
        <x:v>Ligada a banco</x:v>
      </x:c>
      <x:c r="F306" s="168" t="str">
        <x:v>Genial Investimentos Corretora de Valores Mobiliários S.A.</x:v>
      </x:c>
      <x:c r="G306" s="168" t="str">
        <x:v>BANCO GENIAL S.A.</x:v>
      </x:c>
      <x:c r="H306" s="168" t="str">
        <x:v>Financeiro</x:v>
      </x:c>
      <x:c r="I306" s="168" t="str">
        <x:v>Crédito Pessoal</x:v>
      </x:c>
      <x:c r="J306" s="168" t="str">
        <x:v>CI</x:v>
      </x:c>
      <x:c r="K306" s="174" t="n">
        <x:v>41</x:v>
      </x:c>
      <x:c r="L306" s="187" t="str">
        <x:v>Não classificado</x:v>
      </x:c>
    </x:row>
    <x:row r="307">
      <x:c r="A307" s="177" t="str">
        <x:v>18.185.812/0001-14</x:v>
      </x:c>
      <x:c r="B307" s="168" t="str">
        <x:v>GAVEA SUL FUNDO DE INVESTIMENTO EM DIREITOS CREDITÓRIOS MULTISSETORIAL LP</x:v>
      </x:c>
      <x:c r="C307" s="190" t="n">
        <x:v>467712491.2499998</x:v>
      </x:c>
      <x:c r="D307" s="168" t="str">
        <x:v>M8 Partners</x:v>
      </x:c>
      <x:c r="E307" s="168" t="str">
        <x:f>IFERROR(INDEX('Classif Gestoras'!$H$6:$H$462,MATCH(D307,'Classif Gestoras'!$A$6:$A$462,0)),"Não classificada")</x:f>
        <x:v>Independente</x:v>
      </x:c>
      <x:c r="F307" s="168" t="str">
        <x:v>Singulare</x:v>
      </x:c>
      <x:c r="G307" s="168" t="str">
        <x:v>QI CORRETORA DE TÍTULOS E VALORES MOBILIÁRIOS S.A.</x:v>
      </x:c>
      <x:c r="H307" s="168" t="str">
        <x:v>Fomento Mercantil</x:v>
      </x:c>
      <x:c r="I307" s="168" t="str">
        <x:v>Fomento Mercantil</x:v>
      </x:c>
      <x:c r="J307" s="168" t="str">
        <x:v>CI</x:v>
      </x:c>
      <x:c r="K307" s="174" t="n">
        <x:v>94</x:v>
      </x:c>
      <x:c r="L307" s="187" t="str">
        <x:v>Não classificado</x:v>
      </x:c>
    </x:row>
    <x:row r="308">
      <x:c r="A308" s="177" t="str">
        <x:v>20.791.371/0001-46</x:v>
      </x:c>
      <x:c r="B308" s="168" t="str">
        <x:v>INTERBANK FUNDO DE INVESTIMENTO EM DIREITOS CREDITÓRIOS</x:v>
      </x:c>
      <x:c r="C308" s="190" t="n">
        <x:v>465624112.75</x:v>
      </x:c>
      <x:c r="D308" s="168" t="str">
        <x:v>Solis</x:v>
      </x:c>
      <x:c r="E308" s="168" t="str">
        <x:f>IFERROR(INDEX('Classif Gestoras'!$H$6:$H$462,MATCH(D308,'Classif Gestoras'!$A$6:$A$462,0)),"Não classificada")</x:f>
        <x:v>Independente</x:v>
      </x:c>
      <x:c r="F308" s="168" t="str">
        <x:v>Singulare</x:v>
      </x:c>
      <x:c r="G308" s="168" t="str">
        <x:v>QI CORRETORA DE TÍTULOS E VALORES MOBILIÁRIOS S.A.</x:v>
      </x:c>
      <x:c r="H308" s="168" t="str">
        <x:v>Fomento Mercantil</x:v>
      </x:c>
      <x:c r="I308" s="168" t="str">
        <x:v>Fomento Mercantil</x:v>
      </x:c>
      <x:c r="J308" s="168" t="str">
        <x:v>CI</x:v>
      </x:c>
      <x:c r="K308" s="174" t="n">
        <x:v>104</x:v>
      </x:c>
      <x:c r="L308" s="187" t="str">
        <x:v>Não classificado</x:v>
      </x:c>
    </x:row>
    <x:row r="309">
      <x:c r="A309" s="177" t="str">
        <x:v>59.017.361/0001-93</x:v>
      </x:c>
      <x:c r="B309" s="168" t="str">
        <x:v>ITAÚ SONETO CRÉDITO PRIVADO FUNDO DE INVESTIMENTO EM DIREITOS CREDITÓRIOS RESPONSABILIDADE LIMITADA</x:v>
      </x:c>
      <x:c r="C309" s="190" t="n">
        <x:v>463838044.69000006</x:v>
      </x:c>
      <x:c r="D309" s="168" t="str">
        <x:v>ITAU ASSET</x:v>
      </x:c>
      <x:c r="E309" s="168" t="str">
        <x:f>IFERROR(INDEX('Classif Gestoras'!$H$6:$H$462,MATCH(D309,'Classif Gestoras'!$A$6:$A$462,0)),"Não classificada")</x:f>
        <x:v>Ligada a banco</x:v>
      </x:c>
      <x:c r="F309" s="168" t="str">
        <x:v>INTRAG DIST. DE TÍTU</x:v>
      </x:c>
      <x:c r="G309" s="168" t="str">
        <x:v>ITAU UNIBANCO S.A.</x:v>
      </x:c>
      <x:c r="H309" s="168" t="str">
        <x:v>Outros</x:v>
      </x:c>
      <x:c r="I309" s="168" t="str">
        <x:v>Multicarteira Outros</x:v>
      </x:c>
      <x:c r="J309" s="168" t="str">
        <x:v>CI</x:v>
      </x:c>
      <x:c r="K309" s="174" t="n">
        <x:v>1</x:v>
      </x:c>
      <x:c r="L309" s="187" t="str">
        <x:v>Proxy multicedente/multissacado — revisar</x:v>
      </x:c>
    </x:row>
    <x:row r="310">
      <x:c r="A310" s="177" t="str">
        <x:v>62.626.409/0001-75</x:v>
      </x:c>
      <x:c r="B310" s="168" t="str">
        <x:v>SUMUP SMART I FIDC SEGMENTO MEIOS DE PAGAMENTO DE RESPONSABILIDADE LIMITADA</x:v>
      </x:c>
      <x:c r="C310" s="190" t="n">
        <x:v>459022537.67</x:v>
      </x:c>
      <x:c r="D310" s="168" t="str">
        <x:v>Banco Bradesco S/A</x:v>
      </x:c>
      <x:c r="E310" s="168" t="str">
        <x:f>IFERROR(INDEX('Classif Gestoras'!$H$6:$H$462,MATCH(D310,'Classif Gestoras'!$A$6:$A$462,0)),"Não classificada")</x:f>
        <x:v>Ligada a banco</x:v>
      </x:c>
      <x:c r="F310" s="168" t="str">
        <x:v>BEM - DIST. DE TÍTUL</x:v>
      </x:c>
      <x:c r="G310" s="168" t="str">
        <x:v>BANCO BRADESCO S.A.</x:v>
      </x:c>
      <x:c r="H310" s="168" t="str">
        <x:v>Outros</x:v>
      </x:c>
      <x:c r="I310" s="168" t="str">
        <x:v>Multicarteira Outros</x:v>
      </x:c>
      <x:c r="J310" s="168" t="str">
        <x:v>CI</x:v>
      </x:c>
      <x:c r="K310" s="174" t="n">
        <x:v>13</x:v>
      </x:c>
      <x:c r="L310" s="187" t="str">
        <x:v>Proxy multicedente/multissacado — revisar</x:v>
      </x:c>
    </x:row>
    <x:row r="311">
      <x:c r="A311" s="177" t="str">
        <x:v>32.724.252/0001-50</x:v>
      </x:c>
      <x:c r="B311" s="168" t="str">
        <x:v>RB CAPITAL CREDIT ALPHA STRATEGY I FIDC - RESPONSABILIDADE LIMITADA</x:v>
      </x:c>
      <x:c r="C311" s="190" t="n">
        <x:v>458599769.59</x:v>
      </x:c>
      <x:c r="D311" s="168" t="str">
        <x:v>RB Asset</x:v>
      </x:c>
      <x:c r="E311" s="168" t="str">
        <x:f>IFERROR(INDEX('Classif Gestoras'!$H$6:$H$462,MATCH(D311,'Classif Gestoras'!$A$6:$A$462,0)),"Não classificada")</x:f>
        <x:v>Independente</x:v>
      </x:c>
      <x:c r="F311" s="168" t="str">
        <x:v>Oliveira Trust DTVM</x:v>
      </x:c>
      <x:c r="G311" s="168" t="str">
        <x:v>OLIVEIRA TRUST DTVM S.A.</x:v>
      </x:c>
      <x:c r="H311" s="168" t="str">
        <x:v>Financeiro</x:v>
      </x:c>
      <x:c r="I311" s="168" t="str">
        <x:v>Crédito Consignado</x:v>
      </x:c>
      <x:c r="J311" s="168" t="str">
        <x:v>CI</x:v>
      </x:c>
      <x:c r="K311" s="174" t="n">
        <x:v>133</x:v>
      </x:c>
      <x:c r="L311" s="187" t="str">
        <x:v>Não classificado</x:v>
      </x:c>
    </x:row>
    <x:row r="312">
      <x:c r="A312" s="177" t="str">
        <x:v>52.554.072/0001-84</x:v>
      </x:c>
      <x:c r="B312" s="168" t="str">
        <x:v>ST1 MASTER FUNDO DE INVESTIMENTO EM DIREITOS CREDITÓRIOS</x:v>
      </x:c>
      <x:c r="C312" s="190" t="n">
        <x:v>454858771.73</x:v>
      </x:c>
      <x:c r="D312" s="168" t="str">
        <x:v>Strata Capital</x:v>
      </x:c>
      <x:c r="E312" s="168" t="str">
        <x:f>IFERROR(INDEX('Classif Gestoras'!$H$6:$H$462,MATCH(D312,'Classif Gestoras'!$A$6:$A$462,0)),"Não classificada")</x:f>
        <x:v>Independente</x:v>
      </x:c>
      <x:c r="F312" s="168" t="str">
        <x:v>BANCO DAYCOVAL S/A</x:v>
      </x:c>
      <x:c r="G312" s="168" t="str">
        <x:v>BANCO DAYCOVAL S.A.</x:v>
      </x:c>
      <x:c r="H312" s="168" t="str">
        <x:v>Financeiro</x:v>
      </x:c>
      <x:c r="I312" s="168" t="str">
        <x:v>Multicarteira Financeiro</x:v>
      </x:c>
      <x:c r="J312" s="168" t="str">
        <x:v>CI</x:v>
      </x:c>
      <x:c r="K312" s="174" t="n">
        <x:v>3</x:v>
      </x:c>
      <x:c r="L312" s="187" t="str">
        <x:v>Proxy multicedente/multissacado — revisar</x:v>
      </x:c>
    </x:row>
    <x:row r="313">
      <x:c r="A313" s="177" t="str">
        <x:v>08.661.352/0001-08</x:v>
      </x:c>
      <x:c r="B313" s="168" t="str">
        <x:v>VVMB FUNDO DE INVESTIMENTO EM DIREITOS CREDITÓRIOS NÃO-PADRONIZADOS</x:v>
      </x:c>
      <x:c r="C313" s="190" t="n">
        <x:v>454505099.34</x:v>
      </x:c>
      <x:c r="D313" s="168" t="str">
        <x:v>Veritas Capital Management</x:v>
      </x:c>
      <x:c r="E313" s="168" t="str">
        <x:f>IFERROR(INDEX('Classif Gestoras'!$H$6:$H$462,MATCH(D313,'Classif Gestoras'!$A$6:$A$462,0)),"Não classificada")</x:f>
        <x:v>Independente</x:v>
      </x:c>
      <x:c r="F313" s="168" t="str">
        <x:v>PLANNER CV</x:v>
      </x:c>
      <x:c r="G313" s="168" t="str">
        <x:v>PLANNER CORRETORA DE VALORES S.A.</x:v>
      </x:c>
      <x:c r="H313" s="168" t="str">
        <x:v>Outros</x:v>
      </x:c>
      <x:c r="I313" s="168" t="str">
        <x:v>Multicarteira Outros</x:v>
      </x:c>
      <x:c r="J313" s="168" t="str">
        <x:v>CI</x:v>
      </x:c>
      <x:c r="K313" s="174" t="n">
        <x:v>4</x:v>
      </x:c>
      <x:c r="L313" s="187" t="str">
        <x:v>Proxy multicedente/multissacado — revisar</x:v>
      </x:c>
    </x:row>
    <x:row r="314">
      <x:c r="A314" s="177" t="str">
        <x:v>48.903.717/0001-70</x:v>
      </x:c>
      <x:c r="B314" s="168" t="str">
        <x:v>VLBM FUNDO DE INVESTIMENTO EM DIREITOS CREDITÓRIOS NÃO-PADRONIZADOS</x:v>
      </x:c>
      <x:c r="C314" s="190" t="n">
        <x:v>454448343.69000006</x:v>
      </x:c>
      <x:c r="D314" s="168" t="str">
        <x:v>Veritas Capital Management</x:v>
      </x:c>
      <x:c r="E314" s="168" t="str">
        <x:f>IFERROR(INDEX('Classif Gestoras'!$H$6:$H$462,MATCH(D314,'Classif Gestoras'!$A$6:$A$462,0)),"Não classificada")</x:f>
        <x:v>Independente</x:v>
      </x:c>
      <x:c r="F314" s="168" t="str">
        <x:v>PLANNER CV</x:v>
      </x:c>
      <x:c r="G314" s="168" t="str">
        <x:v>PLANNER CORRETORA DE VALORES S.A.</x:v>
      </x:c>
      <x:c r="H314" s="168" t="str">
        <x:v>Outros</x:v>
      </x:c>
      <x:c r="I314" s="168" t="str">
        <x:v>Multicarteira Outros</x:v>
      </x:c>
      <x:c r="J314" s="168" t="str">
        <x:v>CI</x:v>
      </x:c>
      <x:c r="K314" s="174" t="n">
        <x:v>4</x:v>
      </x:c>
      <x:c r="L314" s="187" t="str">
        <x:v>Proxy multicedente/multissacado — revisar</x:v>
      </x:c>
    </x:row>
    <x:row r="315">
      <x:c r="A315" s="177" t="str">
        <x:v>48.904.297/0001-46</x:v>
      </x:c>
      <x:c r="B315" s="168" t="str">
        <x:v>VNMB FUNDO DE INVESTIMENTO EM DIREITOS CREDITÓRIOS NÃO-PADRONIZADOS</x:v>
      </x:c>
      <x:c r="C315" s="190" t="n">
        <x:v>454447827.43</x:v>
      </x:c>
      <x:c r="D315" s="168" t="str">
        <x:v>Veritas Capital Management</x:v>
      </x:c>
      <x:c r="E315" s="168" t="str">
        <x:f>IFERROR(INDEX('Classif Gestoras'!$H$6:$H$462,MATCH(D315,'Classif Gestoras'!$A$6:$A$462,0)),"Não classificada")</x:f>
        <x:v>Independente</x:v>
      </x:c>
      <x:c r="F315" s="168" t="str">
        <x:v>PLANNER CV</x:v>
      </x:c>
      <x:c r="G315" s="168" t="str">
        <x:v>PLANNER CORRETORA DE VALORES S.A.</x:v>
      </x:c>
      <x:c r="H315" s="168" t="str">
        <x:v>Outros</x:v>
      </x:c>
      <x:c r="I315" s="168" t="str">
        <x:v>Multicarteira Outros</x:v>
      </x:c>
      <x:c r="J315" s="168" t="str">
        <x:v>CI</x:v>
      </x:c>
      <x:c r="K315" s="174" t="n">
        <x:v>4</x:v>
      </x:c>
      <x:c r="L315" s="187" t="str">
        <x:v>Proxy multicedente/multissacado — revisar</x:v>
      </x:c>
    </x:row>
    <x:row r="316">
      <x:c r="A316" s="177" t="str">
        <x:v>57.377.286/0001-46</x:v>
      </x:c>
      <x:c r="B316" s="168" t="str">
        <x:v>JIVEMAUÁ BOSSANOVA SECURITIZADO MASTER FIDC CRÉD PRIV RESPONSABILIDADE LIMITADA</x:v>
      </x:c>
      <x:c r="C316" s="190" t="n">
        <x:v>453640885.48</x:v>
      </x:c>
      <x:c r="D316" s="168" t="str">
        <x:v>JIVE HIGH YIELD GESTÃO DE RECURSOS LTDA</x:v>
      </x:c>
      <x:c r="E316" s="168" t="str">
        <x:f>IFERROR(INDEX('Classif Gestoras'!$H$6:$H$462,MATCH(D316,'Classif Gestoras'!$A$6:$A$462,0)),"Não classificada")</x:f>
        <x:v>Independente</x:v>
      </x:c>
      <x:c r="F316" s="168" t="str">
        <x:v>BANCO DAYCOVAL S/A</x:v>
      </x:c>
      <x:c r="G316" s="168" t="str">
        <x:v>BANCO DAYCOVAL S.A.</x:v>
      </x:c>
      <x:c r="H316" s="168" t="str">
        <x:v>Outros</x:v>
      </x:c>
      <x:c r="I316" s="168" t="str">
        <x:v>Multicarteira Outros</x:v>
      </x:c>
      <x:c r="J316" s="168" t="str">
        <x:v>CI</x:v>
      </x:c>
      <x:c r="K316" s="174" t="n">
        <x:v>2</x:v>
      </x:c>
      <x:c r="L316" s="187" t="str">
        <x:v>Proxy multicedente/multissacado — revisar</x:v>
      </x:c>
    </x:row>
    <x:row r="317">
      <x:c r="A317" s="177" t="str">
        <x:v>34.521.809/0001-80</x:v>
      </x:c>
      <x:c r="B317" s="168" t="str">
        <x:v>SRM EXODUS PME FUNDO DE INVESTIMENTO EM DIREITOS CREDITÓRIOS RESPONSABILIDADE LIMITADA</x:v>
      </x:c>
      <x:c r="C317" s="190" t="n">
        <x:v>452888369.54</x:v>
      </x:c>
      <x:c r="D317" s="168" t="str">
        <x:v>NOVA S R M</x:v>
      </x:c>
      <x:c r="E317" s="168" t="str">
        <x:f>IFERROR(INDEX('Classif Gestoras'!$H$6:$H$462,MATCH(D317,'Classif Gestoras'!$A$6:$A$462,0)),"Não classificada")</x:f>
        <x:v>Independente</x:v>
      </x:c>
      <x:c r="F317" s="168" t="str">
        <x:v>Singulare</x:v>
      </x:c>
      <x:c r="G317" s="168" t="str">
        <x:v>QI CORRETORA DE TÍTULOS E VALORES MOBILIÁRIOS S.A.</x:v>
      </x:c>
      <x:c r="H317" s="168" t="str">
        <x:v>Fomento Mercantil</x:v>
      </x:c>
      <x:c r="I317" s="168" t="str">
        <x:v>Fomento Mercantil</x:v>
      </x:c>
      <x:c r="J317" s="168" t="str">
        <x:v>CI</x:v>
      </x:c>
      <x:c r="K317" s="174" t="n">
        <x:v>6</x:v>
      </x:c>
      <x:c r="L317" s="187" t="str">
        <x:v>Não classificado</x:v>
      </x:c>
    </x:row>
    <x:row r="318">
      <x:c r="A318" s="177" t="str">
        <x:v>08.654.210/0001-05</x:v>
      </x:c>
      <x:c r="B318" s="168" t="str">
        <x:v>FUNDO DE INVESTIMENTO EM DIREITOS CREDITÓRIOS MULTISSETORIAL ONE7 LP RESPONSABILIDADE LIMITADA</x:v>
      </x:c>
      <x:c r="C318" s="190" t="n">
        <x:v>451192966.43975</x:v>
      </x:c>
      <x:c r="D318" s="168" t="str">
        <x:v>M8 Partners</x:v>
      </x:c>
      <x:c r="E318" s="168" t="str">
        <x:f>IFERROR(INDEX('Classif Gestoras'!$H$6:$H$462,MATCH(D318,'Classif Gestoras'!$A$6:$A$462,0)),"Não classificada")</x:f>
        <x:v>Independente</x:v>
      </x:c>
      <x:c r="F318" s="168" t="str">
        <x:v>Singulare</x:v>
      </x:c>
      <x:c r="G318" s="168" t="str">
        <x:v>QI CORRETORA DE TÍTULOS E VALORES MOBILIÁRIOS S.A.</x:v>
      </x:c>
      <x:c r="H318" s="168" t="str">
        <x:v>Fomento Mercantil</x:v>
      </x:c>
      <x:c r="I318" s="168" t="str">
        <x:v>Fomento Mercantil</x:v>
      </x:c>
      <x:c r="J318" s="168" t="str">
        <x:v>CI</x:v>
      </x:c>
      <x:c r="K318" s="174" t="n">
        <x:v>142</x:v>
      </x:c>
      <x:c r="L318" s="187" t="str">
        <x:v>Não classificado</x:v>
      </x:c>
    </x:row>
    <x:row r="319">
      <x:c r="A319" s="177" t="str">
        <x:v>60.103.810/0001-03</x:v>
      </x:c>
      <x:c r="B319" s="168" t="str">
        <x:v>JIVEMAUÁ BOSSANOVA CRÉDITO SECURITIZADO FUNDO DE INVESTIMENTO EM DIREITOS CREDITÓRIOS RESP LIMITADA</x:v>
      </x:c>
      <x:c r="C319" s="190" t="n">
        <x:v>451106873.66</x:v>
      </x:c>
      <x:c r="D319" s="168" t="str">
        <x:v>JIVE HIGH YIELD GESTÃO DE RECURSOS LTDA</x:v>
      </x:c>
      <x:c r="E319" s="168" t="str">
        <x:f>IFERROR(INDEX('Classif Gestoras'!$H$6:$H$462,MATCH(D319,'Classif Gestoras'!$A$6:$A$462,0)),"Não classificada")</x:f>
        <x:v>Independente</x:v>
      </x:c>
      <x:c r="F319" s="168" t="str">
        <x:v>XPI CCTVM S/A</x:v>
      </x:c>
      <x:c r="G319" s="168" t="str">
        <x:v>OLIVEIRA TRUST DTVM S.A.</x:v>
      </x:c>
      <x:c r="H319" s="168" t="str">
        <x:v>Outros</x:v>
      </x:c>
      <x:c r="I319" s="168" t="str">
        <x:v>Multicarteira Outros</x:v>
      </x:c>
      <x:c r="J319" s="168" t="str">
        <x:v>CI</x:v>
      </x:c>
      <x:c r="K319" s="174" t="n">
        <x:v>5431</x:v>
      </x:c>
      <x:c r="L319" s="187" t="str">
        <x:v>Proxy multicedente/multissacado — revisar</x:v>
      </x:c>
    </x:row>
    <x:row r="320">
      <x:c r="A320" s="177" t="str">
        <x:v>53.314.997/0001-10</x:v>
      </x:c>
      <x:c r="B320" s="168" t="str">
        <x:v>RAVENA FUNDO DE INVESTIMENTO EM DIREITOS CREDITÓRIOS</x:v>
      </x:c>
      <x:c r="C320" s="190" t="n">
        <x:v>449650201.86</x:v>
      </x:c>
      <x:c r="D320" s="168" t="str">
        <x:v>Blue Solutions</x:v>
      </x:c>
      <x:c r="E320" s="168" t="str">
        <x:f>IFERROR(INDEX('Classif Gestoras'!$H$6:$H$462,MATCH(D320,'Classif Gestoras'!$A$6:$A$462,0)),"Não classificada")</x:f>
        <x:v>Independente</x:v>
      </x:c>
      <x:c r="F320" s="168" t="str">
        <x:v>TRUSTEE DTVM</x:v>
      </x:c>
      <x:c r="G320" s="168" t="str">
        <x:v>TRUSTEE DISTRIBUIDORA DE TITULOS E VALORES MOBILIARIOS LTDA.</x:v>
      </x:c>
      <x:c r="H320" s="168" t="str">
        <x:v>Outros</x:v>
      </x:c>
      <x:c r="I320" s="168" t="str">
        <x:v>Multicarteira Outros</x:v>
      </x:c>
      <x:c r="J320" s="168" t="str">
        <x:v>CI</x:v>
      </x:c>
      <x:c r="K320" s="174" t="n">
        <x:v>2</x:v>
      </x:c>
      <x:c r="L320" s="187" t="str">
        <x:v>Proxy multicedente/multissacado — revisar</x:v>
      </x:c>
    </x:row>
    <x:row r="321">
      <x:c r="A321" s="177" t="str">
        <x:v>60.570.464/0001-65</x:v>
      </x:c>
      <x:c r="B321" s="168" t="str">
        <x:v>BTG PACTUAL APOLO FUNDO DE INVESTIMENTO EM DIREITOS CREDITÓRIOS RESPONSABILIDADE LIMITADA</x:v>
      </x:c>
      <x:c r="C321" s="190" t="n">
        <x:v>449113090.17</x:v>
      </x:c>
      <x:c r="D321" s="168" t="str">
        <x:v>BTG Pactual Asset</x:v>
      </x:c>
      <x:c r="E321" s="168" t="str">
        <x:f>IFERROR(INDEX('Classif Gestoras'!$H$6:$H$462,MATCH(D321,'Classif Gestoras'!$A$6:$A$462,0)),"Não classificada")</x:f>
        <x:v>Ligada a banco</x:v>
      </x:c>
      <x:c r="F321" s="168" t="str">
        <x:v>BTG Pactual Servicos Financeiros S/A DTVM</x:v>
      </x:c>
      <x:c r="G321" s="168" t="str">
        <x:v>BANCO BTG PACTUAL S/A</x:v>
      </x:c>
      <x:c r="H321" s="168" t="str">
        <x:v>Outros</x:v>
      </x:c>
      <x:c r="I321" s="168" t="str">
        <x:v>Multicarteira Outros</x:v>
      </x:c>
      <x:c r="J321" s="168" t="str">
        <x:v>CIPC</x:v>
      </x:c>
      <x:c r="K321" s="174" t="n">
        <x:v>1</x:v>
      </x:c>
      <x:c r="L321" s="187" t="str">
        <x:v>Proxy multicedente/multissacado — revisar</x:v>
      </x:c>
    </x:row>
    <x:row r="322">
      <x:c r="A322" s="177" t="str">
        <x:v>19.388.377/0001-98</x:v>
      </x:c>
      <x:c r="B322" s="168" t="str">
        <x:v>ANKARA FUNDO DE INVESTIMENTO EM DIREITOS CREDITÓRIOS RESPONSABILIDADE LIMITADA</x:v>
      </x:c>
      <x:c r="C322" s="190" t="n">
        <x:v>448714052.03</x:v>
      </x:c>
      <x:c r="D322" s="168" t="str">
        <x:v>Kanastra</x:v>
      </x:c>
      <x:c r="E322" s="168" t="str">
        <x:f>IFERROR(INDEX('Classif Gestoras'!$H$6:$H$462,MATCH(D322,'Classif Gestoras'!$A$6:$A$462,0)),"Não classificada")</x:f>
        <x:v>Independente</x:v>
      </x:c>
      <x:c r="F322" s="168" t="str">
        <x:v>Limine Trust Distribuidora de Titulos e Valores Mobiliá</x:v>
      </x:c>
      <x:c r="G322" s="168" t="str">
        <x:v>LIMINE TRUST DISTRIBUIDORA DE TITULOS E VALORES MOBILIARIOS LTDA.</x:v>
      </x:c>
      <x:c r="H322" s="168" t="str">
        <x:v>Outros</x:v>
      </x:c>
      <x:c r="I322" s="168" t="str">
        <x:v>Multicarteira Outros</x:v>
      </x:c>
      <x:c r="J322" s="168" t="str">
        <x:v>CI</x:v>
      </x:c>
      <x:c r="K322" s="174" t="n">
        <x:v>4</x:v>
      </x:c>
      <x:c r="L322" s="187" t="str">
        <x:v>Proxy multicedente/multissacado — revisar</x:v>
      </x:c>
    </x:row>
    <x:row r="323">
      <x:c r="A323" s="177" t="str">
        <x:v>58.152.340/0001-18</x:v>
      </x:c>
      <x:c r="B323" s="168" t="str">
        <x:v>MONEE II FUNDO DE INVESTIMENTO EM DIREITOS CREDITÓRIOS SEGMENTO FINANCEIRO - RESP. LIMITADA</x:v>
      </x:c>
      <x:c r="C323" s="190" t="n">
        <x:v>442213717.88533</x:v>
      </x:c>
      <x:c r="D323" s="168" t="str">
        <x:v>VALORA RENDA FIXA ESTRUTURADOS LTDA.</x:v>
      </x:c>
      <x:c r="E323" s="168" t="str">
        <x:f>IFERROR(INDEX('Classif Gestoras'!$H$6:$H$462,MATCH(D323,'Classif Gestoras'!$A$6:$A$462,0)),"Não classificada")</x:f>
        <x:v>Independente</x:v>
      </x:c>
      <x:c r="F323" s="168" t="str">
        <x:v>Singulare</x:v>
      </x:c>
      <x:c r="G323" s="168" t="str">
        <x:v>QI CORRETORA DE TÍTULOS E VALORES MOBILIÁRIOS S.A.</x:v>
      </x:c>
      <x:c r="H323" s="168" t="str">
        <x:v>Financeiro</x:v>
      </x:c>
      <x:c r="I323" s="168" t="str">
        <x:v>Crédito Pessoal</x:v>
      </x:c>
      <x:c r="J323" s="168" t="str">
        <x:v>CI</x:v>
      </x:c>
      <x:c r="K323" s="174" t="n">
        <x:v>2</x:v>
      </x:c>
      <x:c r="L323" s="187" t="str">
        <x:v>Não classificado</x:v>
      </x:c>
    </x:row>
    <x:row r="324">
      <x:c r="A324" s="177" t="str">
        <x:v>35.448.967/0001-15</x:v>
      </x:c>
      <x:c r="B324" s="168" t="str">
        <x:v>ATIVOS ESPECIAIS II - FUNDO DE INVESTIMENTO EM DIREITOS CREDITÓRIOS - RESPONSABILIDADE LIMITADA</x:v>
      </x:c>
      <x:c r="C324" s="190" t="n">
        <x:v>442106152.26</x:v>
      </x:c>
      <x:c r="D324" s="168" t="str">
        <x:v>Vinci SPS Gestão de Recursos Ltda.</x:v>
      </x:c>
      <x:c r="E324" s="168" t="str">
        <x:f>IFERROR(INDEX('Classif Gestoras'!$H$6:$H$462,MATCH(D324,'Classif Gestoras'!$A$6:$A$462,0)),"Não classificada")</x:f>
        <x:v>Independente</x:v>
      </x:c>
      <x:c r="F324" s="168" t="str">
        <x:v>VÓRTX DTVM</x:v>
      </x:c>
      <x:c r="G324" s="168" t="str">
        <x:v>VORTX DISTRIBUIDORA DE TITULOS E VALORES MOBILIARIOS LTDA.</x:v>
      </x:c>
      <x:c r="H324" s="168" t="str">
        <x:v>Agro, Indústria e Comércio</x:v>
      </x:c>
      <x:c r="I324" s="168" t="str">
        <x:v>Multicarteira Agro, Indústria e Comércio</x:v>
      </x:c>
      <x:c r="J324" s="168" t="str">
        <x:v>CI</x:v>
      </x:c>
      <x:c r="K324" s="174" t="n">
        <x:v>2</x:v>
      </x:c>
      <x:c r="L324" s="187" t="str">
        <x:v>Proxy multicedente/multissacado — revisar</x:v>
      </x:c>
    </x:row>
    <x:row r="325">
      <x:c r="A325" s="177" t="str">
        <x:v>33.256.234/0001-53</x:v>
      </x:c>
      <x:c r="B325" s="168" t="str">
        <x:v>ARTESANAL PFN FUNDO DE INVESTIMENTO EM DIREITOS CREDITÓRIOS RESPONSABILIDADE LIMITADA</x:v>
      </x:c>
      <x:c r="C325" s="190" t="n">
        <x:v>440415500.15</x:v>
      </x:c>
      <x:c r="D325" s="168" t="str">
        <x:v>Artesanal Investimentos</x:v>
      </x:c>
      <x:c r="E325" s="168" t="str">
        <x:f>IFERROR(INDEX('Classif Gestoras'!$H$6:$H$462,MATCH(D325,'Classif Gestoras'!$A$6:$A$462,0)),"Não classificada")</x:f>
        <x:v>Independente</x:v>
      </x:c>
      <x:c r="F325" s="168" t="str">
        <x:v>Banco Genial S.A.</x:v>
      </x:c>
      <x:c r="G325" s="168" t="str">
        <x:v>BANCO B3 S.A.</x:v>
      </x:c>
      <x:c r="H325" s="168" t="str">
        <x:v>Financeiro</x:v>
      </x:c>
      <x:c r="I325" s="168" t="str">
        <x:v>Crédito Pessoal</x:v>
      </x:c>
      <x:c r="J325" s="168" t="str">
        <x:v>CI</x:v>
      </x:c>
      <x:c r="K325" s="174" t="n">
        <x:v>1</x:v>
      </x:c>
      <x:c r="L325" s="187" t="str">
        <x:v>Não classificado</x:v>
      </x:c>
    </x:row>
    <x:row r="326">
      <x:c r="A326" s="177" t="str">
        <x:v>28.481.469/0001-09</x:v>
      </x:c>
      <x:c r="B326" s="168" t="str">
        <x:v>MAJORITY - FUNDO DE INVESTIMENTO EM DIREITOS CREDITÓRIOS RESPONSABILIDADE LIMITADA</x:v>
      </x:c>
      <x:c r="C326" s="190" t="n">
        <x:v>437321684.23</x:v>
      </x:c>
      <x:c r="D326" s="168" t="str">
        <x:v>SUESTE CAPITAL GESTÃO DE RECURSOS LTDA.</x:v>
      </x:c>
      <x:c r="E326" s="168" t="str">
        <x:f>IFERROR(INDEX('Classif Gestoras'!$H$6:$H$462,MATCH(D326,'Classif Gestoras'!$A$6:$A$462,0)),"Não classificada")</x:f>
        <x:v>Independente</x:v>
      </x:c>
      <x:c r="F326" s="168" t="str">
        <x:v>Oliveira Trust DTVM</x:v>
      </x:c>
      <x:c r="G326" s="168" t="str">
        <x:v>OLIVEIRA TRUST DTVM S.A.</x:v>
      </x:c>
      <x:c r="H326" s="168" t="str">
        <x:v>Outros</x:v>
      </x:c>
      <x:c r="I326" s="168" t="str">
        <x:v>Multicarteira Outros</x:v>
      </x:c>
      <x:c r="J326" s="168" t="str">
        <x:v>CI</x:v>
      </x:c>
      <x:c r="K326" s="174" t="n">
        <x:v>2</x:v>
      </x:c>
      <x:c r="L326" s="187" t="str">
        <x:v>Proxy multicedente/multissacado — revisar</x:v>
      </x:c>
    </x:row>
    <x:row r="327">
      <x:c r="A327" s="177" t="str">
        <x:v>43.193.260/0001-33</x:v>
      </x:c>
      <x:c r="B327" s="168" t="str">
        <x:v>RESIDENCE CLUB FUNDO DE INVESTIMENTO EM DIREITOS CREDITÓRIOS</x:v>
      </x:c>
      <x:c r="C327" s="190" t="n">
        <x:v>436211634.46</x:v>
      </x:c>
      <x:c r="D327" s="168" t="str">
        <x:v>CARMEL GESTORA DE ATIVOS LTDA</x:v>
      </x:c>
      <x:c r="E327" s="168" t="str">
        <x:f>IFERROR(INDEX('Classif Gestoras'!$H$6:$H$462,MATCH(D327,'Classif Gestoras'!$A$6:$A$462,0)),"Não classificada")</x:f>
        <x:v>Independente</x:v>
      </x:c>
      <x:c r="F327" s="168" t="str">
        <x:v>BRL TRUST DTVM</x:v>
      </x:c>
      <x:c r="G327" s="168" t="str">
        <x:v>BRL TRUST DISTRIBUIDORA DE TITULOS E VALORES MOBILIARIOS S.A.</x:v>
      </x:c>
      <x:c r="H327" s="168" t="str">
        <x:v>Financeiro</x:v>
      </x:c>
      <x:c r="I327" s="168" t="str">
        <x:v>Crédito Imobiliário</x:v>
      </x:c>
      <x:c r="J327" s="168" t="str">
        <x:v>CI</x:v>
      </x:c>
      <x:c r="K327" s="174" t="n">
        <x:v>12</x:v>
      </x:c>
      <x:c r="L327" s="187" t="str">
        <x:v>Não classificado</x:v>
      </x:c>
    </x:row>
    <x:row r="328">
      <x:c r="A328" s="177" t="str">
        <x:v>57.584.334/0001-77</x:v>
      </x:c>
      <x:c r="B328" s="168" t="str">
        <x:v>TAYA TECH FGTS I FUNDO DE INVESTIMENTO EM DIREITOS CREDITÓRIOS</x:v>
      </x:c>
      <x:c r="C328" s="190" t="n">
        <x:v>430622941.49999994</x:v>
      </x:c>
      <x:c r="D328" s="168" t="str">
        <x:v>ANGÁ ASSET MANAGEMENT</x:v>
      </x:c>
      <x:c r="E328" s="168" t="str">
        <x:f>IFERROR(INDEX('Classif Gestoras'!$H$6:$H$462,MATCH(D328,'Classif Gestoras'!$A$6:$A$462,0)),"Não classificada")</x:f>
        <x:v>Independente</x:v>
      </x:c>
      <x:c r="F328" s="168" t="str">
        <x:v>BANCO DAYCOVAL S/A</x:v>
      </x:c>
      <x:c r="G328" s="168" t="str">
        <x:v>BANCO DAYCOVAL S.A.</x:v>
      </x:c>
      <x:c r="H328" s="168" t="str">
        <x:v>Financeiro</x:v>
      </x:c>
      <x:c r="I328" s="168" t="str">
        <x:v>Crédito Pessoal</x:v>
      </x:c>
      <x:c r="J328" s="168" t="str">
        <x:v>CI</x:v>
      </x:c>
      <x:c r="K328" s="174" t="n">
        <x:v>83</x:v>
      </x:c>
      <x:c r="L328" s="187" t="str">
        <x:v>Não classificado</x:v>
      </x:c>
    </x:row>
    <x:row r="329">
      <x:c r="A329" s="177" t="str">
        <x:v>44.302.112/0001-72</x:v>
      </x:c>
      <x:c r="B329" s="168" t="str">
        <x:v>CLASSE ÚNICA FUNDO DE INVESTIMENTO EM DIREITOS CREDITÓRIOS AGRO CITI-BAYER RESPONSABILIDADE LIMITADA</x:v>
      </x:c>
      <x:c r="C329" s="190" t="n">
        <x:v>428833875.29</x:v>
      </x:c>
      <x:c r="D329" s="168" t="str">
        <x:v>Integral Investimentos</x:v>
      </x:c>
      <x:c r="E329" s="168" t="str">
        <x:f>IFERROR(INDEX('Classif Gestoras'!$H$6:$H$462,MATCH(D329,'Classif Gestoras'!$A$6:$A$462,0)),"Não classificada")</x:f>
        <x:v>Independente</x:v>
      </x:c>
      <x:c r="F329" s="168" t="str">
        <x:v>VÓRTX DTVM</x:v>
      </x:c>
      <x:c r="G329" s="168" t="str">
        <x:v>VORTX DISTRIBUIDORA DE TITULOS E VALORES MOBILIARIOS LTDA.</x:v>
      </x:c>
      <x:c r="H329" s="168" t="str">
        <x:v>Agro, Indústria e Comércio</x:v>
      </x:c>
      <x:c r="I329" s="168" t="str">
        <x:v>Agronegócio</x:v>
      </x:c>
      <x:c r="J329" s="168" t="str">
        <x:v>CI</x:v>
      </x:c>
      <x:c r="K329" s="174" t="n">
        <x:v>8</x:v>
      </x:c>
      <x:c r="L329" s="187" t="str">
        <x:v>Não classificado</x:v>
      </x:c>
    </x:row>
    <x:row r="330">
      <x:c r="A330" s="177" t="str">
        <x:v>52.982.703/0001-66</x:v>
      </x:c>
      <x:c r="B330" s="168" t="str">
        <x:v>FUNDO DE INVESTIMENTO EM DIREITOS CREDITÓRIOS OSHER</x:v>
      </x:c>
      <x:c r="C330" s="190" t="n">
        <x:v>427359440.68000007</x:v>
      </x:c>
      <x:c r="D330" s="168" t="str">
        <x:v>ORRAM GESTÃO DE RECURSOS LTDA.</x:v>
      </x:c>
      <x:c r="E330" s="168" t="str">
        <x:f>IFERROR(INDEX('Classif Gestoras'!$H$6:$H$462,MATCH(D330,'Classif Gestoras'!$A$6:$A$462,0)),"Não classificada")</x:f>
        <x:v>Independente</x:v>
      </x:c>
      <x:c r="F330" s="168" t="str">
        <x:v>FIDD DISTRIBUIDORA DE TITULOS E VALORES MOBILIARIOS LTD</x:v>
      </x:c>
      <x:c r="G330" s="168" t="str">
        <x:v>FIDD DISTRIBUIDORA DE TITULOS E VALORES MOBILIARIOS LTDA.</x:v>
      </x:c>
      <x:c r="H330" s="168" t="str">
        <x:v>Outros</x:v>
      </x:c>
      <x:c r="I330" s="168" t="str">
        <x:v>Multicarteira Outros</x:v>
      </x:c>
      <x:c r="J330" s="168" t="str">
        <x:v>CI</x:v>
      </x:c>
      <x:c r="K330" s="174" t="n">
        <x:v>6</x:v>
      </x:c>
      <x:c r="L330" s="187" t="str">
        <x:v>Proxy multicedente/multissacado — revisar</x:v>
      </x:c>
    </x:row>
    <x:row r="331">
      <x:c r="A331" s="177" t="str">
        <x:v>57.139.003/0001-28</x:v>
      </x:c>
      <x:c r="B331" s="168" t="str">
        <x:v>IMPACTO ROXO FIDC DE PRECATÓRIOS DE RESPONSABILIDADE LIMITADA</x:v>
      </x:c>
      <x:c r="C331" s="190" t="n">
        <x:v>426526140.84</x:v>
      </x:c>
      <x:c r="D331" s="168" t="str">
        <x:v>Vista Real Estate</x:v>
      </x:c>
      <x:c r="E331" s="168" t="str">
        <x:f>IFERROR(INDEX('Classif Gestoras'!$H$6:$H$462,MATCH(D331,'Classif Gestoras'!$A$6:$A$462,0)),"Não classificada")</x:f>
        <x:v>Independente</x:v>
      </x:c>
      <x:c r="F331" s="168" t="str">
        <x:v>BRL TRUST DTVM</x:v>
      </x:c>
      <x:c r="G331" s="168" t="str">
        <x:v>BRL TRUST DISTRIBUIDORA DE TITULOS E VALORES MOBILIARIOS S.A.</x:v>
      </x:c>
      <x:c r="H331" s="168" t="str">
        <x:v>Outros</x:v>
      </x:c>
      <x:c r="I331" s="168" t="str">
        <x:v>Poder Público</x:v>
      </x:c>
      <x:c r="J331" s="168" t="str">
        <x:v>CI</x:v>
      </x:c>
      <x:c r="K331" s="174" t="n">
        <x:v>49</x:v>
      </x:c>
      <x:c r="L331" s="187" t="str">
        <x:v>Não classificado</x:v>
      </x:c>
    </x:row>
    <x:row r="332">
      <x:c r="A332" s="177" t="str">
        <x:v>51.957.370/0001-52</x:v>
      </x:c>
      <x:c r="B332" s="168" t="str">
        <x:v>FUNDO DE INVESTIMENTO EM DIREITOS CREDITÓRIOS ANGÁ FGTS I - RESPONSABILIDADE LIMITADA</x:v>
      </x:c>
      <x:c r="C332" s="190" t="n">
        <x:v>425209977.6</x:v>
      </x:c>
      <x:c r="D332" s="168" t="str">
        <x:v>ANGÁ ASSET MANAGEMENT</x:v>
      </x:c>
      <x:c r="E332" s="168" t="str">
        <x:f>IFERROR(INDEX('Classif Gestoras'!$H$6:$H$462,MATCH(D332,'Classif Gestoras'!$A$6:$A$462,0)),"Não classificada")</x:f>
        <x:v>Independente</x:v>
      </x:c>
      <x:c r="F332" s="168" t="str">
        <x:v>BANCO DAYCOVAL S/A</x:v>
      </x:c>
      <x:c r="G332" s="168" t="str">
        <x:v>BANCO DAYCOVAL S.A.</x:v>
      </x:c>
      <x:c r="H332" s="168" t="str">
        <x:v>Financeiro</x:v>
      </x:c>
      <x:c r="I332" s="168" t="str">
        <x:v>Crédito Pessoal</x:v>
      </x:c>
      <x:c r="J332" s="168" t="str">
        <x:v>CI</x:v>
      </x:c>
      <x:c r="K332" s="174" t="n">
        <x:v>20</x:v>
      </x:c>
      <x:c r="L332" s="187" t="str">
        <x:v>Não classificado</x:v>
      </x:c>
    </x:row>
    <x:row r="333">
      <x:c r="A333" s="177" t="str">
        <x:v>60.457.292/0001-18</x:v>
      </x:c>
      <x:c r="B333" s="168" t="str">
        <x:v>CNPJ 60457292000118</x:v>
      </x:c>
      <x:c r="C333" s="190" t="n">
        <x:v>423072957.77</x:v>
      </x:c>
      <x:c r="D333" s="168" t="str">
        <x:v>BTG Pactual Asset</x:v>
      </x:c>
      <x:c r="E333" s="168" t="str">
        <x:f>IFERROR(INDEX('Classif Gestoras'!$H$6:$H$462,MATCH(D333,'Classif Gestoras'!$A$6:$A$462,0)),"Não classificada")</x:f>
        <x:v>Ligada a banco</x:v>
      </x:c>
      <x:c r="F333" s="168" t="str">
        <x:v>BTG Pactual Servicos Financeiros S/A DTVM</x:v>
      </x:c>
      <x:c r="G333" s="168" t="str">
        <x:v>Não identificado</x:v>
      </x:c>
      <x:c r="H333" s="168" t="str">
        <x:v>Outros</x:v>
      </x:c>
      <x:c r="I333" s="168" t="str">
        <x:v>Multicarteira Outros</x:v>
      </x:c>
      <x:c r="J333" s="168" t="str">
        <x:v>CI</x:v>
      </x:c>
      <x:c r="K333" s="174"/>
      <x:c r="L333" s="187" t="str">
        <x:v>Proxy multicedente/multissacado — revisar</x:v>
      </x:c>
    </x:row>
    <x:row r="334">
      <x:c r="A334" s="177" t="str">
        <x:v>40.752.367/0001-86</x:v>
      </x:c>
      <x:c r="B334" s="168" t="str">
        <x:v>MT INSS RECEIVABLES II FUNDO DE INVESTIMENTO EM DIREITOS CREDITÓRIOS RESPONSABILIDADE LIMITADA</x:v>
      </x:c>
      <x:c r="C334" s="190" t="n">
        <x:v>421597559.06</x:v>
      </x:c>
      <x:c r="D334" s="168" t="str">
        <x:v>BTG Pactual Asset</x:v>
      </x:c>
      <x:c r="E334" s="168" t="str">
        <x:f>IFERROR(INDEX('Classif Gestoras'!$H$6:$H$462,MATCH(D334,'Classif Gestoras'!$A$6:$A$462,0)),"Não classificada")</x:f>
        <x:v>Ligada a banco</x:v>
      </x:c>
      <x:c r="F334" s="168" t="str">
        <x:v>BTG Pactual Servicos Financeiros S/A DTVM</x:v>
      </x:c>
      <x:c r="G334" s="168" t="str">
        <x:v>BANCO BTG PACTUAL S/A</x:v>
      </x:c>
      <x:c r="H334" s="168" t="str">
        <x:v>Financeiro</x:v>
      </x:c>
      <x:c r="I334" s="168" t="str">
        <x:v>Crédito Consignado</x:v>
      </x:c>
      <x:c r="J334" s="168" t="str">
        <x:v>CI</x:v>
      </x:c>
      <x:c r="K334" s="174" t="n">
        <x:v>1</x:v>
      </x:c>
      <x:c r="L334" s="187" t="str">
        <x:v>Não classificado</x:v>
      </x:c>
    </x:row>
    <x:row r="335">
      <x:c r="A335" s="177" t="str">
        <x:v>40.054.747/0001-47</x:v>
      </x:c>
      <x:c r="B335" s="168" t="str">
        <x:v>JCI III - FIDC RESPONSABILIDADE LIMITADA</x:v>
      </x:c>
      <x:c r="C335" s="190" t="n">
        <x:v>419924082.13</x:v>
      </x:c>
      <x:c r="D335" s="168" t="str">
        <x:v>JIVE INVESTMENTS</x:v>
      </x:c>
      <x:c r="E335" s="168" t="str">
        <x:f>IFERROR(INDEX('Classif Gestoras'!$H$6:$H$462,MATCH(D335,'Classif Gestoras'!$A$6:$A$462,0)),"Não classificada")</x:f>
        <x:v>Independente</x:v>
      </x:c>
      <x:c r="F335" s="168" t="str">
        <x:v>MAF Distribuidora de Títulos e Valores Mobiliários S.A.</x:v>
      </x:c>
      <x:c r="G335" s="168" t="str">
        <x:v>MAF DISTRIBUIDORA DE TITULOS E VALORES MOBILIARIOS S.A.</x:v>
      </x:c>
      <x:c r="H335" s="168" t="str">
        <x:v>Outros</x:v>
      </x:c>
      <x:c r="I335" s="168" t="str">
        <x:v>Recuperação</x:v>
      </x:c>
      <x:c r="J335" s="168" t="str">
        <x:v>CI</x:v>
      </x:c>
      <x:c r="K335" s="174" t="n">
        <x:v>1</x:v>
      </x:c>
      <x:c r="L335" s="187" t="str">
        <x:v>Não classificado</x:v>
      </x:c>
    </x:row>
    <x:row r="336">
      <x:c r="A336" s="177" t="str">
        <x:v>56.544.469/0001-46</x:v>
      </x:c>
      <x:c r="B336" s="168" t="str">
        <x:v>CREDIT RESTRUCTURING II FUNDO DE INVESTIMENTO EM DIREITOS CREDITÓRIOS RESPONSABILIDADE LIMITADA</x:v>
      </x:c>
      <x:c r="C336" s="190" t="n">
        <x:v>417704422.86</x:v>
      </x:c>
      <x:c r="D336" s="168" t="str">
        <x:v>XPI CCTVM S/A</x:v>
      </x:c>
      <x:c r="E336" s="168" t="str">
        <x:f>IFERROR(INDEX('Classif Gestoras'!$H$6:$H$462,MATCH(D336,'Classif Gestoras'!$A$6:$A$462,0)),"Não classificada")</x:f>
        <x:v>Ligada a banco</x:v>
      </x:c>
      <x:c r="F336" s="168" t="str">
        <x:v>XPI CCTVM S/A</x:v>
      </x:c>
      <x:c r="G336" s="168" t="str">
        <x:v>XP SERVIÇOS FINANCEIROS DTVM LTDA.</x:v>
      </x:c>
      <x:c r="H336" s="168" t="str">
        <x:v>Outros</x:v>
      </x:c>
      <x:c r="I336" s="168" t="str">
        <x:v>Multicarteira Outros</x:v>
      </x:c>
      <x:c r="J336" s="168" t="str">
        <x:v>CI</x:v>
      </x:c>
      <x:c r="K336" s="174" t="n">
        <x:v>1</x:v>
      </x:c>
      <x:c r="L336" s="187" t="str">
        <x:v>Proxy multicedente/multissacado — revisar</x:v>
      </x:c>
    </x:row>
    <x:row r="337">
      <x:c r="A337" s="177" t="str">
        <x:v>41.195.737/0001-94</x:v>
      </x:c>
      <x:c r="B337" s="168" t="str">
        <x:v>SANTA FÉ FUNDO DE INVESTIMENTO EM DIREITOS CREDITÓRIOS DE RESPONSABILIDADE LIMITADA</x:v>
      </x:c>
      <x:c r="C337" s="190" t="n">
        <x:v>416986368.1099999</x:v>
      </x:c>
      <x:c r="D337" s="168" t="str">
        <x:v>Galápagos</x:v>
      </x:c>
      <x:c r="E337" s="168" t="str">
        <x:f>IFERROR(INDEX('Classif Gestoras'!$H$6:$H$462,MATCH(D337,'Classif Gestoras'!$A$6:$A$462,0)),"Não classificada")</x:f>
        <x:v>Independente</x:v>
      </x:c>
      <x:c r="F337" s="168" t="str">
        <x:v>Singulare</x:v>
      </x:c>
      <x:c r="G337" s="168" t="str">
        <x:v>QI CORRETORA DE TÍTULOS E VALORES MOBILIÁRIOS S.A.</x:v>
      </x:c>
      <x:c r="H337" s="168" t="str">
        <x:v>Outros</x:v>
      </x:c>
      <x:c r="I337" s="168" t="str">
        <x:v>Poder Público</x:v>
      </x:c>
      <x:c r="J337" s="168" t="str">
        <x:v>CI</x:v>
      </x:c>
      <x:c r="K337" s="174" t="n">
        <x:v>37</x:v>
      </x:c>
      <x:c r="L337" s="187" t="str">
        <x:v>Não classificado</x:v>
      </x:c>
    </x:row>
    <x:row r="338">
      <x:c r="A338" s="177" t="str">
        <x:v>54.029.281/0001-34</x:v>
      </x:c>
      <x:c r="B338" s="168" t="str">
        <x:v>JEFER BANKING FUNDO DE INVESTIMENTO EM DIREITOS CREDITÓRIOS NÃO-PADRONIZADOS RESP LIMITADA</x:v>
      </x:c>
      <x:c r="C338" s="190" t="n">
        <x:v>416388368.01</x:v>
      </x:c>
      <x:c r="D338" s="168" t="str">
        <x:v>GESTORA DE RECURSOS ID - GRID LTDA.</x:v>
      </x:c>
      <x:c r="E338" s="168" t="str">
        <x:f>IFERROR(INDEX('Classif Gestoras'!$H$6:$H$462,MATCH(D338,'Classif Gestoras'!$A$6:$A$462,0)),"Não classificada")</x:f>
        <x:v>Independente</x:v>
      </x:c>
      <x:c r="F338" s="168" t="str">
        <x:v>ID Corretora de Títulos e Valores Mobiliários S.A.</x:v>
      </x:c>
      <x:c r="G338" s="168" t="str">
        <x:v>ID CORRETORA DE TITULOS E VALORES MOBILIARIOS S.A.</x:v>
      </x:c>
      <x:c r="H338" s="168" t="str">
        <x:v>Outros</x:v>
      </x:c>
      <x:c r="I338" s="168" t="str">
        <x:v>Multicarteira Outros</x:v>
      </x:c>
      <x:c r="J338" s="168" t="str">
        <x:v>CI</x:v>
      </x:c>
      <x:c r="K338" s="174" t="n">
        <x:v>3</x:v>
      </x:c>
      <x:c r="L338" s="187" t="str">
        <x:v>Proxy multicedente/multissacado — revisar</x:v>
      </x:c>
    </x:row>
    <x:row r="339">
      <x:c r="A339" s="177" t="str">
        <x:v>18.063.954/0001-09</x:v>
      </x:c>
      <x:c r="B339" s="168" t="str">
        <x:v>FIDC DONEGAL - RESPONSABILIDADE LIMITADA - SEGMENTO COMERCIAL</x:v>
      </x:c>
      <x:c r="C339" s="190" t="n">
        <x:v>413109387.62</x:v>
      </x:c>
      <x:c r="D339" s="168" t="str">
        <x:v>Oliveira Trust Servicer</x:v>
      </x:c>
      <x:c r="E339" s="168" t="str">
        <x:f>IFERROR(INDEX('Classif Gestoras'!$H$6:$H$462,MATCH(D339,'Classif Gestoras'!$A$6:$A$462,0)),"Não classificada")</x:f>
        <x:v>Independente</x:v>
      </x:c>
      <x:c r="F339" s="168" t="str">
        <x:v>Oliveira Trust DTVM</x:v>
      </x:c>
      <x:c r="G339" s="168" t="str">
        <x:v>OLIVEIRA TRUST DTVM S.A.</x:v>
      </x:c>
      <x:c r="H339" s="168" t="str">
        <x:v>Agro, Indústria e Comércio</x:v>
      </x:c>
      <x:c r="I339" s="168" t="str">
        <x:v>Recebíveis Comerciais</x:v>
      </x:c>
      <x:c r="J339" s="168" t="str">
        <x:v>CI</x:v>
      </x:c>
      <x:c r="K339" s="174" t="n">
        <x:v>4</x:v>
      </x:c>
      <x:c r="L339" s="187" t="str">
        <x:v>Não classificado</x:v>
      </x:c>
    </x:row>
    <x:row r="340">
      <x:c r="A340" s="177" t="str">
        <x:v>62.627.291/0001-08</x:v>
      </x:c>
      <x:c r="B340" s="168" t="str">
        <x:v>FACIO 4 FUNDO DE INVESTIMENTO EM DIREITOS CREDITÓRIOS FINANCEIROS DE RESPONSABILIDADE LIMITADA</x:v>
      </x:c>
      <x:c r="C340" s="190" t="n">
        <x:v>410773065.36</x:v>
      </x:c>
      <x:c r="D340" s="168" t="str">
        <x:v>CONTEA CAPITAL</x:v>
      </x:c>
      <x:c r="E340" s="168" t="str">
        <x:f>IFERROR(INDEX('Classif Gestoras'!$H$6:$H$462,MATCH(D340,'Classif Gestoras'!$A$6:$A$462,0)),"Não classificada")</x:f>
        <x:v>Independente</x:v>
      </x:c>
      <x:c r="F340" s="168" t="str">
        <x:v>Singulare</x:v>
      </x:c>
      <x:c r="G340" s="168" t="str">
        <x:v>QI CORRETORA DE TÍTULOS E VALORES MOBILIÁRIOS S.A.</x:v>
      </x:c>
      <x:c r="H340" s="168" t="str">
        <x:v>Financeiro</x:v>
      </x:c>
      <x:c r="I340" s="168" t="str">
        <x:v>Crédito Pessoal</x:v>
      </x:c>
      <x:c r="J340" s="168" t="str">
        <x:v>CI</x:v>
      </x:c>
      <x:c r="K340" s="174" t="n">
        <x:v>42</x:v>
      </x:c>
      <x:c r="L340" s="187" t="str">
        <x:v>Não classificado</x:v>
      </x:c>
    </x:row>
    <x:row r="341">
      <x:c r="A341" s="177" t="str">
        <x:v>17.012.019/0001-50</x:v>
      </x:c>
      <x:c r="B341" s="168" t="str">
        <x:v>FUNDO DE INVESTIMENTO EM DIREITOS CREDITÓRIOS NÃO PADRONIZADOS SIFRA PERFORMANCE</x:v>
      </x:c>
      <x:c r="C341" s="190" t="n">
        <x:v>408873847.05</x:v>
      </x:c>
      <x:c r="D341" s="168" t="str">
        <x:v>ORRAM GESTÃO DE RECURSOS LTDA.</x:v>
      </x:c>
      <x:c r="E341" s="168" t="str">
        <x:f>IFERROR(INDEX('Classif Gestoras'!$H$6:$H$462,MATCH(D341,'Classif Gestoras'!$A$6:$A$462,0)),"Não classificada")</x:f>
        <x:v>Independente</x:v>
      </x:c>
      <x:c r="F341" s="168" t="str">
        <x:v>FIDD DISTRIBUIDORA DE TITULOS E VALORES MOBILIARIOS LTD</x:v>
      </x:c>
      <x:c r="G341" s="168" t="str">
        <x:v>FIDD DISTRIBUIDORA DE TITULOS E VALORES MOBILIARIOS LTDA.</x:v>
      </x:c>
      <x:c r="H341" s="168" t="str">
        <x:v>Outros</x:v>
      </x:c>
      <x:c r="I341" s="168" t="str">
        <x:v>Multicarteira Outros</x:v>
      </x:c>
      <x:c r="J341" s="168" t="str">
        <x:v>CI</x:v>
      </x:c>
      <x:c r="K341" s="174" t="n">
        <x:v>35</x:v>
      </x:c>
      <x:c r="L341" s="187" t="str">
        <x:v>Proxy multicedente/multissacado — revisar</x:v>
      </x:c>
    </x:row>
    <x:row r="342">
      <x:c r="A342" s="177" t="str">
        <x:v>09.527.140/0001-97</x:v>
      </x:c>
      <x:c r="B342" s="168" t="str">
        <x:v>BSPAR FUNDO DE INVESTIMENTO EM DIREITOS CREDITÓRIOS NÃO-PADRONIZADOS MULTISSETORIAL</x:v>
      </x:c>
      <x:c r="C342" s="190" t="n">
        <x:v>407823856.64</x:v>
      </x:c>
      <x:c r="D342" s="168" t="str">
        <x:v>V8 Capital</x:v>
      </x:c>
      <x:c r="E342" s="168" t="str">
        <x:f>IFERROR(INDEX('Classif Gestoras'!$H$6:$H$462,MATCH(D342,'Classif Gestoras'!$A$6:$A$462,0)),"Não classificada")</x:f>
        <x:v>Independente</x:v>
      </x:c>
      <x:c r="F342" s="168" t="str">
        <x:v>S3 Caceis Brasil Distribuidora de Títulos e Valores Mob</x:v>
      </x:c>
      <x:c r="G342" s="168" t="str">
        <x:v>S3 CACEIS BRASIL DISTRIBUIDORA DE TITULOS E VALORES MOBILIARIOS S.A</x:v>
      </x:c>
      <x:c r="H342" s="168" t="str">
        <x:v>Fomento Mercantil</x:v>
      </x:c>
      <x:c r="I342" s="168" t="str">
        <x:v>Fomento Mercantil</x:v>
      </x:c>
      <x:c r="J342" s="168" t="str">
        <x:v>CI</x:v>
      </x:c>
      <x:c r="K342" s="174" t="n">
        <x:v>1</x:v>
      </x:c>
      <x:c r="L342" s="187" t="str">
        <x:v>Não classificado</x:v>
      </x:c>
    </x:row>
    <x:row r="343">
      <x:c r="A343" s="177" t="str">
        <x:v>62.627.051/0001-03</x:v>
      </x:c>
      <x:c r="B343" s="168" t="str">
        <x:v>SUMUP SMART II FIDC SEGMENTO MEIOS DE PAGAMENTO DE RESPONSABILIDADE LIMITADA</x:v>
      </x:c>
      <x:c r="C343" s="190" t="n">
        <x:v>407670161.72</x:v>
      </x:c>
      <x:c r="D343" s="168" t="str">
        <x:v>Banco Bradesco S/A</x:v>
      </x:c>
      <x:c r="E343" s="168" t="str">
        <x:f>IFERROR(INDEX('Classif Gestoras'!$H$6:$H$462,MATCH(D343,'Classif Gestoras'!$A$6:$A$462,0)),"Não classificada")</x:f>
        <x:v>Ligada a banco</x:v>
      </x:c>
      <x:c r="F343" s="168" t="str">
        <x:v>BEM - DIST. DE TÍTUL</x:v>
      </x:c>
      <x:c r="G343" s="168" t="str">
        <x:v>BANCO BRADESCO S.A.</x:v>
      </x:c>
      <x:c r="H343" s="168" t="str">
        <x:v>Outros</x:v>
      </x:c>
      <x:c r="I343" s="168" t="str">
        <x:v>Multicarteira Outros</x:v>
      </x:c>
      <x:c r="J343" s="168" t="str">
        <x:v>CI</x:v>
      </x:c>
      <x:c r="K343" s="174" t="n">
        <x:v>21</x:v>
      </x:c>
      <x:c r="L343" s="187" t="str">
        <x:v>Proxy multicedente/multissacado — revisar</x:v>
      </x:c>
    </x:row>
    <x:row r="344">
      <x:c r="A344" s="177" t="str">
        <x:v>27.954.644/0001-75</x:v>
      </x:c>
      <x:c r="B344" s="168" t="str">
        <x:v>QG DISTRESSED FUNDO DE INVESTIMENTO EM DIREITOS CREDITÓRIOS - RESPONSABILIDADE LIMITADA</x:v>
      </x:c>
      <x:c r="C344" s="190" t="n">
        <x:v>406726925.6099999</x:v>
      </x:c>
      <x:c r="D344" s="168" t="str">
        <x:v>Quadra Gestão de Recursos S.A.</x:v>
      </x:c>
      <x:c r="E344" s="168" t="str">
        <x:f>IFERROR(INDEX('Classif Gestoras'!$H$6:$H$462,MATCH(D344,'Classif Gestoras'!$A$6:$A$462,0)),"Não classificada")</x:f>
        <x:v>Independente</x:v>
      </x:c>
      <x:c r="F344" s="168" t="str">
        <x:v>BNY MELLON SERVICOS</x:v>
      </x:c>
      <x:c r="G344" s="168" t="str">
        <x:v>BNY MELLON BANCO S.A.</x:v>
      </x:c>
      <x:c r="H344" s="168" t="str">
        <x:v>Outros</x:v>
      </x:c>
      <x:c r="I344" s="168" t="str">
        <x:v>Multicarteira Outros</x:v>
      </x:c>
      <x:c r="J344" s="168" t="str">
        <x:v>CI</x:v>
      </x:c>
      <x:c r="K344" s="174" t="n">
        <x:v>1</x:v>
      </x:c>
      <x:c r="L344" s="187" t="str">
        <x:v>Proxy multicedente/multissacado — revisar</x:v>
      </x:c>
    </x:row>
    <x:row r="345">
      <x:c r="A345" s="177" t="str">
        <x:v>48.887.679/0001-09</x:v>
      </x:c>
      <x:c r="B345" s="168" t="str">
        <x:v>DJF IV FUNDO DE INVESTIMENTO EM DIREITOS CREDITÓRIOS NÃO-PADRONIZADOS - RESPONSABILIDADE LIMITADA</x:v>
      </x:c>
      <x:c r="C345" s="190" t="n">
        <x:v>404680666.7</x:v>
      </x:c>
      <x:c r="D345" s="168" t="str">
        <x:v>JIVE INVESTMENTS</x:v>
      </x:c>
      <x:c r="E345" s="168" t="str">
        <x:f>IFERROR(INDEX('Classif Gestoras'!$H$6:$H$462,MATCH(D345,'Classif Gestoras'!$A$6:$A$462,0)),"Não classificada")</x:f>
        <x:v>Independente</x:v>
      </x:c>
      <x:c r="F345" s="168" t="str">
        <x:v>MAF Distribuidora de Títulos e Valores Mobiliários S.A.</x:v>
      </x:c>
      <x:c r="G345" s="168" t="str">
        <x:v>MAF DISTRIBUIDORA DE TITULOS E VALORES MOBILIARIOS S.A.</x:v>
      </x:c>
      <x:c r="H345" s="168" t="str">
        <x:v>Outros</x:v>
      </x:c>
      <x:c r="I345" s="168" t="str">
        <x:v>Multicarteira Outros</x:v>
      </x:c>
      <x:c r="J345" s="168" t="str">
        <x:v>CI</x:v>
      </x:c>
      <x:c r="K345" s="174" t="n">
        <x:v>5</x:v>
      </x:c>
      <x:c r="L345" s="187" t="str">
        <x:v>Proxy multicedente/multissacado — revisar</x:v>
      </x:c>
    </x:row>
    <x:row r="346">
      <x:c r="A346" s="177" t="str">
        <x:v>14.605.855/0001-50</x:v>
      </x:c>
      <x:c r="B346" s="168" t="str">
        <x:v>DEL MONTE FUNDO DE INVESTIMENTO EM DIREITOS CREDITÓRIOS MULTISEGMENTOS</x:v>
      </x:c>
      <x:c r="C346" s="190" t="n">
        <x:v>404527276.39</x:v>
      </x:c>
      <x:c r="D346" s="168" t="str">
        <x:v>Solis</x:v>
      </x:c>
      <x:c r="E346" s="168" t="str">
        <x:f>IFERROR(INDEX('Classif Gestoras'!$H$6:$H$462,MATCH(D346,'Classif Gestoras'!$A$6:$A$462,0)),"Não classificada")</x:f>
        <x:v>Independente</x:v>
      </x:c>
      <x:c r="F346" s="168" t="str">
        <x:v>HEMERA DTVM</x:v>
      </x:c>
      <x:c r="G346" s="168" t="str">
        <x:v>HEMERA DISTRIBUIDORA DE TITULOS E VALORES MOBILIARIOS LTDA</x:v>
      </x:c>
      <x:c r="H346" s="168" t="str">
        <x:v>Fomento Mercantil</x:v>
      </x:c>
      <x:c r="I346" s="168" t="str">
        <x:v>Fomento Mercantil</x:v>
      </x:c>
      <x:c r="J346" s="168" t="str">
        <x:v>CI</x:v>
      </x:c>
      <x:c r="K346" s="174" t="n">
        <x:v>74</x:v>
      </x:c>
      <x:c r="L346" s="187" t="str">
        <x:v>Não classificado</x:v>
      </x:c>
    </x:row>
    <x:row r="347">
      <x:c r="A347" s="177" t="str">
        <x:v>60.964.573/0001-67</x:v>
      </x:c>
      <x:c r="B347" s="168" t="str">
        <x:v>RAINIER FUNDO DE INVESTIMENTO EM DIREITOS CREDITÓRIOS</x:v>
      </x:c>
      <x:c r="C347" s="190" t="n">
        <x:v>403641878.26</x:v>
      </x:c>
      <x:c r="D347" s="168" t="str">
        <x:v>PACTUAL CAPITAL PART</x:v>
      </x:c>
      <x:c r="E347" s="168" t="str">
        <x:f>IFERROR(INDEX('Classif Gestoras'!$H$6:$H$462,MATCH(D347,'Classif Gestoras'!$A$6:$A$462,0)),"Não classificada")</x:f>
        <x:v>Independente</x:v>
      </x:c>
      <x:c r="F347" s="168" t="str">
        <x:v>BTG Pactual Servicos Financeiros S/A DTVM</x:v>
      </x:c>
      <x:c r="G347" s="168" t="str">
        <x:v>BANCO BTG PACTUAL S/A</x:v>
      </x:c>
      <x:c r="H347" s="168" t="str">
        <x:v>Outros</x:v>
      </x:c>
      <x:c r="I347" s="168" t="str">
        <x:v>Multicarteira Outros</x:v>
      </x:c>
      <x:c r="J347" s="168" t="str">
        <x:v>CI</x:v>
      </x:c>
      <x:c r="K347" s="174" t="n">
        <x:v>2</x:v>
      </x:c>
      <x:c r="L347" s="187" t="str">
        <x:v>Proxy multicedente/multissacado — revisar</x:v>
      </x:c>
    </x:row>
    <x:row r="348">
      <x:c r="A348" s="177" t="str">
        <x:v>27.326.160/0001-81</x:v>
      </x:c>
      <x:c r="B348" s="168" t="str">
        <x:v>HB CAPITAL FUNDO DE INVESTIMENTO EM DIREITOS CREDITÓRIOS</x:v>
      </x:c>
      <x:c r="C348" s="190" t="n">
        <x:v>403607689.06</x:v>
      </x:c>
      <x:c r="D348" s="168" t="str">
        <x:v>OURO PRETO INVESTIMENTOS</x:v>
      </x:c>
      <x:c r="E348" s="168" t="str">
        <x:f>IFERROR(INDEX('Classif Gestoras'!$H$6:$H$462,MATCH(D348,'Classif Gestoras'!$A$6:$A$462,0)),"Não classificada")</x:f>
        <x:v>Independente</x:v>
      </x:c>
      <x:c r="F348" s="168" t="str">
        <x:v>Limine Trust Distribuidora de Titulos e Valores Mobiliá</x:v>
      </x:c>
      <x:c r="G348" s="168" t="str">
        <x:v>LIMINE TRUST DISTRIBUIDORA DE TITULOS E VALORES MOBILIARIOS LTDA.</x:v>
      </x:c>
      <x:c r="H348" s="168" t="str">
        <x:v>Outros</x:v>
      </x:c>
      <x:c r="I348" s="168" t="str">
        <x:v>Multicarteira Outros</x:v>
      </x:c>
      <x:c r="J348" s="168" t="str">
        <x:v>CI</x:v>
      </x:c>
      <x:c r="K348" s="174" t="n">
        <x:v>12</x:v>
      </x:c>
      <x:c r="L348" s="187" t="str">
        <x:v>Proxy multicedente/multissacado — revisar</x:v>
      </x:c>
    </x:row>
    <x:row r="349">
      <x:c r="A349" s="177" t="str">
        <x:v>26.506.898/0001-68</x:v>
      </x:c>
      <x:c r="B349" s="168" t="str">
        <x:v>TREVISO FUNDO DE INVESTIMENTO EM DIREITOS CREDITÓRIOS</x:v>
      </x:c>
      <x:c r="C349" s="190" t="n">
        <x:v>402987124.85</x:v>
      </x:c>
      <x:c r="D349" s="168" t="str">
        <x:v>TERCON ASSET MANAGEMENT</x:v>
      </x:c>
      <x:c r="E349" s="168" t="str">
        <x:f>IFERROR(INDEX('Classif Gestoras'!$H$6:$H$462,MATCH(D349,'Classif Gestoras'!$A$6:$A$462,0)),"Não classificada")</x:f>
        <x:v>Independente</x:v>
      </x:c>
      <x:c r="F349" s="168" t="str">
        <x:v>Singulare</x:v>
      </x:c>
      <x:c r="G349" s="168" t="str">
        <x:v>QI CORRETORA DE TÍTULOS E VALORES MOBILIÁRIOS S.A.</x:v>
      </x:c>
      <x:c r="H349" s="168" t="str">
        <x:v>Fomento Mercantil</x:v>
      </x:c>
      <x:c r="I349" s="168" t="str">
        <x:v>Fomento Mercantil</x:v>
      </x:c>
      <x:c r="J349" s="168" t="str">
        <x:v>CI</x:v>
      </x:c>
      <x:c r="K349" s="174" t="n">
        <x:v>5</x:v>
      </x:c>
      <x:c r="L349" s="187" t="str">
        <x:v>Não classificado</x:v>
      </x:c>
    </x:row>
    <x:row r="350">
      <x:c r="A350" s="177" t="str">
        <x:v>45.521.676/0001-69</x:v>
      </x:c>
      <x:c r="B350" s="168" t="str">
        <x:v>HAWKER FUNDO DE INVESTIMENTO EM DIREITOS CREDITÓRIOS NÃO-PADRONIZADOS</x:v>
      </x:c>
      <x:c r="C350" s="190" t="n">
        <x:v>402948619.41</x:v>
      </x:c>
      <x:c r="D350" s="168" t="str">
        <x:v>BPS CAPITAL</x:v>
      </x:c>
      <x:c r="E350" s="168" t="str">
        <x:f>IFERROR(INDEX('Classif Gestoras'!$H$6:$H$462,MATCH(D350,'Classif Gestoras'!$A$6:$A$462,0)),"Não classificada")</x:f>
        <x:v>Independente</x:v>
      </x:c>
      <x:c r="F350" s="168" t="str">
        <x:v>ID Corretora de Títulos e Valores Mobiliários S.A.</x:v>
      </x:c>
      <x:c r="G350" s="168" t="str">
        <x:v>ID CORRETORA DE TITULOS E VALORES MOBILIARIOS S.A.</x:v>
      </x:c>
      <x:c r="H350" s="168" t="str">
        <x:v>Outros</x:v>
      </x:c>
      <x:c r="I350" s="168" t="str">
        <x:v>Multicarteira Outros</x:v>
      </x:c>
      <x:c r="J350" s="168" t="str">
        <x:v>CI</x:v>
      </x:c>
      <x:c r="K350" s="174" t="n">
        <x:v>2</x:v>
      </x:c>
      <x:c r="L350" s="187" t="str">
        <x:v>Proxy multicedente/multissacado — revisar</x:v>
      </x:c>
    </x:row>
    <x:row r="351">
      <x:c r="A351" s="177" t="str">
        <x:v>64.082.064/0001-61</x:v>
      </x:c>
      <x:c r="B351" s="168" t="str">
        <x:v>G5 SAÚDE II FUNDO DE INVESTIMENTO EM DIREITOS CREDITÓRIOS</x:v>
      </x:c>
      <x:c r="C351" s="190" t="n">
        <x:v>401647267.19</x:v>
      </x:c>
      <x:c r="D351" s="168" t="str">
        <x:v>G5 Adm. de Recursos</x:v>
      </x:c>
      <x:c r="E351" s="168" t="str">
        <x:f>IFERROR(INDEX('Classif Gestoras'!$H$6:$H$462,MATCH(D351,'Classif Gestoras'!$A$6:$A$462,0)),"Não classificada")</x:f>
        <x:v>Independente</x:v>
      </x:c>
      <x:c r="F351" s="168" t="str">
        <x:v>Singulare</x:v>
      </x:c>
      <x:c r="G351" s="168" t="str">
        <x:v>QI CORRETORA DE TÍTULOS E VALORES MOBILIÁRIOS S.A.</x:v>
      </x:c>
      <x:c r="H351" s="168" t="str">
        <x:v>Outros</x:v>
      </x:c>
      <x:c r="I351" s="168" t="str">
        <x:v>Multicarteira Outros</x:v>
      </x:c>
      <x:c r="J351" s="168" t="str">
        <x:v>CI</x:v>
      </x:c>
      <x:c r="K351" s="174" t="n">
        <x:v>5</x:v>
      </x:c>
      <x:c r="L351" s="187" t="str">
        <x:v>Proxy multicedente/multissacado — revisar</x:v>
      </x:c>
    </x:row>
    <x:row r="352">
      <x:c r="A352" s="177" t="str">
        <x:v>53.095.241/0001-28</x:v>
      </x:c>
      <x:c r="B352" s="168" t="str">
        <x:v>FUNDO DE INVESTIMENTO EM DIREITOS CREDITÓRIOS CREDITAS AUTO X - RESPONSABILIDADE LIMITADA</x:v>
      </x:c>
      <x:c r="C352" s="190" t="n">
        <x:v>399398098.3</x:v>
      </x:c>
      <x:c r="D352" s="168" t="str">
        <x:v>ANGÁ ASSET MANAGEMENT</x:v>
      </x:c>
      <x:c r="E352" s="168" t="str">
        <x:f>IFERROR(INDEX('Classif Gestoras'!$H$6:$H$462,MATCH(D352,'Classif Gestoras'!$A$6:$A$462,0)),"Não classificada")</x:f>
        <x:v>Independente</x:v>
      </x:c>
      <x:c r="F352" s="168" t="str">
        <x:v>Limine Trust Distribuidora de Titulos e Valores Mobiliá</x:v>
      </x:c>
      <x:c r="G352" s="168" t="str">
        <x:v>LIMINE TRUST DISTRIBUIDORA DE TITULOS E VALORES MOBILIARIOS LTDA.</x:v>
      </x:c>
      <x:c r="H352" s="168" t="str">
        <x:v>Financeiro</x:v>
      </x:c>
      <x:c r="I352" s="168" t="str">
        <x:v>Crédito Pessoal</x:v>
      </x:c>
      <x:c r="J352" s="168" t="str">
        <x:v>CI</x:v>
      </x:c>
      <x:c r="K352" s="174" t="n">
        <x:v>137</x:v>
      </x:c>
      <x:c r="L352" s="187" t="str">
        <x:v>Não classificado</x:v>
      </x:c>
    </x:row>
    <x:row r="353">
      <x:c r="A353" s="177" t="str">
        <x:v>45.207.572/0001-84</x:v>
      </x:c>
      <x:c r="B353" s="168" t="str">
        <x:v>GOAT CRÉDITOS JUDICIAIS FUNDO DE INVESTIMENTO EM DIREITOS CREDITÓRIOS</x:v>
      </x:c>
      <x:c r="C353" s="190" t="n">
        <x:v>399018498.53</x:v>
      </x:c>
      <x:c r="D353" s="168" t="str">
        <x:v>LASS CAPITAL</x:v>
      </x:c>
      <x:c r="E353" s="168" t="str">
        <x:f>IFERROR(INDEX('Classif Gestoras'!$H$6:$H$462,MATCH(D353,'Classif Gestoras'!$A$6:$A$462,0)),"Não classificada")</x:f>
        <x:v>Independente</x:v>
      </x:c>
      <x:c r="F353" s="168" t="str">
        <x:v>BTG Pactual Servicos Financeiros S/A DTVM</x:v>
      </x:c>
      <x:c r="G353" s="168" t="str">
        <x:v>BANCO BTG PACTUAL S/A</x:v>
      </x:c>
      <x:c r="H353" s="168" t="str">
        <x:v>Outros</x:v>
      </x:c>
      <x:c r="I353" s="168" t="str">
        <x:v>Multicarteira Outros</x:v>
      </x:c>
      <x:c r="J353" s="168" t="str">
        <x:v>CI</x:v>
      </x:c>
      <x:c r="K353" s="174" t="n">
        <x:v>3</x:v>
      </x:c>
      <x:c r="L353" s="187" t="str">
        <x:v>Proxy multicedente/multissacado — revisar</x:v>
      </x:c>
    </x:row>
    <x:row r="354">
      <x:c r="A354" s="177" t="str">
        <x:v>54.639.537/0001-25</x:v>
      </x:c>
      <x:c r="B354" s="168" t="str">
        <x:v>GAVEA REAL FUNDO DE INVESTIMENTO EM DIREITOS CREDITÓRIOS</x:v>
      </x:c>
      <x:c r="C354" s="190" t="n">
        <x:v>398187551.47</x:v>
      </x:c>
      <x:c r="D354" s="168" t="str">
        <x:v>M8 Partners</x:v>
      </x:c>
      <x:c r="E354" s="168" t="str">
        <x:f>IFERROR(INDEX('Classif Gestoras'!$H$6:$H$462,MATCH(D354,'Classif Gestoras'!$A$6:$A$462,0)),"Não classificada")</x:f>
        <x:v>Independente</x:v>
      </x:c>
      <x:c r="F354" s="168" t="str">
        <x:v>Singulare</x:v>
      </x:c>
      <x:c r="G354" s="168" t="str">
        <x:v>QI CORRETORA DE TÍTULOS E VALORES MOBILIÁRIOS S.A.</x:v>
      </x:c>
      <x:c r="H354" s="168" t="str">
        <x:v>Fomento Mercantil</x:v>
      </x:c>
      <x:c r="I354" s="168" t="str">
        <x:v>Fomento Mercantil</x:v>
      </x:c>
      <x:c r="J354" s="168" t="str">
        <x:v>CI</x:v>
      </x:c>
      <x:c r="K354" s="174" t="n">
        <x:v>41</x:v>
      </x:c>
      <x:c r="L354" s="187" t="str">
        <x:v>Não classificado</x:v>
      </x:c>
    </x:row>
    <x:row r="355">
      <x:c r="A355" s="177" t="str">
        <x:v>58.212.304/0001-00</x:v>
      </x:c>
      <x:c r="B355" s="168" t="str">
        <x:v>BAROLO FUNDO DE INVESTIMENTO EM DIREITOS CREDITÓRIOS</x:v>
      </x:c>
      <x:c r="C355" s="190" t="n">
        <x:v>395979686.25</x:v>
      </x:c>
      <x:c r="D355" s="168" t="str">
        <x:v>Track Capital Gestão de Recursos Ltda.</x:v>
      </x:c>
      <x:c r="E355" s="168" t="str">
        <x:f>IFERROR(INDEX('Classif Gestoras'!$H$6:$H$462,MATCH(D355,'Classif Gestoras'!$A$6:$A$462,0)),"Não classificada")</x:f>
        <x:v>Independente</x:v>
      </x:c>
      <x:c r="F355" s="168" t="str">
        <x:v>BTG Pactual Servicos Financeiros S/A DTVM</x:v>
      </x:c>
      <x:c r="G355" s="168" t="str">
        <x:v>BANCO BTG PACTUAL S/A</x:v>
      </x:c>
      <x:c r="H355" s="168" t="str">
        <x:v>Outros</x:v>
      </x:c>
      <x:c r="I355" s="168" t="str">
        <x:v>Multicarteira Outros</x:v>
      </x:c>
      <x:c r="J355" s="168" t="str">
        <x:v>CI</x:v>
      </x:c>
      <x:c r="K355" s="174" t="n">
        <x:v>1</x:v>
      </x:c>
      <x:c r="L355" s="187" t="str">
        <x:v>Proxy multicedente/multissacado — revisar</x:v>
      </x:c>
    </x:row>
    <x:row r="356">
      <x:c r="A356" s="177" t="str">
        <x:v>59.629.874/0001-55</x:v>
      </x:c>
      <x:c r="B356" s="168" t="str">
        <x:v>PARANÁ I FIDC - FUNDO DE INVESTIMENTO EM DIREITOS CREDITÓRIOS - RESPONSABILIDADE LIMITADA</x:v>
      </x:c>
      <x:c r="C356" s="190" t="n">
        <x:v>395012029.65</x:v>
      </x:c>
      <x:c r="D356" s="168" t="str">
        <x:v>SUNO ASSET MANAGEMENT</x:v>
      </x:c>
      <x:c r="E356" s="168" t="str">
        <x:f>IFERROR(INDEX('Classif Gestoras'!$H$6:$H$462,MATCH(D356,'Classif Gestoras'!$A$6:$A$462,0)),"Não classificada")</x:f>
        <x:v>Independente</x:v>
      </x:c>
      <x:c r="F356" s="168" t="str">
        <x:v>Genial Investimentos Corretora de Valores Mobiliários S.A.</x:v>
      </x:c>
      <x:c r="G356" s="168" t="str">
        <x:v>BANCO GENIAL S.A.</x:v>
      </x:c>
      <x:c r="H356" s="168" t="str">
        <x:v>Agro, Indústria e Comércio</x:v>
      </x:c>
      <x:c r="I356" s="168" t="str">
        <x:v>Multicarteira Agro, Indústria e Comércio</x:v>
      </x:c>
      <x:c r="J356" s="168" t="str">
        <x:v>CI</x:v>
      </x:c>
      <x:c r="K356" s="174" t="n">
        <x:v>3</x:v>
      </x:c>
      <x:c r="L356" s="187" t="str">
        <x:v>Proxy multicedente/multissacado — revisar</x:v>
      </x:c>
    </x:row>
    <x:row r="357">
      <x:c r="A357" s="177" t="str">
        <x:v>60.115.335/0001-87</x:v>
      </x:c>
      <x:c r="B357" s="168" t="str">
        <x:v>CEPOR FUNDO DE INVESTIMENTO EM DIREITOS CREDITÓRIOS</x:v>
      </x:c>
      <x:c r="C357" s="190" t="n">
        <x:v>394997843.87</x:v>
      </x:c>
      <x:c r="D357" s="168" t="str">
        <x:v>Latache Capital</x:v>
      </x:c>
      <x:c r="E357" s="168" t="str">
        <x:f>IFERROR(INDEX('Classif Gestoras'!$H$6:$H$462,MATCH(D357,'Classif Gestoras'!$A$6:$A$462,0)),"Não classificada")</x:f>
        <x:v>Independente</x:v>
      </x:c>
      <x:c r="F357" s="168" t="str">
        <x:v>BRL TRUST DTVM</x:v>
      </x:c>
      <x:c r="G357" s="168" t="str">
        <x:v>BRL TRUST DISTRIBUIDORA DE TITULOS E VALORES MOBILIARIOS S.A.</x:v>
      </x:c>
      <x:c r="H357" s="168" t="str">
        <x:v>Outros</x:v>
      </x:c>
      <x:c r="I357" s="168" t="str">
        <x:v>Multicarteira Outros</x:v>
      </x:c>
      <x:c r="J357" s="168" t="str">
        <x:v>CI</x:v>
      </x:c>
      <x:c r="K357" s="174" t="n">
        <x:v>2</x:v>
      </x:c>
      <x:c r="L357" s="187" t="str">
        <x:v>Proxy multicedente/multissacado — revisar</x:v>
      </x:c>
    </x:row>
    <x:row r="358">
      <x:c r="A358" s="177" t="str">
        <x:v>12.167.116/0001-07</x:v>
      </x:c>
      <x:c r="B358" s="168" t="str">
        <x:v>VIA INVEST FUNDO DE INVESTIMENTO EM DIREITOS CREDITÓRIOS MULTISSETORIAL RESPONSABILIDADE LIMITADA</x:v>
      </x:c>
      <x:c r="C358" s="190" t="n">
        <x:v>394822451.55</x:v>
      </x:c>
      <x:c r="D358" s="168" t="str">
        <x:v>Via Invest Gestão de Recursos Ltda.</x:v>
      </x:c>
      <x:c r="E358" s="168" t="str">
        <x:f>IFERROR(INDEX('Classif Gestoras'!$H$6:$H$462,MATCH(D358,'Classif Gestoras'!$A$6:$A$462,0)),"Não classificada")</x:f>
        <x:v>Independente</x:v>
      </x:c>
      <x:c r="F358" s="168" t="str">
        <x:v>Singulare</x:v>
      </x:c>
      <x:c r="G358" s="168" t="str">
        <x:v>QI CORRETORA DE TÍTULOS E VALORES MOBILIÁRIOS S.A.</x:v>
      </x:c>
      <x:c r="H358" s="168" t="str">
        <x:v>Fomento Mercantil</x:v>
      </x:c>
      <x:c r="I358" s="168" t="str">
        <x:v>Fomento Mercantil</x:v>
      </x:c>
      <x:c r="J358" s="168" t="str">
        <x:v>CI</x:v>
      </x:c>
      <x:c r="K358" s="174" t="n">
        <x:v>10</x:v>
      </x:c>
      <x:c r="L358" s="187" t="str">
        <x:v>Não classificado</x:v>
      </x:c>
    </x:row>
    <x:row r="359">
      <x:c r="A359" s="177" t="str">
        <x:v>61.157.943/0001-17</x:v>
      </x:c>
      <x:c r="B359" s="168" t="str">
        <x:v>JEITTO FUNDO DE INVESTIMENTO EM DIREITOS CREDITÓRIOS GUARDIAN RESPONSABILIDADE LIMITADA</x:v>
      </x:c>
      <x:c r="C359" s="190" t="n">
        <x:v>391002185.35</x:v>
      </x:c>
      <x:c r="D359" s="168" t="str">
        <x:v>Guardian Crédito</x:v>
      </x:c>
      <x:c r="E359" s="168" t="str">
        <x:f>IFERROR(INDEX('Classif Gestoras'!$H$6:$H$462,MATCH(D359,'Classif Gestoras'!$A$6:$A$462,0)),"Não classificada")</x:f>
        <x:v>Independente</x:v>
      </x:c>
      <x:c r="F359" s="168" t="str">
        <x:v>Oliveira Trust DTVM</x:v>
      </x:c>
      <x:c r="G359" s="168" t="str">
        <x:v>OLIVEIRA TRUST DTVM S.A.</x:v>
      </x:c>
      <x:c r="H359" s="168" t="str">
        <x:v>Financeiro</x:v>
      </x:c>
      <x:c r="I359" s="168" t="str">
        <x:v>Crédito Pessoal</x:v>
      </x:c>
      <x:c r="J359" s="168" t="str">
        <x:v>CI</x:v>
      </x:c>
      <x:c r="K359" s="174" t="n">
        <x:v>8</x:v>
      </x:c>
      <x:c r="L359" s="187" t="str">
        <x:v>Não classificado</x:v>
      </x:c>
    </x:row>
    <x:row r="360">
      <x:c r="A360" s="177" t="str">
        <x:v>50.277.965/0001-02</x:v>
      </x:c>
      <x:c r="B360" s="168" t="str">
        <x:v>PÁTRIA CRÉDITO ESTRUTURADO MASTER FUNDO DE INVESTIMENTO EM DIREITOS CREDITÓRIOS</x:v>
      </x:c>
      <x:c r="C360" s="190" t="n">
        <x:v>388655882.7000001</x:v>
      </x:c>
      <x:c r="D360" s="168" t="str">
        <x:v>Pátria Investimentos Ltda.</x:v>
      </x:c>
      <x:c r="E360" s="168" t="str">
        <x:f>IFERROR(INDEX('Classif Gestoras'!$H$6:$H$462,MATCH(D360,'Classif Gestoras'!$A$6:$A$462,0)),"Não classificada")</x:f>
        <x:v>Independente</x:v>
      </x:c>
      <x:c r="F360" s="168" t="str">
        <x:v>XPI CCTVM S/A</x:v>
      </x:c>
      <x:c r="G360" s="168" t="str">
        <x:v>OLIVEIRA TRUST DTVM S.A.</x:v>
      </x:c>
      <x:c r="H360" s="168" t="str">
        <x:v>Outros</x:v>
      </x:c>
      <x:c r="I360" s="168" t="str">
        <x:v>Multicarteira Outros</x:v>
      </x:c>
      <x:c r="J360" s="168" t="str">
        <x:v>CI</x:v>
      </x:c>
      <x:c r="K360" s="174" t="n">
        <x:v>4</x:v>
      </x:c>
      <x:c r="L360" s="187" t="str">
        <x:v>Proxy multicedente/multissacado — revisar</x:v>
      </x:c>
    </x:row>
    <x:row r="361">
      <x:c r="A361" s="177" t="str">
        <x:v>26.749.095/0001-34</x:v>
      </x:c>
      <x:c r="B361" s="168" t="str">
        <x:v>PRAVALER CRÉDITO UNIVERSITÁRIO II FUNDO DE INVESTIMENTO EM DIREITOS CREDITÓRIOS - RESP LIMITADAL</x:v>
      </x:c>
      <x:c r="C361" s="190" t="n">
        <x:v>386087567.1</x:v>
      </x:c>
      <x:c r="D361" s="168" t="str">
        <x:v>PRAVALER S/A</x:v>
      </x:c>
      <x:c r="E361" s="168" t="str">
        <x:f>IFERROR(INDEX('Classif Gestoras'!$H$6:$H$462,MATCH(D361,'Classif Gestoras'!$A$6:$A$462,0)),"Não classificada")</x:f>
        <x:v>Independente</x:v>
      </x:c>
      <x:c r="F361" s="168" t="str">
        <x:v>Oliveira Trust DTVM</x:v>
      </x:c>
      <x:c r="G361" s="168" t="str">
        <x:v>OLIVEIRA TRUST DTVM S.A.</x:v>
      </x:c>
      <x:c r="H361" s="168" t="str">
        <x:v>Financeiro</x:v>
      </x:c>
      <x:c r="I361" s="168" t="str">
        <x:v>Crédito Pessoal</x:v>
      </x:c>
      <x:c r="J361" s="168" t="str">
        <x:v>CI</x:v>
      </x:c>
      <x:c r="K361" s="174" t="n">
        <x:v>38</x:v>
      </x:c>
      <x:c r="L361" s="187" t="str">
        <x:v>Não classificado</x:v>
      </x:c>
    </x:row>
    <x:row r="362">
      <x:c r="A362" s="177" t="str">
        <x:v>43.705.687/0001-73</x:v>
      </x:c>
      <x:c r="B362" s="168" t="str">
        <x:v>EDENEMERALD HEZ FIDC SEGMENTO MEIOS DE PAGAMENTO DE RESPONSABILIDADE LIMITADA</x:v>
      </x:c>
      <x:c r="C362" s="190" t="n">
        <x:v>385710795.8</x:v>
      </x:c>
      <x:c r="D362" s="168" t="str">
        <x:v>GENIAL GESTÃO LTDA.</x:v>
      </x:c>
      <x:c r="E362" s="168" t="str">
        <x:f>IFERROR(INDEX('Classif Gestoras'!$H$6:$H$462,MATCH(D362,'Classif Gestoras'!$A$6:$A$462,0)),"Não classificada")</x:f>
        <x:v>Ligada a banco</x:v>
      </x:c>
      <x:c r="F362" s="168" t="str">
        <x:v>Genial Investimentos Corretora de Valores Mobiliários S.A.</x:v>
      </x:c>
      <x:c r="G362" s="168" t="str">
        <x:v>BANCO GENIAL S.A.</x:v>
      </x:c>
      <x:c r="H362" s="168" t="str">
        <x:v>Agro, Indústria e Comércio</x:v>
      </x:c>
      <x:c r="I362" s="168" t="str">
        <x:v>Recebíveis Comerciais</x:v>
      </x:c>
      <x:c r="J362" s="168" t="str">
        <x:v>CI</x:v>
      </x:c>
      <x:c r="K362" s="174" t="n">
        <x:v>37</x:v>
      </x:c>
      <x:c r="L362" s="187" t="str">
        <x:v>Não classificado</x:v>
      </x:c>
    </x:row>
    <x:row r="363">
      <x:c r="A363" s="177" t="str">
        <x:v>58.476.520/0001-55</x:v>
      </x:c>
      <x:c r="B363" s="168" t="str">
        <x:v>BRADESCO FARMTECH PLUS - FUNDO DE INVESTIMENTO EM DIREITOS CREDITÓRIOS DO AGRONEGÓCIO - RESP LTDA</x:v>
      </x:c>
      <x:c r="C363" s="190" t="n">
        <x:v>385607915.24</x:v>
      </x:c>
      <x:c r="D363" s="168" t="str">
        <x:v>Banco Bradesco S/A</x:v>
      </x:c>
      <x:c r="E363" s="168" t="str">
        <x:f>IFERROR(INDEX('Classif Gestoras'!$H$6:$H$462,MATCH(D363,'Classif Gestoras'!$A$6:$A$462,0)),"Não classificada")</x:f>
        <x:v>Ligada a banco</x:v>
      </x:c>
      <x:c r="F363" s="168" t="str">
        <x:v>Oliveira Trust DTVM</x:v>
      </x:c>
      <x:c r="G363" s="168" t="str">
        <x:v>OLIVEIRA TRUST DTVM S.A.</x:v>
      </x:c>
      <x:c r="H363" s="168" t="str">
        <x:v>Agro, Indústria e Comércio</x:v>
      </x:c>
      <x:c r="I363" s="168" t="str">
        <x:v>Recebíveis Comerciais</x:v>
      </x:c>
      <x:c r="J363" s="168" t="str">
        <x:v>CI</x:v>
      </x:c>
      <x:c r="K363" s="174" t="n">
        <x:v>15</x:v>
      </x:c>
      <x:c r="L363" s="187" t="str">
        <x:v>Não classificado</x:v>
      </x:c>
    </x:row>
    <x:row r="364">
      <x:c r="A364" s="177" t="str">
        <x:v>48.971.114/0001-05</x:v>
      </x:c>
      <x:c r="B364" s="168" t="str">
        <x:v>BTS FUNDO DE INVESTIMENTO EM DIREITOS CREDITÓRIOS</x:v>
      </x:c>
      <x:c r="C364" s="190" t="n">
        <x:v>385507229.93</x:v>
      </x:c>
      <x:c r="D364" s="168" t="str">
        <x:v>Acura Gestora de Recursos LTDA.</x:v>
      </x:c>
      <x:c r="E364" s="168" t="str">
        <x:f>IFERROR(INDEX('Classif Gestoras'!$H$6:$H$462,MATCH(D364,'Classif Gestoras'!$A$6:$A$462,0)),"Não classificada")</x:f>
        <x:v>Independente</x:v>
      </x:c>
      <x:c r="F364" s="168" t="str">
        <x:v>SEFER DTVM</x:v>
      </x:c>
      <x:c r="G364" s="168" t="str">
        <x:v>SEFER INVESTIMENTOS DISTRIBUIDORA DE TÍTULOS E VALORES MOBILIÁRIOS LTDA.</x:v>
      </x:c>
      <x:c r="H364" s="168" t="str">
        <x:v>Financeiro</x:v>
      </x:c>
      <x:c r="I364" s="168" t="str">
        <x:v>Crédito Consignado</x:v>
      </x:c>
      <x:c r="J364" s="168" t="str">
        <x:v>CI</x:v>
      </x:c>
      <x:c r="K364" s="174" t="n">
        <x:v>1</x:v>
      </x:c>
      <x:c r="L364" s="187" t="str">
        <x:v>Não classificado</x:v>
      </x:c>
    </x:row>
    <x:row r="365">
      <x:c r="A365" s="177" t="str">
        <x:v>36.566.199/0001-67</x:v>
      </x:c>
      <x:c r="B365" s="168" t="str">
        <x:v>LAPERANTA FUNDO DE INVESTIMENTO EM DIREITOS CREDITÓRIOS</x:v>
      </x:c>
      <x:c r="C365" s="190" t="n">
        <x:v>383831847.9499999</x:v>
      </x:c>
      <x:c r="D365" s="168" t="str">
        <x:v>Redwood Asset Management</x:v>
      </x:c>
      <x:c r="E365" s="168" t="str">
        <x:f>IFERROR(INDEX('Classif Gestoras'!$H$6:$H$462,MATCH(D365,'Classif Gestoras'!$A$6:$A$462,0)),"Não classificada")</x:f>
        <x:v>Independente</x:v>
      </x:c>
      <x:c r="F365" s="168" t="str">
        <x:v>PLANNER CV</x:v>
      </x:c>
      <x:c r="G365" s="168" t="str">
        <x:v>PLANNER CORRETORA DE VALORES S.A.</x:v>
      </x:c>
      <x:c r="H365" s="168" t="str">
        <x:v>Outros</x:v>
      </x:c>
      <x:c r="I365" s="168" t="str">
        <x:v>Multicarteira Outros</x:v>
      </x:c>
      <x:c r="J365" s="168" t="str">
        <x:v>CI</x:v>
      </x:c>
      <x:c r="K365" s="174" t="n">
        <x:v>2</x:v>
      </x:c>
      <x:c r="L365" s="187" t="str">
        <x:v>Proxy multicedente/multissacado — revisar</x:v>
      </x:c>
    </x:row>
    <x:row r="366">
      <x:c r="A366" s="177" t="str">
        <x:v>43.866.348/0001-79</x:v>
      </x:c>
      <x:c r="B366" s="168" t="str">
        <x:v>FUNDO DE INVESTIMENTO EM DIREITOS CREDITÓRIOS OPEA AGRO SUMITOMO CHEMICAL RESP LIMITADA</x:v>
      </x:c>
      <x:c r="C366" s="190" t="n">
        <x:v>383512695.84</x:v>
      </x:c>
      <x:c r="D366" s="168" t="str">
        <x:v>OPEA GESTORA DE RECURSOS</x:v>
      </x:c>
      <x:c r="E366" s="168" t="str">
        <x:f>IFERROR(INDEX('Classif Gestoras'!$H$6:$H$462,MATCH(D366,'Classif Gestoras'!$A$6:$A$462,0)),"Não classificada")</x:f>
        <x:v>Independente</x:v>
      </x:c>
      <x:c r="F366" s="168" t="str">
        <x:v>VÓRTX DTVM</x:v>
      </x:c>
      <x:c r="G366" s="168" t="str">
        <x:v>VORTX DISTRIBUIDORA DE TITULOS E VALORES MOBILIARIOS LTDA.</x:v>
      </x:c>
      <x:c r="H366" s="168" t="str">
        <x:v>Agro, Indústria e Comércio</x:v>
      </x:c>
      <x:c r="I366" s="168" t="str">
        <x:v>Multicarteira Agro, Indústria e Comércio</x:v>
      </x:c>
      <x:c r="J366" s="168" t="str">
        <x:v>CI</x:v>
      </x:c>
      <x:c r="K366" s="174" t="n">
        <x:v>132</x:v>
      </x:c>
      <x:c r="L366" s="187" t="str">
        <x:v>Proxy multicedente/multissacado — revisar</x:v>
      </x:c>
    </x:row>
    <x:row r="367">
      <x:c r="A367" s="177" t="str">
        <x:v>42.336.323/0001-09</x:v>
      </x:c>
      <x:c r="B367" s="168" t="str">
        <x:v>CERES CONFINA FUNDO DE INVESTIMENTO EM DIREITOS CREDITÓRIOS - RESPONSABILIDADE LIMITADA</x:v>
      </x:c>
      <x:c r="C367" s="190" t="n">
        <x:v>383406330.8999999</x:v>
      </x:c>
      <x:c r="D367" s="168" t="str">
        <x:v>Artesanal Agro</x:v>
      </x:c>
      <x:c r="E367" s="168" t="str">
        <x:f>IFERROR(INDEX('Classif Gestoras'!$H$6:$H$462,MATCH(D367,'Classif Gestoras'!$A$6:$A$462,0)),"Não classificada")</x:f>
        <x:v>Independente</x:v>
      </x:c>
      <x:c r="F367" s="168" t="str">
        <x:v>Singulare</x:v>
      </x:c>
      <x:c r="G367" s="168" t="str">
        <x:v>QI CORRETORA DE TÍTULOS E VALORES MOBILIÁRIOS S.A.</x:v>
      </x:c>
      <x:c r="H367" s="168" t="str">
        <x:v>Agro, Indústria e Comércio</x:v>
      </x:c>
      <x:c r="I367" s="168" t="str">
        <x:v>Agronegócio</x:v>
      </x:c>
      <x:c r="J367" s="168" t="str">
        <x:v>CI</x:v>
      </x:c>
      <x:c r="K367" s="174" t="n">
        <x:v>59</x:v>
      </x:c>
      <x:c r="L367" s="187" t="str">
        <x:v>Não classificado</x:v>
      </x:c>
    </x:row>
    <x:row r="368">
      <x:c r="A368" s="177" t="str">
        <x:v>27.985.097/0001-95</x:v>
      </x:c>
      <x:c r="B368" s="168" t="str">
        <x:v>ALIANÇA FUNDO DE INVESTIMENTO EM DIREITOS CREDITÓRIOS CONSIGNADOS - RESPONSABILIDADE LIMITADA</x:v>
      </x:c>
      <x:c r="C368" s="190" t="n">
        <x:v>381832002.5499999</x:v>
      </x:c>
      <x:c r="D368" s="168" t="str">
        <x:v>SUESTE CAPITAL GESTÃO DE RECURSOS LTDA.</x:v>
      </x:c>
      <x:c r="E368" s="168" t="str">
        <x:f>IFERROR(INDEX('Classif Gestoras'!$H$6:$H$462,MATCH(D368,'Classif Gestoras'!$A$6:$A$462,0)),"Não classificada")</x:f>
        <x:v>Independente</x:v>
      </x:c>
      <x:c r="F368" s="168" t="str">
        <x:v>BANCO DAYCOVAL S/A</x:v>
      </x:c>
      <x:c r="G368" s="168" t="str">
        <x:v>BANCO DAYCOVAL S.A.</x:v>
      </x:c>
      <x:c r="H368" s="168" t="str">
        <x:v>Financeiro</x:v>
      </x:c>
      <x:c r="I368" s="168" t="str">
        <x:v>Crédito Consignado</x:v>
      </x:c>
      <x:c r="J368" s="168" t="str">
        <x:v>CI</x:v>
      </x:c>
      <x:c r="K368" s="174" t="n">
        <x:v>13</x:v>
      </x:c>
      <x:c r="L368" s="187" t="str">
        <x:v>Não classificado</x:v>
      </x:c>
    </x:row>
    <x:row r="369">
      <x:c r="A369" s="177" t="str">
        <x:v>27.771.731/0001-97</x:v>
      </x:c>
      <x:c r="B369" s="168" t="str">
        <x:v>FUNDO DE INVESTIMENTO EM DIREITOS CREDITORIOS XPCE V</x:v>
      </x:c>
      <x:c r="C369" s="190" t="n">
        <x:v>381719309.02</x:v>
      </x:c>
      <x:c r="D369" s="168" t="str">
        <x:v>XP Gestão de Recurso</x:v>
      </x:c>
      <x:c r="E369" s="168" t="str">
        <x:f>IFERROR(INDEX('Classif Gestoras'!$H$6:$H$462,MATCH(D369,'Classif Gestoras'!$A$6:$A$462,0)),"Não classificada")</x:f>
        <x:v>Ligada a banco</x:v>
      </x:c>
      <x:c r="F369" s="168" t="str">
        <x:v>Banco Genial S.A.</x:v>
      </x:c>
      <x:c r="G369" s="168" t="str">
        <x:v>BANCO GENIAL S.A.</x:v>
      </x:c>
      <x:c r="H369" s="168" t="str">
        <x:v>Financeiro</x:v>
      </x:c>
      <x:c r="I369" s="168" t="str">
        <x:v>Crédito Imobiliário</x:v>
      </x:c>
      <x:c r="J369" s="168" t="str">
        <x:v>CI</x:v>
      </x:c>
      <x:c r="K369" s="174" t="n">
        <x:v>3</x:v>
      </x:c>
      <x:c r="L369" s="187" t="str">
        <x:v>Não classificado</x:v>
      </x:c>
    </x:row>
    <x:row r="370">
      <x:c r="A370" s="177" t="str">
        <x:v>32.274.338/0001-28</x:v>
      </x:c>
      <x:c r="B370" s="168" t="str">
        <x:v>JAZZ FUNDO DE INVESTIMENTO EM DIREITOS CREDITÓRIOS</x:v>
      </x:c>
      <x:c r="C370" s="190" t="n">
        <x:v>381482676.3162</x:v>
      </x:c>
      <x:c r="D370" s="168" t="str">
        <x:v>JIVE INVESTMENTS</x:v>
      </x:c>
      <x:c r="E370" s="168" t="str">
        <x:f>IFERROR(INDEX('Classif Gestoras'!$H$6:$H$462,MATCH(D370,'Classif Gestoras'!$A$6:$A$462,0)),"Não classificada")</x:f>
        <x:v>Independente</x:v>
      </x:c>
      <x:c r="F370" s="168" t="str">
        <x:v>BTG Pactual Servicos Financeiros S/A DTVM</x:v>
      </x:c>
      <x:c r="G370" s="168" t="str">
        <x:v>BANCO BTG PACTUAL S/A</x:v>
      </x:c>
      <x:c r="H370" s="168" t="str">
        <x:v>Outros</x:v>
      </x:c>
      <x:c r="I370" s="168" t="str">
        <x:v>Poder Público</x:v>
      </x:c>
      <x:c r="J370" s="168" t="str">
        <x:v>CI</x:v>
      </x:c>
      <x:c r="K370" s="174" t="n">
        <x:v>1</x:v>
      </x:c>
      <x:c r="L370" s="187" t="str">
        <x:v>Não classificado</x:v>
      </x:c>
    </x:row>
    <x:row r="371">
      <x:c r="A371" s="177" t="str">
        <x:v>61.305.620/0001-23</x:v>
      </x:c>
      <x:c r="B371" s="168" t="str">
        <x:v>PLGN AUTO LOANS II FUNDO DE INVESTIMENTO EM DIREITOS CREDITÓRIOS</x:v>
      </x:c>
      <x:c r="C371" s="190" t="n">
        <x:v>381326085.36</x:v>
      </x:c>
      <x:c r="D371" s="168" t="str">
        <x:v>POLÍGONO CAPITAL LTDA.</x:v>
      </x:c>
      <x:c r="E371" s="168" t="str">
        <x:f>IFERROR(INDEX('Classif Gestoras'!$H$6:$H$462,MATCH(D371,'Classif Gestoras'!$A$6:$A$462,0)),"Não classificada")</x:f>
        <x:v>Independente</x:v>
      </x:c>
      <x:c r="F371" s="168" t="str">
        <x:v>FIDD DISTRIBUIDORA DE TITULOS E VALORES MOBILIARIOS LTD</x:v>
      </x:c>
      <x:c r="G371" s="168" t="str">
        <x:v>FIDD DISTRIBUIDORA DE TITULOS E VALORES MOBILIARIOS LTDA.</x:v>
      </x:c>
      <x:c r="H371" s="168" t="str">
        <x:v>Financeiro</x:v>
      </x:c>
      <x:c r="I371" s="168" t="str">
        <x:v>Financiamento de Veículos</x:v>
      </x:c>
      <x:c r="J371" s="168" t="str">
        <x:v>CI</x:v>
      </x:c>
      <x:c r="K371" s="174" t="n">
        <x:v>10</x:v>
      </x:c>
      <x:c r="L371" s="187" t="str">
        <x:v>Não classificado</x:v>
      </x:c>
    </x:row>
    <x:row r="372">
      <x:c r="A372" s="177" t="str">
        <x:v>37.294.908/0001-65</x:v>
      </x:c>
      <x:c r="B372" s="168" t="str">
        <x:v>FUNDO DE INVESTIMENTO EM DIREITOS CREDITORIOS CCS ASSET II - RESPONSABILIDADE LIMITADA</x:v>
      </x:c>
      <x:c r="C372" s="190" t="n">
        <x:v>379618080.47</x:v>
      </x:c>
      <x:c r="D372" s="168" t="str">
        <x:v>BRL TRUST DTVM</x:v>
      </x:c>
      <x:c r="E372" s="168" t="str">
        <x:f>IFERROR(INDEX('Classif Gestoras'!$H$6:$H$462,MATCH(D372,'Classif Gestoras'!$A$6:$A$462,0)),"Não classificada")</x:f>
        <x:v>Independente</x:v>
      </x:c>
      <x:c r="F372" s="168" t="str">
        <x:v>BRL TRUST DTVM</x:v>
      </x:c>
      <x:c r="G372" s="168" t="str">
        <x:v>BRL TRUST DISTRIBUIDORA DE TITULOS E VALORES MOBILIARIOS S.A.</x:v>
      </x:c>
      <x:c r="H372" s="168" t="str">
        <x:v>Outros</x:v>
      </x:c>
      <x:c r="I372" s="168" t="str">
        <x:v>Multicarteira Outros</x:v>
      </x:c>
      <x:c r="J372" s="168" t="str">
        <x:v>CI</x:v>
      </x:c>
      <x:c r="K372" s="174" t="n">
        <x:v>1</x:v>
      </x:c>
      <x:c r="L372" s="187" t="str">
        <x:v>Proxy multicedente/multissacado — revisar</x:v>
      </x:c>
    </x:row>
    <x:row r="373">
      <x:c r="A373" s="177" t="str">
        <x:v>55.595.058/0001-17</x:v>
      </x:c>
      <x:c r="B373" s="168" t="str">
        <x:v>ATIVOS ESPECIAIS IV A FUNDO DE INVESTIMENTO EM DIREITOS CREDITÓRIOS</x:v>
      </x:c>
      <x:c r="C373" s="190" t="n">
        <x:v>379058948.48</x:v>
      </x:c>
      <x:c r="D373" s="168" t="str">
        <x:v>Vinci SPS Gestão de Recursos Ltda.</x:v>
      </x:c>
      <x:c r="E373" s="168" t="str">
        <x:f>IFERROR(INDEX('Classif Gestoras'!$H$6:$H$462,MATCH(D373,'Classif Gestoras'!$A$6:$A$462,0)),"Não classificada")</x:f>
        <x:v>Independente</x:v>
      </x:c>
      <x:c r="F373" s="168" t="str">
        <x:v>BANCO DAYCOVAL S/A</x:v>
      </x:c>
      <x:c r="G373" s="168" t="str">
        <x:v>BANCO DAYCOVAL S.A.</x:v>
      </x:c>
      <x:c r="H373" s="168" t="str">
        <x:v>Outros</x:v>
      </x:c>
      <x:c r="I373" s="168" t="str">
        <x:v>Multicarteira Outros</x:v>
      </x:c>
      <x:c r="J373" s="168" t="str">
        <x:v>CI</x:v>
      </x:c>
      <x:c r="K373" s="174" t="n">
        <x:v>1</x:v>
      </x:c>
      <x:c r="L373" s="187" t="str">
        <x:v>Proxy multicedente/multissacado — revisar</x:v>
      </x:c>
    </x:row>
    <x:row r="374">
      <x:c r="A374" s="177" t="str">
        <x:v>54.229.771/0001-84</x:v>
      </x:c>
      <x:c r="B374" s="168" t="str">
        <x:v>CAMPANA FUNDO DE INVESTIMENTO EM DIREITOS CREDITÓRIOS - RESPONSABILIDADE LIMITADA</x:v>
      </x:c>
      <x:c r="C374" s="190" t="n">
        <x:v>376978496.44000006</x:v>
      </x:c>
      <x:c r="D374" s="168" t="str">
        <x:v>Solis</x:v>
      </x:c>
      <x:c r="E374" s="168" t="str">
        <x:f>IFERROR(INDEX('Classif Gestoras'!$H$6:$H$462,MATCH(D374,'Classif Gestoras'!$A$6:$A$462,0)),"Não classificada")</x:f>
        <x:v>Independente</x:v>
      </x:c>
      <x:c r="F374" s="168" t="str">
        <x:v>HEMERA DTVM</x:v>
      </x:c>
      <x:c r="G374" s="168" t="str">
        <x:v>HEMERA DISTRIBUIDORA DE TITULOS E VALORES MOBILIARIOS LTDA</x:v>
      </x:c>
      <x:c r="H374" s="168" t="str">
        <x:v>Financeiro</x:v>
      </x:c>
      <x:c r="I374" s="168" t="str">
        <x:v>Crédito Consignado</x:v>
      </x:c>
      <x:c r="J374" s="168" t="str">
        <x:v>CI</x:v>
      </x:c>
      <x:c r="K374" s="174" t="n">
        <x:v>27</x:v>
      </x:c>
      <x:c r="L374" s="187" t="str">
        <x:v>Não classificado</x:v>
      </x:c>
    </x:row>
    <x:row r="375">
      <x:c r="A375" s="177" t="str">
        <x:v>47.085.610/0001-07</x:v>
      </x:c>
      <x:c r="B375" s="168" t="str">
        <x:v>FUNDO DE GESTÃO DE ATIVOS DE CRÉDITO - FIDC RESPONSABILIDADE LIMITADA</x:v>
      </x:c>
      <x:c r="C375" s="190" t="n">
        <x:v>376407858.83</x:v>
      </x:c>
      <x:c r="D375" s="168" t="str">
        <x:v>JIVE INVESTMENTS</x:v>
      </x:c>
      <x:c r="E375" s="168" t="str">
        <x:f>IFERROR(INDEX('Classif Gestoras'!$H$6:$H$462,MATCH(D375,'Classif Gestoras'!$A$6:$A$462,0)),"Não classificada")</x:f>
        <x:v>Independente</x:v>
      </x:c>
      <x:c r="F375" s="168" t="str">
        <x:v>MAF Distribuidora de Títulos e Valores Mobiliários S.A.</x:v>
      </x:c>
      <x:c r="G375" s="168" t="str">
        <x:v>MAF DISTRIBUIDORA DE TITULOS E VALORES MOBILIARIOS S.A.</x:v>
      </x:c>
      <x:c r="H375" s="168" t="str">
        <x:v>Outros</x:v>
      </x:c>
      <x:c r="I375" s="168" t="str">
        <x:v>Multicarteira Outros</x:v>
      </x:c>
      <x:c r="J375" s="168" t="str">
        <x:v>CI</x:v>
      </x:c>
      <x:c r="K375" s="174" t="n">
        <x:v>3</x:v>
      </x:c>
      <x:c r="L375" s="187" t="str">
        <x:v>Proxy multicedente/multissacado — revisar</x:v>
      </x:c>
    </x:row>
    <x:row r="376">
      <x:c r="A376" s="177" t="str">
        <x:v>63.113.571/0001-52</x:v>
      </x:c>
      <x:c r="B376" s="168" t="str">
        <x:v>GALAPAGOS ARCESP FUNDO DE INVESTIMENTO EM DIREITOS CREDITÓRIOS - RESPONSABILIDADE LIMITADA</x:v>
      </x:c>
      <x:c r="C376" s="190" t="n">
        <x:v>374914631.32</x:v>
      </x:c>
      <x:c r="D376" s="168" t="str">
        <x:v>Galápagos</x:v>
      </x:c>
      <x:c r="E376" s="168" t="str">
        <x:f>IFERROR(INDEX('Classif Gestoras'!$H$6:$H$462,MATCH(D376,'Classif Gestoras'!$A$6:$A$462,0)),"Não classificada")</x:f>
        <x:v>Independente</x:v>
      </x:c>
      <x:c r="F376" s="168" t="str">
        <x:v>VÓRTX DTVM</x:v>
      </x:c>
      <x:c r="G376" s="168" t="str">
        <x:v>VORTX DISTRIBUIDORA DE TITULOS E VALORES MOBILIARIOS LTDA.</x:v>
      </x:c>
      <x:c r="H376" s="168" t="str">
        <x:v>Outros</x:v>
      </x:c>
      <x:c r="I376" s="168" t="str">
        <x:v>Multicarteira Outros</x:v>
      </x:c>
      <x:c r="J376" s="168" t="str">
        <x:v>CI</x:v>
      </x:c>
      <x:c r="K376" s="174" t="n">
        <x:v>34</x:v>
      </x:c>
      <x:c r="L376" s="187" t="str">
        <x:v>Proxy multicedente/multissacado — revisar</x:v>
      </x:c>
    </x:row>
    <x:row r="377">
      <x:c r="A377" s="177" t="str">
        <x:v>32.510.577/0001-30</x:v>
      </x:c>
      <x:c r="B377" s="168" t="str">
        <x:v>MULTIPLICA LONG TERM LONGO PRAZO FUNDO DE INVESTIMENTO EM DIREITOS CREDITÓRIOS</x:v>
      </x:c>
      <x:c r="C377" s="190" t="n">
        <x:v>373739367.85</x:v>
      </x:c>
      <x:c r="D377" s="168" t="str">
        <x:v>Multiplica Capital</x:v>
      </x:c>
      <x:c r="E377" s="168" t="str">
        <x:f>IFERROR(INDEX('Classif Gestoras'!$H$6:$H$462,MATCH(D377,'Classif Gestoras'!$A$6:$A$462,0)),"Não classificada")</x:f>
        <x:v>Independente</x:v>
      </x:c>
      <x:c r="F377" s="168" t="str">
        <x:v>Singulare</x:v>
      </x:c>
      <x:c r="G377" s="168" t="str">
        <x:v>QI CORRETORA DE TÍTULOS E VALORES MOBILIÁRIOS S.A.</x:v>
      </x:c>
      <x:c r="H377" s="168" t="str">
        <x:v>Fomento Mercantil</x:v>
      </x:c>
      <x:c r="I377" s="168" t="str">
        <x:v>Fomento Mercantil</x:v>
      </x:c>
      <x:c r="J377" s="168" t="str">
        <x:v>CI</x:v>
      </x:c>
      <x:c r="K377" s="174" t="n">
        <x:v>41</x:v>
      </x:c>
      <x:c r="L377" s="187" t="str">
        <x:v>Não classificado</x:v>
      </x:c>
    </x:row>
    <x:row r="378">
      <x:c r="A378" s="177" t="str">
        <x:v>18.676.119/0001-44</x:v>
      </x:c>
      <x:c r="B378" s="168" t="str">
        <x:v>CROWN OCEAN CAPITAL CREDITS I FUNDO DE INVESTIMENTO EM DIREITOS CREDITÓRIOS</x:v>
      </x:c>
      <x:c r="C378" s="190" t="n">
        <x:v>372748610.13</x:v>
      </x:c>
      <x:c r="D378" s="168" t="str">
        <x:v>Vista Real Estate</x:v>
      </x:c>
      <x:c r="E378" s="168" t="str">
        <x:f>IFERROR(INDEX('Classif Gestoras'!$H$6:$H$462,MATCH(D378,'Classif Gestoras'!$A$6:$A$462,0)),"Não classificada")</x:f>
        <x:v>Independente</x:v>
      </x:c>
      <x:c r="F378" s="168" t="str">
        <x:v>VÓRTX DTVM</x:v>
      </x:c>
      <x:c r="G378" s="168" t="str">
        <x:v>VORTX DISTRIBUIDORA DE TITULOS E VALORES MOBILIARIOS LTDA.</x:v>
      </x:c>
      <x:c r="H378" s="168" t="str">
        <x:v>Outros</x:v>
      </x:c>
      <x:c r="I378" s="168" t="str">
        <x:v>Poder Público</x:v>
      </x:c>
      <x:c r="J378" s="168" t="str">
        <x:v>CI</x:v>
      </x:c>
      <x:c r="K378" s="174" t="n">
        <x:v>7</x:v>
      </x:c>
      <x:c r="L378" s="187" t="str">
        <x:v>Não classificado</x:v>
      </x:c>
    </x:row>
    <x:row r="379">
      <x:c r="A379" s="177" t="str">
        <x:v>50.312.715/0001-58</x:v>
      </x:c>
      <x:c r="B379" s="168" t="str">
        <x:v>PFC FUNDO DE INVESTIMENTO EM DIREITOS CREDITÓRIOS NÃO-PADRONIZADOS RESPONSABILIDADE LIMITADA</x:v>
      </x:c>
      <x:c r="C379" s="190" t="n">
        <x:v>372731612.81</x:v>
      </x:c>
      <x:c r="D379" s="168" t="str">
        <x:v>GESTORA DE RECURSOS ID - GRID LTDA.</x:v>
      </x:c>
      <x:c r="E379" s="168" t="str">
        <x:f>IFERROR(INDEX('Classif Gestoras'!$H$6:$H$462,MATCH(D379,'Classif Gestoras'!$A$6:$A$462,0)),"Não classificada")</x:f>
        <x:v>Independente</x:v>
      </x:c>
      <x:c r="F379" s="168" t="str">
        <x:v>ID Corretora de Títulos e Valores Mobiliários S.A.</x:v>
      </x:c>
      <x:c r="G379" s="168" t="str">
        <x:v>ID CORRETORA DE TITULOS E VALORES MOBILIARIOS S.A.</x:v>
      </x:c>
      <x:c r="H379" s="168" t="str">
        <x:v>Outros</x:v>
      </x:c>
      <x:c r="I379" s="168" t="str">
        <x:v>Multicarteira Outros</x:v>
      </x:c>
      <x:c r="J379" s="168" t="str">
        <x:v>CI</x:v>
      </x:c>
      <x:c r="K379" s="174" t="n">
        <x:v>2</x:v>
      </x:c>
      <x:c r="L379" s="187" t="str">
        <x:v>Proxy multicedente/multissacado — revisar</x:v>
      </x:c>
    </x:row>
    <x:row r="380">
      <x:c r="A380" s="177" t="str">
        <x:v>60.742.201/0001-96</x:v>
      </x:c>
      <x:c r="B380" s="168" t="str">
        <x:v>FGCB III FUNDO DE INVESTIMENTO EM DIREITOS CREDITÓRIOS SEGMENTO MULTICARTEIRA - RESP LIMITADA</x:v>
      </x:c>
      <x:c r="C380" s="190" t="n">
        <x:v>372345045.4899999</x:v>
      </x:c>
      <x:c r="D380" s="168" t="str">
        <x:v>BRL TRUST DTVM</x:v>
      </x:c>
      <x:c r="E380" s="168" t="str">
        <x:f>IFERROR(INDEX('Classif Gestoras'!$H$6:$H$462,MATCH(D380,'Classif Gestoras'!$A$6:$A$462,0)),"Não classificada")</x:f>
        <x:v>Independente</x:v>
      </x:c>
      <x:c r="F380" s="168" t="str">
        <x:v>BRL TRUST DTVM</x:v>
      </x:c>
      <x:c r="G380" s="168" t="str">
        <x:v>BRL TRUST DISTRIBUIDORA DE TITULOS E VALORES MOBILIARIOS S.A.</x:v>
      </x:c>
      <x:c r="H380" s="168" t="str">
        <x:v>Financeiro</x:v>
      </x:c>
      <x:c r="I380" s="168" t="str">
        <x:v>Multicarteira Financeiro</x:v>
      </x:c>
      <x:c r="J380" s="168" t="str">
        <x:v>CI</x:v>
      </x:c>
      <x:c r="K380" s="174" t="n">
        <x:v>13</x:v>
      </x:c>
      <x:c r="L380" s="187" t="str">
        <x:v>Proxy multicedente/multissacado — revisar</x:v>
      </x:c>
    </x:row>
    <x:row r="381">
      <x:c r="A381" s="177" t="str">
        <x:v>37.457.367/0001-49</x:v>
      </x:c>
      <x:c r="B381" s="168" t="str">
        <x:v>POSITIVO II FUNDO DE INVESTIMENTO EM DIREITOS CREDITÓRIOS RESPONSABILIDADE LIMITADA</x:v>
      </x:c>
      <x:c r="C381" s="190" t="n">
        <x:v>372139112.47</x:v>
      </x:c>
      <x:c r="D381" s="168" t="str">
        <x:v>ASAROCK ASSET MANAGEMENT</x:v>
      </x:c>
      <x:c r="E381" s="168" t="str">
        <x:f>IFERROR(INDEX('Classif Gestoras'!$H$6:$H$462,MATCH(D381,'Classif Gestoras'!$A$6:$A$462,0)),"Não classificada")</x:f>
        <x:v>Independente</x:v>
      </x:c>
      <x:c r="F381" s="168" t="str">
        <x:v>ID Corretora de Títulos e Valores Mobiliários S.A.</x:v>
      </x:c>
      <x:c r="G381" s="168" t="str">
        <x:v>ID CORRETORA DE TITULOS E VALORES MOBILIARIOS S.A.</x:v>
      </x:c>
      <x:c r="H381" s="168" t="str">
        <x:v>Outros</x:v>
      </x:c>
      <x:c r="I381" s="168" t="str">
        <x:v>Multicarteira Outros</x:v>
      </x:c>
      <x:c r="J381" s="168" t="str">
        <x:v>CI</x:v>
      </x:c>
      <x:c r="K381" s="174" t="n">
        <x:v>1</x:v>
      </x:c>
      <x:c r="L381" s="187" t="str">
        <x:v>Proxy multicedente/multissacado — revisar</x:v>
      </x:c>
    </x:row>
    <x:row r="382">
      <x:c r="A382" s="177" t="str">
        <x:v>44.177.436/0001-26</x:v>
      </x:c>
      <x:c r="B382" s="168" t="str">
        <x:v>GALAXY FUNDO DE INVESTIMENTO EM DIREITOS CREDITÓRIOS RESPONSABILIDADE LIMITADA</x:v>
      </x:c>
      <x:c r="C382" s="190" t="n">
        <x:v>371783599.43</x:v>
      </x:c>
      <x:c r="D382" s="168" t="str">
        <x:v>BDR Asset</x:v>
      </x:c>
      <x:c r="E382" s="168" t="str">
        <x:f>IFERROR(INDEX('Classif Gestoras'!$H$6:$H$462,MATCH(D382,'Classif Gestoras'!$A$6:$A$462,0)),"Não classificada")</x:f>
        <x:v>Independente</x:v>
      </x:c>
      <x:c r="F382" s="168" t="str">
        <x:v>ID Corretora de Títulos e Valores Mobiliários S.A.</x:v>
      </x:c>
      <x:c r="G382" s="168" t="str">
        <x:v>ID CORRETORA DE TITULOS E VALORES MOBILIARIOS S.A.</x:v>
      </x:c>
      <x:c r="H382" s="168" t="str">
        <x:v>Outros</x:v>
      </x:c>
      <x:c r="I382" s="168" t="str">
        <x:v>Multicarteira Outros</x:v>
      </x:c>
      <x:c r="J382" s="168" t="str">
        <x:v>CI</x:v>
      </x:c>
      <x:c r="K382" s="174" t="n">
        <x:v>1</x:v>
      </x:c>
      <x:c r="L382" s="187" t="str">
        <x:v>Proxy multicedente/multissacado — revisar</x:v>
      </x:c>
    </x:row>
    <x:row r="383">
      <x:c r="A383" s="177" t="str">
        <x:v>14.115.121/0001-93</x:v>
      </x:c>
      <x:c r="B383" s="168" t="str">
        <x:v>VALORA TITAN FUNDO DE INVESTIMENTO EM DIREITOS CREDITÓRIOS RESPONSABILIDADE LIMITADA</x:v>
      </x:c>
      <x:c r="C383" s="190" t="n">
        <x:v>368372445.5813</x:v>
      </x:c>
      <x:c r="D383" s="168" t="str">
        <x:v>VALORA RENDA FIXA LTDA.</x:v>
      </x:c>
      <x:c r="E383" s="168" t="str">
        <x:f>IFERROR(INDEX('Classif Gestoras'!$H$6:$H$462,MATCH(D383,'Classif Gestoras'!$A$6:$A$462,0)),"Não classificada")</x:f>
        <x:v>Independente</x:v>
      </x:c>
      <x:c r="F383" s="168" t="str">
        <x:v>BTG Pactual Servicos Financeiros S/A DTVM</x:v>
      </x:c>
      <x:c r="G383" s="168" t="str">
        <x:v>BANCO BTG PACTUAL S/A</x:v>
      </x:c>
      <x:c r="H383" s="168" t="str">
        <x:v>Outros</x:v>
      </x:c>
      <x:c r="I383" s="168" t="str">
        <x:v>Multicarteira Outros</x:v>
      </x:c>
      <x:c r="J383" s="168" t="str">
        <x:v>CI</x:v>
      </x:c>
      <x:c r="K383" s="174" t="n">
        <x:v>203</x:v>
      </x:c>
      <x:c r="L383" s="187" t="str">
        <x:v>Proxy multicedente/multissacado — revisar</x:v>
      </x:c>
    </x:row>
    <x:row r="384">
      <x:c r="A384" s="177" t="str">
        <x:v>59.400.337/0001-39</x:v>
      </x:c>
      <x:c r="B384" s="168" t="str">
        <x:v>LUX FUNDO DE INVESTIMENTO EM DIREITOS CREDITÓRIOS NÃO PADRONIZADOS FEEDER RESP LIMITADA</x:v>
      </x:c>
      <x:c r="C384" s="190" t="n">
        <x:v>368153523.39</x:v>
      </x:c>
      <x:c r="D384" s="168" t="str">
        <x:v>GESTORA DE RECURSOS ID - GRID LTDA.</x:v>
      </x:c>
      <x:c r="E384" s="168" t="str">
        <x:f>IFERROR(INDEX('Classif Gestoras'!$H$6:$H$462,MATCH(D384,'Classif Gestoras'!$A$6:$A$462,0)),"Não classificada")</x:f>
        <x:v>Independente</x:v>
      </x:c>
      <x:c r="F384" s="168" t="str">
        <x:v>ID Corretora de Títulos e Valores Mobiliários S.A.</x:v>
      </x:c>
      <x:c r="G384" s="168" t="str">
        <x:v>ID CORRETORA DE TITULOS E VALORES MOBILIARIOS S.A.</x:v>
      </x:c>
      <x:c r="H384" s="168" t="str">
        <x:v>Outros</x:v>
      </x:c>
      <x:c r="I384" s="168" t="str">
        <x:v>Multicarteira Outros</x:v>
      </x:c>
      <x:c r="J384" s="168" t="str">
        <x:v>CI</x:v>
      </x:c>
      <x:c r="K384" s="174" t="n">
        <x:v>1</x:v>
      </x:c>
      <x:c r="L384" s="187" t="str">
        <x:v>Proxy multicedente/multissacado — revisar</x:v>
      </x:c>
    </x:row>
    <x:row r="385">
      <x:c r="A385" s="177" t="str">
        <x:v>29.152.636/0001-30</x:v>
      </x:c>
      <x:c r="B385" s="168" t="str">
        <x:v>ACREDITAR FUNDO DE INVESTIMENTO EM DIREITOS CREDITORIOS - RESPONSABILIDADE LIMITADA</x:v>
      </x:c>
      <x:c r="C385" s="190" t="n">
        <x:v>367290349.69</x:v>
      </x:c>
      <x:c r="D385" s="168" t="str">
        <x:v>TERCON ASSET MANAGEMENT</x:v>
      </x:c>
      <x:c r="E385" s="168" t="str">
        <x:f>IFERROR(INDEX('Classif Gestoras'!$H$6:$H$462,MATCH(D385,'Classif Gestoras'!$A$6:$A$462,0)),"Não classificada")</x:f>
        <x:v>Independente</x:v>
      </x:c>
      <x:c r="F385" s="168" t="str">
        <x:v>Singulare</x:v>
      </x:c>
      <x:c r="G385" s="168" t="str">
        <x:v>QI CORRETORA DE TÍTULOS E VALORES MOBILIÁRIOS S.A.</x:v>
      </x:c>
      <x:c r="H385" s="168" t="str">
        <x:v>Fomento Mercantil</x:v>
      </x:c>
      <x:c r="I385" s="168" t="str">
        <x:v>Fomento Mercantil</x:v>
      </x:c>
      <x:c r="J385" s="168" t="str">
        <x:v>CI</x:v>
      </x:c>
      <x:c r="K385" s="174" t="n">
        <x:v>100</x:v>
      </x:c>
      <x:c r="L385" s="187" t="str">
        <x:v>Não classificado</x:v>
      </x:c>
    </x:row>
    <x:row r="386">
      <x:c r="A386" s="177" t="str">
        <x:v>41.755.826/0001-48</x:v>
      </x:c>
      <x:c r="B386" s="168" t="str">
        <x:v>RIO DOCE FUNDO DE INVESTIMENTO EM DIREITOS CREDITÓRIOS</x:v>
      </x:c>
      <x:c r="C386" s="190" t="n">
        <x:v>366354049.33</x:v>
      </x:c>
      <x:c r="D386" s="168" t="str">
        <x:v>GESTORA DE RECURSOS ID - GRID LTDA.</x:v>
      </x:c>
      <x:c r="E386" s="168" t="str">
        <x:f>IFERROR(INDEX('Classif Gestoras'!$H$6:$H$462,MATCH(D386,'Classif Gestoras'!$A$6:$A$462,0)),"Não classificada")</x:f>
        <x:v>Independente</x:v>
      </x:c>
      <x:c r="F386" s="168" t="str">
        <x:v>PLANNER CV</x:v>
      </x:c>
      <x:c r="G386" s="168" t="str">
        <x:v>PLANNER CORRETORA DE VALORES S.A.</x:v>
      </x:c>
      <x:c r="H386" s="168" t="str">
        <x:v>Outros</x:v>
      </x:c>
      <x:c r="I386" s="168" t="str">
        <x:v>Multicarteira Outros</x:v>
      </x:c>
      <x:c r="J386" s="168" t="str">
        <x:v>CI</x:v>
      </x:c>
      <x:c r="K386" s="174" t="n">
        <x:v>3</x:v>
      </x:c>
      <x:c r="L386" s="187" t="str">
        <x:v>Proxy multicedente/multissacado — revisar</x:v>
      </x:c>
    </x:row>
    <x:row r="387">
      <x:c r="A387" s="177" t="str">
        <x:v>64.118.207/0001-48</x:v>
      </x:c>
      <x:c r="B387" s="168" t="str">
        <x:v>JIVEMAUÁ BOSSANOVA CRÉDITO SECURITIZADO II FUNDO DE INVESTIMENTO EM DIREITOS CREDITÓRIOS</x:v>
      </x:c>
      <x:c r="C387" s="190" t="n">
        <x:v>365266713.7600001</x:v>
      </x:c>
      <x:c r="D387" s="168" t="str">
        <x:v>JIVE HIGH YIELD GESTÃO DE RECURSOS LTDA</x:v>
      </x:c>
      <x:c r="E387" s="168" t="str">
        <x:f>IFERROR(INDEX('Classif Gestoras'!$H$6:$H$462,MATCH(D387,'Classif Gestoras'!$A$6:$A$462,0)),"Não classificada")</x:f>
        <x:v>Independente</x:v>
      </x:c>
      <x:c r="F387" s="168" t="str">
        <x:v>XPI CCTVM S/A</x:v>
      </x:c>
      <x:c r="G387" s="168" t="str">
        <x:v>OLIVEIRA TRUST DTVM S.A.</x:v>
      </x:c>
      <x:c r="H387" s="168" t="str">
        <x:v>Outros</x:v>
      </x:c>
      <x:c r="I387" s="168" t="str">
        <x:v>Multicarteira Outros</x:v>
      </x:c>
      <x:c r="J387" s="168" t="str">
        <x:v>CI</x:v>
      </x:c>
      <x:c r="K387" s="174" t="n">
        <x:v>2</x:v>
      </x:c>
      <x:c r="L387" s="187" t="str">
        <x:v>Proxy multicedente/multissacado — revisar</x:v>
      </x:c>
    </x:row>
    <x:row r="388">
      <x:c r="A388" s="177" t="str">
        <x:v>59.942.929/0001-82</x:v>
      </x:c>
      <x:c r="B388" s="168" t="str">
        <x:v>COTIA FUNDO DE INVESTIMENTO EM DIREITOS CREDITÓRIOS</x:v>
      </x:c>
      <x:c r="C388" s="190" t="n">
        <x:v>364088225.34</x:v>
      </x:c>
      <x:c r="D388" s="168" t="str">
        <x:v>Banco Bradesco S/A</x:v>
      </x:c>
      <x:c r="E388" s="168" t="str">
        <x:f>IFERROR(INDEX('Classif Gestoras'!$H$6:$H$462,MATCH(D388,'Classif Gestoras'!$A$6:$A$462,0)),"Não classificada")</x:f>
        <x:v>Ligada a banco</x:v>
      </x:c>
      <x:c r="F388" s="168" t="str">
        <x:v>BEM - DIST. DE TÍTUL</x:v>
      </x:c>
      <x:c r="G388" s="168" t="str">
        <x:v>BANCO BRADESCO S.A.</x:v>
      </x:c>
      <x:c r="H388" s="168" t="str">
        <x:v>Outros</x:v>
      </x:c>
      <x:c r="I388" s="168" t="str">
        <x:v>Poder Público</x:v>
      </x:c>
      <x:c r="J388" s="168" t="str">
        <x:v>CI</x:v>
      </x:c>
      <x:c r="K388" s="174" t="n">
        <x:v>1</x:v>
      </x:c>
      <x:c r="L388" s="187" t="str">
        <x:v>Não classificado</x:v>
      </x:c>
    </x:row>
    <x:row r="389">
      <x:c r="A389" s="177" t="str">
        <x:v>45.598.747/0001-21</x:v>
      </x:c>
      <x:c r="B389" s="168" t="str">
        <x:v>SUMUP SOLO FUNDO DE INVESTIMENTO EM DIREITOS CREDITÓRIOS SEGMENTO MEIOS DE PAGAMENTO DE RESPONSABILI</x:v>
      </x:c>
      <x:c r="C389" s="190" t="n">
        <x:v>362784782.69000006</x:v>
      </x:c>
      <x:c r="D389" s="168" t="str">
        <x:v>GENIAL GESTÃO LTDA.</x:v>
      </x:c>
      <x:c r="E389" s="168" t="str">
        <x:f>IFERROR(INDEX('Classif Gestoras'!$H$6:$H$462,MATCH(D389,'Classif Gestoras'!$A$6:$A$462,0)),"Não classificada")</x:f>
        <x:v>Ligada a banco</x:v>
      </x:c>
      <x:c r="F389" s="168" t="str">
        <x:v>Banco Genial S.A.</x:v>
      </x:c>
      <x:c r="G389" s="168" t="str">
        <x:v>BANCO GENIAL S.A.</x:v>
      </x:c>
      <x:c r="H389" s="168" t="str">
        <x:v>Agro, Indústria e Comércio</x:v>
      </x:c>
      <x:c r="I389" s="168" t="str">
        <x:v>Recebíveis Comerciais</x:v>
      </x:c>
      <x:c r="J389" s="168" t="str">
        <x:v>CI</x:v>
      </x:c>
      <x:c r="K389" s="174" t="n">
        <x:v>3</x:v>
      </x:c>
      <x:c r="L389" s="187" t="str">
        <x:v>Não classificado</x:v>
      </x:c>
    </x:row>
    <x:row r="390">
      <x:c r="A390" s="177" t="str">
        <x:v>09.172.117/0001-27</x:v>
      </x:c>
      <x:c r="B390" s="168" t="str">
        <x:v>FUNDO DE INVESTIMENTO EM DIREITOS CREDITÓRIOS MULTISETORIAL ÁSIA LP</x:v>
      </x:c>
      <x:c r="C390" s="190" t="n">
        <x:v>362447587.38</x:v>
      </x:c>
      <x:c r="D390" s="168" t="str">
        <x:v>Golden Asset Gestora de Recursos</x:v>
      </x:c>
      <x:c r="E390" s="168" t="str">
        <x:f>IFERROR(INDEX('Classif Gestoras'!$H$6:$H$462,MATCH(D390,'Classif Gestoras'!$A$6:$A$462,0)),"Não classificada")</x:f>
        <x:v>Independente</x:v>
      </x:c>
      <x:c r="F390" s="168" t="str">
        <x:v>HEMERA DTVM</x:v>
      </x:c>
      <x:c r="G390" s="168" t="str">
        <x:v>HEMERA DISTRIBUIDORA DE TITULOS E VALORES MOBILIARIOS LTDA</x:v>
      </x:c>
      <x:c r="H390" s="168" t="str">
        <x:v>Fomento Mercantil</x:v>
      </x:c>
      <x:c r="I390" s="168" t="str">
        <x:v>Fomento Mercantil</x:v>
      </x:c>
      <x:c r="J390" s="168" t="str">
        <x:v>CI</x:v>
      </x:c>
      <x:c r="K390" s="174" t="n">
        <x:v>48</x:v>
      </x:c>
      <x:c r="L390" s="187" t="str">
        <x:v>Não classificado</x:v>
      </x:c>
    </x:row>
    <x:row r="391">
      <x:c r="A391" s="177" t="str">
        <x:v>50.456.492/0001-00</x:v>
      </x:c>
      <x:c r="B391" s="168" t="str">
        <x:v>LEGGERO FUNDO DE INVESTIMENTO EM DIREITOS CREDITÓRIOS</x:v>
      </x:c>
      <x:c r="C391" s="190" t="n">
        <x:v>362433679.65</x:v>
      </x:c>
      <x:c r="D391" s="168" t="str">
        <x:v>Blue Solutions</x:v>
      </x:c>
      <x:c r="E391" s="168" t="str">
        <x:f>IFERROR(INDEX('Classif Gestoras'!$H$6:$H$462,MATCH(D391,'Classif Gestoras'!$A$6:$A$462,0)),"Não classificada")</x:f>
        <x:v>Independente</x:v>
      </x:c>
      <x:c r="F391" s="168" t="str">
        <x:v>TRUSTEE DTVM</x:v>
      </x:c>
      <x:c r="G391" s="168" t="str">
        <x:v>TRUSTEE DISTRIBUIDORA DE TITULOS E VALORES MOBILIARIOS LTDA.</x:v>
      </x:c>
      <x:c r="H391" s="168" t="str">
        <x:v>Outros</x:v>
      </x:c>
      <x:c r="I391" s="168" t="str">
        <x:v>Multicarteira Outros</x:v>
      </x:c>
      <x:c r="J391" s="168" t="str">
        <x:v>CI</x:v>
      </x:c>
      <x:c r="K391" s="174" t="n">
        <x:v>1</x:v>
      </x:c>
      <x:c r="L391" s="187" t="str">
        <x:v>Proxy multicedente/multissacado — revisar</x:v>
      </x:c>
    </x:row>
    <x:row r="392">
      <x:c r="A392" s="177" t="str">
        <x:v>52.041.044/0001-63</x:v>
      </x:c>
      <x:c r="B392" s="168" t="str">
        <x:v>MALBEC FUNDO DE INVESTIMENTO EM DIREITOS CREDITÓRIOS</x:v>
      </x:c>
      <x:c r="C392" s="190" t="n">
        <x:v>362003766.49</x:v>
      </x:c>
      <x:c r="D392" s="168" t="str">
        <x:v>Catálise Investimentos</x:v>
      </x:c>
      <x:c r="E392" s="168" t="str">
        <x:f>IFERROR(INDEX('Classif Gestoras'!$H$6:$H$462,MATCH(D392,'Classif Gestoras'!$A$6:$A$462,0)),"Não classificada")</x:f>
        <x:v>Independente</x:v>
      </x:c>
      <x:c r="F392" s="168" t="str">
        <x:v>CATÁLISE DTVM</x:v>
      </x:c>
      <x:c r="G392" s="168" t="str">
        <x:v>BANCO DAYCOVAL S.A.</x:v>
      </x:c>
      <x:c r="H392" s="168" t="str">
        <x:v>Agro, Indústria e Comércio</x:v>
      </x:c>
      <x:c r="I392" s="168" t="str">
        <x:v>Recebíveis Comerciais</x:v>
      </x:c>
      <x:c r="J392" s="168" t="str">
        <x:v>CI</x:v>
      </x:c>
      <x:c r="K392" s="174" t="n">
        <x:v>1</x:v>
      </x:c>
      <x:c r="L392" s="187" t="str">
        <x:v>Não classificado</x:v>
      </x:c>
    </x:row>
    <x:row r="393">
      <x:c r="A393" s="177" t="str">
        <x:v>61.536.498/0001-04</x:v>
      </x:c>
      <x:c r="B393" s="168" t="str">
        <x:v>POLÍGONO DELTA FUNDO DE INVESTIMENTO EM DIREITOS CREDITÓRIOS</x:v>
      </x:c>
      <x:c r="C393" s="190" t="n">
        <x:v>361062717.43</x:v>
      </x:c>
      <x:c r="D393" s="168" t="str">
        <x:v>POLÍGONO CAPITAL LTDA.</x:v>
      </x:c>
      <x:c r="E393" s="168" t="str">
        <x:f>IFERROR(INDEX('Classif Gestoras'!$H$6:$H$462,MATCH(D393,'Classif Gestoras'!$A$6:$A$462,0)),"Não classificada")</x:f>
        <x:v>Independente</x:v>
      </x:c>
      <x:c r="F393" s="168" t="str">
        <x:v>BTG Pactual Servicos Financeiros S/A DTVM</x:v>
      </x:c>
      <x:c r="G393" s="168" t="str">
        <x:v>BANCO BTG PACTUAL S/A</x:v>
      </x:c>
      <x:c r="H393" s="168" t="str">
        <x:v>Outros</x:v>
      </x:c>
      <x:c r="I393" s="168" t="str">
        <x:v>Multicarteira Outros</x:v>
      </x:c>
      <x:c r="J393" s="168" t="str">
        <x:v>CI</x:v>
      </x:c>
      <x:c r="K393" s="174" t="n">
        <x:v>3932</x:v>
      </x:c>
      <x:c r="L393" s="187" t="str">
        <x:v>Proxy multicedente/multissacado — revisar</x:v>
      </x:c>
    </x:row>
    <x:row r="394">
      <x:c r="A394" s="177" t="str">
        <x:v>58.154.011/0001-06</x:v>
      </x:c>
      <x:c r="B394" s="168" t="str">
        <x:v>FARMTECH KEY ACCOUNTS - FUNDO DE INVESTIMENTO EM DIREITOS CREDITÓRIOS DO AGRONEGÓCIO - RESP LTDA</x:v>
      </x:c>
      <x:c r="C394" s="190" t="n">
        <x:v>360272681.97</x:v>
      </x:c>
      <x:c r="D394" s="168" t="str">
        <x:v>Farmtech Gestão de Recursos Ltda.</x:v>
      </x:c>
      <x:c r="E394" s="168" t="str">
        <x:f>IFERROR(INDEX('Classif Gestoras'!$H$6:$H$462,MATCH(D394,'Classif Gestoras'!$A$6:$A$462,0)),"Não classificada")</x:f>
        <x:v>Independente</x:v>
      </x:c>
      <x:c r="F394" s="168" t="str">
        <x:v>Oliveira Trust DTVM</x:v>
      </x:c>
      <x:c r="G394" s="168" t="str">
        <x:v>OLIVEIRA TRUST DTVM S.A.</x:v>
      </x:c>
      <x:c r="H394" s="168" t="str">
        <x:v>Agro, Indústria e Comércio</x:v>
      </x:c>
      <x:c r="I394" s="168" t="str">
        <x:v>Multicarteira Agro, Indústria e Comércio</x:v>
      </x:c>
      <x:c r="J394" s="168" t="str">
        <x:v>CI</x:v>
      </x:c>
      <x:c r="K394" s="174" t="n">
        <x:v>5</x:v>
      </x:c>
      <x:c r="L394" s="187" t="str">
        <x:v>Proxy multicedente/multissacado — revisar</x:v>
      </x:c>
    </x:row>
    <x:row r="395">
      <x:c r="A395" s="177" t="str">
        <x:v>28.819.553/0001-90</x:v>
      </x:c>
      <x:c r="B395" s="168" t="str">
        <x:v>PÁTRIA CRÉDITO ESTRUTURADO FUNDO DE INVESTIMENTO EM DIREITOS CREDITÓRIOS - RESPONSABILIDADE LIMITADA</x:v>
      </x:c>
      <x:c r="C395" s="190" t="n">
        <x:v>358387075.61</x:v>
      </x:c>
      <x:c r="D395" s="168" t="str">
        <x:v>Pátria Investimentos Ltda.</x:v>
      </x:c>
      <x:c r="E395" s="168" t="str">
        <x:f>IFERROR(INDEX('Classif Gestoras'!$H$6:$H$462,MATCH(D395,'Classif Gestoras'!$A$6:$A$462,0)),"Não classificada")</x:f>
        <x:v>Independente</x:v>
      </x:c>
      <x:c r="F395" s="168" t="str">
        <x:v>Oliveira Trust DTVM</x:v>
      </x:c>
      <x:c r="G395" s="168" t="str">
        <x:v>OLIVEIRA TRUST DTVM S.A.</x:v>
      </x:c>
      <x:c r="H395" s="168" t="str">
        <x:v>Agro, Indústria e Comércio</x:v>
      </x:c>
      <x:c r="I395" s="168" t="str">
        <x:v>Crédito Corporativo</x:v>
      </x:c>
      <x:c r="J395" s="168" t="str">
        <x:v>CI</x:v>
      </x:c>
      <x:c r="K395" s="174" t="n">
        <x:v>18</x:v>
      </x:c>
      <x:c r="L395" s="187" t="str">
        <x:v>Não classificado</x:v>
      </x:c>
    </x:row>
    <x:row r="396">
      <x:c r="A396" s="177" t="str">
        <x:v>44.062.556/0001-88</x:v>
      </x:c>
      <x:c r="B396" s="168" t="str">
        <x:v>ARES FUNDO DE INVESTIMENTO EM DIREITOS CREDITÓRIOS NÃO-PADRONIZADOS</x:v>
      </x:c>
      <x:c r="C396" s="190" t="n">
        <x:v>357510306.01</x:v>
      </x:c>
      <x:c r="D396" s="168" t="str">
        <x:v>Jus Capital Gestão de Recursos LTDA</x:v>
      </x:c>
      <x:c r="E396" s="168" t="str">
        <x:f>IFERROR(INDEX('Classif Gestoras'!$H$6:$H$462,MATCH(D396,'Classif Gestoras'!$A$6:$A$462,0)),"Não classificada")</x:f>
        <x:v>Independente</x:v>
      </x:c>
      <x:c r="F396" s="168" t="str">
        <x:v>Singulare</x:v>
      </x:c>
      <x:c r="G396" s="168" t="str">
        <x:v>QI CORRETORA DE TÍTULOS E VALORES MOBILIÁRIOS S.A.</x:v>
      </x:c>
      <x:c r="H396" s="168" t="str">
        <x:v>Outros</x:v>
      </x:c>
      <x:c r="I396" s="168" t="str">
        <x:v>Poder Público</x:v>
      </x:c>
      <x:c r="J396" s="168" t="str">
        <x:v>CI</x:v>
      </x:c>
      <x:c r="K396" s="174" t="n">
        <x:v>4</x:v>
      </x:c>
      <x:c r="L396" s="187" t="str">
        <x:v>Não classificado</x:v>
      </x:c>
    </x:row>
    <x:row r="397">
      <x:c r="A397" s="177" t="str">
        <x:v>59.475.109/0001-28</x:v>
      </x:c>
      <x:c r="B397" s="168" t="str">
        <x:v>SOLDI INVEST FUNDO DE INVESTIMENTO EM DIREITOS CREDITÓRIOS</x:v>
      </x:c>
      <x:c r="C397" s="190" t="n">
        <x:v>356569790.71000004</x:v>
      </x:c>
      <x:c r="D397" s="168" t="str">
        <x:v>Multiplica Capital</x:v>
      </x:c>
      <x:c r="E397" s="168" t="str">
        <x:f>IFERROR(INDEX('Classif Gestoras'!$H$6:$H$462,MATCH(D397,'Classif Gestoras'!$A$6:$A$462,0)),"Não classificada")</x:f>
        <x:v>Independente</x:v>
      </x:c>
      <x:c r="F397" s="168" t="str">
        <x:v>Singulare</x:v>
      </x:c>
      <x:c r="G397" s="168" t="str">
        <x:v>QI CORRETORA DE TÍTULOS E VALORES MOBILIÁRIOS S.A.</x:v>
      </x:c>
      <x:c r="H397" s="168" t="str">
        <x:v>Fomento Mercantil</x:v>
      </x:c>
      <x:c r="I397" s="168" t="str">
        <x:v>Fomento Mercantil</x:v>
      </x:c>
      <x:c r="J397" s="168" t="str">
        <x:v>CI</x:v>
      </x:c>
      <x:c r="K397" s="174" t="n">
        <x:v>43</x:v>
      </x:c>
      <x:c r="L397" s="187" t="str">
        <x:v>Não classificado</x:v>
      </x:c>
    </x:row>
    <x:row r="398">
      <x:c r="A398" s="177" t="str">
        <x:v>62.626.887/0001-85</x:v>
      </x:c>
      <x:c r="B398" s="168" t="str">
        <x:v>SUMUP SMART IV FIDC SEGMENTO MEIOS DE PAGAMENTO DE RESPONSABILIDADE LIMITADA</x:v>
      </x:c>
      <x:c r="C398" s="190" t="n">
        <x:v>355920954.19</x:v>
      </x:c>
      <x:c r="D398" s="168" t="str">
        <x:v>Banco Bradesco S/A</x:v>
      </x:c>
      <x:c r="E398" s="168" t="str">
        <x:f>IFERROR(INDEX('Classif Gestoras'!$H$6:$H$462,MATCH(D398,'Classif Gestoras'!$A$6:$A$462,0)),"Não classificada")</x:f>
        <x:v>Ligada a banco</x:v>
      </x:c>
      <x:c r="F398" s="168" t="str">
        <x:v>BEM - DIST. DE TÍTUL</x:v>
      </x:c>
      <x:c r="G398" s="168" t="str">
        <x:v>BANCO BRADESCO S.A.</x:v>
      </x:c>
      <x:c r="H398" s="168" t="str">
        <x:v>Outros</x:v>
      </x:c>
      <x:c r="I398" s="168" t="str">
        <x:v>Multicarteira Outros</x:v>
      </x:c>
      <x:c r="J398" s="168" t="str">
        <x:v>CI</x:v>
      </x:c>
      <x:c r="K398" s="174" t="n">
        <x:v>2</x:v>
      </x:c>
      <x:c r="L398" s="187" t="str">
        <x:v>Proxy multicedente/multissacado — revisar</x:v>
      </x:c>
    </x:row>
    <x:row r="399">
      <x:c r="A399" s="177" t="str">
        <x:v>54.029.912/0001-15</x:v>
      </x:c>
      <x:c r="B399" s="168" t="str">
        <x:v>TABOR FUNDO DE INVESTIMENTO EM DIREITOS CREDITÓRIOS NÃO-PADRONIZADOS RESPONSABILIDADE LIMITADA</x:v>
      </x:c>
      <x:c r="C399" s="190" t="n">
        <x:v>355820069.36</x:v>
      </x:c>
      <x:c r="D399" s="168" t="str">
        <x:v>Bless Capital Gestora de Recursos Ltda.</x:v>
      </x:c>
      <x:c r="E399" s="168" t="str">
        <x:f>IFERROR(INDEX('Classif Gestoras'!$H$6:$H$462,MATCH(D399,'Classif Gestoras'!$A$6:$A$462,0)),"Não classificada")</x:f>
        <x:v>Independente</x:v>
      </x:c>
      <x:c r="F399" s="168" t="str">
        <x:v>ID Corretora de Títulos e Valores Mobiliários S.A.</x:v>
      </x:c>
      <x:c r="G399" s="168" t="str">
        <x:v>ID CORRETORA DE TITULOS E VALORES MOBILIARIOS S.A.</x:v>
      </x:c>
      <x:c r="H399" s="168" t="str">
        <x:v>Outros</x:v>
      </x:c>
      <x:c r="I399" s="168" t="str">
        <x:v>Multicarteira Outros</x:v>
      </x:c>
      <x:c r="J399" s="168" t="str">
        <x:v>CI</x:v>
      </x:c>
      <x:c r="K399" s="174" t="n">
        <x:v>7</x:v>
      </x:c>
      <x:c r="L399" s="187" t="str">
        <x:v>Proxy multicedente/multissacado — revisar</x:v>
      </x:c>
    </x:row>
    <x:row r="400">
      <x:c r="A400" s="177" t="str">
        <x:v>29.242.877/0001-70</x:v>
      </x:c>
      <x:c r="B400" s="168" t="str">
        <x:v>AVANTI MULTIPLICA FUNDO DE INVESTIMENTO EM DIREITOS CREDITÓRIOS</x:v>
      </x:c>
      <x:c r="C400" s="190" t="n">
        <x:v>355494412.49</x:v>
      </x:c>
      <x:c r="D400" s="168" t="str">
        <x:v>Multiplica Capital</x:v>
      </x:c>
      <x:c r="E400" s="168" t="str">
        <x:f>IFERROR(INDEX('Classif Gestoras'!$H$6:$H$462,MATCH(D400,'Classif Gestoras'!$A$6:$A$462,0)),"Não classificada")</x:f>
        <x:v>Independente</x:v>
      </x:c>
      <x:c r="F400" s="168" t="str">
        <x:v>Singulare</x:v>
      </x:c>
      <x:c r="G400" s="168" t="str">
        <x:v>QI CORRETORA DE TÍTULOS E VALORES MOBILIÁRIOS S.A.</x:v>
      </x:c>
      <x:c r="H400" s="168" t="str">
        <x:v>Fomento Mercantil</x:v>
      </x:c>
      <x:c r="I400" s="168" t="str">
        <x:v>Fomento Mercantil</x:v>
      </x:c>
      <x:c r="J400" s="168" t="str">
        <x:v>CI</x:v>
      </x:c>
      <x:c r="K400" s="174" t="n">
        <x:v>84</x:v>
      </x:c>
      <x:c r="L400" s="187" t="str">
        <x:v>Não classificado</x:v>
      </x:c>
    </x:row>
    <x:row r="401">
      <x:c r="A401" s="177" t="str">
        <x:v>49.936.440/0001-44</x:v>
      </x:c>
      <x:c r="B401" s="168" t="str">
        <x:v>FUNDO DE INVESTIMENTO EM DIREITOS CREDITÓRIOS TURBI I DE RESPONSABILIDADE LIMITADA</x:v>
      </x:c>
      <x:c r="C401" s="190" t="n">
        <x:v>353558689.87</x:v>
      </x:c>
      <x:c r="D401" s="168" t="str">
        <x:v>Milênio Capital</x:v>
      </x:c>
      <x:c r="E401" s="168" t="str">
        <x:f>IFERROR(INDEX('Classif Gestoras'!$H$6:$H$462,MATCH(D401,'Classif Gestoras'!$A$6:$A$462,0)),"Não classificada")</x:f>
        <x:v>Independente</x:v>
      </x:c>
      <x:c r="F401" s="168" t="str">
        <x:v>BANCO DAYCOVAL S/A</x:v>
      </x:c>
      <x:c r="G401" s="168" t="str">
        <x:v>BANCO DAYCOVAL S.A.</x:v>
      </x:c>
      <x:c r="H401" s="168" t="str">
        <x:v>Financeiro</x:v>
      </x:c>
      <x:c r="I401" s="168" t="str">
        <x:v>Financiamento de Veículos</x:v>
      </x:c>
      <x:c r="J401" s="168" t="str">
        <x:v>CI</x:v>
      </x:c>
      <x:c r="K401" s="174" t="n">
        <x:v>121</x:v>
      </x:c>
      <x:c r="L401" s="187" t="str">
        <x:v>Não classificado</x:v>
      </x:c>
    </x:row>
    <x:row r="402">
      <x:c r="A402" s="177" t="str">
        <x:v>29.746.406/0001-08</x:v>
      </x:c>
      <x:c r="B402" s="168" t="str">
        <x:v>CNPJ 29746406000108</x:v>
      </x:c>
      <x:c r="C402" s="190" t="n">
        <x:v>351717211.78000003</x:v>
      </x:c>
      <x:c r="D402" s="168" t="str">
        <x:v>Emerald Gestão de Investimento</x:v>
      </x:c>
      <x:c r="E402" s="168" t="str">
        <x:f>IFERROR(INDEX('Classif Gestoras'!$H$6:$H$462,MATCH(D402,'Classif Gestoras'!$A$6:$A$462,0)),"Não classificada")</x:f>
        <x:v>Independente</x:v>
      </x:c>
      <x:c r="F402" s="168" t="str">
        <x:v>BANCO J. SAFRA S/A</x:v>
      </x:c>
      <x:c r="G402" s="168" t="str">
        <x:v>Não identificado</x:v>
      </x:c>
      <x:c r="H402" s="168" t="str">
        <x:v>Outros</x:v>
      </x:c>
      <x:c r="I402" s="168" t="str">
        <x:v>Poder Público</x:v>
      </x:c>
      <x:c r="J402" s="168" t="str">
        <x:v>CI</x:v>
      </x:c>
      <x:c r="K402" s="174"/>
      <x:c r="L402" s="187" t="str">
        <x:v>Não classificado</x:v>
      </x:c>
    </x:row>
    <x:row r="403">
      <x:c r="A403" s="177" t="str">
        <x:v>16.686.142/0001-94</x:v>
      </x:c>
      <x:c r="B403" s="168" t="str">
        <x:v>FUNDO DE INVESTIMENTO EM DIREITOS CREDITORIOS RECUPERA</x:v>
      </x:c>
      <x:c r="C403" s="190" t="n">
        <x:v>351332791.21</x:v>
      </x:c>
      <x:c r="D403" s="168" t="str">
        <x:v>TRUSTEE DTVM</x:v>
      </x:c>
      <x:c r="E403" s="168" t="str">
        <x:f>IFERROR(INDEX('Classif Gestoras'!$H$6:$H$462,MATCH(D403,'Classif Gestoras'!$A$6:$A$462,0)),"Não classificada")</x:f>
        <x:v>Independente</x:v>
      </x:c>
      <x:c r="F403" s="168" t="str">
        <x:v>TRUSTEE DTVM</x:v>
      </x:c>
      <x:c r="G403" s="168" t="str">
        <x:v>TRUSTEE DISTRIBUIDORA DE TITULOS E VALORES MOBILIARIOS LTDA.</x:v>
      </x:c>
      <x:c r="H403" s="168" t="str">
        <x:v>Financeiro</x:v>
      </x:c>
      <x:c r="I403" s="168" t="str">
        <x:v>Multicarteira Financeiro</x:v>
      </x:c>
      <x:c r="J403" s="168" t="str">
        <x:v>CI</x:v>
      </x:c>
      <x:c r="K403" s="174" t="n">
        <x:v>1</x:v>
      </x:c>
      <x:c r="L403" s="187" t="str">
        <x:v>Proxy multicedente/multissacado — revisar</x:v>
      </x:c>
    </x:row>
    <x:row r="404">
      <x:c r="A404" s="177" t="str">
        <x:v>42.085.830/0001-09</x:v>
      </x:c>
      <x:c r="B404" s="168" t="str">
        <x:v>CLOUDWALK AKIRA I FUNDO DE INVESTIMENTO EM DIREITOS CREDITÓRIOS SEGMENTO MEIOS DE PAGAMENTO</x:v>
      </x:c>
      <x:c r="C404" s="190" t="n">
        <x:v>350024576.34999996</x:v>
      </x:c>
      <x:c r="D404" s="168" t="str">
        <x:v>VERT Gestora de Recursos Financeiros Ltda.</x:v>
      </x:c>
      <x:c r="E404" s="168" t="str">
        <x:f>IFERROR(INDEX('Classif Gestoras'!$H$6:$H$462,MATCH(D404,'Classif Gestoras'!$A$6:$A$462,0)),"Não classificada")</x:f>
        <x:v>Independente</x:v>
      </x:c>
      <x:c r="F404" s="168" t="str">
        <x:v>VERT Distribuidora de Títulos e Valores Mobiliários Ltd</x:v>
      </x:c>
      <x:c r="G404" s="168" t="str">
        <x:v>VERT DISTRIBUIDORA DE TÍTULOS E VALORES MOBILIÁRIOS LTDA.</x:v>
      </x:c>
      <x:c r="H404" s="168" t="str">
        <x:v>Agro, Indústria e Comércio</x:v>
      </x:c>
      <x:c r="I404" s="168" t="str">
        <x:v>Recebíveis Comerciais</x:v>
      </x:c>
      <x:c r="J404" s="168" t="str">
        <x:v>CI</x:v>
      </x:c>
      <x:c r="K404" s="174" t="n">
        <x:v>2</x:v>
      </x:c>
      <x:c r="L404" s="187" t="str">
        <x:v>Não classificado</x:v>
      </x:c>
    </x:row>
    <x:row r="405">
      <x:c r="A405" s="177" t="str">
        <x:v>47.117.579/0001-30</x:v>
      </x:c>
      <x:c r="B405" s="168" t="str">
        <x:v>CRÉDITO CORPORATIVO SOLIS ITER FUNDO DE INVESTIMENTO EM DIREITOS CREDITÓRIOS</x:v>
      </x:c>
      <x:c r="C405" s="190" t="n">
        <x:v>348090052.26000005</x:v>
      </x:c>
      <x:c r="D405" s="168" t="str">
        <x:v>Solis</x:v>
      </x:c>
      <x:c r="E405" s="168" t="str">
        <x:f>IFERROR(INDEX('Classif Gestoras'!$H$6:$H$462,MATCH(D405,'Classif Gestoras'!$A$6:$A$462,0)),"Não classificada")</x:f>
        <x:v>Independente</x:v>
      </x:c>
      <x:c r="F405" s="168" t="str">
        <x:v>HEMERA DTVM</x:v>
      </x:c>
      <x:c r="G405" s="168" t="str">
        <x:v>HEMERA DISTRIBUIDORA DE TITULOS E VALORES MOBILIARIOS LTDA</x:v>
      </x:c>
      <x:c r="H405" s="168" t="str">
        <x:v>Outros</x:v>
      </x:c>
      <x:c r="I405" s="168" t="str">
        <x:v>Multicarteira Outros</x:v>
      </x:c>
      <x:c r="J405" s="168" t="str">
        <x:v>CI</x:v>
      </x:c>
      <x:c r="K405" s="174" t="n">
        <x:v>3</x:v>
      </x:c>
      <x:c r="L405" s="187" t="str">
        <x:v>Proxy multicedente/multissacado — revisar</x:v>
      </x:c>
    </x:row>
    <x:row r="406">
      <x:c r="A406" s="177" t="str">
        <x:v>52.341.847/0001-33</x:v>
      </x:c>
      <x:c r="B406" s="168" t="str">
        <x:v>GUARDIAN MULTI CONSIGNADO III FIDC RESPONSABILIDADE LIMITADA</x:v>
      </x:c>
      <x:c r="C406" s="190" t="n">
        <x:v>347220831.86</x:v>
      </x:c>
      <x:c r="D406" s="168" t="str">
        <x:v>Guardian Gestora</x:v>
      </x:c>
      <x:c r="E406" s="168" t="str">
        <x:f>IFERROR(INDEX('Classif Gestoras'!$H$6:$H$462,MATCH(D406,'Classif Gestoras'!$A$6:$A$462,0)),"Não classificada")</x:f>
        <x:v>Independente</x:v>
      </x:c>
      <x:c r="F406" s="168" t="str">
        <x:v>Oliveira Trust DTVM</x:v>
      </x:c>
      <x:c r="G406" s="168" t="str">
        <x:v>OLIVEIRA TRUST DTVM S.A.</x:v>
      </x:c>
      <x:c r="H406" s="168" t="str">
        <x:v>Financeiro</x:v>
      </x:c>
      <x:c r="I406" s="168" t="str">
        <x:v>Crédito Consignado</x:v>
      </x:c>
      <x:c r="J406" s="168" t="str">
        <x:v>CI</x:v>
      </x:c>
      <x:c r="K406" s="174" t="n">
        <x:v>72</x:v>
      </x:c>
      <x:c r="L406" s="187" t="str">
        <x:v>Não classificado</x:v>
      </x:c>
    </x:row>
    <x:row r="407">
      <x:c r="A407" s="177" t="str">
        <x:v>28.671.081/0001-70</x:v>
      </x:c>
      <x:c r="B407" s="168" t="str">
        <x:v>HERCULES FUNDO DE INVESTIMENTO EM DIREITOS CREDITÓRIOS MULTISSETORIAL</x:v>
      </x:c>
      <x:c r="C407" s="190" t="n">
        <x:v>345638458.37</x:v>
      </x:c>
      <x:c r="D407" s="168" t="str">
        <x:v>OURO PRETO INVESTIMENTOS</x:v>
      </x:c>
      <x:c r="E407" s="168" t="str">
        <x:f>IFERROR(INDEX('Classif Gestoras'!$H$6:$H$462,MATCH(D407,'Classif Gestoras'!$A$6:$A$462,0)),"Não classificada")</x:f>
        <x:v>Independente</x:v>
      </x:c>
      <x:c r="F407" s="168" t="str">
        <x:v>Singulare</x:v>
      </x:c>
      <x:c r="G407" s="168" t="str">
        <x:v>QI CORRETORA DE TÍTULOS E VALORES MOBILIÁRIOS S.A.</x:v>
      </x:c>
      <x:c r="H407" s="168" t="str">
        <x:v>Fomento Mercantil</x:v>
      </x:c>
      <x:c r="I407" s="168" t="str">
        <x:v>Fomento Mercantil</x:v>
      </x:c>
      <x:c r="J407" s="168" t="str">
        <x:v>CI</x:v>
      </x:c>
      <x:c r="K407" s="174" t="n">
        <x:v>41</x:v>
      </x:c>
      <x:c r="L407" s="187" t="str">
        <x:v>Não classificado</x:v>
      </x:c>
    </x:row>
    <x:row r="408">
      <x:c r="A408" s="177" t="str">
        <x:v>21.648.446/0001-05</x:v>
      </x:c>
      <x:c r="B408" s="168" t="str">
        <x:v>CREDIFIX FUNDO DE INVESTIMENTO EM DIREITOS CREDITÓRIOS</x:v>
      </x:c>
      <x:c r="C408" s="190" t="n">
        <x:v>344868239.03000003</x:v>
      </x:c>
      <x:c r="D408" s="168" t="str">
        <x:v>MAM ASSET MANAGEMENT</x:v>
      </x:c>
      <x:c r="E408" s="168" t="str">
        <x:f>IFERROR(INDEX('Classif Gestoras'!$H$6:$H$462,MATCH(D408,'Classif Gestoras'!$A$6:$A$462,0)),"Não classificada")</x:f>
        <x:v>Independente</x:v>
      </x:c>
      <x:c r="F408" s="168" t="str">
        <x:v>TRUSTEE DTVM</x:v>
      </x:c>
      <x:c r="G408" s="168" t="str">
        <x:v>PLANNER CORRETORA DE VALORES S.A.</x:v>
      </x:c>
      <x:c r="H408" s="168" t="str">
        <x:v>Outros</x:v>
      </x:c>
      <x:c r="I408" s="168" t="str">
        <x:v>Multicarteira Outros</x:v>
      </x:c>
      <x:c r="J408" s="168" t="str">
        <x:v>CI</x:v>
      </x:c>
      <x:c r="K408" s="174" t="n">
        <x:v>3</x:v>
      </x:c>
      <x:c r="L408" s="187" t="str">
        <x:v>Proxy multicedente/multissacado — revisar</x:v>
      </x:c>
    </x:row>
    <x:row r="409">
      <x:c r="A409" s="177" t="str">
        <x:v>37.087.653/0001-60</x:v>
      </x:c>
      <x:c r="B409" s="168" t="str">
        <x:v>RIZA MEYENII DLG FUNDO DE INVESTIMENTO EM DIREITOS CREDITÓRIOS</x:v>
      </x:c>
      <x:c r="C409" s="190" t="n">
        <x:v>343821481.84000003</x:v>
      </x:c>
      <x:c r="D409" s="168" t="str">
        <x:v>Riza Securitização e Carteiras</x:v>
      </x:c>
      <x:c r="E409" s="168" t="str">
        <x:f>IFERROR(INDEX('Classif Gestoras'!$H$6:$H$462,MATCH(D409,'Classif Gestoras'!$A$6:$A$462,0)),"Não classificada")</x:f>
        <x:v>Independente</x:v>
      </x:c>
      <x:c r="F409" s="168" t="str">
        <x:v>BTG Pactual Servicos Financeiros S/A DTVM</x:v>
      </x:c>
      <x:c r="G409" s="168" t="str">
        <x:v>BANCO BTG PACTUAL S/A</x:v>
      </x:c>
      <x:c r="H409" s="168" t="str">
        <x:v>Outros</x:v>
      </x:c>
      <x:c r="I409" s="168" t="str">
        <x:v>Multicarteira Outros</x:v>
      </x:c>
      <x:c r="J409" s="168" t="str">
        <x:v>CIPC</x:v>
      </x:c>
      <x:c r="K409" s="174" t="n">
        <x:v>3</x:v>
      </x:c>
      <x:c r="L409" s="187" t="str">
        <x:v>Proxy multicedente/multissacado — revisar</x:v>
      </x:c>
    </x:row>
    <x:row r="410">
      <x:c r="A410" s="177" t="str">
        <x:v>16.802.124/0001-20</x:v>
      </x:c>
      <x:c r="B410" s="168" t="str">
        <x:v>BERETTA FUNDO DE INVESTIMENTO EM DIREITOS CREDITÓRIOS - RESPONSABILIDADE LIMITADA</x:v>
      </x:c>
      <x:c r="C410" s="190" t="n">
        <x:v>343516491.96</x:v>
      </x:c>
      <x:c r="D410" s="168" t="str">
        <x:v>Quatá Investimentos</x:v>
      </x:c>
      <x:c r="E410" s="168" t="str">
        <x:f>IFERROR(INDEX('Classif Gestoras'!$H$6:$H$462,MATCH(D410,'Classif Gestoras'!$A$6:$A$462,0)),"Não classificada")</x:f>
        <x:v>Independente</x:v>
      </x:c>
      <x:c r="F410" s="168" t="str">
        <x:v>Singulare</x:v>
      </x:c>
      <x:c r="G410" s="168" t="str">
        <x:v>QI CORRETORA DE TÍTULOS E VALORES MOBILIÁRIOS S.A.</x:v>
      </x:c>
      <x:c r="H410" s="168" t="str">
        <x:v>Outros</x:v>
      </x:c>
      <x:c r="I410" s="168" t="str">
        <x:v>Multicarteira Outros</x:v>
      </x:c>
      <x:c r="J410" s="168" t="str">
        <x:v>CI</x:v>
      </x:c>
      <x:c r="K410" s="174" t="n">
        <x:v>1</x:v>
      </x:c>
      <x:c r="L410" s="187" t="str">
        <x:v>Proxy multicedente/multissacado — revisar</x:v>
      </x:c>
    </x:row>
    <x:row r="411">
      <x:c r="A411" s="177" t="str">
        <x:v>55.072.790/0001-02</x:v>
      </x:c>
      <x:c r="B411" s="168" t="str">
        <x:v>FUNDO DE INVESTIMENTO EM DIREITOS CREDITÓRIOS FUTURO CONSIGNADO PÚBLICO III RESP LTDA</x:v>
      </x:c>
      <x:c r="C411" s="190" t="n">
        <x:v>343381382.93999994</x:v>
      </x:c>
      <x:c r="D411" s="168" t="str">
        <x:v>REAG GESTÃO DE CRÉDITO</x:v>
      </x:c>
      <x:c r="E411" s="168" t="str">
        <x:f>IFERROR(INDEX('Classif Gestoras'!$H$6:$H$462,MATCH(D411,'Classif Gestoras'!$A$6:$A$462,0)),"Não classificada")</x:f>
        <x:v>Independente</x:v>
      </x:c>
      <x:c r="F411" s="168" t="str">
        <x:v>Oliveira Trust DTVM</x:v>
      </x:c>
      <x:c r="G411" s="168" t="str">
        <x:v>OLIVEIRA TRUST DTVM S.A.</x:v>
      </x:c>
      <x:c r="H411" s="168" t="str">
        <x:v>Financeiro</x:v>
      </x:c>
      <x:c r="I411" s="168" t="str">
        <x:v>Crédito Consignado</x:v>
      </x:c>
      <x:c r="J411" s="168" t="str">
        <x:v>CI</x:v>
      </x:c>
      <x:c r="K411" s="174" t="n">
        <x:v>7</x:v>
      </x:c>
      <x:c r="L411" s="187" t="str">
        <x:v>Não classificado</x:v>
      </x:c>
    </x:row>
    <x:row r="412">
      <x:c r="A412" s="177" t="str">
        <x:v>34.218.393/0001-26</x:v>
      </x:c>
      <x:c r="B412" s="168" t="str">
        <x:v>AGL FUNDO DE INVESTIMENTO EM DIREITOS CREDITORIOS</x:v>
      </x:c>
      <x:c r="C412" s="190" t="n">
        <x:v>343324549.2</x:v>
      </x:c>
      <x:c r="D412" s="168" t="str">
        <x:v>Libertas Asset</x:v>
      </x:c>
      <x:c r="E412" s="168" t="str">
        <x:f>IFERROR(INDEX('Classif Gestoras'!$H$6:$H$462,MATCH(D412,'Classif Gestoras'!$A$6:$A$462,0)),"Não classificada")</x:f>
        <x:v>Independente</x:v>
      </x:c>
      <x:c r="F412" s="168" t="str">
        <x:v>ACTUAL DTVM</x:v>
      </x:c>
      <x:c r="G412" s="168" t="str">
        <x:v>LASTRO RDV DTVM LTDA</x:v>
      </x:c>
      <x:c r="H412" s="168" t="str">
        <x:v>Fomento Mercantil</x:v>
      </x:c>
      <x:c r="I412" s="168" t="str">
        <x:v>Fomento Mercantil</x:v>
      </x:c>
      <x:c r="J412" s="168" t="str">
        <x:v>CI</x:v>
      </x:c>
      <x:c r="K412" s="174" t="n">
        <x:v>1</x:v>
      </x:c>
      <x:c r="L412" s="187" t="str">
        <x:v>Não classificado</x:v>
      </x:c>
    </x:row>
    <x:row r="413">
      <x:c r="A413" s="177" t="str">
        <x:v>43.721.713/0001-57</x:v>
      </x:c>
      <x:c r="B413" s="168" t="str">
        <x:v>BTG CONSÓRCIOS FUNDO DE INVESTIMENTO EM DIREITOS CREDITÓRIOS II</x:v>
      </x:c>
      <x:c r="C413" s="190" t="n">
        <x:v>340084676.34</x:v>
      </x:c>
      <x:c r="D413" s="168" t="str">
        <x:v>PACTUAL CAPITAL PART</x:v>
      </x:c>
      <x:c r="E413" s="168" t="str">
        <x:f>IFERROR(INDEX('Classif Gestoras'!$H$6:$H$462,MATCH(D413,'Classif Gestoras'!$A$6:$A$462,0)),"Não classificada")</x:f>
        <x:v>Independente</x:v>
      </x:c>
      <x:c r="F413" s="168" t="str">
        <x:v>BTG Pactual Servicos Financeiros S/A DTVM</x:v>
      </x:c>
      <x:c r="G413" s="168" t="str">
        <x:v>BANCO BTG PACTUAL S/A</x:v>
      </x:c>
      <x:c r="H413" s="168" t="str">
        <x:v>Outros</x:v>
      </x:c>
      <x:c r="I413" s="168" t="str">
        <x:v>Multicarteira Outros</x:v>
      </x:c>
      <x:c r="J413" s="168" t="str">
        <x:v>CI</x:v>
      </x:c>
      <x:c r="K413" s="174" t="n">
        <x:v>1</x:v>
      </x:c>
      <x:c r="L413" s="187" t="str">
        <x:v>Proxy multicedente/multissacado — revisar</x:v>
      </x:c>
    </x:row>
    <x:row r="414">
      <x:c r="A414" s="177" t="str">
        <x:v>55.695.976/0001-18</x:v>
      </x:c>
      <x:c r="B414" s="168" t="str">
        <x:v>FALCON CONSIGNADO FUNDO DE INVESTIMENTOS EM DIREITOS CREDITÓRIOS</x:v>
      </x:c>
      <x:c r="C414" s="190" t="n">
        <x:v>339826783.45</x:v>
      </x:c>
      <x:c r="D414" s="168" t="str">
        <x:v>Riza Securitização e Carteiras</x:v>
      </x:c>
      <x:c r="E414" s="168" t="str">
        <x:f>IFERROR(INDEX('Classif Gestoras'!$H$6:$H$462,MATCH(D414,'Classif Gestoras'!$A$6:$A$462,0)),"Não classificada")</x:f>
        <x:v>Independente</x:v>
      </x:c>
      <x:c r="F414" s="168" t="str">
        <x:v>BRL TRUST DTVM</x:v>
      </x:c>
      <x:c r="G414" s="168" t="str">
        <x:v>BRL TRUST DISTRIBUIDORA DE TITULOS E VALORES MOBILIARIOS S.A.</x:v>
      </x:c>
      <x:c r="H414" s="168" t="str">
        <x:v>Financeiro</x:v>
      </x:c>
      <x:c r="I414" s="168" t="str">
        <x:v>Crédito Consignado</x:v>
      </x:c>
      <x:c r="J414" s="168" t="str">
        <x:v>CI</x:v>
      </x:c>
      <x:c r="K414" s="174" t="n">
        <x:v>52</x:v>
      </x:c>
      <x:c r="L414" s="187" t="str">
        <x:v>Não classificado</x:v>
      </x:c>
    </x:row>
    <x:row r="415">
      <x:c r="A415" s="177" t="str">
        <x:v>59.323.530/0001-13</x:v>
      </x:c>
      <x:c r="B415" s="168" t="str">
        <x:v>IFOOD PAGO CRÉDITO II FUNDO DE INVESTIMENTO EM DIREITOS CREDITÓRIOS FINANCEIRO RESP. LIMITADA</x:v>
      </x:c>
      <x:c r="C415" s="190" t="n">
        <x:v>339784494.53000003</x:v>
      </x:c>
      <x:c r="D415" s="168" t="str">
        <x:v>VERT Gestora de Recursos Financeiros Ltda.</x:v>
      </x:c>
      <x:c r="E415" s="168" t="str">
        <x:f>IFERROR(INDEX('Classif Gestoras'!$H$6:$H$462,MATCH(D415,'Classif Gestoras'!$A$6:$A$462,0)),"Não classificada")</x:f>
        <x:v>Independente</x:v>
      </x:c>
      <x:c r="F415" s="168" t="str">
        <x:v>VERT Distribuidora de Títulos e Valores Mobiliários Ltd</x:v>
      </x:c>
      <x:c r="G415" s="168" t="str">
        <x:v>VERT DISTRIBUIDORA DE TÍTULOS E VALORES MOBILIÁRIOS LTDA.</x:v>
      </x:c>
      <x:c r="H415" s="168" t="str">
        <x:v>Financeiro</x:v>
      </x:c>
      <x:c r="I415" s="168" t="str">
        <x:v>Multicarteira Financeiro</x:v>
      </x:c>
      <x:c r="J415" s="168" t="str">
        <x:v>CI</x:v>
      </x:c>
      <x:c r="K415" s="174" t="n">
        <x:v>3</x:v>
      </x:c>
      <x:c r="L415" s="187" t="str">
        <x:v>Proxy multicedente/multissacado — revisar</x:v>
      </x:c>
    </x:row>
    <x:row r="416">
      <x:c r="A416" s="177" t="str">
        <x:v>52.271.464/0001-36</x:v>
      </x:c>
      <x:c r="B416" s="168" t="str">
        <x:v>KIWIFY FUNDO DE INVESTIMENTO EM DIREITOS CREDITÓRIOS SEGMENTO MEIOS DE PAGAMENTO DE RESPONSABILIDADE</x:v>
      </x:c>
      <x:c r="C416" s="190" t="n">
        <x:v>339663291.15</x:v>
      </x:c>
      <x:c r="D416" s="168" t="str">
        <x:v>H2 CAPITAL</x:v>
      </x:c>
      <x:c r="E416" s="168" t="str">
        <x:f>IFERROR(INDEX('Classif Gestoras'!$H$6:$H$462,MATCH(D416,'Classif Gestoras'!$A$6:$A$462,0)),"Não classificada")</x:f>
        <x:v>Independente</x:v>
      </x:c>
      <x:c r="F416" s="168" t="str">
        <x:v>Banco Genial S.A.</x:v>
      </x:c>
      <x:c r="G416" s="168" t="str">
        <x:v>BANCO GENIAL S.A.</x:v>
      </x:c>
      <x:c r="H416" s="168" t="str">
        <x:v>Agro, Indústria e Comércio</x:v>
      </x:c>
      <x:c r="I416" s="168" t="str">
        <x:v>Recebíveis Comerciais</x:v>
      </x:c>
      <x:c r="J416" s="168" t="str">
        <x:v>CI</x:v>
      </x:c>
      <x:c r="K416" s="174" t="n">
        <x:v>4</x:v>
      </x:c>
      <x:c r="L416" s="187" t="str">
        <x:v>Não classificado</x:v>
      </x:c>
    </x:row>
    <x:row r="417">
      <x:c r="A417" s="177" t="str">
        <x:v>63.622.842/0001-03</x:v>
      </x:c>
      <x:c r="B417" s="168" t="str">
        <x:v>DESBRAVA UNO ARTIGOS ESPORTIVOS FUNDO DE INVESTIMENTO EM DIREITOS CREDITÓRIOS RESP LIMITADA</x:v>
      </x:c>
      <x:c r="C417" s="190" t="n">
        <x:v>339242275.28</x:v>
      </x:c>
      <x:c r="D417" s="168" t="str">
        <x:v>ITAU ASSET</x:v>
      </x:c>
      <x:c r="E417" s="168" t="str">
        <x:f>IFERROR(INDEX('Classif Gestoras'!$H$6:$H$462,MATCH(D417,'Classif Gestoras'!$A$6:$A$462,0)),"Não classificada")</x:f>
        <x:v>Ligada a banco</x:v>
      </x:c>
      <x:c r="F417" s="168" t="str">
        <x:v>INTRAG DIST. DE TÍTU</x:v>
      </x:c>
      <x:c r="G417" s="168" t="str">
        <x:v>ITAU UNIBANCO S.A.</x:v>
      </x:c>
      <x:c r="H417" s="168" t="str">
        <x:v>Fomento Mercantil</x:v>
      </x:c>
      <x:c r="I417" s="168" t="str">
        <x:v>Fomento Mercantil</x:v>
      </x:c>
      <x:c r="J417" s="168" t="str">
        <x:v>CI</x:v>
      </x:c>
      <x:c r="K417" s="174" t="n">
        <x:v>2</x:v>
      </x:c>
      <x:c r="L417" s="187" t="str">
        <x:v>Não classificado</x:v>
      </x:c>
    </x:row>
    <x:row r="418">
      <x:c r="A418" s="177" t="str">
        <x:v>60.715.499/0001-45</x:v>
      </x:c>
      <x:c r="B418" s="168" t="str">
        <x:v>SEVEN CRÉDITO ESTRUTURADO 360 FUNDO DE INVESTIMENTO EM DIREITOS CREDITÓRIOS - RESPONSABILIDADE LIMIT</x:v>
      </x:c>
      <x:c r="C418" s="190" t="n">
        <x:v>338609596.41</x:v>
      </x:c>
      <x:c r="D418" s="168" t="str">
        <x:v>SVN Gestora de Recursos Ltda.</x:v>
      </x:c>
      <x:c r="E418" s="168" t="str">
        <x:f>IFERROR(INDEX('Classif Gestoras'!$H$6:$H$462,MATCH(D418,'Classif Gestoras'!$A$6:$A$462,0)),"Não classificada")</x:f>
        <x:v>Independente</x:v>
      </x:c>
      <x:c r="F418" s="168" t="str">
        <x:v>XPI CCTVM S/A</x:v>
      </x:c>
      <x:c r="G418" s="168" t="str">
        <x:v>OLIVEIRA TRUST DTVM S.A.</x:v>
      </x:c>
      <x:c r="H418" s="168" t="str">
        <x:v>Outros</x:v>
      </x:c>
      <x:c r="I418" s="168" t="str">
        <x:v>Multicarteira Outros</x:v>
      </x:c>
      <x:c r="J418" s="168" t="str">
        <x:v>CI</x:v>
      </x:c>
      <x:c r="K418" s="174" t="n">
        <x:v>2067</x:v>
      </x:c>
      <x:c r="L418" s="187" t="str">
        <x:v>Proxy multicedente/multissacado — revisar</x:v>
      </x:c>
    </x:row>
    <x:row r="419">
      <x:c r="A419" s="177" t="str">
        <x:v>26.208.328/0001-91</x:v>
      </x:c>
      <x:c r="B419" s="168" t="str">
        <x:v>ÁRTICO MIDDLE CORPORATE FUNDO DE INVESTIMENTO EM DIREITOS CREDITÓRIOS</x:v>
      </x:c>
      <x:c r="C419" s="190" t="n">
        <x:v>338385198.51</x:v>
      </x:c>
      <x:c r="D419" s="168" t="str">
        <x:v>TERCON ASSET MANAGEMENT</x:v>
      </x:c>
      <x:c r="E419" s="168" t="str">
        <x:f>IFERROR(INDEX('Classif Gestoras'!$H$6:$H$462,MATCH(D419,'Classif Gestoras'!$A$6:$A$462,0)),"Não classificada")</x:f>
        <x:v>Independente</x:v>
      </x:c>
      <x:c r="F419" s="168" t="str">
        <x:v>Singulare</x:v>
      </x:c>
      <x:c r="G419" s="168" t="str">
        <x:v>QI CORRETORA DE TÍTULOS E VALORES MOBILIÁRIOS S.A.</x:v>
      </x:c>
      <x:c r="H419" s="168" t="str">
        <x:v>Fomento Mercantil</x:v>
      </x:c>
      <x:c r="I419" s="168" t="str">
        <x:v>Fomento Mercantil</x:v>
      </x:c>
      <x:c r="J419" s="168" t="str">
        <x:v>CI</x:v>
      </x:c>
      <x:c r="K419" s="174" t="n">
        <x:v>88</x:v>
      </x:c>
      <x:c r="L419" s="187" t="str">
        <x:v>Não classificado</x:v>
      </x:c>
    </x:row>
    <x:row r="420">
      <x:c r="A420" s="177" t="str">
        <x:v>54.178.902/0001-41</x:v>
      </x:c>
      <x:c r="B420" s="168" t="str">
        <x:v>TANGERINA FUNDO DE INVESTIMENTO EM DIREITOS CREDITÓRIOS - RESPONSABILIDADE LIMITADA</x:v>
      </x:c>
      <x:c r="C420" s="190" t="n">
        <x:v>337275042.42</x:v>
      </x:c>
      <x:c r="D420" s="168" t="str">
        <x:v>SOSU CAPITAL GESTÃO DE INVESTIMENTOS LTDA.</x:v>
      </x:c>
      <x:c r="E420" s="168" t="str">
        <x:f>IFERROR(INDEX('Classif Gestoras'!$H$6:$H$462,MATCH(D420,'Classif Gestoras'!$A$6:$A$462,0)),"Não classificada")</x:f>
        <x:v>Independente</x:v>
      </x:c>
      <x:c r="F420" s="168" t="str">
        <x:v>BRL TRUST DTVM</x:v>
      </x:c>
      <x:c r="G420" s="168" t="str">
        <x:v>BRL TRUST DISTRIBUIDORA DE TITULOS E VALORES MOBILIARIOS S.A.</x:v>
      </x:c>
      <x:c r="H420" s="168" t="str">
        <x:v>Outros</x:v>
      </x:c>
      <x:c r="I420" s="168" t="str">
        <x:v>Poder Público</x:v>
      </x:c>
      <x:c r="J420" s="168" t="str">
        <x:v>CI</x:v>
      </x:c>
      <x:c r="K420" s="174" t="n">
        <x:v>1</x:v>
      </x:c>
      <x:c r="L420" s="187" t="str">
        <x:v>Não classificado</x:v>
      </x:c>
    </x:row>
    <x:row r="421">
      <x:c r="A421" s="177" t="str">
        <x:v>55.144.736/0001-25</x:v>
      </x:c>
      <x:c r="B421" s="168" t="str">
        <x:v>RENOVAGRO FIAGRO RESPONSABILIDADE LIMITADA</x:v>
      </x:c>
      <x:c r="C421" s="190" t="n">
        <x:v>336532927.28000003</x:v>
      </x:c>
      <x:c r="D421" s="168" t="str">
        <x:v>Artesanal Agro</x:v>
      </x:c>
      <x:c r="E421" s="168" t="str">
        <x:f>IFERROR(INDEX('Classif Gestoras'!$H$6:$H$462,MATCH(D421,'Classif Gestoras'!$A$6:$A$462,0)),"Não classificada")</x:f>
        <x:v>Independente</x:v>
      </x:c>
      <x:c r="F421" s="168" t="str">
        <x:v>Singulare</x:v>
      </x:c>
      <x:c r="G421" s="168" t="str">
        <x:v>QI CORRETORA DE TÍTULOS E VALORES MOBILIÁRIOS S.A.</x:v>
      </x:c>
      <x:c r="H421" s="168" t="str">
        <x:v>Agro, Indústria e Comércio</x:v>
      </x:c>
      <x:c r="I421" s="168" t="str">
        <x:v>Agronegócio</x:v>
      </x:c>
      <x:c r="J421" s="168" t="str">
        <x:v>CI</x:v>
      </x:c>
      <x:c r="K421" s="174" t="n">
        <x:v>14</x:v>
      </x:c>
      <x:c r="L421" s="187" t="str">
        <x:v>Não classificado</x:v>
      </x:c>
    </x:row>
    <x:row r="422">
      <x:c r="A422" s="177" t="str">
        <x:v>11.507.489/0001-09</x:v>
      </x:c>
      <x:c r="B422" s="168" t="str">
        <x:v>BFC FUNDO DE INVESTIMENTO EM DIREITOS CREDITÓRIOS</x:v>
      </x:c>
      <x:c r="C422" s="190" t="n">
        <x:v>335546523.75</x:v>
      </x:c>
      <x:c r="D422" s="168" t="str">
        <x:v>TERCON ASSET MANAGEMENT</x:v>
      </x:c>
      <x:c r="E422" s="168" t="str">
        <x:f>IFERROR(INDEX('Classif Gestoras'!$H$6:$H$462,MATCH(D422,'Classif Gestoras'!$A$6:$A$462,0)),"Não classificada")</x:f>
        <x:v>Independente</x:v>
      </x:c>
      <x:c r="F422" s="168" t="str">
        <x:v>Singulare</x:v>
      </x:c>
      <x:c r="G422" s="168" t="str">
        <x:v>QI CORRETORA DE TÍTULOS E VALORES MOBILIÁRIOS S.A.</x:v>
      </x:c>
      <x:c r="H422" s="168" t="str">
        <x:v>Fomento Mercantil</x:v>
      </x:c>
      <x:c r="I422" s="168" t="str">
        <x:v>Fomento Mercantil</x:v>
      </x:c>
      <x:c r="J422" s="168" t="str">
        <x:v>CI</x:v>
      </x:c>
      <x:c r="K422" s="174" t="n">
        <x:v>11</x:v>
      </x:c>
      <x:c r="L422" s="187" t="str">
        <x:v>Não classificado</x:v>
      </x:c>
    </x:row>
    <x:row r="423">
      <x:c r="A423" s="177" t="str">
        <x:v>48.887.873/0001-94</x:v>
      </x:c>
      <x:c r="B423" s="168" t="str">
        <x:v>DJF IV FUNDO DE INVESTIMENTO EM DIREITOS CREDITÓRIOS- RESPONSABILIDADE LIMITADA</x:v>
      </x:c>
      <x:c r="C423" s="190" t="n">
        <x:v>335528925.59999996</x:v>
      </x:c>
      <x:c r="D423" s="168" t="str">
        <x:v>JIVE INVESTMENTS</x:v>
      </x:c>
      <x:c r="E423" s="168" t="str">
        <x:f>IFERROR(INDEX('Classif Gestoras'!$H$6:$H$462,MATCH(D423,'Classif Gestoras'!$A$6:$A$462,0)),"Não classificada")</x:f>
        <x:v>Independente</x:v>
      </x:c>
      <x:c r="F423" s="168" t="str">
        <x:v>MAF Distribuidora de Títulos e Valores Mobiliários S.A.</x:v>
      </x:c>
      <x:c r="G423" s="168" t="str">
        <x:v>MAF DISTRIBUIDORA DE TITULOS E VALORES MOBILIARIOS S.A.</x:v>
      </x:c>
      <x:c r="H423" s="168" t="str">
        <x:v>Outros</x:v>
      </x:c>
      <x:c r="I423" s="168" t="str">
        <x:v>Recuperação</x:v>
      </x:c>
      <x:c r="J423" s="168" t="str">
        <x:v>CI</x:v>
      </x:c>
      <x:c r="K423" s="174" t="n">
        <x:v>4</x:v>
      </x:c>
      <x:c r="L423" s="187" t="str">
        <x:v>Não classificado</x:v>
      </x:c>
    </x:row>
    <x:row r="424">
      <x:c r="A424" s="177" t="str">
        <x:v>54.980.022/0001-94</x:v>
      </x:c>
      <x:c r="B424" s="168" t="str">
        <x:v>BLC IV MASTER FUNDO DE INVESTIMENTO EM DIREITOS CREDITÓRIOS</x:v>
      </x:c>
      <x:c r="C424" s="190" t="n">
        <x:v>334719464.73999995</x:v>
      </x:c>
      <x:c r="D424" s="168" t="str">
        <x:v>Jus Capital Gestão de Recursos LTDA</x:v>
      </x:c>
      <x:c r="E424" s="168" t="str">
        <x:f>IFERROR(INDEX('Classif Gestoras'!$H$6:$H$462,MATCH(D424,'Classif Gestoras'!$A$6:$A$462,0)),"Não classificada")</x:f>
        <x:v>Independente</x:v>
      </x:c>
      <x:c r="F424" s="168" t="str">
        <x:v>Singulare</x:v>
      </x:c>
      <x:c r="G424" s="168" t="str">
        <x:v>QI CORRETORA DE TÍTULOS E VALORES MOBILIÁRIOS S.A.</x:v>
      </x:c>
      <x:c r="H424" s="168" t="str">
        <x:v>Outros</x:v>
      </x:c>
      <x:c r="I424" s="168" t="str">
        <x:v>Poder Público</x:v>
      </x:c>
      <x:c r="J424" s="168" t="str">
        <x:v>CI</x:v>
      </x:c>
      <x:c r="K424" s="174" t="n">
        <x:v>3</x:v>
      </x:c>
      <x:c r="L424" s="187" t="str">
        <x:v>Não classificado</x:v>
      </x:c>
    </x:row>
    <x:row r="425">
      <x:c r="A425" s="177" t="str">
        <x:v>26.690.373/0001-25</x:v>
      </x:c>
      <x:c r="B425" s="168" t="str">
        <x:v>SIMPLIC FUNDO DE INVESTIMENTO EM DIREITOS CREDITÓRIOS - RESPONSABILIDADE LIMITADA</x:v>
      </x:c>
      <x:c r="C425" s="190" t="n">
        <x:v>333404901.09</x:v>
      </x:c>
      <x:c r="D425" s="168" t="str">
        <x:v>POLÍGONO CAPITAL LTDA.</x:v>
      </x:c>
      <x:c r="E425" s="168" t="str">
        <x:f>IFERROR(INDEX('Classif Gestoras'!$H$6:$H$462,MATCH(D425,'Classif Gestoras'!$A$6:$A$462,0)),"Não classificada")</x:f>
        <x:v>Independente</x:v>
      </x:c>
      <x:c r="F425" s="168" t="str">
        <x:v>Limine Trust Distribuidora de Titulos e Valores Mobiliá</x:v>
      </x:c>
      <x:c r="G425" s="168" t="str">
        <x:v>LIMINE TRUST DISTRIBUIDORA DE TITULOS E VALORES MOBILIARIOS LTDA.</x:v>
      </x:c>
      <x:c r="H425" s="168" t="str">
        <x:v>Financeiro</x:v>
      </x:c>
      <x:c r="I425" s="168" t="str">
        <x:v>Crédito Pessoal</x:v>
      </x:c>
      <x:c r="J425" s="168" t="str">
        <x:v>CI</x:v>
      </x:c>
      <x:c r="K425" s="174" t="n">
        <x:v>1</x:v>
      </x:c>
      <x:c r="L425" s="187" t="str">
        <x:v>Não classificado</x:v>
      </x:c>
    </x:row>
    <x:row r="426">
      <x:c r="A426" s="177" t="str">
        <x:v>40.895.649/0001-32</x:v>
      </x:c>
      <x:c r="B426" s="168" t="str">
        <x:v>AUDAX CAPITAL FUNDO DE INVESTIMENTO EM DIREITOS CREDITÓRIOS</x:v>
      </x:c>
      <x:c r="C426" s="190" t="n">
        <x:v>332850691.92999995</x:v>
      </x:c>
      <x:c r="D426" s="168" t="str">
        <x:v>TERCON ASSET MANAGEMENT</x:v>
      </x:c>
      <x:c r="E426" s="168" t="str">
        <x:f>IFERROR(INDEX('Classif Gestoras'!$H$6:$H$462,MATCH(D426,'Classif Gestoras'!$A$6:$A$462,0)),"Não classificada")</x:f>
        <x:v>Independente</x:v>
      </x:c>
      <x:c r="F426" s="168" t="str">
        <x:v>Singulare</x:v>
      </x:c>
      <x:c r="G426" s="168" t="str">
        <x:v>QI CORRETORA DE TÍTULOS E VALORES MOBILIÁRIOS S.A.</x:v>
      </x:c>
      <x:c r="H426" s="168" t="str">
        <x:v>Fomento Mercantil</x:v>
      </x:c>
      <x:c r="I426" s="168" t="str">
        <x:v>Fomento Mercantil</x:v>
      </x:c>
      <x:c r="J426" s="168" t="str">
        <x:v>CI</x:v>
      </x:c>
      <x:c r="K426" s="174" t="n">
        <x:v>78</x:v>
      </x:c>
      <x:c r="L426" s="187" t="str">
        <x:v>Não classificado</x:v>
      </x:c>
    </x:row>
    <x:row r="427">
      <x:c r="A427" s="177" t="str">
        <x:v>12.254.372/0001-23</x:v>
      </x:c>
      <x:c r="B427" s="168" t="str">
        <x:v>GARSON - FUNDO DE INVESTIMENTO EM DIREITOS CREDITÓRIOS</x:v>
      </x:c>
      <x:c r="C427" s="190" t="n">
        <x:v>330230004.13000005</x:v>
      </x:c>
      <x:c r="D427" s="168" t="str">
        <x:v>M8 Partners</x:v>
      </x:c>
      <x:c r="E427" s="168" t="str">
        <x:f>IFERROR(INDEX('Classif Gestoras'!$H$6:$H$462,MATCH(D427,'Classif Gestoras'!$A$6:$A$462,0)),"Não classificada")</x:f>
        <x:v>Independente</x:v>
      </x:c>
      <x:c r="F427" s="168" t="str">
        <x:v>HEMERA DTVM</x:v>
      </x:c>
      <x:c r="G427" s="168" t="str">
        <x:v>HEMERA DISTRIBUIDORA DE TITULOS E VALORES MOBILIARIOS LTDA</x:v>
      </x:c>
      <x:c r="H427" s="168" t="str">
        <x:v>Outros</x:v>
      </x:c>
      <x:c r="I427" s="168" t="str">
        <x:v>Multicarteira Outros</x:v>
      </x:c>
      <x:c r="J427" s="168" t="str">
        <x:v>CI</x:v>
      </x:c>
      <x:c r="K427" s="174" t="n">
        <x:v>75</x:v>
      </x:c>
      <x:c r="L427" s="187" t="str">
        <x:v>Proxy multicedente/multissacado — revisar</x:v>
      </x:c>
    </x:row>
    <x:row r="428">
      <x:c r="A428" s="177" t="str">
        <x:v>32.388.171/0001-26</x:v>
      </x:c>
      <x:c r="B428" s="168" t="str">
        <x:v>UNIQUE II FUNDO DE INVESTIMENTO EM DIREITOS CREDITÓRIOS</x:v>
      </x:c>
      <x:c r="C428" s="190" t="n">
        <x:v>330094049.46</x:v>
      </x:c>
      <x:c r="D428" s="168" t="str">
        <x:v>Soma Asset</x:v>
      </x:c>
      <x:c r="E428" s="168" t="str">
        <x:f>IFERROR(INDEX('Classif Gestoras'!$H$6:$H$462,MATCH(D428,'Classif Gestoras'!$A$6:$A$462,0)),"Não classificada")</x:f>
        <x:v>Independente</x:v>
      </x:c>
      <x:c r="F428" s="168" t="str">
        <x:v>Singulare</x:v>
      </x:c>
      <x:c r="G428" s="168" t="str">
        <x:v>QI CORRETORA DE TÍTULOS E VALORES MOBILIÁRIOS S.A.</x:v>
      </x:c>
      <x:c r="H428" s="168" t="str">
        <x:v>Fomento Mercantil</x:v>
      </x:c>
      <x:c r="I428" s="168" t="str">
        <x:v>Fomento Mercantil</x:v>
      </x:c>
      <x:c r="J428" s="168" t="str">
        <x:v>CI</x:v>
      </x:c>
      <x:c r="K428" s="174" t="n">
        <x:v>63</x:v>
      </x:c>
      <x:c r="L428" s="187" t="str">
        <x:v>Não classificado</x:v>
      </x:c>
    </x:row>
    <x:row r="429">
      <x:c r="A429" s="177" t="str">
        <x:v>22.802.113/0001-43</x:v>
      </x:c>
      <x:c r="B429" s="168" t="str">
        <x:v>FUNDO DE INVESTIMENTO EM DIREITOS CREDITÓRIOS MUSTANG MULTICARTEIRA - RESPONSABILIDADE LIMITADA</x:v>
      </x:c>
      <x:c r="C429" s="190" t="n">
        <x:v>328487540.70000005</x:v>
      </x:c>
      <x:c r="D429" s="168" t="str">
        <x:v>Oliveira Trust Servicer</x:v>
      </x:c>
      <x:c r="E429" s="168" t="str">
        <x:f>IFERROR(INDEX('Classif Gestoras'!$H$6:$H$462,MATCH(D429,'Classif Gestoras'!$A$6:$A$462,0)),"Não classificada")</x:f>
        <x:v>Independente</x:v>
      </x:c>
      <x:c r="F429" s="168" t="str">
        <x:v>Oliveira Trust DTVM</x:v>
      </x:c>
      <x:c r="G429" s="168" t="str">
        <x:v>OLIVEIRA TRUST DTVM S.A.</x:v>
      </x:c>
      <x:c r="H429" s="168" t="str">
        <x:v>Outros</x:v>
      </x:c>
      <x:c r="I429" s="168" t="str">
        <x:v>Multicarteira Outros</x:v>
      </x:c>
      <x:c r="J429" s="168" t="str">
        <x:v>CI</x:v>
      </x:c>
      <x:c r="K429" s="174" t="n">
        <x:v>1</x:v>
      </x:c>
      <x:c r="L429" s="187" t="str">
        <x:v>Proxy multicedente/multissacado — revisar</x:v>
      </x:c>
    </x:row>
    <x:row r="430">
      <x:c r="A430" s="177" t="str">
        <x:v>53.553.002/0001-74</x:v>
      </x:c>
      <x:c r="B430" s="168" t="str">
        <x:v>JIVE DISTRESSED &amp; SPECIAL SITS IV (QUALIFICADO) FIDC - RESPONSABILIDADE LIMITADA</x:v>
      </x:c>
      <x:c r="C430" s="190" t="n">
        <x:v>327074102.13</x:v>
      </x:c>
      <x:c r="D430" s="168" t="str">
        <x:v>JIVE INVESTMENTS</x:v>
      </x:c>
      <x:c r="E430" s="168" t="str">
        <x:f>IFERROR(INDEX('Classif Gestoras'!$H$6:$H$462,MATCH(D430,'Classif Gestoras'!$A$6:$A$462,0)),"Não classificada")</x:f>
        <x:v>Independente</x:v>
      </x:c>
      <x:c r="F430" s="168" t="str">
        <x:v>MAF Distribuidora de Títulos e Valores Mobiliários S.A.</x:v>
      </x:c>
      <x:c r="G430" s="168" t="str">
        <x:v>MAF DISTRIBUIDORA DE TITULOS E VALORES MOBILIARIOS S.A.</x:v>
      </x:c>
      <x:c r="H430" s="168" t="str">
        <x:v>Outros</x:v>
      </x:c>
      <x:c r="I430" s="168" t="str">
        <x:v>Multicarteira Outros</x:v>
      </x:c>
      <x:c r="J430" s="168" t="str">
        <x:v>CI</x:v>
      </x:c>
      <x:c r="K430" s="174" t="n">
        <x:v>1</x:v>
      </x:c>
      <x:c r="L430" s="187" t="str">
        <x:v>Proxy multicedente/multissacado — revisar</x:v>
      </x:c>
    </x:row>
    <x:row r="431">
      <x:c r="A431" s="177" t="str">
        <x:v>62.339.527/0001-00</x:v>
      </x:c>
      <x:c r="B431" s="168" t="str">
        <x:v>FIDC UP.P CONSIGNADO PRIVADO - RESP LIMITADA</x:v>
      </x:c>
      <x:c r="C431" s="190" t="n">
        <x:v>326154531.18</x:v>
      </x:c>
      <x:c r="D431" s="168" t="str">
        <x:v>ANGÁ ASSET MANAGEMENT</x:v>
      </x:c>
      <x:c r="E431" s="168" t="str">
        <x:f>IFERROR(INDEX('Classif Gestoras'!$H$6:$H$462,MATCH(D431,'Classif Gestoras'!$A$6:$A$462,0)),"Não classificada")</x:f>
        <x:v>Independente</x:v>
      </x:c>
      <x:c r="F431" s="168" t="str">
        <x:v>BANCO DAYCOVAL S/A</x:v>
      </x:c>
      <x:c r="G431" s="168" t="str">
        <x:v>BANCO DAYCOVAL S.A.</x:v>
      </x:c>
      <x:c r="H431" s="168" t="str">
        <x:v>Financeiro</x:v>
      </x:c>
      <x:c r="I431" s="168" t="str">
        <x:v>Crédito Consignado</x:v>
      </x:c>
      <x:c r="J431" s="168" t="str">
        <x:v>CI</x:v>
      </x:c>
      <x:c r="K431" s="174" t="n">
        <x:v>42</x:v>
      </x:c>
      <x:c r="L431" s="187" t="str">
        <x:v>Não classificado</x:v>
      </x:c>
    </x:row>
    <x:row r="432">
      <x:c r="A432" s="177" t="str">
        <x:v>59.904.247/0001-85</x:v>
      </x:c>
      <x:c r="B432" s="168" t="str">
        <x:v>LEPTA MULTISETORIAL FUNDO DE INVESTIMENTO EM DIREITOS CREDITÓRIOS</x:v>
      </x:c>
      <x:c r="C432" s="190" t="n">
        <x:v>326065550.5</x:v>
      </x:c>
      <x:c r="D432" s="168" t="str">
        <x:v>M8 Partners</x:v>
      </x:c>
      <x:c r="E432" s="168" t="str">
        <x:f>IFERROR(INDEX('Classif Gestoras'!$H$6:$H$462,MATCH(D432,'Classif Gestoras'!$A$6:$A$462,0)),"Não classificada")</x:f>
        <x:v>Independente</x:v>
      </x:c>
      <x:c r="F432" s="168" t="str">
        <x:v>HEMERA DTVM</x:v>
      </x:c>
      <x:c r="G432" s="168" t="str">
        <x:v>HEMERA DISTRIBUIDORA DE TITULOS E VALORES MOBILIARIOS LTDA</x:v>
      </x:c>
      <x:c r="H432" s="168" t="str">
        <x:v>Financeiro</x:v>
      </x:c>
      <x:c r="I432" s="168" t="str">
        <x:v>Multicarteira Financeiro</x:v>
      </x:c>
      <x:c r="J432" s="168" t="str">
        <x:v>CI</x:v>
      </x:c>
      <x:c r="K432" s="174" t="n">
        <x:v>24</x:v>
      </x:c>
      <x:c r="L432" s="187" t="str">
        <x:v>Proxy multicedente/multissacado — revisar</x:v>
      </x:c>
    </x:row>
    <x:row r="433">
      <x:c r="A433" s="177" t="str">
        <x:v>59.086.325/0001-81</x:v>
      </x:c>
      <x:c r="B433" s="168" t="str">
        <x:v>CONSIGNADOS IX FUNDO DE INVESTIMENTO EM DIREITOS CREDITÓRIOS - RESPONSABILIDADE LIMITADA</x:v>
      </x:c>
      <x:c r="C433" s="190" t="n">
        <x:v>324050696.19</x:v>
      </x:c>
      <x:c r="D433" s="168" t="str">
        <x:v>BRZ Gestão de Recursos</x:v>
      </x:c>
      <x:c r="E433" s="168" t="str">
        <x:f>IFERROR(INDEX('Classif Gestoras'!$H$6:$H$462,MATCH(D433,'Classif Gestoras'!$A$6:$A$462,0)),"Não classificada")</x:f>
        <x:v>Independente</x:v>
      </x:c>
      <x:c r="F433" s="168" t="str">
        <x:v>Singulare</x:v>
      </x:c>
      <x:c r="G433" s="168" t="str">
        <x:v>QI CORRETORA DE TÍTULOS E VALORES MOBILIÁRIOS S.A.</x:v>
      </x:c>
      <x:c r="H433" s="168" t="str">
        <x:v>Financeiro</x:v>
      </x:c>
      <x:c r="I433" s="168" t="str">
        <x:v>Crédito Consignado</x:v>
      </x:c>
      <x:c r="J433" s="168" t="str">
        <x:v>CI</x:v>
      </x:c>
      <x:c r="K433" s="174" t="n">
        <x:v>82</x:v>
      </x:c>
      <x:c r="L433" s="187" t="str">
        <x:v>Não classificado</x:v>
      </x:c>
    </x:row>
    <x:row r="434">
      <x:c r="A434" s="177" t="str">
        <x:v>62.191.905/0001-43</x:v>
      </x:c>
      <x:c r="B434" s="168" t="str">
        <x:v>PARANÁ II FIDC DO SEGMENTO AGRONEGÓCIO - RESPONSABILIDADE LIMITADA</x:v>
      </x:c>
      <x:c r="C434" s="190" t="n">
        <x:v>323326925.18</x:v>
      </x:c>
      <x:c r="D434" s="168" t="str">
        <x:v>SUNO ASSET MANAGEMENT</x:v>
      </x:c>
      <x:c r="E434" s="168" t="str">
        <x:f>IFERROR(INDEX('Classif Gestoras'!$H$6:$H$462,MATCH(D434,'Classif Gestoras'!$A$6:$A$462,0)),"Não classificada")</x:f>
        <x:v>Independente</x:v>
      </x:c>
      <x:c r="F434" s="168" t="str">
        <x:v>Genial Investimentos Corretora de Valores Mobiliários S.A.</x:v>
      </x:c>
      <x:c r="G434" s="168" t="str">
        <x:v>BANCO GENIAL S.A.</x:v>
      </x:c>
      <x:c r="H434" s="168" t="str">
        <x:v>Agro, Indústria e Comércio</x:v>
      </x:c>
      <x:c r="I434" s="168" t="str">
        <x:v>Multicarteira Agro, Indústria e Comércio</x:v>
      </x:c>
      <x:c r="J434" s="168" t="str">
        <x:v>CI</x:v>
      </x:c>
      <x:c r="K434" s="174" t="n">
        <x:v>2</x:v>
      </x:c>
      <x:c r="L434" s="187" t="str">
        <x:v>Proxy multicedente/multissacado — revisar</x:v>
      </x:c>
    </x:row>
    <x:row r="435">
      <x:c r="A435" s="177" t="str">
        <x:v>08.756.222/0001-40</x:v>
      </x:c>
      <x:c r="B435" s="168" t="str">
        <x:v>FUNDO DE INVESTIMENTO EM DIREITOS CREDITORIOS MULTISSETORIAL TRADEMAX RESPONSABILIDADE LIMITADA</x:v>
      </x:c>
      <x:c r="C435" s="190" t="n">
        <x:v>323251457.33</x:v>
      </x:c>
      <x:c r="D435" s="168" t="str">
        <x:v>Paraguaçu Investimentos</x:v>
      </x:c>
      <x:c r="E435" s="168" t="str">
        <x:f>IFERROR(INDEX('Classif Gestoras'!$H$6:$H$462,MATCH(D435,'Classif Gestoras'!$A$6:$A$462,0)),"Não classificada")</x:f>
        <x:v>Independente</x:v>
      </x:c>
      <x:c r="F435" s="168" t="str">
        <x:v>Singulare</x:v>
      </x:c>
      <x:c r="G435" s="168" t="str">
        <x:v>QI CORRETORA DE TÍTULOS E VALORES MOBILIÁRIOS S.A.</x:v>
      </x:c>
      <x:c r="H435" s="168" t="str">
        <x:v>Outros</x:v>
      </x:c>
      <x:c r="I435" s="168" t="str">
        <x:v>Multicarteira Outros</x:v>
      </x:c>
      <x:c r="J435" s="168" t="str">
        <x:v>CI</x:v>
      </x:c>
      <x:c r="K435" s="174" t="n">
        <x:v>62</x:v>
      </x:c>
      <x:c r="L435" s="187" t="str">
        <x:v>Proxy multicedente/multissacado — revisar</x:v>
      </x:c>
    </x:row>
    <x:row r="436">
      <x:c r="A436" s="177" t="str">
        <x:v>50.151.440/0001-18</x:v>
      </x:c>
      <x:c r="B436" s="168" t="str">
        <x:v>LASSIE 2 CRÉDITOS JUDICIAIS FUNDO DE INVESTIMENTO EM DIREITOS CREDITÓRIOS</x:v>
      </x:c>
      <x:c r="C436" s="190" t="n">
        <x:v>323028811.58</x:v>
      </x:c>
      <x:c r="D436" s="168" t="str">
        <x:v>LASS CAPITAL</x:v>
      </x:c>
      <x:c r="E436" s="168" t="str">
        <x:f>IFERROR(INDEX('Classif Gestoras'!$H$6:$H$462,MATCH(D436,'Classif Gestoras'!$A$6:$A$462,0)),"Não classificada")</x:f>
        <x:v>Independente</x:v>
      </x:c>
      <x:c r="F436" s="168" t="str">
        <x:v>BTG Pactual Servicos Financeiros S/A DTVM</x:v>
      </x:c>
      <x:c r="G436" s="168" t="str">
        <x:v>BANCO BTG PACTUAL S/A</x:v>
      </x:c>
      <x:c r="H436" s="168" t="str">
        <x:v>Outros</x:v>
      </x:c>
      <x:c r="I436" s="168" t="str">
        <x:v>Poder Público</x:v>
      </x:c>
      <x:c r="J436" s="168" t="str">
        <x:v>CI</x:v>
      </x:c>
      <x:c r="K436" s="174" t="n">
        <x:v>2</x:v>
      </x:c>
      <x:c r="L436" s="187" t="str">
        <x:v>Não classificado</x:v>
      </x:c>
    </x:row>
    <x:row r="437">
      <x:c r="A437" s="177" t="str">
        <x:v>61.641.236/0001-00</x:v>
      </x:c>
      <x:c r="B437" s="168" t="str">
        <x:v>JIVE ALM CP FIDC DE RESP ILIMITADA</x:v>
      </x:c>
      <x:c r="C437" s="190" t="n">
        <x:v>322708082.87</x:v>
      </x:c>
      <x:c r="D437" s="168" t="str">
        <x:v>JIVE HIGH YIELD GESTÃO DE RECURSOS LTDA</x:v>
      </x:c>
      <x:c r="E437" s="168" t="str">
        <x:f>IFERROR(INDEX('Classif Gestoras'!$H$6:$H$462,MATCH(D437,'Classif Gestoras'!$A$6:$A$462,0)),"Não classificada")</x:f>
        <x:v>Independente</x:v>
      </x:c>
      <x:c r="F437" s="168" t="str">
        <x:v>BANCO DAYCOVAL S/A</x:v>
      </x:c>
      <x:c r="G437" s="168" t="str">
        <x:v>BANCO DAYCOVAL S.A.</x:v>
      </x:c>
      <x:c r="H437" s="168" t="str">
        <x:v>Financeiro</x:v>
      </x:c>
      <x:c r="I437" s="168" t="str">
        <x:v>Multicarteira Financeiro</x:v>
      </x:c>
      <x:c r="J437" s="168" t="str">
        <x:v>CI</x:v>
      </x:c>
      <x:c r="K437" s="174" t="n">
        <x:v>2</x:v>
      </x:c>
      <x:c r="L437" s="187" t="str">
        <x:v>Proxy multicedente/multissacado — revisar</x:v>
      </x:c>
    </x:row>
    <x:row r="438">
      <x:c r="A438" s="177" t="str">
        <x:v>08.315.045/0001-67</x:v>
      </x:c>
      <x:c r="B438" s="168" t="str">
        <x:v>HOPE I FUNDO DE INVESTIMENTO EM DIREITOS CREDITÓRIOS MULTISSEGMENTOS</x:v>
      </x:c>
      <x:c r="C438" s="190" t="n">
        <x:v>321201696.60999995</x:v>
      </x:c>
      <x:c r="D438" s="168" t="str">
        <x:v>HOPE ASSET</x:v>
      </x:c>
      <x:c r="E438" s="168" t="str">
        <x:f>IFERROR(INDEX('Classif Gestoras'!$H$6:$H$462,MATCH(D438,'Classif Gestoras'!$A$6:$A$462,0)),"Não classificada")</x:f>
        <x:v>Independente</x:v>
      </x:c>
      <x:c r="F438" s="168" t="str">
        <x:v>Finaxis Corretora de Títulos e Valores Mobiliários S.A.</x:v>
      </x:c>
      <x:c r="G438" s="168" t="str">
        <x:v>BANCO FINAXIS S.A.</x:v>
      </x:c>
      <x:c r="H438" s="168" t="str">
        <x:v>Fomento Mercantil</x:v>
      </x:c>
      <x:c r="I438" s="168" t="str">
        <x:v>Fomento Mercantil</x:v>
      </x:c>
      <x:c r="J438" s="168" t="str">
        <x:v>CI</x:v>
      </x:c>
      <x:c r="K438" s="174" t="n">
        <x:v>40</x:v>
      </x:c>
      <x:c r="L438" s="187" t="str">
        <x:v>Não classificado</x:v>
      </x:c>
    </x:row>
    <x:row r="439">
      <x:c r="A439" s="177" t="str">
        <x:v>28.194.817/0001-67</x:v>
      </x:c>
      <x:c r="B439" s="168" t="str">
        <x:v>CREDVALE FUNDO DE INVESTIMENTO EM DIREITOS CREDITORIOS MULTISSETORIAL</x:v>
      </x:c>
      <x:c r="C439" s="190" t="n">
        <x:v>320944084.16999996</x:v>
      </x:c>
      <x:c r="D439" s="168" t="str">
        <x:v>OURO PRETO INVESTIMENTOS</x:v>
      </x:c>
      <x:c r="E439" s="168" t="str">
        <x:f>IFERROR(INDEX('Classif Gestoras'!$H$6:$H$462,MATCH(D439,'Classif Gestoras'!$A$6:$A$462,0)),"Não classificada")</x:f>
        <x:v>Independente</x:v>
      </x:c>
      <x:c r="F439" s="168" t="str">
        <x:v>Singulare</x:v>
      </x:c>
      <x:c r="G439" s="168" t="str">
        <x:v>QI CORRETORA DE TÍTULOS E VALORES MOBILIÁRIOS S.A.</x:v>
      </x:c>
      <x:c r="H439" s="168" t="str">
        <x:v>Fomento Mercantil</x:v>
      </x:c>
      <x:c r="I439" s="168" t="str">
        <x:v>Fomento Mercantil</x:v>
      </x:c>
      <x:c r="J439" s="168" t="str">
        <x:v>CI</x:v>
      </x:c>
      <x:c r="K439" s="174" t="n">
        <x:v>13</x:v>
      </x:c>
      <x:c r="L439" s="187" t="str">
        <x:v>Não classificado</x:v>
      </x:c>
    </x:row>
    <x:row r="440">
      <x:c r="A440" s="177" t="str">
        <x:v>57.832.889/0001-90</x:v>
      </x:c>
      <x:c r="B440" s="168" t="str">
        <x:v>ALDEBARAN III FUNDO DE INVESTIMENTO EM DIREITOS CREDITÓRIOS - RESPONSABILIDADE LIMITADA</x:v>
      </x:c>
      <x:c r="C440" s="190" t="n">
        <x:v>320682906.38</x:v>
      </x:c>
      <x:c r="D440" s="168" t="str">
        <x:v>Emerald Gestão de Investimento</x:v>
      </x:c>
      <x:c r="E440" s="168" t="str">
        <x:f>IFERROR(INDEX('Classif Gestoras'!$H$6:$H$462,MATCH(D440,'Classif Gestoras'!$A$6:$A$462,0)),"Não classificada")</x:f>
        <x:v>Independente</x:v>
      </x:c>
      <x:c r="F440" s="168" t="str">
        <x:v>BANCO J. SAFRA S/A</x:v>
      </x:c>
      <x:c r="G440" s="168" t="str">
        <x:v>OLIVEIRA TRUST DTVM S.A.</x:v>
      </x:c>
      <x:c r="H440" s="168" t="str">
        <x:v>Outros</x:v>
      </x:c>
      <x:c r="I440" s="168" t="str">
        <x:v>Multicarteira Outros</x:v>
      </x:c>
      <x:c r="J440" s="168" t="str">
        <x:v>CI</x:v>
      </x:c>
      <x:c r="K440" s="174" t="n">
        <x:v>2</x:v>
      </x:c>
      <x:c r="L440" s="187" t="str">
        <x:v>Proxy multicedente/multissacado — revisar</x:v>
      </x:c>
    </x:row>
    <x:row r="441">
      <x:c r="A441" s="177" t="str">
        <x:v>23.750.225/0001-60</x:v>
      </x:c>
      <x:c r="B441" s="168" t="str">
        <x:v>TRAÇÃO FINANCEIRA FUNDO DE INVESTIMENTO EM DIREITOS CREDITÓRIOS - RESPONSABILIDADE LIMITADA</x:v>
      </x:c>
      <x:c r="C441" s="190" t="n">
        <x:v>319184931.33</x:v>
      </x:c>
      <x:c r="D441" s="168" t="str">
        <x:v>ARTESANAL FINANCEIRO</x:v>
      </x:c>
      <x:c r="E441" s="168" t="str">
        <x:f>IFERROR(INDEX('Classif Gestoras'!$H$6:$H$462,MATCH(D441,'Classif Gestoras'!$A$6:$A$462,0)),"Não classificada")</x:f>
        <x:v>Independente</x:v>
      </x:c>
      <x:c r="F441" s="168" t="str">
        <x:v>Singulare</x:v>
      </x:c>
      <x:c r="G441" s="168" t="str">
        <x:v>QI CORRETORA DE TÍTULOS E VALORES MOBILIÁRIOS S.A.</x:v>
      </x:c>
      <x:c r="H441" s="168" t="str">
        <x:v>Agro, Indústria e Comércio</x:v>
      </x:c>
      <x:c r="I441" s="168" t="str">
        <x:v>Multicarteira Agro, Indústria e Comércio</x:v>
      </x:c>
      <x:c r="J441" s="168" t="str">
        <x:v>CI</x:v>
      </x:c>
      <x:c r="K441" s="174" t="n">
        <x:v>32</x:v>
      </x:c>
      <x:c r="L441" s="187" t="str">
        <x:v>Proxy multicedente/multissacado — revisar</x:v>
      </x:c>
    </x:row>
    <x:row r="442">
      <x:c r="A442" s="177" t="str">
        <x:v>10.462.494/0001-80</x:v>
      </x:c>
      <x:c r="B442" s="168" t="str">
        <x:v>PRINCIPAL CLASSE DE INVESTIMENTO EM DIREITOS CRÉDITÓRIOS RESPONSABILIDADE LIMITADA</x:v>
      </x:c>
      <x:c r="C442" s="190" t="n">
        <x:v>319050902.84</x:v>
      </x:c>
      <x:c r="D442" s="168" t="str">
        <x:v>V8 Capital</x:v>
      </x:c>
      <x:c r="E442" s="168" t="str">
        <x:f>IFERROR(INDEX('Classif Gestoras'!$H$6:$H$462,MATCH(D442,'Classif Gestoras'!$A$6:$A$462,0)),"Não classificada")</x:f>
        <x:v>Independente</x:v>
      </x:c>
      <x:c r="F442" s="168" t="str">
        <x:v>S3 Caceis Brasil Distribuidora de Títulos e Valores Mob</x:v>
      </x:c>
      <x:c r="G442" s="168" t="str">
        <x:v>S3 CACEIS BRASIL DISTRIBUIDORA DE TITULOS E VALORES MOBILIARIOS S.A</x:v>
      </x:c>
      <x:c r="H442" s="168" t="str">
        <x:v>Outros</x:v>
      </x:c>
      <x:c r="I442" s="168" t="str">
        <x:v>Multicarteira Outros</x:v>
      </x:c>
      <x:c r="J442" s="168" t="str">
        <x:v>CI</x:v>
      </x:c>
      <x:c r="K442" s="174" t="n">
        <x:v>1</x:v>
      </x:c>
      <x:c r="L442" s="187" t="str">
        <x:v>Proxy multicedente/multissacado — revisar</x:v>
      </x:c>
    </x:row>
    <x:row r="443">
      <x:c r="A443" s="177" t="str">
        <x:v>57.660.236/0001-71</x:v>
      </x:c>
      <x:c r="B443" s="168" t="str">
        <x:v>INTRA SOLIDEZ FUNDO DE INVESTIMENTO EM DIREITOS CREDITÓRIOS</x:v>
      </x:c>
      <x:c r="C443" s="190" t="n">
        <x:v>318415191.18</x:v>
      </x:c>
      <x:c r="D443" s="168" t="str">
        <x:v>Intrabank Asset</x:v>
      </x:c>
      <x:c r="E443" s="168" t="str">
        <x:f>IFERROR(INDEX('Classif Gestoras'!$H$6:$H$462,MATCH(D443,'Classif Gestoras'!$A$6:$A$462,0)),"Não classificada")</x:f>
        <x:v>Independente</x:v>
      </x:c>
      <x:c r="F443" s="168" t="str">
        <x:v>HEMERA DTVM</x:v>
      </x:c>
      <x:c r="G443" s="168" t="str">
        <x:v>HEMERA DISTRIBUIDORA DE TITULOS E VALORES MOBILIARIOS LTDA</x:v>
      </x:c>
      <x:c r="H443" s="168" t="str">
        <x:v>Financeiro</x:v>
      </x:c>
      <x:c r="I443" s="168" t="str">
        <x:v>Multicarteira Financeiro</x:v>
      </x:c>
      <x:c r="J443" s="168" t="str">
        <x:v>CI</x:v>
      </x:c>
      <x:c r="K443" s="174" t="n">
        <x:v>53</x:v>
      </x:c>
      <x:c r="L443" s="187" t="str">
        <x:v>Proxy multicedente/multissacado — revisar</x:v>
      </x:c>
    </x:row>
    <x:row r="444">
      <x:c r="A444" s="177" t="str">
        <x:v>52.258.255/0001-52</x:v>
      </x:c>
      <x:c r="B444" s="168" t="str">
        <x:v>BINVEST FUNDO DE INVESTIMENTO EM DIREITOS CREDITÓRIOS RESPONSABILIDADE LIMITADA</x:v>
      </x:c>
      <x:c r="C444" s="190" t="n">
        <x:v>317135575.46</x:v>
      </x:c>
      <x:c r="D444" s="168" t="str">
        <x:v>Catálise Investimentos</x:v>
      </x:c>
      <x:c r="E444" s="168" t="str">
        <x:f>IFERROR(INDEX('Classif Gestoras'!$H$6:$H$462,MATCH(D444,'Classif Gestoras'!$A$6:$A$462,0)),"Não classificada")</x:f>
        <x:v>Independente</x:v>
      </x:c>
      <x:c r="F444" s="168" t="str">
        <x:v>ID Corretora de Títulos e Valores Mobiliários S.A.</x:v>
      </x:c>
      <x:c r="G444" s="168" t="str">
        <x:v>ID CORRETORA DE TITULOS E VALORES MOBILIARIOS S.A.</x:v>
      </x:c>
      <x:c r="H444" s="168" t="str">
        <x:v>Outros</x:v>
      </x:c>
      <x:c r="I444" s="168" t="str">
        <x:v>Multicarteira Outros</x:v>
      </x:c>
      <x:c r="J444" s="168" t="str">
        <x:v>CI</x:v>
      </x:c>
      <x:c r="K444" s="174" t="n">
        <x:v>50</x:v>
      </x:c>
      <x:c r="L444" s="187" t="str">
        <x:v>Proxy multicedente/multissacado — revisar</x:v>
      </x:c>
    </x:row>
    <x:row r="445">
      <x:c r="A445" s="177" t="str">
        <x:v>56.844.535/0001-01</x:v>
      </x:c>
      <x:c r="B445" s="168" t="str">
        <x:v>SARFATY CRÉDITO CORPORATIVO FUNDO DE INVESTIMENTO EM DIREITOS CREDITÓRIOS</x:v>
      </x:c>
      <x:c r="C445" s="190" t="n">
        <x:v>317004553.51</x:v>
      </x:c>
      <x:c r="D445" s="168" t="str">
        <x:v>SARFATY ASSET</x:v>
      </x:c>
      <x:c r="E445" s="168" t="str">
        <x:f>IFERROR(INDEX('Classif Gestoras'!$H$6:$H$462,MATCH(D445,'Classif Gestoras'!$A$6:$A$462,0)),"Não classificada")</x:f>
        <x:v>Independente</x:v>
      </x:c>
      <x:c r="F445" s="168" t="str">
        <x:v>HEMERA DTVM</x:v>
      </x:c>
      <x:c r="G445" s="168" t="str">
        <x:v>HEMERA DISTRIBUIDORA DE TITULOS E VALORES MOBILIARIOS LTDA</x:v>
      </x:c>
      <x:c r="H445" s="168" t="str">
        <x:v>Outros</x:v>
      </x:c>
      <x:c r="I445" s="168" t="str">
        <x:v>Multicarteira Outros</x:v>
      </x:c>
      <x:c r="J445" s="168" t="str">
        <x:v>CI</x:v>
      </x:c>
      <x:c r="K445" s="174" t="n">
        <x:v>47</x:v>
      </x:c>
      <x:c r="L445" s="187" t="str">
        <x:v>Proxy multicedente/multissacado — revisar</x:v>
      </x:c>
    </x:row>
    <x:row r="446">
      <x:c r="A446" s="177" t="str">
        <x:v>44.179.672/0001-81</x:v>
      </x:c>
      <x:c r="B446" s="168" t="str">
        <x:v>LATACHE CRÉDITO ESTRUTURADO FIDC</x:v>
      </x:c>
      <x:c r="C446" s="190" t="n">
        <x:v>316405470.87</x:v>
      </x:c>
      <x:c r="D446" s="168" t="str">
        <x:v>Latache Capital</x:v>
      </x:c>
      <x:c r="E446" s="168" t="str">
        <x:f>IFERROR(INDEX('Classif Gestoras'!$H$6:$H$462,MATCH(D446,'Classif Gestoras'!$A$6:$A$462,0)),"Não classificada")</x:f>
        <x:v>Independente</x:v>
      </x:c>
      <x:c r="F446" s="168" t="str">
        <x:v>BRL TRUST DTVM</x:v>
      </x:c>
      <x:c r="G446" s="168" t="str">
        <x:v>BRL TRUST DISTRIBUIDORA DE TITULOS E VALORES MOBILIARIOS S.A.</x:v>
      </x:c>
      <x:c r="H446" s="168" t="str">
        <x:v>Outros</x:v>
      </x:c>
      <x:c r="I446" s="168" t="str">
        <x:v>Recuperação</x:v>
      </x:c>
      <x:c r="J446" s="168" t="str">
        <x:v>CI</x:v>
      </x:c>
      <x:c r="K446" s="174" t="n">
        <x:v>1</x:v>
      </x:c>
      <x:c r="L446" s="187" t="str">
        <x:v>Não classificado</x:v>
      </x:c>
    </x:row>
    <x:row r="447">
      <x:c r="A447" s="177" t="str">
        <x:v>54.851.094/0001-31</x:v>
      </x:c>
      <x:c r="B447" s="168" t="str">
        <x:v>VERDE AM IPÊ FUNDO DE INVESTIMENTO EM DIREITOS CREDITÓRIOS RESPONSABILIDADE LIMITADA</x:v>
      </x:c>
      <x:c r="C447" s="190" t="n">
        <x:v>315903988.43829995</x:v>
      </x:c>
      <x:c r="D447" s="168" t="str">
        <x:v>Verde Asset Management S.A.</x:v>
      </x:c>
      <x:c r="E447" s="168" t="str">
        <x:f>IFERROR(INDEX('Classif Gestoras'!$H$6:$H$462,MATCH(D447,'Classif Gestoras'!$A$6:$A$462,0)),"Não classificada")</x:f>
        <x:v>Independente</x:v>
      </x:c>
      <x:c r="F447" s="168" t="str">
        <x:v>BTG Pactual Servicos Financeiros S/A DTVM</x:v>
      </x:c>
      <x:c r="G447" s="168" t="str">
        <x:v>BANCO BTG PACTUAL S/A</x:v>
      </x:c>
      <x:c r="H447" s="168" t="str">
        <x:v>Outros</x:v>
      </x:c>
      <x:c r="I447" s="168" t="str">
        <x:v>Multicarteira Outros</x:v>
      </x:c>
      <x:c r="J447" s="168" t="str">
        <x:v>CI</x:v>
      </x:c>
      <x:c r="K447" s="174" t="n">
        <x:v>750</x:v>
      </x:c>
      <x:c r="L447" s="187" t="str">
        <x:v>Proxy multicedente/multissacado — revisar</x:v>
      </x:c>
    </x:row>
    <x:row r="448">
      <x:c r="A448" s="177" t="str">
        <x:v>62.303.024/0001-77</x:v>
      </x:c>
      <x:c r="B448" s="168" t="str">
        <x:v>PRISMA AUTO LOANS FUNDO DE INVESTIMENTO EM DIREITOS CREDITÓRIOS</x:v>
      </x:c>
      <x:c r="C448" s="190" t="n">
        <x:v>314406505.89000005</x:v>
      </x:c>
      <x:c r="D448" s="168" t="str">
        <x:v>PRISMA PRIVATE CREDIT</x:v>
      </x:c>
      <x:c r="E448" s="168" t="str">
        <x:f>IFERROR(INDEX('Classif Gestoras'!$H$6:$H$462,MATCH(D448,'Classif Gestoras'!$A$6:$A$462,0)),"Não classificada")</x:f>
        <x:v>Independente</x:v>
      </x:c>
      <x:c r="F448" s="168" t="str">
        <x:v>FIDD DISTRIBUIDORA DE TITULOS E VALORES MOBILIARIOS LTD</x:v>
      </x:c>
      <x:c r="G448" s="168" t="str">
        <x:v>FIDD DISTRIBUIDORA DE TITULOS E VALORES MOBILIARIOS LTDA.</x:v>
      </x:c>
      <x:c r="H448" s="168" t="str">
        <x:v>Outros</x:v>
      </x:c>
      <x:c r="I448" s="168" t="str">
        <x:v>Multicarteira Outros</x:v>
      </x:c>
      <x:c r="J448" s="168" t="str">
        <x:v>CI</x:v>
      </x:c>
      <x:c r="K448" s="174" t="n">
        <x:v>2</x:v>
      </x:c>
      <x:c r="L448" s="187" t="str">
        <x:v>Proxy multicedente/multissacado — revisar</x:v>
      </x:c>
    </x:row>
    <x:row r="449">
      <x:c r="A449" s="177" t="str">
        <x:v>53.823.295/0001-62</x:v>
      </x:c>
      <x:c r="B449" s="168" t="str">
        <x:v>ITAÚ HIMALAIA PRIVATE MARKETS FUNDO DE INVESTIMENTO EM DIREITOS CREDITÓRIOS RESPONSABILIDADE LIMITAD</x:v>
      </x:c>
      <x:c r="C449" s="190" t="n">
        <x:v>313553650.62</x:v>
      </x:c>
      <x:c r="D449" s="168" t="str">
        <x:v>ITAU ASSET</x:v>
      </x:c>
      <x:c r="E449" s="168" t="str">
        <x:f>IFERROR(INDEX('Classif Gestoras'!$H$6:$H$462,MATCH(D449,'Classif Gestoras'!$A$6:$A$462,0)),"Não classificada")</x:f>
        <x:v>Ligada a banco</x:v>
      </x:c>
      <x:c r="F449" s="168" t="str">
        <x:v>INTRAG DIST. DE TÍTU</x:v>
      </x:c>
      <x:c r="G449" s="168" t="str">
        <x:v>ITAU UNIBANCO S.A.</x:v>
      </x:c>
      <x:c r="H449" s="168" t="str">
        <x:v>Outros</x:v>
      </x:c>
      <x:c r="I449" s="168" t="str">
        <x:v>Multicarteira Outros</x:v>
      </x:c>
      <x:c r="J449" s="168" t="str">
        <x:v>CI</x:v>
      </x:c>
      <x:c r="K449" s="174" t="n">
        <x:v>1</x:v>
      </x:c>
      <x:c r="L449" s="187" t="str">
        <x:v>Proxy multicedente/multissacado — revisar</x:v>
      </x:c>
    </x:row>
    <x:row r="450">
      <x:c r="A450" s="177" t="str">
        <x:v>42.605.322/0001-04</x:v>
      </x:c>
      <x:c r="B450" s="168" t="str">
        <x:v>OPHIR FUNDO DE INVESTIMENTO EM DIREITOS CREDITÓRIOS</x:v>
      </x:c>
      <x:c r="C450" s="190" t="n">
        <x:v>313125520.01000005</x:v>
      </x:c>
      <x:c r="D450" s="168" t="str">
        <x:v>TERCON ASSET MANAGEMENT</x:v>
      </x:c>
      <x:c r="E450" s="168" t="str">
        <x:f>IFERROR(INDEX('Classif Gestoras'!$H$6:$H$462,MATCH(D450,'Classif Gestoras'!$A$6:$A$462,0)),"Não classificada")</x:f>
        <x:v>Independente</x:v>
      </x:c>
      <x:c r="F450" s="168" t="str">
        <x:v>Singulare</x:v>
      </x:c>
      <x:c r="G450" s="168" t="str">
        <x:v>QI CORRETORA DE TÍTULOS E VALORES MOBILIÁRIOS S.A.</x:v>
      </x:c>
      <x:c r="H450" s="168" t="str">
        <x:v>Fomento Mercantil</x:v>
      </x:c>
      <x:c r="I450" s="168" t="str">
        <x:v>Fomento Mercantil</x:v>
      </x:c>
      <x:c r="J450" s="168" t="str">
        <x:v>CI</x:v>
      </x:c>
      <x:c r="K450" s="174" t="n">
        <x:v>98</x:v>
      </x:c>
      <x:c r="L450" s="187" t="str">
        <x:v>Não classificado</x:v>
      </x:c>
    </x:row>
    <x:row r="451">
      <x:c r="A451" s="177" t="str">
        <x:v>24.506.071/0001-29</x:v>
      </x:c>
      <x:c r="B451" s="168" t="str">
        <x:v>VIA CAPITAL ARTEMUS FUNDO DE INVESTIMENTO EM DIREITOS CREDITÓRIOS MULTISSETORIAL</x:v>
      </x:c>
      <x:c r="C451" s="190" t="n">
        <x:v>312483280.17</x:v>
      </x:c>
      <x:c r="D451" s="168" t="str">
        <x:v>OURO PRETO INVESTIMENTOS</x:v>
      </x:c>
      <x:c r="E451" s="168" t="str">
        <x:f>IFERROR(INDEX('Classif Gestoras'!$H$6:$H$462,MATCH(D451,'Classif Gestoras'!$A$6:$A$462,0)),"Não classificada")</x:f>
        <x:v>Independente</x:v>
      </x:c>
      <x:c r="F451" s="168" t="str">
        <x:v>Singulare</x:v>
      </x:c>
      <x:c r="G451" s="168" t="str">
        <x:v>QI CORRETORA DE TÍTULOS E VALORES MOBILIÁRIOS S.A.</x:v>
      </x:c>
      <x:c r="H451" s="168" t="str">
        <x:v>Fomento Mercantil</x:v>
      </x:c>
      <x:c r="I451" s="168" t="str">
        <x:v>Fomento Mercantil</x:v>
      </x:c>
      <x:c r="J451" s="168" t="str">
        <x:v>CI</x:v>
      </x:c>
      <x:c r="K451" s="174" t="n">
        <x:v>90</x:v>
      </x:c>
      <x:c r="L451" s="187" t="str">
        <x:v>Não classificado</x:v>
      </x:c>
    </x:row>
    <x:row r="452">
      <x:c r="A452" s="177" t="str">
        <x:v>53.323.703/0001-17</x:v>
      </x:c>
      <x:c r="B452" s="168" t="str">
        <x:v>REAL MINAS 2 FUNDO DE INVESTIMENTO EM DIREITOS CREDITÓRIOS</x:v>
      </x:c>
      <x:c r="C452" s="190" t="n">
        <x:v>312442689.77</x:v>
      </x:c>
      <x:c r="D452" s="168" t="str">
        <x:v>Capri Investimentos Ltda.</x:v>
      </x:c>
      <x:c r="E452" s="168" t="str">
        <x:f>IFERROR(INDEX('Classif Gestoras'!$H$6:$H$462,MATCH(D452,'Classif Gestoras'!$A$6:$A$462,0)),"Não classificada")</x:f>
        <x:v>Independente</x:v>
      </x:c>
      <x:c r="F452" s="168" t="str">
        <x:v>Oliveira Trust DTVM</x:v>
      </x:c>
      <x:c r="G452" s="168" t="str">
        <x:v>OLIVEIRA TRUST DTVM S.A.</x:v>
      </x:c>
      <x:c r="H452" s="168" t="str">
        <x:v>Outros</x:v>
      </x:c>
      <x:c r="I452" s="168" t="str">
        <x:v>Multicarteira Outros</x:v>
      </x:c>
      <x:c r="J452" s="168" t="str">
        <x:v>CI</x:v>
      </x:c>
      <x:c r="K452" s="174" t="n">
        <x:v>4</x:v>
      </x:c>
      <x:c r="L452" s="187" t="str">
        <x:v>Proxy multicedente/multissacado — revisar</x:v>
      </x:c>
    </x:row>
    <x:row r="453">
      <x:c r="A453" s="177" t="str">
        <x:v>42.196.119/0001-21</x:v>
      </x:c>
      <x:c r="B453" s="168" t="str">
        <x:v>CEDARS CAPITAL FUNDO DE INVESTIMENTO EM DIREITOS CREDITÓRIOS</x:v>
      </x:c>
      <x:c r="C453" s="190" t="n">
        <x:v>312040050.29</x:v>
      </x:c>
      <x:c r="D453" s="168" t="str">
        <x:v>Latache Capital</x:v>
      </x:c>
      <x:c r="E453" s="168" t="str">
        <x:f>IFERROR(INDEX('Classif Gestoras'!$H$6:$H$462,MATCH(D453,'Classif Gestoras'!$A$6:$A$462,0)),"Não classificada")</x:f>
        <x:v>Independente</x:v>
      </x:c>
      <x:c r="F453" s="168" t="str">
        <x:v>BRL TRUST DTVM</x:v>
      </x:c>
      <x:c r="G453" s="168" t="str">
        <x:v>BRL TRUST DISTRIBUIDORA DE TITULOS E VALORES MOBILIARIOS S.A.</x:v>
      </x:c>
      <x:c r="H453" s="168" t="str">
        <x:v>Outros</x:v>
      </x:c>
      <x:c r="I453" s="168" t="str">
        <x:v>Multicarteira Outros</x:v>
      </x:c>
      <x:c r="J453" s="168" t="str">
        <x:v>CI</x:v>
      </x:c>
      <x:c r="K453" s="174" t="n">
        <x:v>2</x:v>
      </x:c>
      <x:c r="L453" s="187" t="str">
        <x:v>Proxy multicedente/multissacado — revisar</x:v>
      </x:c>
    </x:row>
    <x:row r="454">
      <x:c r="A454" s="177" t="str">
        <x:v>29.720.595/0001-31</x:v>
      </x:c>
      <x:c r="B454" s="168" t="str">
        <x:v>DISTRESSED FUNDO DE INVESTIMENTO EM DIREITOS CREDITÓRIOS MULTISEGMENTOS DE RESPONSABILIDADE LIMITADA</x:v>
      </x:c>
      <x:c r="C454" s="190" t="n">
        <x:v>311179173.11</x:v>
      </x:c>
      <x:c r="D454" s="168" t="str">
        <x:v>Solis</x:v>
      </x:c>
      <x:c r="E454" s="168" t="str">
        <x:f>IFERROR(INDEX('Classif Gestoras'!$H$6:$H$462,MATCH(D454,'Classif Gestoras'!$A$6:$A$462,0)),"Não classificada")</x:f>
        <x:v>Independente</x:v>
      </x:c>
      <x:c r="F454" s="168" t="str">
        <x:v>HEMERA DTVM</x:v>
      </x:c>
      <x:c r="G454" s="168" t="str">
        <x:v>HEMERA DISTRIBUIDORA DE TITULOS E VALORES MOBILIARIOS LTDA</x:v>
      </x:c>
      <x:c r="H454" s="168" t="str">
        <x:v>Fomento Mercantil</x:v>
      </x:c>
      <x:c r="I454" s="168" t="str">
        <x:v>Fomento Mercantil</x:v>
      </x:c>
      <x:c r="J454" s="168" t="str">
        <x:v>CI</x:v>
      </x:c>
      <x:c r="K454" s="174" t="n">
        <x:v>4</x:v>
      </x:c>
      <x:c r="L454" s="187" t="str">
        <x:v>Não classificado</x:v>
      </x:c>
    </x:row>
    <x:row r="455">
      <x:c r="A455" s="177" t="str">
        <x:v>52.596.071/0001-00</x:v>
      </x:c>
      <x:c r="B455" s="168" t="str">
        <x:v>CONSIGNADO PLGN I FUNDO DE INVESTIMENTO EM DIREITOS CREDITÓRIOS RESPONSABILIDADE LIMITADA</x:v>
      </x:c>
      <x:c r="C455" s="190" t="n">
        <x:v>311132757.22</x:v>
      </x:c>
      <x:c r="D455" s="168" t="str">
        <x:v>POLÍGONO CAPITAL LTDA.</x:v>
      </x:c>
      <x:c r="E455" s="168" t="str">
        <x:f>IFERROR(INDEX('Classif Gestoras'!$H$6:$H$462,MATCH(D455,'Classif Gestoras'!$A$6:$A$462,0)),"Não classificada")</x:f>
        <x:v>Independente</x:v>
      </x:c>
      <x:c r="F455" s="168" t="str">
        <x:v>BTG Pactual Servicos Financeiros S/A DTVM</x:v>
      </x:c>
      <x:c r="G455" s="168" t="str">
        <x:v>BANCO BTG PACTUAL S/A</x:v>
      </x:c>
      <x:c r="H455" s="168" t="str">
        <x:v>Financeiro</x:v>
      </x:c>
      <x:c r="I455" s="168" t="str">
        <x:v>Crédito Pessoal</x:v>
      </x:c>
      <x:c r="J455" s="168" t="str">
        <x:v>CI</x:v>
      </x:c>
      <x:c r="K455" s="174" t="n">
        <x:v>30</x:v>
      </x:c>
      <x:c r="L455" s="187" t="str">
        <x:v>Não classificado</x:v>
      </x:c>
    </x:row>
    <x:row r="456">
      <x:c r="A456" s="177" t="str">
        <x:v>62.790.827/0001-01</x:v>
      </x:c>
      <x:c r="B456" s="168" t="str">
        <x:v>MRV PRÓ SOLUTO I FUNDO DE INVESTIMENTO EM DIREITOS CREDITÓRIOS IMOBILIÁRIOS DE RESP LIMITADA</x:v>
      </x:c>
      <x:c r="C456" s="190" t="n">
        <x:v>310502472.96</x:v>
      </x:c>
      <x:c r="D456" s="168" t="str">
        <x:v>Riza Securitização e Carteiras</x:v>
      </x:c>
      <x:c r="E456" s="168" t="str">
        <x:f>IFERROR(INDEX('Classif Gestoras'!$H$6:$H$462,MATCH(D456,'Classif Gestoras'!$A$6:$A$462,0)),"Não classificada")</x:f>
        <x:v>Independente</x:v>
      </x:c>
      <x:c r="F456" s="168" t="str">
        <x:v>Oliveira Trust DTVM</x:v>
      </x:c>
      <x:c r="G456" s="168" t="str">
        <x:v>OLIVEIRA TRUST DTVM S.A.</x:v>
      </x:c>
      <x:c r="H456" s="168" t="str">
        <x:v>Financeiro</x:v>
      </x:c>
      <x:c r="I456" s="168" t="str">
        <x:v>Crédito Imobiliário</x:v>
      </x:c>
      <x:c r="J456" s="168" t="str">
        <x:v>CI</x:v>
      </x:c>
      <x:c r="K456" s="174" t="n">
        <x:v>20</x:v>
      </x:c>
      <x:c r="L456" s="187" t="str">
        <x:v>Não classificado</x:v>
      </x:c>
    </x:row>
    <x:row r="457">
      <x:c r="A457" s="177" t="str">
        <x:v>54.248.022/0001-02</x:v>
      </x:c>
      <x:c r="B457" s="168" t="str">
        <x:v>CLOUDWALK BIG PICTURE IV FUNDO DE INVESTIMENTO EM DIREITOS CREDITÓRIOS SEGMENTO MEIOS DE PAGAMENTO</x:v>
      </x:c>
      <x:c r="C457" s="190" t="n">
        <x:v>309918155.46999997</x:v>
      </x:c>
      <x:c r="D457" s="168" t="str">
        <x:v>GENIAL GESTÃO LTDA.</x:v>
      </x:c>
      <x:c r="E457" s="168" t="str">
        <x:f>IFERROR(INDEX('Classif Gestoras'!$H$6:$H$462,MATCH(D457,'Classif Gestoras'!$A$6:$A$462,0)),"Não classificada")</x:f>
        <x:v>Ligada a banco</x:v>
      </x:c>
      <x:c r="F457" s="168" t="str">
        <x:v>Banco Genial S.A.</x:v>
      </x:c>
      <x:c r="G457" s="168" t="str">
        <x:v>BANCO GENIAL S.A.</x:v>
      </x:c>
      <x:c r="H457" s="168" t="str">
        <x:v>Agro, Indústria e Comércio</x:v>
      </x:c>
      <x:c r="I457" s="168" t="str">
        <x:v>Recebíveis Comerciais</x:v>
      </x:c>
      <x:c r="J457" s="168" t="str">
        <x:v>CI</x:v>
      </x:c>
      <x:c r="K457" s="174" t="n">
        <x:v>60</x:v>
      </x:c>
      <x:c r="L457" s="187" t="str">
        <x:v>Não classificado</x:v>
      </x:c>
    </x:row>
    <x:row r="458">
      <x:c r="A458" s="177" t="str">
        <x:v>63.657.457/0001-93</x:v>
      </x:c>
      <x:c r="B458" s="168" t="str">
        <x:v>MSV3 FUNDO DE INVESTIMENTO EM DIREITOS CREDITÓRIOS RECEBÍVEIS COMERCIAIS RESPONSABILIDADE LIMITADA</x:v>
      </x:c>
      <x:c r="C458" s="190" t="n">
        <x:v>308852909.28</x:v>
      </x:c>
      <x:c r="D458" s="168" t="str">
        <x:v>Vinci Gestora de Recursos LTDA</x:v>
      </x:c>
      <x:c r="E458" s="168" t="str">
        <x:f>IFERROR(INDEX('Classif Gestoras'!$H$6:$H$462,MATCH(D458,'Classif Gestoras'!$A$6:$A$462,0)),"Não classificada")</x:f>
        <x:v>Independente</x:v>
      </x:c>
      <x:c r="F458" s="168" t="str">
        <x:v>Singulare</x:v>
      </x:c>
      <x:c r="G458" s="168" t="str">
        <x:v>QI CORRETORA DE TÍTULOS E VALORES MOBILIÁRIOS S.A.</x:v>
      </x:c>
      <x:c r="H458" s="168" t="str">
        <x:v>Agro, Indústria e Comércio</x:v>
      </x:c>
      <x:c r="I458" s="168" t="str">
        <x:v>Recebíveis Comerciais</x:v>
      </x:c>
      <x:c r="J458" s="168" t="str">
        <x:v>CI</x:v>
      </x:c>
      <x:c r="K458" s="174" t="n">
        <x:v>21</x:v>
      </x:c>
      <x:c r="L458" s="187" t="str">
        <x:v>Não classificado</x:v>
      </x:c>
    </x:row>
    <x:row r="459">
      <x:c r="A459" s="177" t="str">
        <x:v>22.235.997/0001-00</x:v>
      </x:c>
      <x:c r="B459" s="168" t="str">
        <x:v>FUNDO DE INVESTIMENTO EM DIREITOS CREDITÓRIOS ABERTO EAN</x:v>
      </x:c>
      <x:c r="C459" s="190" t="n">
        <x:v>307479668.16999996</x:v>
      </x:c>
      <x:c r="D459" s="168" t="str">
        <x:v>SOD Capital Ltda.</x:v>
      </x:c>
      <x:c r="E459" s="168" t="str">
        <x:f>IFERROR(INDEX('Classif Gestoras'!$H$6:$H$462,MATCH(D459,'Classif Gestoras'!$A$6:$A$462,0)),"Não classificada")</x:f>
        <x:v>Independente</x:v>
      </x:c>
      <x:c r="F459" s="168" t="str">
        <x:v>BRL TRUST DTVM</x:v>
      </x:c>
      <x:c r="G459" s="168" t="str">
        <x:v>BRL TRUST DISTRIBUIDORA DE TITULOS E VALORES MOBILIARIOS S.A.</x:v>
      </x:c>
      <x:c r="H459" s="168" t="str">
        <x:v>Outros</x:v>
      </x:c>
      <x:c r="I459" s="168" t="str">
        <x:v>Multicarteira Outros</x:v>
      </x:c>
      <x:c r="J459" s="168" t="str">
        <x:v>CI</x:v>
      </x:c>
      <x:c r="K459" s="174" t="n">
        <x:v>1</x:v>
      </x:c>
      <x:c r="L459" s="187" t="str">
        <x:v>Proxy multicedente/multissacado — revisar</x:v>
      </x:c>
    </x:row>
    <x:row r="460">
      <x:c r="A460" s="177" t="str">
        <x:v>62.015.452/0001-02</x:v>
      </x:c>
      <x:c r="B460" s="168" t="str">
        <x:v>JC CARBON FUNDO DE INVESTIMENTO EM DIREITOS CREDITÓRIOS</x:v>
      </x:c>
      <x:c r="C460" s="190" t="n">
        <x:v>307145181.8000001</x:v>
      </x:c>
      <x:c r="D460" s="168" t="str">
        <x:v>Jus Capital Gestão de Recursos LTDA</x:v>
      </x:c>
      <x:c r="E460" s="168" t="str">
        <x:f>IFERROR(INDEX('Classif Gestoras'!$H$6:$H$462,MATCH(D460,'Classif Gestoras'!$A$6:$A$462,0)),"Não classificada")</x:f>
        <x:v>Independente</x:v>
      </x:c>
      <x:c r="F460" s="168" t="str">
        <x:v>Singulare</x:v>
      </x:c>
      <x:c r="G460" s="168" t="str">
        <x:v>QI CORRETORA DE TÍTULOS E VALORES MOBILIÁRIOS S.A.</x:v>
      </x:c>
      <x:c r="H460" s="168" t="str">
        <x:v>Outros</x:v>
      </x:c>
      <x:c r="I460" s="168" t="str">
        <x:v>Poder Público</x:v>
      </x:c>
      <x:c r="J460" s="168" t="str">
        <x:v>CI</x:v>
      </x:c>
      <x:c r="K460" s="174" t="n">
        <x:v>3</x:v>
      </x:c>
      <x:c r="L460" s="187" t="str">
        <x:v>Não classificado</x:v>
      </x:c>
    </x:row>
    <x:row r="461">
      <x:c r="A461" s="177" t="str">
        <x:v>51.306.712/0001-74</x:v>
      </x:c>
      <x:c r="B461" s="168" t="str">
        <x:v>ATF FUNDO DE INVESTIMENTO EM DIREITOS CREDITÓRIOS RESPONSABILIDADE LIMITADA</x:v>
      </x:c>
      <x:c r="C461" s="190" t="n">
        <x:v>306981289.6600001</x:v>
      </x:c>
      <x:c r="D461" s="168" t="str">
        <x:v>TERCON ASSET MANAGEMENT</x:v>
      </x:c>
      <x:c r="E461" s="168" t="str">
        <x:f>IFERROR(INDEX('Classif Gestoras'!$H$6:$H$462,MATCH(D461,'Classif Gestoras'!$A$6:$A$462,0)),"Não classificada")</x:f>
        <x:v>Independente</x:v>
      </x:c>
      <x:c r="F461" s="168" t="str">
        <x:v>Singulare</x:v>
      </x:c>
      <x:c r="G461" s="168" t="str">
        <x:v>QI CORRETORA DE TÍTULOS E VALORES MOBILIÁRIOS S.A.</x:v>
      </x:c>
      <x:c r="H461" s="168" t="str">
        <x:v>Fomento Mercantil</x:v>
      </x:c>
      <x:c r="I461" s="168" t="str">
        <x:v>Fomento Mercantil</x:v>
      </x:c>
      <x:c r="J461" s="168" t="str">
        <x:v>CI</x:v>
      </x:c>
      <x:c r="K461" s="174" t="n">
        <x:v>18</x:v>
      </x:c>
      <x:c r="L461" s="187" t="str">
        <x:v>Não classificado</x:v>
      </x:c>
    </x:row>
    <x:row r="462">
      <x:c r="A462" s="177" t="str">
        <x:v>47.846.781/0001-01</x:v>
      </x:c>
      <x:c r="B462" s="168" t="str">
        <x:v>ZENIT FUNDO DE INVESTIMENTO EM DIREITOS CREDITÓRIOS - RESPONSABILIDADE LIMITADA</x:v>
      </x:c>
      <x:c r="C462" s="190" t="n">
        <x:v>306852791.4</x:v>
      </x:c>
      <x:c r="D462" s="168" t="str">
        <x:v>Mercury Gestão de Recursos Ltda.</x:v>
      </x:c>
      <x:c r="E462" s="168" t="str">
        <x:f>IFERROR(INDEX('Classif Gestoras'!$H$6:$H$462,MATCH(D462,'Classif Gestoras'!$A$6:$A$462,0)),"Não classificada")</x:f>
        <x:v>Independente</x:v>
      </x:c>
      <x:c r="F462" s="168" t="str">
        <x:v>HEMERA DTVM</x:v>
      </x:c>
      <x:c r="G462" s="168" t="str">
        <x:v>HEMERA DISTRIBUIDORA DE TITULOS E VALORES MOBILIARIOS LTDA</x:v>
      </x:c>
      <x:c r="H462" s="168" t="str">
        <x:v>Outros</x:v>
      </x:c>
      <x:c r="I462" s="168" t="str">
        <x:v>Multicarteira Outros</x:v>
      </x:c>
      <x:c r="J462" s="168" t="str">
        <x:v>CI</x:v>
      </x:c>
      <x:c r="K462" s="174" t="n">
        <x:v>2</x:v>
      </x:c>
      <x:c r="L462" s="187" t="str">
        <x:v>Proxy multicedente/multissacado — revisar</x:v>
      </x:c>
    </x:row>
    <x:row r="463">
      <x:c r="A463" s="177" t="str">
        <x:v>53.744.997/0001-50</x:v>
      </x:c>
      <x:c r="B463" s="168" t="str">
        <x:v>ALGARVE LEGAL CLAIMS II FUNDO DE INVESTIMENTO EM DIREITOS CREDITÓRIOS - RESPONSABILIDADE LIMITADA</x:v>
      </x:c>
      <x:c r="C463" s="190" t="n">
        <x:v>305729986.58000004</x:v>
      </x:c>
      <x:c r="D463" s="168" t="str">
        <x:v>Algarve Capital</x:v>
      </x:c>
      <x:c r="E463" s="168" t="str">
        <x:f>IFERROR(INDEX('Classif Gestoras'!$H$6:$H$462,MATCH(D463,'Classif Gestoras'!$A$6:$A$462,0)),"Não classificada")</x:f>
        <x:v>Independente</x:v>
      </x:c>
      <x:c r="F463" s="168" t="str">
        <x:v>BRL TRUST DTVM</x:v>
      </x:c>
      <x:c r="G463" s="168" t="str">
        <x:v>BRL TRUST DISTRIBUIDORA DE TITULOS E VALORES MOBILIARIOS S.A.</x:v>
      </x:c>
      <x:c r="H463" s="168" t="str">
        <x:v>Outros</x:v>
      </x:c>
      <x:c r="I463" s="168" t="str">
        <x:v>Multicarteira Outros</x:v>
      </x:c>
      <x:c r="J463" s="168" t="str">
        <x:v>CI</x:v>
      </x:c>
      <x:c r="K463" s="174" t="n">
        <x:v>1</x:v>
      </x:c>
      <x:c r="L463" s="187" t="str">
        <x:v>Proxy multicedente/multissacado — revisar</x:v>
      </x:c>
    </x:row>
    <x:row r="464">
      <x:c r="A464" s="177" t="str">
        <x:v>09.443.633/0001-49</x:v>
      </x:c>
      <x:c r="B464" s="168" t="str">
        <x:v>FUNDO DE INVESTIMENTO EM DIREITOS CREDITÓRIOS TRATEX PRECATÓRIO III - RESPONSABILIDADE LIMITADA</x:v>
      </x:c>
      <x:c r="C464" s="190" t="n">
        <x:v>304792651.11999995</x:v>
      </x:c>
      <x:c r="D464" s="168" t="str">
        <x:v>Oliveira Trust DTVM</x:v>
      </x:c>
      <x:c r="E464" s="168" t="str">
        <x:f>IFERROR(INDEX('Classif Gestoras'!$H$6:$H$462,MATCH(D464,'Classif Gestoras'!$A$6:$A$462,0)),"Não classificada")</x:f>
        <x:v>Independente</x:v>
      </x:c>
      <x:c r="F464" s="168" t="str">
        <x:v>Oliveira Trust DTVM</x:v>
      </x:c>
      <x:c r="G464" s="168" t="str">
        <x:v>BANCO BRADESCO S.A.</x:v>
      </x:c>
      <x:c r="H464" s="168" t="str">
        <x:v>Outros</x:v>
      </x:c>
      <x:c r="I464" s="168" t="str">
        <x:v>Poder Público</x:v>
      </x:c>
      <x:c r="J464" s="168" t="str">
        <x:v>CI</x:v>
      </x:c>
      <x:c r="K464" s="174" t="n">
        <x:v>3</x:v>
      </x:c>
      <x:c r="L464" s="187" t="str">
        <x:v>Não classificado</x:v>
      </x:c>
    </x:row>
    <x:row r="465">
      <x:c r="A465" s="177" t="str">
        <x:v>21.081.976/0001-06</x:v>
      </x:c>
      <x:c r="B465" s="168" t="str">
        <x:v>TAIPATSB FUNDO DE INVESTIMENTO EM DIREITOS CREDITÓRIOS MULTISSETORIAL</x:v>
      </x:c>
      <x:c r="C465" s="190" t="n">
        <x:v>304089373.17999995</x:v>
      </x:c>
      <x:c r="D465" s="168" t="str">
        <x:v>OURO PRETO INVESTIMENTOS</x:v>
      </x:c>
      <x:c r="E465" s="168" t="str">
        <x:f>IFERROR(INDEX('Classif Gestoras'!$H$6:$H$462,MATCH(D465,'Classif Gestoras'!$A$6:$A$462,0)),"Não classificada")</x:f>
        <x:v>Independente</x:v>
      </x:c>
      <x:c r="F465" s="168" t="str">
        <x:v>Singulare</x:v>
      </x:c>
      <x:c r="G465" s="168" t="str">
        <x:v>QI CORRETORA DE TÍTULOS E VALORES MOBILIÁRIOS S.A.</x:v>
      </x:c>
      <x:c r="H465" s="168" t="str">
        <x:v>Fomento Mercantil</x:v>
      </x:c>
      <x:c r="I465" s="168" t="str">
        <x:v>Fomento Mercantil</x:v>
      </x:c>
      <x:c r="J465" s="168" t="str">
        <x:v>CI</x:v>
      </x:c>
      <x:c r="K465" s="174" t="n">
        <x:v>12</x:v>
      </x:c>
      <x:c r="L465" s="187" t="str">
        <x:v>Não classificado</x:v>
      </x:c>
    </x:row>
    <x:row r="466">
      <x:c r="A466" s="177" t="str">
        <x:v>52.498.421/0001-98</x:v>
      </x:c>
      <x:c r="B466" s="168" t="str">
        <x:v>SOLAR PUGLIA FUNDO DE INVESTIMENTO EM DIREITOS CREDITÓRIOS RESPONSABILIDADE LIMITADA</x:v>
      </x:c>
      <x:c r="C466" s="190" t="n">
        <x:v>303748934.98</x:v>
      </x:c>
      <x:c r="D466" s="168" t="str">
        <x:v>Iggy Investimentos</x:v>
      </x:c>
      <x:c r="E466" s="168" t="str">
        <x:f>IFERROR(INDEX('Classif Gestoras'!$H$6:$H$462,MATCH(D466,'Classif Gestoras'!$A$6:$A$462,0)),"Não classificada")</x:f>
        <x:v>Independente</x:v>
      </x:c>
      <x:c r="F466" s="168" t="str">
        <x:v>Singulare</x:v>
      </x:c>
      <x:c r="G466" s="168" t="str">
        <x:v>QI CORRETORA DE TÍTULOS E VALORES MOBILIÁRIOS S.A.</x:v>
      </x:c>
      <x:c r="H466" s="168" t="str">
        <x:v>Fomento Mercantil</x:v>
      </x:c>
      <x:c r="I466" s="168" t="str">
        <x:v>Fomento Mercantil</x:v>
      </x:c>
      <x:c r="J466" s="168" t="str">
        <x:v>CI</x:v>
      </x:c>
      <x:c r="K466" s="174" t="n">
        <x:v>31</x:v>
      </x:c>
      <x:c r="L466" s="187" t="str">
        <x:v>Não classificado</x:v>
      </x:c>
    </x:row>
    <x:row r="467">
      <x:c r="A467" s="177" t="str">
        <x:v>54.968.056/0001-63</x:v>
      </x:c>
      <x:c r="B467" s="168" t="str">
        <x:v>TAYA FGTS FUNDO DE INVESTIMENTO EM DIREITOS CREDITÓRIOS - RESPONSABILIDADE LIMITADA</x:v>
      </x:c>
      <x:c r="C467" s="190" t="n">
        <x:v>303734661.23</x:v>
      </x:c>
      <x:c r="D467" s="168" t="str">
        <x:v>SUESTE CAPITAL GESTÃO DE RECURSOS LTDA.</x:v>
      </x:c>
      <x:c r="E467" s="168" t="str">
        <x:f>IFERROR(INDEX('Classif Gestoras'!$H$6:$H$462,MATCH(D467,'Classif Gestoras'!$A$6:$A$462,0)),"Não classificada")</x:f>
        <x:v>Independente</x:v>
      </x:c>
      <x:c r="F467" s="168" t="str">
        <x:v>BANCO DAYCOVAL S/A</x:v>
      </x:c>
      <x:c r="G467" s="168" t="str">
        <x:v>BANCO DAYCOVAL S.A.</x:v>
      </x:c>
      <x:c r="H467" s="168" t="str">
        <x:v>Financeiro</x:v>
      </x:c>
      <x:c r="I467" s="168" t="str">
        <x:v>Crédito Pessoal</x:v>
      </x:c>
      <x:c r="J467" s="168" t="str">
        <x:v>CI</x:v>
      </x:c>
      <x:c r="K467" s="174" t="n">
        <x:v>70</x:v>
      </x:c>
      <x:c r="L467" s="187" t="str">
        <x:v>Não classificado</x:v>
      </x:c>
    </x:row>
    <x:row r="468">
      <x:c r="A468" s="177" t="str">
        <x:v>58.458.416/0001-38</x:v>
      </x:c>
      <x:c r="B468" s="168" t="str">
        <x:v>MT CONSIGNADO PRIVADO II FUNDO DE INVESTIMENTO EM DIREITOS CREDITÓRIOS RESPONSABILIDADE LIMITADA</x:v>
      </x:c>
      <x:c r="C468" s="190" t="n">
        <x:v>303014841.55999994</x:v>
      </x:c>
      <x:c r="D468" s="168" t="str">
        <x:v>ANGÁ ASSET MANAGEMENT</x:v>
      </x:c>
      <x:c r="E468" s="168" t="str">
        <x:f>IFERROR(INDEX('Classif Gestoras'!$H$6:$H$462,MATCH(D468,'Classif Gestoras'!$A$6:$A$462,0)),"Não classificada")</x:f>
        <x:v>Independente</x:v>
      </x:c>
      <x:c r="F468" s="168" t="str">
        <x:v>BANCO DAYCOVAL S/A</x:v>
      </x:c>
      <x:c r="G468" s="168" t="str">
        <x:v>BANCO DAYCOVAL S.A.</x:v>
      </x:c>
      <x:c r="H468" s="168" t="str">
        <x:v>Financeiro</x:v>
      </x:c>
      <x:c r="I468" s="168" t="str">
        <x:v>Crédito Consignado</x:v>
      </x:c>
      <x:c r="J468" s="168" t="str">
        <x:v>CI</x:v>
      </x:c>
      <x:c r="K468" s="174" t="n">
        <x:v>88</x:v>
      </x:c>
      <x:c r="L468" s="187" t="str">
        <x:v>Não classificado</x:v>
      </x:c>
    </x:row>
    <x:row r="469">
      <x:c r="A469" s="177" t="str">
        <x:v>54.218.941/0001-25</x:v>
      </x:c>
      <x:c r="B469" s="168" t="str">
        <x:v>CLOUDWALK BIG PICTURE II FUNDO DE INVESTIMENTO EM DIREITOS CREDITÓRIOS SEGMENTO MEIOS DE PAGAMENTO</x:v>
      </x:c>
      <x:c r="C469" s="190" t="n">
        <x:v>302082480.66999996</x:v>
      </x:c>
      <x:c r="D469" s="168" t="str">
        <x:v>GENIAL GESTÃO LTDA.</x:v>
      </x:c>
      <x:c r="E469" s="168" t="str">
        <x:f>IFERROR(INDEX('Classif Gestoras'!$H$6:$H$462,MATCH(D469,'Classif Gestoras'!$A$6:$A$462,0)),"Não classificada")</x:f>
        <x:v>Ligada a banco</x:v>
      </x:c>
      <x:c r="F469" s="168" t="str">
        <x:v>Banco Genial S.A.</x:v>
      </x:c>
      <x:c r="G469" s="168" t="str">
        <x:v>BANCO GENIAL S.A.</x:v>
      </x:c>
      <x:c r="H469" s="168" t="str">
        <x:v>Agro, Indústria e Comércio</x:v>
      </x:c>
      <x:c r="I469" s="168" t="str">
        <x:v>Recebíveis Comerciais</x:v>
      </x:c>
      <x:c r="J469" s="168" t="str">
        <x:v>CI</x:v>
      </x:c>
      <x:c r="K469" s="174" t="n">
        <x:v>145</x:v>
      </x:c>
      <x:c r="L469" s="187" t="str">
        <x:v>Não classificado</x:v>
      </x:c>
    </x:row>
    <x:row r="470">
      <x:c r="A470" s="177" t="str">
        <x:v>52.073.804/0001-14</x:v>
      </x:c>
      <x:c r="B470" s="168" t="str">
        <x:v>IF-AÇOR FUNDO DE INVESTIMENTO EM DIREITOS CREDITÓRIOS NÃO-PADRONIZADOS RESPONSABILIDADE LIMITADA</x:v>
      </x:c>
      <x:c r="C470" s="190" t="n">
        <x:v>301815713.02000004</x:v>
      </x:c>
      <x:c r="D470" s="168" t="str">
        <x:v>IFCONSULTANT</x:v>
      </x:c>
      <x:c r="E470" s="168" t="str">
        <x:f>IFERROR(INDEX('Classif Gestoras'!$H$6:$H$462,MATCH(D470,'Classif Gestoras'!$A$6:$A$462,0)),"Não classificada")</x:f>
        <x:v>Independente</x:v>
      </x:c>
      <x:c r="F470" s="168" t="str">
        <x:v>ID Corretora de Títulos e Valores Mobiliários S.A.</x:v>
      </x:c>
      <x:c r="G470" s="168" t="str">
        <x:v>ID CORRETORA DE TITULOS E VALORES MOBILIARIOS S.A.</x:v>
      </x:c>
      <x:c r="H470" s="168" t="str">
        <x:v>Outros</x:v>
      </x:c>
      <x:c r="I470" s="168" t="str">
        <x:v>Multicarteira Outros</x:v>
      </x:c>
      <x:c r="J470" s="168" t="str">
        <x:v>CI</x:v>
      </x:c>
      <x:c r="K470" s="174" t="n">
        <x:v>5</x:v>
      </x:c>
      <x:c r="L470" s="187" t="str">
        <x:v>Proxy multicedente/multissacado — revisar</x:v>
      </x:c>
    </x:row>
    <x:row r="471">
      <x:c r="A471" s="177" t="str">
        <x:v>48.905.593/0001-61</x:v>
      </x:c>
      <x:c r="B471" s="168" t="str">
        <x:v>PÁTRIA INFRA CRÉDITO FUNDO DE INVESTIMENTO EM DIREITOS CREDITÓRIOS - RESPONSABILIDADE LIMITADA</x:v>
      </x:c>
      <x:c r="C471" s="190" t="n">
        <x:v>300481172.92999995</x:v>
      </x:c>
      <x:c r="D471" s="168" t="str">
        <x:v>Pátria Investimentos Ltda.</x:v>
      </x:c>
      <x:c r="E471" s="168" t="str">
        <x:f>IFERROR(INDEX('Classif Gestoras'!$H$6:$H$462,MATCH(D471,'Classif Gestoras'!$A$6:$A$462,0)),"Não classificada")</x:f>
        <x:v>Independente</x:v>
      </x:c>
      <x:c r="F471" s="168" t="str">
        <x:v>Oliveira Trust DTVM</x:v>
      </x:c>
      <x:c r="G471" s="168" t="str">
        <x:v>OLIVEIRA TRUST DTVM S.A.</x:v>
      </x:c>
      <x:c r="H471" s="168" t="str">
        <x:v>Agro, Indústria e Comércio</x:v>
      </x:c>
      <x:c r="I471" s="168" t="str">
        <x:v>Infraestrutura</x:v>
      </x:c>
      <x:c r="J471" s="168" t="str">
        <x:v>CI</x:v>
      </x:c>
      <x:c r="K471" s="174" t="n">
        <x:v>8</x:v>
      </x:c>
      <x:c r="L471" s="187" t="str">
        <x:v>Não classificado</x:v>
      </x:c>
    </x:row>
    <x:row r="472">
      <x:c r="A472" s="177" t="str">
        <x:v>62.387.472/0001-04</x:v>
      </x:c>
      <x:c r="B472" s="168" t="str">
        <x:v>DIGGER FIDC - SEGMENTO DE RECEBÍVEIS COMERCIAIS - RESPONSABILIDADE LIMITADA</x:v>
      </x:c>
      <x:c r="C472" s="190" t="n">
        <x:v>300259185.34999996</x:v>
      </x:c>
      <x:c r="D472" s="168" t="str">
        <x:v>Banco Bradesco S/A</x:v>
      </x:c>
      <x:c r="E472" s="168" t="str">
        <x:f>IFERROR(INDEX('Classif Gestoras'!$H$6:$H$462,MATCH(D472,'Classif Gestoras'!$A$6:$A$462,0)),"Não classificada")</x:f>
        <x:v>Ligada a banco</x:v>
      </x:c>
      <x:c r="F472" s="168" t="str">
        <x:v>BEM - DIST. DE TÍTUL</x:v>
      </x:c>
      <x:c r="G472" s="168" t="str">
        <x:v>BANCO BRADESCO S.A.</x:v>
      </x:c>
      <x:c r="H472" s="168" t="str">
        <x:v>Agro, Indústria e Comércio</x:v>
      </x:c>
      <x:c r="I472" s="168" t="str">
        <x:v>Recebíveis Comerciais</x:v>
      </x:c>
      <x:c r="J472" s="168" t="str">
        <x:v>CI</x:v>
      </x:c>
      <x:c r="K472" s="174" t="n">
        <x:v>1</x:v>
      </x:c>
      <x:c r="L472" s="187" t="str">
        <x:v>Não classificado</x:v>
      </x:c>
    </x:row>
    <x:row r="473">
      <x:c r="A473" s="177" t="str">
        <x:v>13.098.860/0001-51</x:v>
      </x:c>
      <x:c r="B473" s="168" t="str">
        <x:v>GFM FUNDO DE INVESTIMENTO EM DIREITOS CREDITÓRIOS MULTICRÉDITO</x:v>
      </x:c>
      <x:c r="C473" s="190" t="n">
        <x:v>299850657.23</x:v>
      </x:c>
      <x:c r="D473" s="168" t="str">
        <x:v>TERCON ASSET MANAGEMENT</x:v>
      </x:c>
      <x:c r="E473" s="168" t="str">
        <x:f>IFERROR(INDEX('Classif Gestoras'!$H$6:$H$462,MATCH(D473,'Classif Gestoras'!$A$6:$A$462,0)),"Não classificada")</x:f>
        <x:v>Independente</x:v>
      </x:c>
      <x:c r="F473" s="168" t="str">
        <x:v>Singulare</x:v>
      </x:c>
      <x:c r="G473" s="168" t="str">
        <x:v>QI CORRETORA DE TÍTULOS E VALORES MOBILIÁRIOS S.A.</x:v>
      </x:c>
      <x:c r="H473" s="168" t="str">
        <x:v>Fomento Mercantil</x:v>
      </x:c>
      <x:c r="I473" s="168" t="str">
        <x:v>Fomento Mercantil</x:v>
      </x:c>
      <x:c r="J473" s="168" t="str">
        <x:v>CI</x:v>
      </x:c>
      <x:c r="K473" s="174" t="n">
        <x:v>86</x:v>
      </x:c>
      <x:c r="L473" s="187" t="str">
        <x:v>Não classificado</x:v>
      </x:c>
    </x:row>
    <x:row r="474">
      <x:c r="A474" s="177" t="str">
        <x:v>46.082.763/0001-20</x:v>
      </x:c>
      <x:c r="B474" s="168" t="str">
        <x:v>MENTORE FUNDO DE INVESTIMENTO EM DIREITOS CREDITÓRIOS - RESPONSABILIDADE LIMITADA</x:v>
      </x:c>
      <x:c r="C474" s="190" t="n">
        <x:v>299794726.52</x:v>
      </x:c>
      <x:c r="D474" s="168" t="str">
        <x:v>Solis</x:v>
      </x:c>
      <x:c r="E474" s="168" t="str">
        <x:f>IFERROR(INDEX('Classif Gestoras'!$H$6:$H$462,MATCH(D474,'Classif Gestoras'!$A$6:$A$462,0)),"Não classificada")</x:f>
        <x:v>Independente</x:v>
      </x:c>
      <x:c r="F474" s="168" t="str">
        <x:v>HEMERA DTVM</x:v>
      </x:c>
      <x:c r="G474" s="168" t="str">
        <x:v>HEMERA DISTRIBUIDORA DE TITULOS E VALORES MOBILIARIOS LTDA</x:v>
      </x:c>
      <x:c r="H474" s="168" t="str">
        <x:v>Financeiro</x:v>
      </x:c>
      <x:c r="I474" s="168" t="str">
        <x:v>Crédito Pessoal</x:v>
      </x:c>
      <x:c r="J474" s="168" t="str">
        <x:v>CI</x:v>
      </x:c>
      <x:c r="K474" s="174" t="n">
        <x:v>57</x:v>
      </x:c>
      <x:c r="L474" s="187" t="str">
        <x:v>Não classificado</x:v>
      </x:c>
    </x:row>
    <x:row r="475">
      <x:c r="A475" s="177" t="str">
        <x:v>55.711.648/0001-68</x:v>
      </x:c>
      <x:c r="B475" s="168" t="str">
        <x:v>RIO BRAVO INLIRA STEFANINI CONSÓRCIO FIDC DE RESPONSABILIDADE LIMITADA</x:v>
      </x:c>
      <x:c r="C475" s="190" t="n">
        <x:v>299792130.36</x:v>
      </x:c>
      <x:c r="D475" s="168" t="str">
        <x:v>Rio Bravo</x:v>
      </x:c>
      <x:c r="E475" s="168" t="str">
        <x:f>IFERROR(INDEX('Classif Gestoras'!$H$6:$H$462,MATCH(D475,'Classif Gestoras'!$A$6:$A$462,0)),"Não classificada")</x:f>
        <x:v>Independente</x:v>
      </x:c>
      <x:c r="F475" s="168" t="str">
        <x:v>BANCO DAYCOVAL S/A</x:v>
      </x:c>
      <x:c r="G475" s="168" t="str">
        <x:v>BANCO DAYCOVAL S.A.</x:v>
      </x:c>
      <x:c r="H475" s="168" t="str">
        <x:v>Financeiro</x:v>
      </x:c>
      <x:c r="I475" s="168" t="str">
        <x:v>Multicarteira Financeiro</x:v>
      </x:c>
      <x:c r="J475" s="168" t="str">
        <x:v>CI</x:v>
      </x:c>
      <x:c r="K475" s="174" t="n">
        <x:v>103</x:v>
      </x:c>
      <x:c r="L475" s="187" t="str">
        <x:v>Proxy multicedente/multissacado — revisar</x:v>
      </x:c>
    </x:row>
    <x:row r="476">
      <x:c r="A476" s="177" t="str">
        <x:v>24.546.098/0001-45</x:v>
      </x:c>
      <x:c r="B476" s="168" t="str">
        <x:v>GII GESTAO INTELIGENTE FUNDO DE INVESTIMENTO EM DIREITOS CREDITORIOS</x:v>
      </x:c>
      <x:c r="C476" s="190" t="n">
        <x:v>298638466.93999994</x:v>
      </x:c>
      <x:c r="D476" s="168" t="str">
        <x:v>TERCON ASSET MANAGEMENT</x:v>
      </x:c>
      <x:c r="E476" s="168" t="str">
        <x:f>IFERROR(INDEX('Classif Gestoras'!$H$6:$H$462,MATCH(D476,'Classif Gestoras'!$A$6:$A$462,0)),"Não classificada")</x:f>
        <x:v>Independente</x:v>
      </x:c>
      <x:c r="F476" s="168" t="str">
        <x:v>Singulare</x:v>
      </x:c>
      <x:c r="G476" s="168" t="str">
        <x:v>QI CORRETORA DE TÍTULOS E VALORES MOBILIÁRIOS S.A.</x:v>
      </x:c>
      <x:c r="H476" s="168" t="str">
        <x:v>Fomento Mercantil</x:v>
      </x:c>
      <x:c r="I476" s="168" t="str">
        <x:v>Fomento Mercantil</x:v>
      </x:c>
      <x:c r="J476" s="168" t="str">
        <x:v>CI</x:v>
      </x:c>
      <x:c r="K476" s="174" t="n">
        <x:v>111</x:v>
      </x:c>
      <x:c r="L476" s="187" t="str">
        <x:v>Não classificado</x:v>
      </x:c>
    </x:row>
    <x:row r="477">
      <x:c r="A477" s="177" t="str">
        <x:v>59.532.738/0001-42</x:v>
      </x:c>
      <x:c r="B477" s="168" t="str">
        <x:v>CP III FUNDO DE INVESTIMENTO EM DIREITOS CREDITÓRIOS RESPONSABILIDADE LIMITADA</x:v>
      </x:c>
      <x:c r="C477" s="190" t="n">
        <x:v>296296992.61</x:v>
      </x:c>
      <x:c r="D477" s="168" t="str">
        <x:v>Lumina</x:v>
      </x:c>
      <x:c r="E477" s="168" t="str">
        <x:f>IFERROR(INDEX('Classif Gestoras'!$H$6:$H$462,MATCH(D477,'Classif Gestoras'!$A$6:$A$462,0)),"Não classificada")</x:f>
        <x:v>Independente</x:v>
      </x:c>
      <x:c r="F477" s="168" t="str">
        <x:v>Singulare</x:v>
      </x:c>
      <x:c r="G477" s="168" t="str">
        <x:v>QI CORRETORA DE TÍTULOS E VALORES MOBILIÁRIOS S.A.</x:v>
      </x:c>
      <x:c r="H477" s="168" t="str">
        <x:v>Outros</x:v>
      </x:c>
      <x:c r="I477" s="168" t="str">
        <x:v>Multicarteira Outros</x:v>
      </x:c>
      <x:c r="J477" s="168" t="str">
        <x:v>CI</x:v>
      </x:c>
      <x:c r="K477" s="174" t="n">
        <x:v>8</x:v>
      </x:c>
      <x:c r="L477" s="187" t="str">
        <x:v>Proxy multicedente/multissacado — revisar</x:v>
      </x:c>
    </x:row>
    <x:row r="478">
      <x:c r="A478" s="177" t="str">
        <x:v>21.053.898/0001-36</x:v>
      </x:c>
      <x:c r="B478" s="168" t="str">
        <x:v>ARTESANAL SPECIAL SITS FIDC MULTISETORIAL - RESPONSABILIDADE LIMITADA</x:v>
      </x:c>
      <x:c r="C478" s="190" t="n">
        <x:v>295863626.87</x:v>
      </x:c>
      <x:c r="D478" s="168" t="str">
        <x:v>ARTESANAL FINANCEIRO</x:v>
      </x:c>
      <x:c r="E478" s="168" t="str">
        <x:f>IFERROR(INDEX('Classif Gestoras'!$H$6:$H$462,MATCH(D478,'Classif Gestoras'!$A$6:$A$462,0)),"Não classificada")</x:f>
        <x:v>Independente</x:v>
      </x:c>
      <x:c r="F478" s="168" t="str">
        <x:v>FIDD DISTRIBUIDORA DE TITULOS E VALORES MOBILIARIOS LTD</x:v>
      </x:c>
      <x:c r="G478" s="168" t="str">
        <x:v>FIDD DISTRIBUIDORA DE TITULOS E VALORES MOBILIARIOS LTDA.</x:v>
      </x:c>
      <x:c r="H478" s="168" t="str">
        <x:v>Outros</x:v>
      </x:c>
      <x:c r="I478" s="168" t="str">
        <x:v>Multicarteira Outros</x:v>
      </x:c>
      <x:c r="J478" s="168" t="str">
        <x:v>CI</x:v>
      </x:c>
      <x:c r="K478" s="174" t="n">
        <x:v>5</x:v>
      </x:c>
      <x:c r="L478" s="187" t="str">
        <x:v>Proxy multicedente/multissacado — revisar</x:v>
      </x:c>
    </x:row>
    <x:row r="479">
      <x:c r="A479" s="177" t="str">
        <x:v>62.017.163/0001-34</x:v>
      </x:c>
      <x:c r="B479" s="168" t="str">
        <x:v>ARTESANAL CDI + FIDC III FUNDO DE INVESTIMENTO EM DIREITOS CREDITÓRIOS - RESPONSABILIDADE LIMITADA</x:v>
      </x:c>
      <x:c r="C479" s="190" t="n">
        <x:v>295858942.35</x:v>
      </x:c>
      <x:c r="D479" s="168" t="str">
        <x:v>Artesanal Investimentos</x:v>
      </x:c>
      <x:c r="E479" s="168" t="str">
        <x:f>IFERROR(INDEX('Classif Gestoras'!$H$6:$H$462,MATCH(D479,'Classif Gestoras'!$A$6:$A$462,0)),"Não classificada")</x:f>
        <x:v>Independente</x:v>
      </x:c>
      <x:c r="F479" s="168" t="str">
        <x:v>XPI CCTVM S/A</x:v>
      </x:c>
      <x:c r="G479" s="168" t="str">
        <x:v>OLIVEIRA TRUST DTVM S.A.</x:v>
      </x:c>
      <x:c r="H479" s="168" t="str">
        <x:v>Outros</x:v>
      </x:c>
      <x:c r="I479" s="168" t="str">
        <x:v>Multicarteira Outros</x:v>
      </x:c>
      <x:c r="J479" s="168" t="str">
        <x:v>CI</x:v>
      </x:c>
      <x:c r="K479" s="174" t="n">
        <x:v>3580</x:v>
      </x:c>
      <x:c r="L479" s="187" t="str">
        <x:v>Proxy multicedente/multissacado — revisar</x:v>
      </x:c>
    </x:row>
    <x:row r="480">
      <x:c r="A480" s="177" t="str">
        <x:v>57.437.905/0001-40</x:v>
      </x:c>
      <x:c r="B480" s="168" t="str">
        <x:v>BERRINI FUNDO DE INVESTIMENTO EM DIREITOS CREDITÓRIOS RESPONSABILIDADE LIMITADA</x:v>
      </x:c>
      <x:c r="C480" s="190" t="n">
        <x:v>294269996.68</x:v>
      </x:c>
      <x:c r="D480" s="168" t="str">
        <x:v>GENIAL GESTÃO LTDA.</x:v>
      </x:c>
      <x:c r="E480" s="168" t="str">
        <x:f>IFERROR(INDEX('Classif Gestoras'!$H$6:$H$462,MATCH(D480,'Classif Gestoras'!$A$6:$A$462,0)),"Não classificada")</x:f>
        <x:v>Ligada a banco</x:v>
      </x:c>
      <x:c r="F480" s="168" t="str">
        <x:v>Genial Investimentos Corretora de Valores Mobiliários S.A.</x:v>
      </x:c>
      <x:c r="G480" s="168" t="str">
        <x:v>BANCO GENIAL S.A.</x:v>
      </x:c>
      <x:c r="H480" s="168" t="str">
        <x:v>Outros</x:v>
      </x:c>
      <x:c r="I480" s="168" t="str">
        <x:v>Multicarteira Outros</x:v>
      </x:c>
      <x:c r="J480" s="168" t="str">
        <x:v>CI</x:v>
      </x:c>
      <x:c r="K480" s="174" t="n">
        <x:v>1</x:v>
      </x:c>
      <x:c r="L480" s="187" t="str">
        <x:v>Proxy multicedente/multissacado — revisar</x:v>
      </x:c>
    </x:row>
    <x:row r="481">
      <x:c r="A481" s="177" t="str">
        <x:v>47.640.584/0001-23</x:v>
      </x:c>
      <x:c r="B481" s="168" t="str">
        <x:v>SOL AGORA GREEN ESG FIDC IS SEGMENTO FINANCEIRO DE RESPONSABILIDADE LIMITADA</x:v>
      </x:c>
      <x:c r="C481" s="190" t="n">
        <x:v>293654515.32</x:v>
      </x:c>
      <x:c r="D481" s="168" t="str">
        <x:v>JGP Gestão de Crédito LTDA.</x:v>
      </x:c>
      <x:c r="E481" s="168" t="str">
        <x:f>IFERROR(INDEX('Classif Gestoras'!$H$6:$H$462,MATCH(D481,'Classif Gestoras'!$A$6:$A$462,0)),"Não classificada")</x:f>
        <x:v>Independente</x:v>
      </x:c>
      <x:c r="F481" s="168" t="str">
        <x:v>Banco Genial S.A.</x:v>
      </x:c>
      <x:c r="G481" s="168" t="str">
        <x:v>BANCO GENIAL S.A.</x:v>
      </x:c>
      <x:c r="H481" s="168" t="str">
        <x:v>Financeiro</x:v>
      </x:c>
      <x:c r="I481" s="168" t="str">
        <x:v>Crédito Pessoal</x:v>
      </x:c>
      <x:c r="J481" s="168" t="str">
        <x:v>CI</x:v>
      </x:c>
      <x:c r="K481" s="174" t="n">
        <x:v>16</x:v>
      </x:c>
      <x:c r="L481" s="187" t="str">
        <x:v>Não classificado</x:v>
      </x:c>
    </x:row>
    <x:row r="482">
      <x:c r="A482" s="177" t="str">
        <x:v>62.107.469/0001-81</x:v>
      </x:c>
      <x:c r="B482" s="168" t="str">
        <x:v>ARTESANAL CRÉDITO ESTRUTURADO III FIDC DE RESPONSABILIDADE LIMITADA</x:v>
      </x:c>
      <x:c r="C482" s="190" t="n">
        <x:v>293503547.3</x:v>
      </x:c>
      <x:c r="D482" s="168" t="str">
        <x:v>Artesanal Investimentos</x:v>
      </x:c>
      <x:c r="E482" s="168" t="str">
        <x:f>IFERROR(INDEX('Classif Gestoras'!$H$6:$H$462,MATCH(D482,'Classif Gestoras'!$A$6:$A$462,0)),"Não classificada")</x:f>
        <x:v>Independente</x:v>
      </x:c>
      <x:c r="F482" s="168" t="str">
        <x:v>Genial Investimentos Corretora de Valores Mobiliários S.A.</x:v>
      </x:c>
      <x:c r="G482" s="168" t="str">
        <x:v>BANCO GENIAL S.A.</x:v>
      </x:c>
      <x:c r="H482" s="168" t="str">
        <x:v>Outros</x:v>
      </x:c>
      <x:c r="I482" s="168" t="str">
        <x:v>Multicarteira Outros</x:v>
      </x:c>
      <x:c r="J482" s="168" t="str">
        <x:v>CI</x:v>
      </x:c>
      <x:c r="K482" s="174" t="n">
        <x:v>1</x:v>
      </x:c>
      <x:c r="L482" s="187" t="str">
        <x:v>Proxy multicedente/multissacado — revisar</x:v>
      </x:c>
    </x:row>
    <x:row r="483">
      <x:c r="A483" s="177" t="str">
        <x:v>52.298.532/0001-50</x:v>
      </x:c>
      <x:c r="B483" s="168" t="str">
        <x:v>IOX REAL FUNDO DE INVESTIMENTO EM DIREITOS CREDITÓRIOS</x:v>
      </x:c>
      <x:c r="C483" s="190" t="n">
        <x:v>293071939.14000005</x:v>
      </x:c>
      <x:c r="D483" s="168" t="str">
        <x:v>M8 Partners</x:v>
      </x:c>
      <x:c r="E483" s="168" t="str">
        <x:f>IFERROR(INDEX('Classif Gestoras'!$H$6:$H$462,MATCH(D483,'Classif Gestoras'!$A$6:$A$462,0)),"Não classificada")</x:f>
        <x:v>Independente</x:v>
      </x:c>
      <x:c r="F483" s="168" t="str">
        <x:v>Singulare</x:v>
      </x:c>
      <x:c r="G483" s="168" t="str">
        <x:v>QI CORRETORA DE TÍTULOS E VALORES MOBILIÁRIOS S.A.</x:v>
      </x:c>
      <x:c r="H483" s="168" t="str">
        <x:v>Fomento Mercantil</x:v>
      </x:c>
      <x:c r="I483" s="168" t="str">
        <x:v>Fomento Mercantil</x:v>
      </x:c>
      <x:c r="J483" s="168" t="str">
        <x:v>CI</x:v>
      </x:c>
      <x:c r="K483" s="174" t="n">
        <x:v>36</x:v>
      </x:c>
      <x:c r="L483" s="187" t="str">
        <x:v>Não classificado</x:v>
      </x:c>
    </x:row>
    <x:row r="484">
      <x:c r="A484" s="177" t="str">
        <x:v>58.223.658/0001-42</x:v>
      </x:c>
      <x:c r="B484" s="168" t="str">
        <x:v>CORRESPONDENTE BANQUEIRO XP FUNDO DE INVESTIMENTO EM DIREITOS CREDITÓRIOS - RESP LTDA</x:v>
      </x:c>
      <x:c r="C484" s="190" t="n">
        <x:v>291472700.09000003</x:v>
      </x:c>
      <x:c r="D484" s="168" t="str">
        <x:v>Oliveira Trust Servicer</x:v>
      </x:c>
      <x:c r="E484" s="168" t="str">
        <x:f>IFERROR(INDEX('Classif Gestoras'!$H$6:$H$462,MATCH(D484,'Classif Gestoras'!$A$6:$A$462,0)),"Não classificada")</x:f>
        <x:v>Independente</x:v>
      </x:c>
      <x:c r="F484" s="168" t="str">
        <x:v>Oliveira Trust DTVM</x:v>
      </x:c>
      <x:c r="G484" s="168" t="str">
        <x:v>OLIVEIRA TRUST DTVM S.A.</x:v>
      </x:c>
      <x:c r="H484" s="168" t="str">
        <x:v>Financeiro</x:v>
      </x:c>
      <x:c r="I484" s="168" t="str">
        <x:v>Crédito Consignado</x:v>
      </x:c>
      <x:c r="J484" s="168" t="str">
        <x:v>CI</x:v>
      </x:c>
      <x:c r="K484" s="174" t="n">
        <x:v>2</x:v>
      </x:c>
      <x:c r="L484" s="187" t="str">
        <x:v>Não classificado</x:v>
      </x:c>
    </x:row>
    <x:row r="485">
      <x:c r="A485" s="177" t="str">
        <x:v>41.351.629/0001-63</x:v>
      </x:c>
      <x:c r="B485" s="168" t="str">
        <x:v>SIFRA LP FUNDO DE INVESTIMENTO EM DIREITOS CREDITÓRIOS</x:v>
      </x:c>
      <x:c r="C485" s="190" t="n">
        <x:v>291184497.90999997</x:v>
      </x:c>
      <x:c r="D485" s="168" t="str">
        <x:v>ORRAM GESTÃO DE RECURSOS LTDA.</x:v>
      </x:c>
      <x:c r="E485" s="168" t="str">
        <x:f>IFERROR(INDEX('Classif Gestoras'!$H$6:$H$462,MATCH(D485,'Classif Gestoras'!$A$6:$A$462,0)),"Não classificada")</x:f>
        <x:v>Independente</x:v>
      </x:c>
      <x:c r="F485" s="168" t="str">
        <x:v>Singulare</x:v>
      </x:c>
      <x:c r="G485" s="168" t="str">
        <x:v>QI CORRETORA DE TÍTULOS E VALORES MOBILIÁRIOS S.A.</x:v>
      </x:c>
      <x:c r="H485" s="168" t="str">
        <x:v>Fomento Mercantil</x:v>
      </x:c>
      <x:c r="I485" s="168" t="str">
        <x:v>Fomento Mercantil</x:v>
      </x:c>
      <x:c r="J485" s="168" t="str">
        <x:v>CI</x:v>
      </x:c>
      <x:c r="K485" s="174" t="n">
        <x:v>47</x:v>
      </x:c>
      <x:c r="L485" s="187" t="str">
        <x:v>Não classificado</x:v>
      </x:c>
    </x:row>
    <x:row r="486">
      <x:c r="A486" s="177" t="str">
        <x:v>29.243.004/0001-82</x:v>
      </x:c>
      <x:c r="B486" s="168" t="str">
        <x:v>LIMAJ FUNDO DE INVESTIMENTO EM DIREITOS CREDITÓRIOS</x:v>
      </x:c>
      <x:c r="C486" s="190" t="n">
        <x:v>290263148.18999994</x:v>
      </x:c>
      <x:c r="D486" s="168" t="str">
        <x:v>Multiplica Capital</x:v>
      </x:c>
      <x:c r="E486" s="168" t="str">
        <x:f>IFERROR(INDEX('Classif Gestoras'!$H$6:$H$462,MATCH(D486,'Classif Gestoras'!$A$6:$A$462,0)),"Não classificada")</x:f>
        <x:v>Independente</x:v>
      </x:c>
      <x:c r="F486" s="168" t="str">
        <x:v>Singulare</x:v>
      </x:c>
      <x:c r="G486" s="168" t="str">
        <x:v>QI CORRETORA DE TÍTULOS E VALORES MOBILIÁRIOS S.A.</x:v>
      </x:c>
      <x:c r="H486" s="168" t="str">
        <x:v>Fomento Mercantil</x:v>
      </x:c>
      <x:c r="I486" s="168" t="str">
        <x:v>Fomento Mercantil</x:v>
      </x:c>
      <x:c r="J486" s="168" t="str">
        <x:v>CI</x:v>
      </x:c>
      <x:c r="K486" s="174" t="n">
        <x:v>58</x:v>
      </x:c>
      <x:c r="L486" s="187" t="str">
        <x:v>Não classificado</x:v>
      </x:c>
    </x:row>
    <x:row r="487">
      <x:c r="A487" s="177" t="str">
        <x:v>58.311.958/0001-83</x:v>
      </x:c>
      <x:c r="B487" s="168" t="str">
        <x:v>PLGN AUTO LOANS I FUNDO DE INVESTIMENTO EM DIREITOS CREDITÓRIOS RESPONSABILIDADE LIMITADA</x:v>
      </x:c>
      <x:c r="C487" s="190" t="n">
        <x:v>287914661.39</x:v>
      </x:c>
      <x:c r="D487" s="168" t="str">
        <x:v>POLÍGONO CAPITAL LTDA.</x:v>
      </x:c>
      <x:c r="E487" s="168" t="str">
        <x:f>IFERROR(INDEX('Classif Gestoras'!$H$6:$H$462,MATCH(D487,'Classif Gestoras'!$A$6:$A$462,0)),"Não classificada")</x:f>
        <x:v>Independente</x:v>
      </x:c>
      <x:c r="F487" s="168" t="str">
        <x:v>BTG Pactual Servicos Financeiros S/A DTVM</x:v>
      </x:c>
      <x:c r="G487" s="168" t="str">
        <x:v>BANCO BTG PACTUAL S/A</x:v>
      </x:c>
      <x:c r="H487" s="168" t="str">
        <x:v>Financeiro</x:v>
      </x:c>
      <x:c r="I487" s="168" t="str">
        <x:v>Financiamento de Veículos</x:v>
      </x:c>
      <x:c r="J487" s="168" t="str">
        <x:v>CI</x:v>
      </x:c>
      <x:c r="K487" s="174" t="n">
        <x:v>8</x:v>
      </x:c>
      <x:c r="L487" s="187" t="str">
        <x:v>Não classificado</x:v>
      </x:c>
    </x:row>
    <x:row r="488">
      <x:c r="A488" s="177" t="str">
        <x:v>59.773.387/0001-61</x:v>
      </x:c>
      <x:c r="B488" s="168" t="str">
        <x:v>ITAÚ PIRINEUS III PRIVATE FIC FIDC DE INFRAESTRUTURA RESPONSABILIDADE LIMITADA</x:v>
      </x:c>
      <x:c r="C488" s="190" t="n">
        <x:v>287365842.62</x:v>
      </x:c>
      <x:c r="D488" s="168" t="str">
        <x:v>ITAU ASSET</x:v>
      </x:c>
      <x:c r="E488" s="168" t="str">
        <x:f>IFERROR(INDEX('Classif Gestoras'!$H$6:$H$462,MATCH(D488,'Classif Gestoras'!$A$6:$A$462,0)),"Não classificada")</x:f>
        <x:v>Ligada a banco</x:v>
      </x:c>
      <x:c r="F488" s="168" t="str">
        <x:v>INTRAG DIST. DE TÍTU</x:v>
      </x:c>
      <x:c r="G488" s="168" t="str">
        <x:v>ITAU UNIBANCO S.A.</x:v>
      </x:c>
      <x:c r="H488" s="168" t="str">
        <x:v>Agro, Indústria e Comércio</x:v>
      </x:c>
      <x:c r="I488" s="168" t="str">
        <x:v>Infraestrutura</x:v>
      </x:c>
      <x:c r="J488" s="168" t="str">
        <x:v>CIPC</x:v>
      </x:c>
      <x:c r="K488" s="174" t="n">
        <x:v>277</x:v>
      </x:c>
      <x:c r="L488" s="187" t="str">
        <x:v>Não classificado</x:v>
      </x:c>
    </x:row>
    <x:row r="489">
      <x:c r="A489" s="177" t="str">
        <x:v>29.720.639/0001-23</x:v>
      </x:c>
      <x:c r="B489" s="168" t="str">
        <x:v>FUNDO DE INVESTIMENTO EM DIREITOS CREDITÓRIOS JPM III</x:v>
      </x:c>
      <x:c r="C489" s="190" t="n">
        <x:v>286137664.42</x:v>
      </x:c>
      <x:c r="D489" s="168" t="str">
        <x:v>Solis</x:v>
      </x:c>
      <x:c r="E489" s="168" t="str">
        <x:f>IFERROR(INDEX('Classif Gestoras'!$H$6:$H$462,MATCH(D489,'Classif Gestoras'!$A$6:$A$462,0)),"Não classificada")</x:f>
        <x:v>Independente</x:v>
      </x:c>
      <x:c r="F489" s="168" t="str">
        <x:v>HEMERA DTVM</x:v>
      </x:c>
      <x:c r="G489" s="168" t="str">
        <x:v>HEMERA DISTRIBUIDORA DE TITULOS E VALORES MOBILIARIOS LTDA</x:v>
      </x:c>
      <x:c r="H489" s="168" t="str">
        <x:v>Outros</x:v>
      </x:c>
      <x:c r="I489" s="168" t="str">
        <x:v>Multicarteira Outros</x:v>
      </x:c>
      <x:c r="J489" s="168" t="str">
        <x:v>CI</x:v>
      </x:c>
      <x:c r="K489" s="174" t="n">
        <x:v>39</x:v>
      </x:c>
      <x:c r="L489" s="187" t="str">
        <x:v>Proxy multicedente/multissacado — revisar</x:v>
      </x:c>
    </x:row>
    <x:row r="490">
      <x:c r="A490" s="177" t="str">
        <x:v>40.919.667/0001-07</x:v>
      </x:c>
      <x:c r="B490" s="168" t="str">
        <x:v>RECARGAPAY I FUNDO DE INVESTIMENTO EM DIREITOS CREDITÓRIOS</x:v>
      </x:c>
      <x:c r="C490" s="190" t="n">
        <x:v>284997728.40999997</x:v>
      </x:c>
      <x:c r="D490" s="168" t="str">
        <x:v>GENIAL GESTÃO LTDA.</x:v>
      </x:c>
      <x:c r="E490" s="168" t="str">
        <x:f>IFERROR(INDEX('Classif Gestoras'!$H$6:$H$462,MATCH(D490,'Classif Gestoras'!$A$6:$A$462,0)),"Não classificada")</x:f>
        <x:v>Ligada a banco</x:v>
      </x:c>
      <x:c r="F490" s="168" t="str">
        <x:v>Genial Investimentos Corretora de Valores Mobiliários S.A.</x:v>
      </x:c>
      <x:c r="G490" s="168" t="str">
        <x:v>BANCO GENIAL S.A.</x:v>
      </x:c>
      <x:c r="H490" s="168" t="str">
        <x:v>Agro, Indústria e Comércio</x:v>
      </x:c>
      <x:c r="I490" s="168" t="str">
        <x:v>Recebíveis Comerciais</x:v>
      </x:c>
      <x:c r="J490" s="168" t="str">
        <x:v>CI</x:v>
      </x:c>
      <x:c r="K490" s="174" t="n">
        <x:v>2</x:v>
      </x:c>
      <x:c r="L490" s="187" t="str">
        <x:v>Não classificado</x:v>
      </x:c>
    </x:row>
    <x:row r="491">
      <x:c r="A491" s="177" t="str">
        <x:v>28.296.620/0001-39</x:v>
      </x:c>
      <x:c r="B491" s="168" t="str">
        <x:v>KATCH DIVERSIFIED FUNDO DE INVESTIMENTO EM DIREITOS CREDITÓRIOS</x:v>
      </x:c>
      <x:c r="C491" s="190" t="n">
        <x:v>284246950.90999997</x:v>
      </x:c>
      <x:c r="D491" s="168" t="str">
        <x:v>Harbour Capital</x:v>
      </x:c>
      <x:c r="E491" s="168" t="str">
        <x:f>IFERROR(INDEX('Classif Gestoras'!$H$6:$H$462,MATCH(D491,'Classif Gestoras'!$A$6:$A$462,0)),"Não classificada")</x:f>
        <x:v>Independente</x:v>
      </x:c>
      <x:c r="F491" s="168" t="str">
        <x:v>Qore DTVM</x:v>
      </x:c>
      <x:c r="G491" s="168" t="str">
        <x:v>QORE DISTRIBUIDORA DE TÍTULOS E VALORES MOBILIÁRIOS LTDA.</x:v>
      </x:c>
      <x:c r="H491" s="168" t="str">
        <x:v>Fomento Mercantil</x:v>
      </x:c>
      <x:c r="I491" s="168" t="str">
        <x:v>Fomento Mercantil</x:v>
      </x:c>
      <x:c r="J491" s="168" t="str">
        <x:v>CI</x:v>
      </x:c>
      <x:c r="K491" s="174" t="n">
        <x:v>2</x:v>
      </x:c>
      <x:c r="L491" s="187" t="str">
        <x:v>Não classificado</x:v>
      </x:c>
    </x:row>
    <x:row r="492">
      <x:c r="A492" s="177" t="str">
        <x:v>45.683.314/0001-74</x:v>
      </x:c>
      <x:c r="B492" s="168" t="str">
        <x:v>JGP SECURITIZAÇÃO FUNDO DE INVESTIMENTO EM DIREITOS CREDITÓRIOS - RESPONSABILIDADE LIMITADA</x:v>
      </x:c>
      <x:c r="C492" s="190" t="n">
        <x:v>284132972.08</x:v>
      </x:c>
      <x:c r="D492" s="168" t="str">
        <x:v>JGP Gestão de Crédito LTDA.</x:v>
      </x:c>
      <x:c r="E492" s="168" t="str">
        <x:f>IFERROR(INDEX('Classif Gestoras'!$H$6:$H$462,MATCH(D492,'Classif Gestoras'!$A$6:$A$462,0)),"Não classificada")</x:f>
        <x:v>Independente</x:v>
      </x:c>
      <x:c r="F492" s="168" t="str">
        <x:v>BNY MELLON SERVICOS</x:v>
      </x:c>
      <x:c r="G492" s="168" t="str">
        <x:v>BNY MELLON BANCO S.A.</x:v>
      </x:c>
      <x:c r="H492" s="168" t="str">
        <x:v>Outros</x:v>
      </x:c>
      <x:c r="I492" s="168" t="str">
        <x:v>Multicarteira Outros</x:v>
      </x:c>
      <x:c r="J492" s="168" t="str">
        <x:v>CIPC</x:v>
      </x:c>
      <x:c r="K492" s="174" t="n">
        <x:v>10</x:v>
      </x:c>
      <x:c r="L492" s="187" t="str">
        <x:v>Proxy multicedente/multissacado — revisar</x:v>
      </x:c>
    </x:row>
    <x:row r="493">
      <x:c r="A493" s="177" t="str">
        <x:v>57.088.244/0001-95</x:v>
      </x:c>
      <x:c r="B493" s="168" t="str">
        <x:v>CENTRO SUL CONCESSOES FIDC DE RESPONSABILIDADE LIMITADA</x:v>
      </x:c>
      <x:c r="C493" s="190" t="n">
        <x:v>284068868.72999996</x:v>
      </x:c>
      <x:c r="D493" s="168" t="str">
        <x:v>Bocaina Capital</x:v>
      </x:c>
      <x:c r="E493" s="168" t="str">
        <x:f>IFERROR(INDEX('Classif Gestoras'!$H$6:$H$462,MATCH(D493,'Classif Gestoras'!$A$6:$A$462,0)),"Não classificada")</x:f>
        <x:v>Independente</x:v>
      </x:c>
      <x:c r="F493" s="168" t="str">
        <x:v>BANCO DAYCOVAL S/A</x:v>
      </x:c>
      <x:c r="G493" s="168" t="str">
        <x:v>BANCO DAYCOVAL S.A.</x:v>
      </x:c>
      <x:c r="H493" s="168" t="str">
        <x:v>Agro, Indústria e Comércio</x:v>
      </x:c>
      <x:c r="I493" s="168" t="str">
        <x:v>Infraestrutura</x:v>
      </x:c>
      <x:c r="J493" s="168" t="str">
        <x:v>CI</x:v>
      </x:c>
      <x:c r="K493" s="174" t="n">
        <x:v>78</x:v>
      </x:c>
      <x:c r="L493" s="187" t="str">
        <x:v>Não classificado</x:v>
      </x:c>
    </x:row>
    <x:row r="494">
      <x:c r="A494" s="177" t="str">
        <x:v>59.764.569/0001-76</x:v>
      </x:c>
      <x:c r="B494" s="168" t="str">
        <x:v>AUGME LVG FUNDO DE INVESTIMENTO EM DIREITOS CREDITÓRIOS RESPONSABILIDADE LIMITADA</x:v>
      </x:c>
      <x:c r="C494" s="190" t="n">
        <x:v>284004130.84000003</x:v>
      </x:c>
      <x:c r="D494" s="168" t="str">
        <x:v>AUGME CAPITAL GESTÃO DE RECURSOS LTDA.</x:v>
      </x:c>
      <x:c r="E494" s="168" t="str">
        <x:f>IFERROR(INDEX('Classif Gestoras'!$H$6:$H$462,MATCH(D494,'Classif Gestoras'!$A$6:$A$462,0)),"Não classificada")</x:f>
        <x:v>Independente</x:v>
      </x:c>
      <x:c r="F494" s="168" t="str">
        <x:v>BANCO DAYCOVAL S/A</x:v>
      </x:c>
      <x:c r="G494" s="168" t="str">
        <x:v>BANCO DAYCOVAL S.A.</x:v>
      </x:c>
      <x:c r="H494" s="168" t="str">
        <x:v>Outros</x:v>
      </x:c>
      <x:c r="I494" s="168" t="str">
        <x:v>Multicarteira Outros</x:v>
      </x:c>
      <x:c r="J494" s="168" t="str">
        <x:v>CI</x:v>
      </x:c>
      <x:c r="K494" s="174" t="n">
        <x:v>27</x:v>
      </x:c>
      <x:c r="L494" s="187" t="str">
        <x:v>Proxy multicedente/multissacado — revisar</x:v>
      </x:c>
    </x:row>
    <x:row r="495">
      <x:c r="A495" s="177" t="str">
        <x:v>38.082.159/0001-75</x:v>
      </x:c>
      <x:c r="B495" s="168" t="str">
        <x:v>FACTA INSS CB FUNDO DE INVESTIMENTO EM DIREITOS CREDITÓRIOS - RESPONSABILIDADE LIMITADA</x:v>
      </x:c>
      <x:c r="C495" s="190" t="n">
        <x:v>283321920.22999996</x:v>
      </x:c>
      <x:c r="D495" s="168" t="str">
        <x:v>RB Asset</x:v>
      </x:c>
      <x:c r="E495" s="168" t="str">
        <x:f>IFERROR(INDEX('Classif Gestoras'!$H$6:$H$462,MATCH(D495,'Classif Gestoras'!$A$6:$A$462,0)),"Não classificada")</x:f>
        <x:v>Independente</x:v>
      </x:c>
      <x:c r="F495" s="168" t="str">
        <x:v>Oliveira Trust DTVM</x:v>
      </x:c>
      <x:c r="G495" s="168" t="str">
        <x:v>OLIVEIRA TRUST DTVM S.A.</x:v>
      </x:c>
      <x:c r="H495" s="168" t="str">
        <x:v>Financeiro</x:v>
      </x:c>
      <x:c r="I495" s="168" t="str">
        <x:v>Crédito Consignado</x:v>
      </x:c>
      <x:c r="J495" s="168" t="str">
        <x:v>CI</x:v>
      </x:c>
      <x:c r="K495" s="174" t="n">
        <x:v>6347</x:v>
      </x:c>
      <x:c r="L495" s="187" t="str">
        <x:v>Não classificado</x:v>
      </x:c>
    </x:row>
    <x:row r="496">
      <x:c r="A496" s="177" t="str">
        <x:v>59.851.384/0001-07</x:v>
      </x:c>
      <x:c r="B496" s="168" t="str">
        <x:v>GALLERIA FUNDO DE INVESTIMENTO EM DIREITOS CREDITÓRIOS 2</x:v>
      </x:c>
      <x:c r="C496" s="190" t="n">
        <x:v>281904224.34</x:v>
      </x:c>
      <x:c r="D496" s="168" t="str">
        <x:v>VERT Gestora de Recursos Financeiros Ltda.</x:v>
      </x:c>
      <x:c r="E496" s="168" t="str">
        <x:f>IFERROR(INDEX('Classif Gestoras'!$H$6:$H$462,MATCH(D496,'Classif Gestoras'!$A$6:$A$462,0)),"Não classificada")</x:f>
        <x:v>Independente</x:v>
      </x:c>
      <x:c r="F496" s="168" t="str">
        <x:v>VERT Distribuidora de Títulos e Valores Mobiliários Ltd</x:v>
      </x:c>
      <x:c r="G496" s="168" t="str">
        <x:v>VERT DISTRIBUIDORA DE TÍTULOS E VALORES MOBILIÁRIOS LTDA.</x:v>
      </x:c>
      <x:c r="H496" s="168" t="str">
        <x:v>Outros</x:v>
      </x:c>
      <x:c r="I496" s="168" t="str">
        <x:v>Multicarteira Outros</x:v>
      </x:c>
      <x:c r="J496" s="168" t="str">
        <x:v>CI</x:v>
      </x:c>
      <x:c r="K496" s="174" t="n">
        <x:v>8</x:v>
      </x:c>
      <x:c r="L496" s="187" t="str">
        <x:v>Proxy multicedente/multissacado — revisar</x:v>
      </x:c>
    </x:row>
    <x:row r="497">
      <x:c r="A497" s="177" t="str">
        <x:v>33.554.498/0001-93</x:v>
      </x:c>
      <x:c r="B497" s="168" t="str">
        <x:v>LATACHE HIGH YIELD FUNDO DE INVESTIMENTO EM DIREITOS CREDITÓRIOS NÃO PADRONIZADOS FIDC NP</x:v>
      </x:c>
      <x:c r="C497" s="190" t="n">
        <x:v>281382711.6</x:v>
      </x:c>
      <x:c r="D497" s="168" t="str">
        <x:v>Latache Capital</x:v>
      </x:c>
      <x:c r="E497" s="168" t="str">
        <x:f>IFERROR(INDEX('Classif Gestoras'!$H$6:$H$462,MATCH(D497,'Classif Gestoras'!$A$6:$A$462,0)),"Não classificada")</x:f>
        <x:v>Independente</x:v>
      </x:c>
      <x:c r="F497" s="168" t="str">
        <x:v>BRL TRUST DTVM</x:v>
      </x:c>
      <x:c r="G497" s="168" t="str">
        <x:v>BRL TRUST DISTRIBUIDORA DE TITULOS E VALORES MOBILIARIOS S.A.</x:v>
      </x:c>
      <x:c r="H497" s="168" t="str">
        <x:v>Outros</x:v>
      </x:c>
      <x:c r="I497" s="168" t="str">
        <x:v>Recuperação</x:v>
      </x:c>
      <x:c r="J497" s="168" t="str">
        <x:v>CI</x:v>
      </x:c>
      <x:c r="K497" s="174" t="n">
        <x:v>48</x:v>
      </x:c>
      <x:c r="L497" s="187" t="str">
        <x:v>Não classificado</x:v>
      </x:c>
    </x:row>
    <x:row r="498">
      <x:c r="A498" s="177" t="str">
        <x:v>55.843.467/0001-95</x:v>
      </x:c>
      <x:c r="B498" s="168" t="str">
        <x:v>CONSIGNADOS VI FUNDO DE INVESTIMENTO EM DIREITOS CREDITÓRIOS - RESPONSABILIDADE LIMITADA</x:v>
      </x:c>
      <x:c r="C498" s="190" t="n">
        <x:v>280895671.09000003</x:v>
      </x:c>
      <x:c r="D498" s="168" t="str">
        <x:v>BRZ Gestão de Recursos</x:v>
      </x:c>
      <x:c r="E498" s="168" t="str">
        <x:f>IFERROR(INDEX('Classif Gestoras'!$H$6:$H$462,MATCH(D498,'Classif Gestoras'!$A$6:$A$462,0)),"Não classificada")</x:f>
        <x:v>Independente</x:v>
      </x:c>
      <x:c r="F498" s="168" t="str">
        <x:v>BANCO DAYCOVAL S/A</x:v>
      </x:c>
      <x:c r="G498" s="168" t="str">
        <x:v>BANCO DAYCOVAL S.A.</x:v>
      </x:c>
      <x:c r="H498" s="168" t="str">
        <x:v>Financeiro</x:v>
      </x:c>
      <x:c r="I498" s="168" t="str">
        <x:v>Crédito Consignado</x:v>
      </x:c>
      <x:c r="J498" s="168" t="str">
        <x:v>CI</x:v>
      </x:c>
      <x:c r="K498" s="174" t="n">
        <x:v>115</x:v>
      </x:c>
      <x:c r="L498" s="187" t="str">
        <x:v>Não classificado</x:v>
      </x:c>
    </x:row>
    <x:row r="499">
      <x:c r="A499" s="177" t="str">
        <x:v>11.693.671/0001-00</x:v>
      </x:c>
      <x:c r="B499" s="168" t="str">
        <x:v>R&amp;G FUNDO DE INVESTIMENTO EM DIREITOS CREDITÓRIOS MULTISEGMENTOS</x:v>
      </x:c>
      <x:c r="C499" s="190" t="n">
        <x:v>280366098.31</x:v>
      </x:c>
      <x:c r="D499" s="168" t="str">
        <x:v>Petra Capital</x:v>
      </x:c>
      <x:c r="E499" s="168" t="str">
        <x:f>IFERROR(INDEX('Classif Gestoras'!$H$6:$H$462,MATCH(D499,'Classif Gestoras'!$A$6:$A$462,0)),"Não classificada")</x:f>
        <x:v>Independente</x:v>
      </x:c>
      <x:c r="F499" s="168" t="str">
        <x:v>Finaxis Corretora de Títulos e Valores Mobiliários S.A.</x:v>
      </x:c>
      <x:c r="G499" s="168" t="str">
        <x:v>BANCO FINAXIS S.A.</x:v>
      </x:c>
      <x:c r="H499" s="168" t="str">
        <x:v>Fomento Mercantil</x:v>
      </x:c>
      <x:c r="I499" s="168" t="str">
        <x:v>Fomento Mercantil</x:v>
      </x:c>
      <x:c r="J499" s="168" t="str">
        <x:v>CI</x:v>
      </x:c>
      <x:c r="K499" s="174" t="n">
        <x:v>89</x:v>
      </x:c>
      <x:c r="L499" s="187" t="str">
        <x:v>Não classificado</x:v>
      </x:c>
    </x:row>
    <x:row r="500">
      <x:c r="A500" s="177" t="str">
        <x:v>32.388.169/0001-57</x:v>
      </x:c>
      <x:c r="B500" s="168" t="str">
        <x:v>CANAL 47 FUNDO DE INVESTIMENTO EM DIREITOS CREDITORIOS NAO PADRONIZADO</x:v>
      </x:c>
      <x:c r="C500" s="190" t="n">
        <x:v>280204214.95</x:v>
      </x:c>
      <x:c r="D500" s="168" t="str">
        <x:v>G5 Adm. de Recursos</x:v>
      </x:c>
      <x:c r="E500" s="168" t="str">
        <x:f>IFERROR(INDEX('Classif Gestoras'!$H$6:$H$462,MATCH(D500,'Classif Gestoras'!$A$6:$A$462,0)),"Não classificada")</x:f>
        <x:v>Independente</x:v>
      </x:c>
      <x:c r="F500" s="168" t="str">
        <x:v>Singulare</x:v>
      </x:c>
      <x:c r="G500" s="168" t="str">
        <x:v>QI CORRETORA DE TÍTULOS E VALORES MOBILIÁRIOS S.A.</x:v>
      </x:c>
      <x:c r="H500" s="168" t="str">
        <x:v>Outros</x:v>
      </x:c>
      <x:c r="I500" s="168" t="str">
        <x:v>Multicarteira Outros</x:v>
      </x:c>
      <x:c r="J500" s="168" t="str">
        <x:v>CI</x:v>
      </x:c>
      <x:c r="K500" s="174" t="n">
        <x:v>4</x:v>
      </x:c>
      <x:c r="L500" s="187" t="str">
        <x:v>Proxy multicedente/multissacado — revisar</x:v>
      </x:c>
    </x:row>
    <x:row r="501">
      <x:c r="A501" s="177" t="str">
        <x:v>57.183.411/0001-87</x:v>
      </x:c>
      <x:c r="B501" s="168" t="str">
        <x:v>SPECIALE PLGN FUNDO DE INVESTIMENTO EM DIREITOS CREDITÓRIOS</x:v>
      </x:c>
      <x:c r="C501" s="190" t="n">
        <x:v>280132102.42</x:v>
      </x:c>
      <x:c r="D501" s="168" t="str">
        <x:v>POLÍGONO CAPITAL LTDA.</x:v>
      </x:c>
      <x:c r="E501" s="168" t="str">
        <x:f>IFERROR(INDEX('Classif Gestoras'!$H$6:$H$462,MATCH(D501,'Classif Gestoras'!$A$6:$A$462,0)),"Não classificada")</x:f>
        <x:v>Independente</x:v>
      </x:c>
      <x:c r="F501" s="168" t="str">
        <x:v>BTG Pactual Servicos Financeiros S/A DTVM</x:v>
      </x:c>
      <x:c r="G501" s="168" t="str">
        <x:v>BANCO BTG PACTUAL S/A</x:v>
      </x:c>
      <x:c r="H501" s="168" t="str">
        <x:v>Outros</x:v>
      </x:c>
      <x:c r="I501" s="168" t="str">
        <x:v>Multicarteira Outros</x:v>
      </x:c>
      <x:c r="J501" s="168" t="str">
        <x:v>CIPC</x:v>
      </x:c>
      <x:c r="K501" s="174" t="n">
        <x:v>34</x:v>
      </x:c>
      <x:c r="L501" s="187" t="str">
        <x:v>Proxy multicedente/multissacado — revisar</x:v>
      </x:c>
    </x:row>
    <x:row r="502">
      <x:c r="A502" s="177" t="str">
        <x:v>60.645.628/0001-76</x:v>
      </x:c>
      <x:c r="B502" s="168" t="str">
        <x:v>LL CAPITAL FUNDO DE INVESTIMENTO EM DIREITOS CREDITÓRIOS RESPONSABILIDADE LIMITADA</x:v>
      </x:c>
      <x:c r="C502" s="190" t="n">
        <x:v>280068260.78000003</x:v>
      </x:c>
      <x:c r="D502" s="168" t="str">
        <x:v>Redwood Asset Management</x:v>
      </x:c>
      <x:c r="E502" s="168" t="str">
        <x:f>IFERROR(INDEX('Classif Gestoras'!$H$6:$H$462,MATCH(D502,'Classif Gestoras'!$A$6:$A$462,0)),"Não classificada")</x:f>
        <x:v>Independente</x:v>
      </x:c>
      <x:c r="F502" s="168" t="str">
        <x:v>PLANNER CV</x:v>
      </x:c>
      <x:c r="G502" s="168" t="str">
        <x:v>PLANNER CORRETORA DE VALORES S.A.</x:v>
      </x:c>
      <x:c r="H502" s="168" t="str">
        <x:v>Fomento Mercantil</x:v>
      </x:c>
      <x:c r="I502" s="168" t="str">
        <x:v>Fomento Mercantil</x:v>
      </x:c>
      <x:c r="J502" s="168" t="str">
        <x:v>CI</x:v>
      </x:c>
      <x:c r="K502" s="174" t="n">
        <x:v>2</x:v>
      </x:c>
      <x:c r="L502" s="187" t="str">
        <x:v>Não classificado</x:v>
      </x:c>
    </x:row>
    <x:row r="503">
      <x:c r="A503" s="177" t="str">
        <x:v>60.696.539/0001-59</x:v>
      </x:c>
      <x:c r="B503" s="168" t="str">
        <x:v>GALAPAGOS SPECIAL OPPORTUNITIES INFRA FUNDO DE INVESTIMENTO EM DIREITOS CREDITÓRIOS RESP LIMITADA</x:v>
      </x:c>
      <x:c r="C503" s="190" t="n">
        <x:v>279648854.61</x:v>
      </x:c>
      <x:c r="D503" s="168" t="str">
        <x:v>Galápagos</x:v>
      </x:c>
      <x:c r="E503" s="168" t="str">
        <x:f>IFERROR(INDEX('Classif Gestoras'!$H$6:$H$462,MATCH(D503,'Classif Gestoras'!$A$6:$A$462,0)),"Não classificada")</x:f>
        <x:v>Independente</x:v>
      </x:c>
      <x:c r="F503" s="168" t="str">
        <x:v>VÓRTX DTVM</x:v>
      </x:c>
      <x:c r="G503" s="168" t="str">
        <x:v>VORTX DISTRIBUIDORA DE TITULOS E VALORES MOBILIARIOS LTDA.</x:v>
      </x:c>
      <x:c r="H503" s="168" t="str">
        <x:v>Outros</x:v>
      </x:c>
      <x:c r="I503" s="168" t="str">
        <x:v>Multicarteira Outros</x:v>
      </x:c>
      <x:c r="J503" s="168" t="str">
        <x:v>CI</x:v>
      </x:c>
      <x:c r="K503" s="174" t="n">
        <x:v>2371</x:v>
      </x:c>
      <x:c r="L503" s="187" t="str">
        <x:v>Proxy multicedente/multissacado — revisar</x:v>
      </x:c>
    </x:row>
    <x:row r="504">
      <x:c r="A504" s="177" t="str">
        <x:v>37.035.970/0001-32</x:v>
      </x:c>
      <x:c r="B504" s="168" t="str">
        <x:v>CD CASH FUNDO DE INVESTIMENTO EM DIREITOS CREDITÓRIOS RESPONSABILIDADE LIMITADA</x:v>
      </x:c>
      <x:c r="C504" s="190" t="n">
        <x:v>279622686.97999996</x:v>
      </x:c>
      <x:c r="D504" s="168" t="str">
        <x:v>ORRAM GESTÃO DE RECURSOS LTDA.</x:v>
      </x:c>
      <x:c r="E504" s="168" t="str">
        <x:f>IFERROR(INDEX('Classif Gestoras'!$H$6:$H$462,MATCH(D504,'Classif Gestoras'!$A$6:$A$462,0)),"Não classificada")</x:f>
        <x:v>Independente</x:v>
      </x:c>
      <x:c r="F504" s="168" t="str">
        <x:v>Singulare</x:v>
      </x:c>
      <x:c r="G504" s="168" t="str">
        <x:v>QI CORRETORA DE TÍTULOS E VALORES MOBILIÁRIOS S.A.</x:v>
      </x:c>
      <x:c r="H504" s="168" t="str">
        <x:v>Agro, Indústria e Comércio</x:v>
      </x:c>
      <x:c r="I504" s="168" t="str">
        <x:v>Multicarteira Agro, Indústria e Comércio</x:v>
      </x:c>
      <x:c r="J504" s="168" t="str">
        <x:v>CI</x:v>
      </x:c>
      <x:c r="K504" s="174" t="n">
        <x:v>41</x:v>
      </x:c>
      <x:c r="L504" s="187" t="str">
        <x:v>Proxy multicedente/multissacado — revisar</x:v>
      </x:c>
    </x:row>
    <x:row r="505">
      <x:c r="A505" s="177" t="str">
        <x:v>51.928.470/0001-50</x:v>
      </x:c>
      <x:c r="B505" s="168" t="str">
        <x:v>CASHME I FUNDO DE INVESTIMENTO EM DIREITOS CREDITÓRIOS DE RESPONSABILIDADE LIMITADA</x:v>
      </x:c>
      <x:c r="C505" s="190" t="n">
        <x:v>277862476.99</x:v>
      </x:c>
      <x:c r="D505" s="168" t="str">
        <x:v>M8 Partners</x:v>
      </x:c>
      <x:c r="E505" s="168" t="str">
        <x:f>IFERROR(INDEX('Classif Gestoras'!$H$6:$H$462,MATCH(D505,'Classif Gestoras'!$A$6:$A$462,0)),"Não classificada")</x:f>
        <x:v>Independente</x:v>
      </x:c>
      <x:c r="F505" s="168" t="str">
        <x:v>HEMERA DTVM</x:v>
      </x:c>
      <x:c r="G505" s="168" t="str">
        <x:v>HEMERA DISTRIBUIDORA DE TITULOS E VALORES MOBILIARIOS LTDA</x:v>
      </x:c>
      <x:c r="H505" s="168" t="str">
        <x:v>Outros</x:v>
      </x:c>
      <x:c r="I505" s="168" t="str">
        <x:v>Multicarteira Outros</x:v>
      </x:c>
      <x:c r="J505" s="168" t="str">
        <x:v>CI</x:v>
      </x:c>
      <x:c r="K505" s="174" t="n">
        <x:v>39</x:v>
      </x:c>
      <x:c r="L505" s="187" t="str">
        <x:v>Proxy multicedente/multissacado — revisar</x:v>
      </x:c>
    </x:row>
    <x:row r="506">
      <x:c r="A506" s="177" t="str">
        <x:v>47.085.633/0001-03</x:v>
      </x:c>
      <x:c r="B506" s="168" t="str">
        <x:v>FUNDO DE CRÉDITO E RECEBÍVEIS - FIDC RESPONSABILIDADE LIMITADA</x:v>
      </x:c>
      <x:c r="C506" s="190" t="n">
        <x:v>277471953.46</x:v>
      </x:c>
      <x:c r="D506" s="168" t="str">
        <x:v>JIVE INVESTMENTS</x:v>
      </x:c>
      <x:c r="E506" s="168" t="str">
        <x:f>IFERROR(INDEX('Classif Gestoras'!$H$6:$H$462,MATCH(D506,'Classif Gestoras'!$A$6:$A$462,0)),"Não classificada")</x:f>
        <x:v>Independente</x:v>
      </x:c>
      <x:c r="F506" s="168" t="str">
        <x:v>MAF Distribuidora de Títulos e Valores Mobiliários S.A.</x:v>
      </x:c>
      <x:c r="G506" s="168" t="str">
        <x:v>MAF DISTRIBUIDORA DE TITULOS E VALORES MOBILIARIOS S.A.</x:v>
      </x:c>
      <x:c r="H506" s="168" t="str">
        <x:v>Outros</x:v>
      </x:c>
      <x:c r="I506" s="168" t="str">
        <x:v>Multicarteira Outros</x:v>
      </x:c>
      <x:c r="J506" s="168" t="str">
        <x:v>CI</x:v>
      </x:c>
      <x:c r="K506" s="174" t="n">
        <x:v>6</x:v>
      </x:c>
      <x:c r="L506" s="187" t="str">
        <x:v>Proxy multicedente/multissacado — revisar</x:v>
      </x:c>
    </x:row>
    <x:row r="507">
      <x:c r="A507" s="177" t="str">
        <x:v>53.287.227/0001-26</x:v>
      </x:c>
      <x:c r="B507" s="168" t="str">
        <x:v>CNPJ 53287227000126</x:v>
      </x:c>
      <x:c r="C507" s="190" t="n">
        <x:v>276843039.77</x:v>
      </x:c>
      <x:c r="D507" s="168" t="str">
        <x:v>QLZ WM GESTAO DE PATRIMONIOS LTDA</x:v>
      </x:c>
      <x:c r="E507" s="168" t="str">
        <x:f>IFERROR(INDEX('Classif Gestoras'!$H$6:$H$462,MATCH(D507,'Classif Gestoras'!$A$6:$A$462,0)),"Não classificada")</x:f>
        <x:v>Independente</x:v>
      </x:c>
      <x:c r="F507" s="168" t="str">
        <x:v>BANCO J. SAFRA S/A</x:v>
      </x:c>
      <x:c r="G507" s="168" t="str">
        <x:v>Não identificado</x:v>
      </x:c>
      <x:c r="H507" s="168" t="str">
        <x:v>Outros</x:v>
      </x:c>
      <x:c r="I507" s="168" t="str">
        <x:v>Multicarteira Outros</x:v>
      </x:c>
      <x:c r="J507" s="168" t="str">
        <x:v>CI</x:v>
      </x:c>
      <x:c r="K507" s="174"/>
      <x:c r="L507" s="187" t="str">
        <x:v>Proxy multicedente/multissacado — revisar</x:v>
      </x:c>
    </x:row>
    <x:row r="508">
      <x:c r="A508" s="177" t="str">
        <x:v>49.571.859/0001-40</x:v>
      </x:c>
      <x:c r="B508" s="168" t="str">
        <x:v>SCORE MASTER I FUNDO DE INVESTIMENTO EM COTAS DE FUNDOS DE INVESTIMENTO EM DIREITOS CREDITÓRIOS</x:v>
      </x:c>
      <x:c r="C508" s="190" t="n">
        <x:v>276722710.08</x:v>
      </x:c>
      <x:c r="D508" s="168" t="str">
        <x:v>Score Capital</x:v>
      </x:c>
      <x:c r="E508" s="168" t="str">
        <x:f>IFERROR(INDEX('Classif Gestoras'!$H$6:$H$462,MATCH(D508,'Classif Gestoras'!$A$6:$A$462,0)),"Não classificada")</x:f>
        <x:v>Independente</x:v>
      </x:c>
      <x:c r="F508" s="168" t="str">
        <x:v>BTG Pactual Servicos Financeiros S/A DTVM</x:v>
      </x:c>
      <x:c r="G508" s="168" t="str">
        <x:v>BANCO BTG PACTUAL S/A</x:v>
      </x:c>
      <x:c r="H508" s="168" t="str">
        <x:v>Outros</x:v>
      </x:c>
      <x:c r="I508" s="168" t="str">
        <x:v>Multicarteira Outros</x:v>
      </x:c>
      <x:c r="J508" s="168" t="str">
        <x:v>CI</x:v>
      </x:c>
      <x:c r="K508" s="174" t="n">
        <x:v>60</x:v>
      </x:c>
      <x:c r="L508" s="187" t="str">
        <x:v>Proxy multicedente/multissacado — revisar</x:v>
      </x:c>
    </x:row>
    <x:row r="509">
      <x:c r="A509" s="177" t="str">
        <x:v>46.449.843/0001-70</x:v>
      </x:c>
      <x:c r="B509" s="168" t="str">
        <x:v>SPS ALGARVE DELTA CRÉDITOS JUDICIAIS FIDC DE RESPONSABILIDADE LIMITADA</x:v>
      </x:c>
      <x:c r="C509" s="190" t="n">
        <x:v>276339451.44</x:v>
      </x:c>
      <x:c r="D509" s="168" t="str">
        <x:v>Vinci SPS Gestão de Recursos Ltda.</x:v>
      </x:c>
      <x:c r="E509" s="168" t="str">
        <x:f>IFERROR(INDEX('Classif Gestoras'!$H$6:$H$462,MATCH(D509,'Classif Gestoras'!$A$6:$A$462,0)),"Não classificada")</x:f>
        <x:v>Independente</x:v>
      </x:c>
      <x:c r="F509" s="168" t="str">
        <x:v>BANCO DAYCOVAL S/A</x:v>
      </x:c>
      <x:c r="G509" s="168" t="str">
        <x:v>BANCO DAYCOVAL S.A.</x:v>
      </x:c>
      <x:c r="H509" s="168" t="str">
        <x:v>Outros</x:v>
      </x:c>
      <x:c r="I509" s="168" t="str">
        <x:v>Multicarteira Outros</x:v>
      </x:c>
      <x:c r="J509" s="168" t="str">
        <x:v>CI</x:v>
      </x:c>
      <x:c r="K509" s="174" t="n">
        <x:v>6</x:v>
      </x:c>
      <x:c r="L509" s="187" t="str">
        <x:v>Proxy multicedente/multissacado — revisar</x:v>
      </x:c>
    </x:row>
    <x:row r="510">
      <x:c r="A510" s="177" t="str">
        <x:v>26.607.511/0001-60</x:v>
      </x:c>
      <x:c r="B510" s="168" t="str">
        <x:v>CNPJ 26607511000160</x:v>
      </x:c>
      <x:c r="C510" s="190" t="n">
        <x:v>275850883.6</x:v>
      </x:c>
      <x:c r="D510" s="168" t="str">
        <x:v>Emerald Gestão de Investimento</x:v>
      </x:c>
      <x:c r="E510" s="168" t="str">
        <x:f>IFERROR(INDEX('Classif Gestoras'!$H$6:$H$462,MATCH(D510,'Classif Gestoras'!$A$6:$A$462,0)),"Não classificada")</x:f>
        <x:v>Independente</x:v>
      </x:c>
      <x:c r="F510" s="168" t="str">
        <x:v>BANCO J. SAFRA S/A</x:v>
      </x:c>
      <x:c r="G510" s="168" t="str">
        <x:v>Não identificado</x:v>
      </x:c>
      <x:c r="H510" s="168" t="str">
        <x:v>Outros</x:v>
      </x:c>
      <x:c r="I510" s="168" t="str">
        <x:v>Multicarteira Outros</x:v>
      </x:c>
      <x:c r="J510" s="168" t="str">
        <x:v>CI</x:v>
      </x:c>
      <x:c r="K510" s="174"/>
      <x:c r="L510" s="187" t="str">
        <x:v>Proxy multicedente/multissacado — revisar</x:v>
      </x:c>
    </x:row>
    <x:row r="511">
      <x:c r="A511" s="177" t="str">
        <x:v>22.945.783/0001-19</x:v>
      </x:c>
      <x:c r="B511" s="168" t="str">
        <x:v>LEVE FUNDO DE INVESTIMENTO EM DIREITOS CREDITÓRIOS - RESPONSABILIDADE LIMITADA</x:v>
      </x:c>
      <x:c r="C511" s="190" t="n">
        <x:v>275751255.36999995</x:v>
      </x:c>
      <x:c r="D511" s="168" t="str">
        <x:v>ARTESANAL MCMS</x:v>
      </x:c>
      <x:c r="E511" s="168" t="str">
        <x:f>IFERROR(INDEX('Classif Gestoras'!$H$6:$H$462,MATCH(D511,'Classif Gestoras'!$A$6:$A$462,0)),"Não classificada")</x:f>
        <x:v>Independente</x:v>
      </x:c>
      <x:c r="F511" s="168" t="str">
        <x:v>Singulare</x:v>
      </x:c>
      <x:c r="G511" s="168" t="str">
        <x:v>QI CORRETORA DE TÍTULOS E VALORES MOBILIÁRIOS S.A.</x:v>
      </x:c>
      <x:c r="H511" s="168" t="str">
        <x:v>Fomento Mercantil</x:v>
      </x:c>
      <x:c r="I511" s="168" t="str">
        <x:v>Fomento Mercantil</x:v>
      </x:c>
      <x:c r="J511" s="168" t="str">
        <x:v>CI</x:v>
      </x:c>
      <x:c r="K511" s="174" t="n">
        <x:v>39</x:v>
      </x:c>
      <x:c r="L511" s="187" t="str">
        <x:v>Não classificado</x:v>
      </x:c>
    </x:row>
    <x:row r="512">
      <x:c r="A512" s="177" t="str">
        <x:v>60.412.619/0001-35</x:v>
      </x:c>
      <x:c r="B512" s="168" t="str">
        <x:v>PS PLGN FUNDO DE INVESTIMENTO EM DIREITOS CREDITÓRIOS</x:v>
      </x:c>
      <x:c r="C512" s="190" t="n">
        <x:v>275584054</x:v>
      </x:c>
      <x:c r="D512" s="168" t="str">
        <x:v>POLÍGONO CAPITAL LTDA.</x:v>
      </x:c>
      <x:c r="E512" s="168" t="str">
        <x:f>IFERROR(INDEX('Classif Gestoras'!$H$6:$H$462,MATCH(D512,'Classif Gestoras'!$A$6:$A$462,0)),"Não classificada")</x:f>
        <x:v>Independente</x:v>
      </x:c>
      <x:c r="F512" s="168" t="str">
        <x:v>BTG Pactual Servicos Financeiros S/A DTVM</x:v>
      </x:c>
      <x:c r="G512" s="168" t="str">
        <x:v>BANCO BTG PACTUAL S/A</x:v>
      </x:c>
      <x:c r="H512" s="168" t="str">
        <x:v>Outros</x:v>
      </x:c>
      <x:c r="I512" s="168" t="str">
        <x:v>Multicarteira Outros</x:v>
      </x:c>
      <x:c r="J512" s="168" t="str">
        <x:v>CI</x:v>
      </x:c>
      <x:c r="K512" s="174" t="n">
        <x:v>1</x:v>
      </x:c>
      <x:c r="L512" s="187" t="str">
        <x:v>Proxy multicedente/multissacado — revisar</x:v>
      </x:c>
    </x:row>
    <x:row r="513">
      <x:c r="A513" s="177" t="str">
        <x:v>61.631.615/0001-00</x:v>
      </x:c>
      <x:c r="B513" s="168" t="str">
        <x:v>ITAÚ SONETO IP CRÉDITO PRIVADO FUNDO DE INVESTIMENTO EM DIREITOS CREDITÓRIOS RESPONSABILIDADE LIMITA</x:v>
      </x:c>
      <x:c r="C513" s="190" t="n">
        <x:v>275430994.93000007</x:v>
      </x:c>
      <x:c r="D513" s="168" t="str">
        <x:v>ITAU ASSET</x:v>
      </x:c>
      <x:c r="E513" s="168" t="str">
        <x:f>IFERROR(INDEX('Classif Gestoras'!$H$6:$H$462,MATCH(D513,'Classif Gestoras'!$A$6:$A$462,0)),"Não classificada")</x:f>
        <x:v>Ligada a banco</x:v>
      </x:c>
      <x:c r="F513" s="168" t="str">
        <x:v>INTRAG DIST. DE TÍTU</x:v>
      </x:c>
      <x:c r="G513" s="168" t="str">
        <x:v>ITAU UNIBANCO S.A.</x:v>
      </x:c>
      <x:c r="H513" s="168" t="str">
        <x:v>Outros</x:v>
      </x:c>
      <x:c r="I513" s="168" t="str">
        <x:v>Multicarteira Outros</x:v>
      </x:c>
      <x:c r="J513" s="168" t="str">
        <x:v>CI</x:v>
      </x:c>
      <x:c r="K513" s="174" t="n">
        <x:v>270</x:v>
      </x:c>
      <x:c r="L513" s="187" t="str">
        <x:v>Proxy multicedente/multissacado — revisar</x:v>
      </x:c>
    </x:row>
    <x:row r="514">
      <x:c r="A514" s="177" t="str">
        <x:v>63.168.433/0001-70</x:v>
      </x:c>
      <x:c r="B514" s="168" t="str">
        <x:v>LARCA AURORA FUNDO DE INVESTIMENTO EM DIREITOS CREDITÓRIOS CONSIGNADO DE RESPONSABILIDADE LIMITADA</x:v>
      </x:c>
      <x:c r="C514" s="190" t="n">
        <x:v>275326302.47</x:v>
      </x:c>
      <x:c r="D514" s="168" t="str">
        <x:v>VERT Gestora de Recursos Financeiros Ltda.</x:v>
      </x:c>
      <x:c r="E514" s="168" t="str">
        <x:f>IFERROR(INDEX('Classif Gestoras'!$H$6:$H$462,MATCH(D514,'Classif Gestoras'!$A$6:$A$462,0)),"Não classificada")</x:f>
        <x:v>Independente</x:v>
      </x:c>
      <x:c r="F514" s="168" t="str">
        <x:v>VERT Distribuidora de Títulos e Valores Mobiliários Ltd</x:v>
      </x:c>
      <x:c r="G514" s="168" t="str">
        <x:v>VERT DISTRIBUIDORA DE TÍTULOS E VALORES MOBILIÁRIOS LTDA.</x:v>
      </x:c>
      <x:c r="H514" s="168" t="str">
        <x:v>Financeiro</x:v>
      </x:c>
      <x:c r="I514" s="168" t="str">
        <x:v>Crédito Consignado</x:v>
      </x:c>
      <x:c r="J514" s="168" t="str">
        <x:v>CI</x:v>
      </x:c>
      <x:c r="K514" s="174" t="n">
        <x:v>13</x:v>
      </x:c>
      <x:c r="L514" s="187" t="str">
        <x:v>Não classificado</x:v>
      </x:c>
    </x:row>
    <x:row r="515">
      <x:c r="A515" s="177" t="str">
        <x:v>54.782.494/0001-32</x:v>
      </x:c>
      <x:c r="B515" s="168" t="str">
        <x:v>HALFDOME FUNDO DE INVESTIMENTO EM DIREITOS CREDITÓRIOS</x:v>
      </x:c>
      <x:c r="C515" s="190" t="n">
        <x:v>274916342.98</x:v>
      </x:c>
      <x:c r="D515" s="168" t="str">
        <x:v>Redwood Asset Management</x:v>
      </x:c>
      <x:c r="E515" s="168" t="str">
        <x:f>IFERROR(INDEX('Classif Gestoras'!$H$6:$H$462,MATCH(D515,'Classif Gestoras'!$A$6:$A$462,0)),"Não classificada")</x:f>
        <x:v>Independente</x:v>
      </x:c>
      <x:c r="F515" s="168" t="str">
        <x:v>PLANNER CV</x:v>
      </x:c>
      <x:c r="G515" s="168" t="str">
        <x:v>PLANNER CORRETORA DE VALORES S.A.</x:v>
      </x:c>
      <x:c r="H515" s="168" t="str">
        <x:v>Outros</x:v>
      </x:c>
      <x:c r="I515" s="168" t="str">
        <x:v>Multicarteira Outros</x:v>
      </x:c>
      <x:c r="J515" s="168" t="str">
        <x:v>CI</x:v>
      </x:c>
      <x:c r="K515" s="174" t="n">
        <x:v>7</x:v>
      </x:c>
      <x:c r="L515" s="187" t="str">
        <x:v>Proxy multicedente/multissacado — revisar</x:v>
      </x:c>
    </x:row>
    <x:row r="516">
      <x:c r="A516" s="177" t="str">
        <x:v>24.796.631/0001-27</x:v>
      </x:c>
      <x:c r="B516" s="168" t="str">
        <x:v>EVOLVE FUNDO DE INVESTIMENTO EM DIREITOS CREDITÓRIOS MULTISSETORIAL LP</x:v>
      </x:c>
      <x:c r="C516" s="190" t="n">
        <x:v>273784429.61</x:v>
      </x:c>
      <x:c r="D516" s="168" t="str">
        <x:v>Multiplica Capital</x:v>
      </x:c>
      <x:c r="E516" s="168" t="str">
        <x:f>IFERROR(INDEX('Classif Gestoras'!$H$6:$H$462,MATCH(D516,'Classif Gestoras'!$A$6:$A$462,0)),"Não classificada")</x:f>
        <x:v>Independente</x:v>
      </x:c>
      <x:c r="F516" s="168" t="str">
        <x:v>Singulare</x:v>
      </x:c>
      <x:c r="G516" s="168" t="str">
        <x:v>QI CORRETORA DE TÍTULOS E VALORES MOBILIÁRIOS S.A.</x:v>
      </x:c>
      <x:c r="H516" s="168" t="str">
        <x:v>Fomento Mercantil</x:v>
      </x:c>
      <x:c r="I516" s="168" t="str">
        <x:v>Fomento Mercantil</x:v>
      </x:c>
      <x:c r="J516" s="168" t="str">
        <x:v>CI</x:v>
      </x:c>
      <x:c r="K516" s="174" t="n">
        <x:v>68</x:v>
      </x:c>
      <x:c r="L516" s="187" t="str">
        <x:v>Não classificado</x:v>
      </x:c>
    </x:row>
    <x:row r="517">
      <x:c r="A517" s="177" t="str">
        <x:v>60.940.790/0001-17</x:v>
      </x:c>
      <x:c r="B517" s="168" t="str">
        <x:v>RIACHUELO MIDWAY EP FUNDO DE INVESTIMENTO EM DIREITOS CREDITÓRIOS CRÉDITO PESSOAL - RESP LIMITADA</x:v>
      </x:c>
      <x:c r="C517" s="190" t="n">
        <x:v>273713484.78999996</x:v>
      </x:c>
      <x:c r="D517" s="168" t="str">
        <x:v>GENIAL GESTÃO LTDA.</x:v>
      </x:c>
      <x:c r="E517" s="168" t="str">
        <x:f>IFERROR(INDEX('Classif Gestoras'!$H$6:$H$462,MATCH(D517,'Classif Gestoras'!$A$6:$A$462,0)),"Não classificada")</x:f>
        <x:v>Ligada a banco</x:v>
      </x:c>
      <x:c r="F517" s="168" t="str">
        <x:v>Genial Investimentos Corretora de Valores Mobiliários S.A.</x:v>
      </x:c>
      <x:c r="G517" s="168" t="str">
        <x:v>BANCO GENIAL S.A.</x:v>
      </x:c>
      <x:c r="H517" s="168" t="str">
        <x:v>Financeiro</x:v>
      </x:c>
      <x:c r="I517" s="168" t="str">
        <x:v>Crédito Pessoal</x:v>
      </x:c>
      <x:c r="J517" s="168" t="str">
        <x:v>CI</x:v>
      </x:c>
      <x:c r="K517" s="174" t="n">
        <x:v>1</x:v>
      </x:c>
      <x:c r="L517" s="187" t="str">
        <x:v>Não classificado</x:v>
      </x:c>
    </x:row>
    <x:row r="518">
      <x:c r="A518" s="177" t="str">
        <x:v>26.208.281/0001-66</x:v>
      </x:c>
      <x:c r="B518" s="168" t="str">
        <x:v>JC CACAU FUNDO DE INVESTIMENTO EM DIREITOS CREDITÓRIOS NÃO PADRONIZADOS - FIDC-NP</x:v>
      </x:c>
      <x:c r="C518" s="190" t="n">
        <x:v>272668500.93</x:v>
      </x:c>
      <x:c r="D518" s="168" t="str">
        <x:v>Jus Capital Gestão de Recursos LTDA</x:v>
      </x:c>
      <x:c r="E518" s="168" t="str">
        <x:f>IFERROR(INDEX('Classif Gestoras'!$H$6:$H$462,MATCH(D518,'Classif Gestoras'!$A$6:$A$462,0)),"Não classificada")</x:f>
        <x:v>Independente</x:v>
      </x:c>
      <x:c r="F518" s="168" t="str">
        <x:v>Singulare</x:v>
      </x:c>
      <x:c r="G518" s="168" t="str">
        <x:v>QI CORRETORA DE TÍTULOS E VALORES MOBILIÁRIOS S.A.</x:v>
      </x:c>
      <x:c r="H518" s="168" t="str">
        <x:v>Outros</x:v>
      </x:c>
      <x:c r="I518" s="168" t="str">
        <x:v>Poder Público</x:v>
      </x:c>
      <x:c r="J518" s="168" t="str">
        <x:v>CI</x:v>
      </x:c>
      <x:c r="K518" s="174" t="n">
        <x:v>4</x:v>
      </x:c>
      <x:c r="L518" s="187" t="str">
        <x:v>Não classificado</x:v>
      </x:c>
    </x:row>
    <x:row r="519">
      <x:c r="A519" s="177" t="str">
        <x:v>53.662.209/0001-87</x:v>
      </x:c>
      <x:c r="B519" s="168" t="str">
        <x:v>PNEUCASH FUNDO DE INVESTIMENTO EM DIREITOS CREDITÓRIOS DE CLASSE ÚNICA FECHADA - RESP LTDA</x:v>
      </x:c>
      <x:c r="C519" s="190" t="n">
        <x:v>272090505.43</x:v>
      </x:c>
      <x:c r="D519" s="168" t="str">
        <x:v>ANGÁ ASSET MANAGEMENT</x:v>
      </x:c>
      <x:c r="E519" s="168" t="str">
        <x:f>IFERROR(INDEX('Classif Gestoras'!$H$6:$H$462,MATCH(D519,'Classif Gestoras'!$A$6:$A$462,0)),"Não classificada")</x:f>
        <x:v>Independente</x:v>
      </x:c>
      <x:c r="F519" s="168" t="str">
        <x:v>Oliveira Trust DTVM</x:v>
      </x:c>
      <x:c r="G519" s="168" t="str">
        <x:v>OLIVEIRA TRUST DTVM S.A.</x:v>
      </x:c>
      <x:c r="H519" s="168" t="str">
        <x:v>Fomento Mercantil</x:v>
      </x:c>
      <x:c r="I519" s="168" t="str">
        <x:v>Fomento Mercantil</x:v>
      </x:c>
      <x:c r="J519" s="168" t="str">
        <x:v>CI</x:v>
      </x:c>
      <x:c r="K519" s="174" t="n">
        <x:v>7</x:v>
      </x:c>
      <x:c r="L519" s="187" t="str">
        <x:v>Não classificado</x:v>
      </x:c>
    </x:row>
    <x:row r="520">
      <x:c r="A520" s="177" t="str">
        <x:v>57.088.975/0001-30</x:v>
      </x:c>
      <x:c r="B520" s="168" t="str">
        <x:v>MONTE SIÃO FUNDO DE INVESTIMENTO EM DIREITOS CREDITÓRIOS</x:v>
      </x:c>
      <x:c r="C520" s="190" t="n">
        <x:v>271660220.71999997</x:v>
      </x:c>
      <x:c r="D520" s="168" t="str">
        <x:v>ORRAM GESTÃO DE RECURSOS LTDA.</x:v>
      </x:c>
      <x:c r="E520" s="168" t="str">
        <x:f>IFERROR(INDEX('Classif Gestoras'!$H$6:$H$462,MATCH(D520,'Classif Gestoras'!$A$6:$A$462,0)),"Não classificada")</x:f>
        <x:v>Independente</x:v>
      </x:c>
      <x:c r="F520" s="168" t="str">
        <x:v>Singulare</x:v>
      </x:c>
      <x:c r="G520" s="168" t="str">
        <x:v>QI CORRETORA DE TÍTULOS E VALORES MOBILIÁRIOS S.A.</x:v>
      </x:c>
      <x:c r="H520" s="168" t="str">
        <x:v>Fomento Mercantil</x:v>
      </x:c>
      <x:c r="I520" s="168" t="str">
        <x:v>Fomento Mercantil</x:v>
      </x:c>
      <x:c r="J520" s="168" t="str">
        <x:v>CI</x:v>
      </x:c>
      <x:c r="K520" s="174" t="n">
        <x:v>72</x:v>
      </x:c>
      <x:c r="L520" s="187" t="str">
        <x:v>Não classificado</x:v>
      </x:c>
    </x:row>
    <x:row r="521">
      <x:c r="A521" s="177" t="str">
        <x:v>53.147.925/0001-26</x:v>
      </x:c>
      <x:c r="B521" s="168" t="str">
        <x:v>ROKA FUNDO DE INVESTIMENTO EM DIREITOS CREDITÓRIOS - RESPONSABILIDADE LIMITADA</x:v>
      </x:c>
      <x:c r="C521" s="190" t="n">
        <x:v>271193859.3682</x:v>
      </x:c>
      <x:c r="D521" s="168" t="str">
        <x:v>BTG PACTUAL GESTAO E CONSULTORIA DE INVESTIMENTOS</x:v>
      </x:c>
      <x:c r="E521" s="168" t="str">
        <x:f>IFERROR(INDEX('Classif Gestoras'!$H$6:$H$462,MATCH(D521,'Classif Gestoras'!$A$6:$A$462,0)),"Não classificada")</x:f>
        <x:v>Ligada a banco</x:v>
      </x:c>
      <x:c r="F521" s="168" t="str">
        <x:v>BTG Pactual Servicos Financeiros S/A DTVM</x:v>
      </x:c>
      <x:c r="G521" s="168" t="str">
        <x:v>BANCO BTG PACTUAL S/A</x:v>
      </x:c>
      <x:c r="H521" s="168" t="str">
        <x:v>Outros</x:v>
      </x:c>
      <x:c r="I521" s="168" t="str">
        <x:v>Multicarteira Outros</x:v>
      </x:c>
      <x:c r="J521" s="168" t="str">
        <x:v>CI</x:v>
      </x:c>
      <x:c r="K521" s="174" t="n">
        <x:v>1</x:v>
      </x:c>
      <x:c r="L521" s="187" t="str">
        <x:v>Proxy multicedente/multissacado — revisar</x:v>
      </x:c>
    </x:row>
    <x:row r="522">
      <x:c r="A522" s="177" t="str">
        <x:v>49.628.680/0001-81</x:v>
      </x:c>
      <x:c r="B522" s="168" t="str">
        <x:v>RD FUNDO DE INVESTIMENTO EM DIREITOS CREDITÓRIOS COMERCIAIS CRÉDITO CORPORATIVO DE RESPONSA LIMITADA</x:v>
      </x:c>
      <x:c r="C522" s="190" t="n">
        <x:v>269637084.62</x:v>
      </x:c>
      <x:c r="D522" s="168" t="str">
        <x:v>Integral Investimentos</x:v>
      </x:c>
      <x:c r="E522" s="168" t="str">
        <x:f>IFERROR(INDEX('Classif Gestoras'!$H$6:$H$462,MATCH(D522,'Classif Gestoras'!$A$6:$A$462,0)),"Não classificada")</x:f>
        <x:v>Independente</x:v>
      </x:c>
      <x:c r="F522" s="168" t="str">
        <x:v>Oliveira Trust DTVM</x:v>
      </x:c>
      <x:c r="G522" s="168" t="str">
        <x:v>OLIVEIRA TRUST DTVM S.A.</x:v>
      </x:c>
      <x:c r="H522" s="168" t="str">
        <x:v>Agro, Indústria e Comércio</x:v>
      </x:c>
      <x:c r="I522" s="168" t="str">
        <x:v>Crédito Corporativo</x:v>
      </x:c>
      <x:c r="J522" s="168" t="str">
        <x:v>CI</x:v>
      </x:c>
      <x:c r="K522" s="174" t="n">
        <x:v>41</x:v>
      </x:c>
      <x:c r="L522" s="187" t="str">
        <x:v>Não classificado</x:v>
      </x:c>
    </x:row>
    <x:row r="523">
      <x:c r="A523" s="177" t="str">
        <x:v>47.117.773/0001-16</x:v>
      </x:c>
      <x:c r="B523" s="168" t="str">
        <x:v>SOLIS CONSIGNADO FEDERAL FUNDO DE INVESTIMENTO EM DIREITOS CREDITÓRIOS - RESP LIMITADA</x:v>
      </x:c>
      <x:c r="C523" s="190" t="n">
        <x:v>267448360.80999997</x:v>
      </x:c>
      <x:c r="D523" s="168" t="str">
        <x:v>Solis</x:v>
      </x:c>
      <x:c r="E523" s="168" t="str">
        <x:f>IFERROR(INDEX('Classif Gestoras'!$H$6:$H$462,MATCH(D523,'Classif Gestoras'!$A$6:$A$462,0)),"Não classificada")</x:f>
        <x:v>Independente</x:v>
      </x:c>
      <x:c r="F523" s="168" t="str">
        <x:v>HEMERA DTVM</x:v>
      </x:c>
      <x:c r="G523" s="168" t="str">
        <x:v>HEMERA DISTRIBUIDORA DE TITULOS E VALORES MOBILIARIOS LTDA</x:v>
      </x:c>
      <x:c r="H523" s="168" t="str">
        <x:v>Financeiro</x:v>
      </x:c>
      <x:c r="I523" s="168" t="str">
        <x:v>Crédito Consignado</x:v>
      </x:c>
      <x:c r="J523" s="168" t="str">
        <x:v>CI</x:v>
      </x:c>
      <x:c r="K523" s="174" t="n">
        <x:v>92</x:v>
      </x:c>
      <x:c r="L523" s="187" t="str">
        <x:v>Não classificado</x:v>
      </x:c>
    </x:row>
    <x:row r="524">
      <x:c r="A524" s="177" t="str">
        <x:v>55.565.510/0001-06</x:v>
      </x:c>
      <x:c r="B524" s="168" t="str">
        <x:v>FUNDO DE INVESTIMENTO EM DIREITOS CREDITÓRIOS TM4</x:v>
      </x:c>
      <x:c r="C524" s="190" t="n">
        <x:v>267399294.83</x:v>
      </x:c>
      <x:c r="D524" s="168" t="str">
        <x:v>OPEA GESTORA DE RECURSOS</x:v>
      </x:c>
      <x:c r="E524" s="168" t="str">
        <x:f>IFERROR(INDEX('Classif Gestoras'!$H$6:$H$462,MATCH(D524,'Classif Gestoras'!$A$6:$A$462,0)),"Não classificada")</x:f>
        <x:v>Independente</x:v>
      </x:c>
      <x:c r="F524" s="168" t="str">
        <x:v>VÓRTX DTVM</x:v>
      </x:c>
      <x:c r="G524" s="168" t="str">
        <x:v>VORTX DISTRIBUIDORA DE TITULOS E VALORES MOBILIARIOS LTDA.</x:v>
      </x:c>
      <x:c r="H524" s="168" t="str">
        <x:v>Financeiro</x:v>
      </x:c>
      <x:c r="I524" s="168" t="str">
        <x:v>Crédito Pessoal</x:v>
      </x:c>
      <x:c r="J524" s="168" t="str">
        <x:v>CI</x:v>
      </x:c>
      <x:c r="K524" s="174" t="n">
        <x:v>21</x:v>
      </x:c>
      <x:c r="L524" s="187" t="str">
        <x:v>Não classificado</x:v>
      </x:c>
    </x:row>
    <x:row r="525">
      <x:c r="A525" s="177" t="str">
        <x:v>26.648.752/0001-57</x:v>
      </x:c>
      <x:c r="B525" s="168" t="str">
        <x:v>VALECRED DISTRESSED &amp; SPECIAL SITS FUNDO DE INVESTIMENTO EM DIREITOS CREDITÓRIOS NÃO PADRONIZADOS</x:v>
      </x:c>
      <x:c r="C525" s="190" t="n">
        <x:v>266931334.62000003</x:v>
      </x:c>
      <x:c r="D525" s="168" t="str">
        <x:v>TERCON ASSET MANAGEMENT</x:v>
      </x:c>
      <x:c r="E525" s="168" t="str">
        <x:f>IFERROR(INDEX('Classif Gestoras'!$H$6:$H$462,MATCH(D525,'Classif Gestoras'!$A$6:$A$462,0)),"Não classificada")</x:f>
        <x:v>Independente</x:v>
      </x:c>
      <x:c r="F525" s="168" t="str">
        <x:v>Singulare</x:v>
      </x:c>
      <x:c r="G525" s="168" t="str">
        <x:v>QI CORRETORA DE TÍTULOS E VALORES MOBILIÁRIOS S.A.</x:v>
      </x:c>
      <x:c r="H525" s="168" t="str">
        <x:v>Fomento Mercantil</x:v>
      </x:c>
      <x:c r="I525" s="168" t="str">
        <x:v>Fomento Mercantil</x:v>
      </x:c>
      <x:c r="J525" s="168" t="str">
        <x:v>CI</x:v>
      </x:c>
      <x:c r="K525" s="174" t="n">
        <x:v>2</x:v>
      </x:c>
      <x:c r="L525" s="187" t="str">
        <x:v>Não classificado</x:v>
      </x:c>
    </x:row>
    <x:row r="526">
      <x:c r="A526" s="177" t="str">
        <x:v>62.190.416/0001-77</x:v>
      </x:c>
      <x:c r="B526" s="168" t="str">
        <x:v>BIAGRO FUNDO DE INVESTIMENTO EM DIREITOS CREDITÓRIOS</x:v>
      </x:c>
      <x:c r="C526" s="190" t="n">
        <x:v>266641944.8</x:v>
      </x:c>
      <x:c r="D526" s="168" t="str">
        <x:v>ICON CAPITAL</x:v>
      </x:c>
      <x:c r="E526" s="168" t="str">
        <x:f>IFERROR(INDEX('Classif Gestoras'!$H$6:$H$462,MATCH(D526,'Classif Gestoras'!$A$6:$A$462,0)),"Não classificada")</x:f>
        <x:v>Independente</x:v>
      </x:c>
      <x:c r="F526" s="168" t="str">
        <x:v>FIDD DISTRIBUIDORA DE TITULOS E VALORES MOBILIARIOS LTD</x:v>
      </x:c>
      <x:c r="G526" s="168" t="str">
        <x:v>FIDD DISTRIBUIDORA DE TITULOS E VALORES MOBILIARIOS LTDA.</x:v>
      </x:c>
      <x:c r="H526" s="168" t="str">
        <x:v>Agro, Indústria e Comércio</x:v>
      </x:c>
      <x:c r="I526" s="168" t="str">
        <x:v>Multicarteira Agro, Indústria e Comércio</x:v>
      </x:c>
      <x:c r="J526" s="168" t="str">
        <x:v>CI</x:v>
      </x:c>
      <x:c r="K526" s="174" t="n">
        <x:v>1</x:v>
      </x:c>
      <x:c r="L526" s="187" t="str">
        <x:v>Proxy multicedente/multissacado — revisar</x:v>
      </x:c>
    </x:row>
    <x:row r="527">
      <x:c r="A527" s="177" t="str">
        <x:v>61.995.584/0001-77</x:v>
      </x:c>
      <x:c r="B527" s="168" t="str">
        <x:v>CAPITAL SOLUTIONS FUNDO DE INVESTIMENTO EM DIREITOS CREDITÓRIOS - RESPONSABILIDADE LIMITADA</x:v>
      </x:c>
      <x:c r="C527" s="190" t="n">
        <x:v>265829325.32</x:v>
      </x:c>
      <x:c r="D527" s="168" t="str">
        <x:v>EB CAPITAL CRÉDITO AGRO LTDA.</x:v>
      </x:c>
      <x:c r="E527" s="168" t="str">
        <x:f>IFERROR(INDEX('Classif Gestoras'!$H$6:$H$462,MATCH(D527,'Classif Gestoras'!$A$6:$A$462,0)),"Não classificada")</x:f>
        <x:v>Independente</x:v>
      </x:c>
      <x:c r="F527" s="168" t="str">
        <x:v>Singulare</x:v>
      </x:c>
      <x:c r="G527" s="168" t="str">
        <x:v>QI CORRETORA DE TÍTULOS E VALORES MOBILIÁRIOS S.A.</x:v>
      </x:c>
      <x:c r="H527" s="168" t="str">
        <x:v>Outros</x:v>
      </x:c>
      <x:c r="I527" s="168" t="str">
        <x:v>Multicarteira Outros</x:v>
      </x:c>
      <x:c r="J527" s="168" t="str">
        <x:v>CI</x:v>
      </x:c>
      <x:c r="K527" s="174" t="n">
        <x:v>4</x:v>
      </x:c>
      <x:c r="L527" s="187" t="str">
        <x:v>Proxy multicedente/multissacado — revisar</x:v>
      </x:c>
    </x:row>
    <x:row r="528">
      <x:c r="A528" s="177" t="str">
        <x:v>52.115.758/0001-79</x:v>
      </x:c>
      <x:c r="B528" s="168" t="str">
        <x:v>PRECATO IV FUNDO DE INVESTIMENTO EM DIREITOS CREDITÓRIOS DE RESPONSABILIDADE LIMITADA</x:v>
      </x:c>
      <x:c r="C528" s="190" t="n">
        <x:v>265761636.83</x:v>
      </x:c>
      <x:c r="D528" s="168" t="str">
        <x:v>TAG Investimentos</x:v>
      </x:c>
      <x:c r="E528" s="168" t="str">
        <x:f>IFERROR(INDEX('Classif Gestoras'!$H$6:$H$462,MATCH(D528,'Classif Gestoras'!$A$6:$A$462,0)),"Não classificada")</x:f>
        <x:v>Independente</x:v>
      </x:c>
      <x:c r="F528" s="168" t="str">
        <x:v>ID Corretora de Títulos e Valores Mobiliários S.A.</x:v>
      </x:c>
      <x:c r="G528" s="168" t="str">
        <x:v>ID CORRETORA DE TITULOS E VALORES MOBILIARIOS S.A.</x:v>
      </x:c>
      <x:c r="H528" s="168" t="str">
        <x:v>Financeiro</x:v>
      </x:c>
      <x:c r="I528" s="168" t="str">
        <x:v>Multicarteira Financeiro</x:v>
      </x:c>
      <x:c r="J528" s="168" t="str">
        <x:v>CI</x:v>
      </x:c>
      <x:c r="K528" s="174" t="n">
        <x:v>1</x:v>
      </x:c>
      <x:c r="L528" s="187" t="str">
        <x:v>Proxy multicedente/multissacado — revisar</x:v>
      </x:c>
    </x:row>
    <x:row r="529">
      <x:c r="A529" s="177" t="str">
        <x:v>19.425.700/0001-56</x:v>
      </x:c>
      <x:c r="B529" s="168" t="str">
        <x:v>RDF FUNDO DE INVESTIMENTO EM DIREITOS CREDITÓRIOS DE RESPONSABILIDADE LIMITADA</x:v>
      </x:c>
      <x:c r="C529" s="190" t="n">
        <x:v>265574207.04</x:v>
      </x:c>
      <x:c r="D529" s="168" t="str">
        <x:v>TERCON ASSET MANAGEMENT</x:v>
      </x:c>
      <x:c r="E529" s="168" t="str">
        <x:f>IFERROR(INDEX('Classif Gestoras'!$H$6:$H$462,MATCH(D529,'Classif Gestoras'!$A$6:$A$462,0)),"Não classificada")</x:f>
        <x:v>Independente</x:v>
      </x:c>
      <x:c r="F529" s="168" t="str">
        <x:v>Singulare</x:v>
      </x:c>
      <x:c r="G529" s="168" t="str">
        <x:v>QI CORRETORA DE TÍTULOS E VALORES MOBILIÁRIOS S.A.</x:v>
      </x:c>
      <x:c r="H529" s="168" t="str">
        <x:v>Fomento Mercantil</x:v>
      </x:c>
      <x:c r="I529" s="168" t="str">
        <x:v>Fomento Mercantil</x:v>
      </x:c>
      <x:c r="J529" s="168" t="str">
        <x:v>CI</x:v>
      </x:c>
      <x:c r="K529" s="174" t="n">
        <x:v>73</x:v>
      </x:c>
      <x:c r="L529" s="187" t="str">
        <x:v>Não classificado</x:v>
      </x:c>
    </x:row>
    <x:row r="530">
      <x:c r="A530" s="177" t="str">
        <x:v>30.366.120/0001-78</x:v>
      </x:c>
      <x:c r="B530" s="168" t="str">
        <x:v>FUNDO DE INVESTIMENTO EM DIREITOS CREDITÓRIOS VCK CONSIGNADOS - RESPONSABILIDADE LIMITADA</x:v>
      </x:c>
      <x:c r="C530" s="190" t="n">
        <x:v>265210221.61999995</x:v>
      </x:c>
      <x:c r="D530" s="168" t="str">
        <x:v>VALORA RENDA FIXA LTDA.</x:v>
      </x:c>
      <x:c r="E530" s="168" t="str">
        <x:f>IFERROR(INDEX('Classif Gestoras'!$H$6:$H$462,MATCH(D530,'Classif Gestoras'!$A$6:$A$462,0)),"Não classificada")</x:f>
        <x:v>Independente</x:v>
      </x:c>
      <x:c r="F530" s="168" t="str">
        <x:v>Singulare</x:v>
      </x:c>
      <x:c r="G530" s="168" t="str">
        <x:v>QI CORRETORA DE TÍTULOS E VALORES MOBILIÁRIOS S.A.</x:v>
      </x:c>
      <x:c r="H530" s="168" t="str">
        <x:v>Financeiro</x:v>
      </x:c>
      <x:c r="I530" s="168" t="str">
        <x:v>Crédito Consignado</x:v>
      </x:c>
      <x:c r="J530" s="168" t="str">
        <x:v>CI</x:v>
      </x:c>
      <x:c r="K530" s="174" t="n">
        <x:v>31</x:v>
      </x:c>
      <x:c r="L530" s="187" t="str">
        <x:v>Não classificado</x:v>
      </x:c>
    </x:row>
    <x:row r="531">
      <x:c r="A531" s="177" t="str">
        <x:v>46.766.050/0001-85</x:v>
      </x:c>
      <x:c r="B531" s="168" t="str">
        <x:v>FUNDO DE INVESTIMENTO EM DIREITOS CREDITÓRIOS ALION II CONSIGNADOS</x:v>
      </x:c>
      <x:c r="C531" s="190" t="n">
        <x:v>265158278.13</x:v>
      </x:c>
      <x:c r="D531" s="168" t="str">
        <x:v>VALORA RENDA FIXA ESTRUTURADOS LTDA.</x:v>
      </x:c>
      <x:c r="E531" s="168" t="str">
        <x:f>IFERROR(INDEX('Classif Gestoras'!$H$6:$H$462,MATCH(D531,'Classif Gestoras'!$A$6:$A$462,0)),"Não classificada")</x:f>
        <x:v>Independente</x:v>
      </x:c>
      <x:c r="F531" s="168" t="str">
        <x:v>Singulare</x:v>
      </x:c>
      <x:c r="G531" s="168" t="str">
        <x:v>QI CORRETORA DE TÍTULOS E VALORES MOBILIÁRIOS S.A.</x:v>
      </x:c>
      <x:c r="H531" s="168" t="str">
        <x:v>Financeiro</x:v>
      </x:c>
      <x:c r="I531" s="168" t="str">
        <x:v>Crédito Consignado</x:v>
      </x:c>
      <x:c r="J531" s="168" t="str">
        <x:v>CI</x:v>
      </x:c>
      <x:c r="K531" s="174" t="n">
        <x:v>99</x:v>
      </x:c>
      <x:c r="L531" s="187" t="str">
        <x:v>Não classificado</x:v>
      </x:c>
    </x:row>
    <x:row r="532">
      <x:c r="A532" s="177" t="str">
        <x:v>59.773.538/0001-81</x:v>
      </x:c>
      <x:c r="B532" s="168" t="str">
        <x:v>ITAÚ PIRINEUS III FIC FIDC DE DE INFRAESTRUTURA RESPONSABILIDADE LIMITADA</x:v>
      </x:c>
      <x:c r="C532" s="190" t="n">
        <x:v>262646220.33</x:v>
      </x:c>
      <x:c r="D532" s="168" t="str">
        <x:v>ITAU ASSET</x:v>
      </x:c>
      <x:c r="E532" s="168" t="str">
        <x:f>IFERROR(INDEX('Classif Gestoras'!$H$6:$H$462,MATCH(D532,'Classif Gestoras'!$A$6:$A$462,0)),"Não classificada")</x:f>
        <x:v>Ligada a banco</x:v>
      </x:c>
      <x:c r="F532" s="168" t="str">
        <x:v>INTRAG DIST. DE TÍTU</x:v>
      </x:c>
      <x:c r="G532" s="168" t="str">
        <x:v>ITAU UNIBANCO S.A.</x:v>
      </x:c>
      <x:c r="H532" s="168" t="str">
        <x:v>Agro, Indústria e Comércio</x:v>
      </x:c>
      <x:c r="I532" s="168" t="str">
        <x:v>Infraestrutura</x:v>
      </x:c>
      <x:c r="J532" s="168" t="str">
        <x:v>CIPC</x:v>
      </x:c>
      <x:c r="K532" s="174" t="n">
        <x:v>885</x:v>
      </x:c>
      <x:c r="L532" s="187" t="str">
        <x:v>Não classificado</x:v>
      </x:c>
    </x:row>
    <x:row r="533">
      <x:c r="A533" s="177" t="str">
        <x:v>25.316.863/0001-01</x:v>
      </x:c>
      <x:c r="B533" s="168" t="str">
        <x:v>SPDA HABITACAO FUNDO DE INVESTIMENTO EM DIREITOS CREDITORIOS RESPONSABILIDADE LIMITADA</x:v>
      </x:c>
      <x:c r="C533" s="190" t="n">
        <x:v>262465512.58</x:v>
      </x:c>
      <x:c r="D533" s="168" t="str">
        <x:v>RCB PORTFOLIOS</x:v>
      </x:c>
      <x:c r="E533" s="168" t="str">
        <x:f>IFERROR(INDEX('Classif Gestoras'!$H$6:$H$462,MATCH(D533,'Classif Gestoras'!$A$6:$A$462,0)),"Não classificada")</x:f>
        <x:v>Independente</x:v>
      </x:c>
      <x:c r="F533" s="168" t="str">
        <x:v>OSLO DTVM S. A.</x:v>
      </x:c>
      <x:c r="G533" s="168" t="str">
        <x:v>OSLO CAPITAL DISTRIBUIDORA DE TITULOS E VALORES MOBILIARIOS S.A.</x:v>
      </x:c>
      <x:c r="H533" s="168" t="str">
        <x:v>Financeiro</x:v>
      </x:c>
      <x:c r="I533" s="168" t="str">
        <x:v>Crédito Imobiliário</x:v>
      </x:c>
      <x:c r="J533" s="168" t="str">
        <x:v>CI</x:v>
      </x:c>
      <x:c r="K533" s="174" t="n">
        <x:v>1</x:v>
      </x:c>
      <x:c r="L533" s="187" t="str">
        <x:v>Não classificado</x:v>
      </x:c>
    </x:row>
    <x:row r="534">
      <x:c r="A534" s="177" t="str">
        <x:v>17.498.285/0001-35</x:v>
      </x:c>
      <x:c r="B534" s="168" t="str">
        <x:v>RAIZES FUNDO DE INVESTIMENTO EM DIREITOS CREDITORIOS MULTISSETORIAL</x:v>
      </x:c>
      <x:c r="C534" s="190" t="n">
        <x:v>261561011.74</x:v>
      </x:c>
      <x:c r="D534" s="168" t="str">
        <x:v>OURO PRETO INVESTIMENTOS</x:v>
      </x:c>
      <x:c r="E534" s="168" t="str">
        <x:f>IFERROR(INDEX('Classif Gestoras'!$H$6:$H$462,MATCH(D534,'Classif Gestoras'!$A$6:$A$462,0)),"Não classificada")</x:f>
        <x:v>Independente</x:v>
      </x:c>
      <x:c r="F534" s="168" t="str">
        <x:v>Singulare</x:v>
      </x:c>
      <x:c r="G534" s="168" t="str">
        <x:v>QI CORRETORA DE TÍTULOS E VALORES MOBILIÁRIOS S.A.</x:v>
      </x:c>
      <x:c r="H534" s="168" t="str">
        <x:v>Fomento Mercantil</x:v>
      </x:c>
      <x:c r="I534" s="168" t="str">
        <x:v>Fomento Mercantil</x:v>
      </x:c>
      <x:c r="J534" s="168" t="str">
        <x:v>CI</x:v>
      </x:c>
      <x:c r="K534" s="174" t="n">
        <x:v>69</x:v>
      </x:c>
      <x:c r="L534" s="187" t="str">
        <x:v>Não classificado</x:v>
      </x:c>
    </x:row>
    <x:row r="535">
      <x:c r="A535" s="177" t="str">
        <x:v>58.055.083/0001-04</x:v>
      </x:c>
      <x:c r="B535" s="168" t="str">
        <x:v>MIDIAN FUNDO DE INVESTIMENTO EM DIREITOS CREDITÓRIOS - RESPONSABILIDADE LIMITADA</x:v>
      </x:c>
      <x:c r="C535" s="190" t="n">
        <x:v>261349086.72999996</x:v>
      </x:c>
      <x:c r="D535" s="168" t="str">
        <x:v>Number Asset Brasil Ltda.</x:v>
      </x:c>
      <x:c r="E535" s="168" t="str">
        <x:f>IFERROR(INDEX('Classif Gestoras'!$H$6:$H$462,MATCH(D535,'Classif Gestoras'!$A$6:$A$462,0)),"Não classificada")</x:f>
        <x:v>Independente</x:v>
      </x:c>
      <x:c r="F535" s="168" t="str">
        <x:v>Banvox DTVM</x:v>
      </x:c>
      <x:c r="G535" s="168" t="str">
        <x:v>BANVOX DISTRIBUIDORA DE TITULOS E VALORES MOBILIARIOS LTDA</x:v>
      </x:c>
      <x:c r="H535" s="168" t="str">
        <x:v>Financeiro</x:v>
      </x:c>
      <x:c r="I535" s="168" t="str">
        <x:v>Crédito Consignado</x:v>
      </x:c>
      <x:c r="J535" s="168" t="str">
        <x:v>CI</x:v>
      </x:c>
      <x:c r="K535" s="174" t="n">
        <x:v>2</x:v>
      </x:c>
      <x:c r="L535" s="187" t="str">
        <x:v>Não classificado</x:v>
      </x:c>
    </x:row>
    <x:row r="536">
      <x:c r="A536" s="177" t="str">
        <x:v>60.327.212/0001-00</x:v>
      </x:c>
      <x:c r="B536" s="168" t="str">
        <x:v>MTR CRÉDITOS SELECIONADOS II FUNDO DE INVESTIMENTO EM DIREITOS CREDITÓRIOS - RESPONSABILIDADE LIMITA</x:v>
      </x:c>
      <x:c r="C536" s="190" t="n">
        <x:v>260861017.67000005</x:v>
      </x:c>
      <x:c r="D536" s="168" t="str">
        <x:v>BURITI INVESTIMENTOS</x:v>
      </x:c>
      <x:c r="E536" s="168" t="str">
        <x:f>IFERROR(INDEX('Classif Gestoras'!$H$6:$H$462,MATCH(D536,'Classif Gestoras'!$A$6:$A$462,0)),"Não classificada")</x:f>
        <x:v>Independente</x:v>
      </x:c>
      <x:c r="F536" s="168" t="str">
        <x:v>Singulare</x:v>
      </x:c>
      <x:c r="G536" s="168" t="str">
        <x:v>QI CORRETORA DE TÍTULOS E VALORES MOBILIÁRIOS S.A.</x:v>
      </x:c>
      <x:c r="H536" s="168" t="str">
        <x:v>Outros</x:v>
      </x:c>
      <x:c r="I536" s="168" t="str">
        <x:v>Poder Público</x:v>
      </x:c>
      <x:c r="J536" s="168" t="str">
        <x:v>CI</x:v>
      </x:c>
      <x:c r="K536" s="174" t="n">
        <x:v>19</x:v>
      </x:c>
      <x:c r="L536" s="187" t="str">
        <x:v>Não classificado</x:v>
      </x:c>
    </x:row>
    <x:row r="537">
      <x:c r="A537" s="177" t="str">
        <x:v>20.093.858/0001-55</x:v>
      </x:c>
      <x:c r="B537" s="168" t="str">
        <x:v>IB SIGMA FUNDO DE INVESTIMENTO EM DIREITOS CREDITÓRIOS</x:v>
      </x:c>
      <x:c r="C537" s="190" t="n">
        <x:v>260227254.31</x:v>
      </x:c>
      <x:c r="D537" s="168" t="str">
        <x:v>TERCON ASSET MANAGEMENT</x:v>
      </x:c>
      <x:c r="E537" s="168" t="str">
        <x:f>IFERROR(INDEX('Classif Gestoras'!$H$6:$H$462,MATCH(D537,'Classif Gestoras'!$A$6:$A$462,0)),"Não classificada")</x:f>
        <x:v>Independente</x:v>
      </x:c>
      <x:c r="F537" s="168" t="str">
        <x:v>Singulare</x:v>
      </x:c>
      <x:c r="G537" s="168" t="str">
        <x:v>QI CORRETORA DE TÍTULOS E VALORES MOBILIÁRIOS S.A.</x:v>
      </x:c>
      <x:c r="H537" s="168" t="str">
        <x:v>Fomento Mercantil</x:v>
      </x:c>
      <x:c r="I537" s="168" t="str">
        <x:v>Fomento Mercantil</x:v>
      </x:c>
      <x:c r="J537" s="168" t="str">
        <x:v>CI</x:v>
      </x:c>
      <x:c r="K537" s="174" t="n">
        <x:v>29</x:v>
      </x:c>
      <x:c r="L537" s="187" t="str">
        <x:v>Não classificado</x:v>
      </x:c>
    </x:row>
    <x:row r="538">
      <x:c r="A538" s="177" t="str">
        <x:v>35.580.989/0001-34</x:v>
      </x:c>
      <x:c r="B538" s="168" t="str">
        <x:v>BANFITA FUNDO DE INVESTIMENTO EM DIREITOS CREDITÓRIOS MULTISSETORIAL</x:v>
      </x:c>
      <x:c r="C538" s="190" t="n">
        <x:v>260172164.52</x:v>
      </x:c>
      <x:c r="D538" s="168" t="str">
        <x:v>OURO PRETO INVESTIMENTOS</x:v>
      </x:c>
      <x:c r="E538" s="168" t="str">
        <x:f>IFERROR(INDEX('Classif Gestoras'!$H$6:$H$462,MATCH(D538,'Classif Gestoras'!$A$6:$A$462,0)),"Não classificada")</x:f>
        <x:v>Independente</x:v>
      </x:c>
      <x:c r="F538" s="168" t="str">
        <x:v>Singulare</x:v>
      </x:c>
      <x:c r="G538" s="168" t="str">
        <x:v>QI CORRETORA DE TÍTULOS E VALORES MOBILIÁRIOS S.A.</x:v>
      </x:c>
      <x:c r="H538" s="168" t="str">
        <x:v>Fomento Mercantil</x:v>
      </x:c>
      <x:c r="I538" s="168" t="str">
        <x:v>Fomento Mercantil</x:v>
      </x:c>
      <x:c r="J538" s="168" t="str">
        <x:v>CI</x:v>
      </x:c>
      <x:c r="K538" s="174" t="n">
        <x:v>63</x:v>
      </x:c>
      <x:c r="L538" s="187" t="str">
        <x:v>Não classificado</x:v>
      </x:c>
    </x:row>
    <x:row r="539">
      <x:c r="A539" s="177" t="str">
        <x:v>46.767.226/0001-13</x:v>
      </x:c>
      <x:c r="B539" s="168" t="str">
        <x:v>GUARDIAN MULTI CONSIGNADO I FUNDO DE INVESTIMENTO EM DIREITOS CREDITÓRIOS</x:v>
      </x:c>
      <x:c r="C539" s="190" t="n">
        <x:v>259164139.92</x:v>
      </x:c>
      <x:c r="D539" s="168" t="str">
        <x:v>Guardian Gestora</x:v>
      </x:c>
      <x:c r="E539" s="168" t="str">
        <x:f>IFERROR(INDEX('Classif Gestoras'!$H$6:$H$462,MATCH(D539,'Classif Gestoras'!$A$6:$A$462,0)),"Não classificada")</x:f>
        <x:v>Independente</x:v>
      </x:c>
      <x:c r="F539" s="168" t="str">
        <x:v>Banvox DTVM</x:v>
      </x:c>
      <x:c r="G539" s="168" t="str">
        <x:v>BANVOX DISTRIBUIDORA DE TITULOS E VALORES MOBILIARIOS LTDA</x:v>
      </x:c>
      <x:c r="H539" s="168" t="str">
        <x:v>Financeiro</x:v>
      </x:c>
      <x:c r="I539" s="168" t="str">
        <x:v>Crédito Consignado</x:v>
      </x:c>
      <x:c r="J539" s="168" t="str">
        <x:v>CI</x:v>
      </x:c>
      <x:c r="K539" s="174" t="n">
        <x:v>72</x:v>
      </x:c>
      <x:c r="L539" s="187" t="str">
        <x:v>Não classificado</x:v>
      </x:c>
    </x:row>
    <x:row r="540">
      <x:c r="A540" s="177" t="str">
        <x:v>08.621.199/0001-87</x:v>
      </x:c>
      <x:c r="B540" s="168" t="str">
        <x:v>FAMCRED FUNDO DE INVESTIMENTO EM DIREITOS CREDITÓRIOS NÃO-PADRONIZADOS RESPONSABILIDADE LIMITADA</x:v>
      </x:c>
      <x:c r="C540" s="190" t="n">
        <x:v>258985767.09000003</x:v>
      </x:c>
      <x:c r="D540" s="168" t="str">
        <x:v>MEL GESTORA DE RECURSOS S.A.</x:v>
      </x:c>
      <x:c r="E540" s="168" t="str">
        <x:f>IFERROR(INDEX('Classif Gestoras'!$H$6:$H$462,MATCH(D540,'Classif Gestoras'!$A$6:$A$462,0)),"Não classificada")</x:f>
        <x:v>Independente</x:v>
      </x:c>
      <x:c r="F540" s="168" t="str">
        <x:v>ID Corretora de Títulos e Valores Mobiliários S.A.</x:v>
      </x:c>
      <x:c r="G540" s="168" t="str">
        <x:v>ID CORRETORA DE TITULOS E VALORES MOBILIARIOS S.A.</x:v>
      </x:c>
      <x:c r="H540" s="168" t="str">
        <x:v>Fomento Mercantil</x:v>
      </x:c>
      <x:c r="I540" s="168" t="str">
        <x:v>Fomento Mercantil</x:v>
      </x:c>
      <x:c r="J540" s="168" t="str">
        <x:v>CI</x:v>
      </x:c>
      <x:c r="K540" s="174" t="n">
        <x:v>3</x:v>
      </x:c>
      <x:c r="L540" s="187" t="str">
        <x:v>Não classificado</x:v>
      </x:c>
    </x:row>
    <x:row r="541">
      <x:c r="A541" s="177" t="str">
        <x:v>55.582.283/0001-19</x:v>
      </x:c>
      <x:c r="B541" s="168" t="str">
        <x:v>JIVE DISTRESSED &amp; SPECIAL SITS IV (OFFSHORE) FIDC RESPONSABILIDADE LIMITADA</x:v>
      </x:c>
      <x:c r="C541" s="190" t="n">
        <x:v>258551445.78</x:v>
      </x:c>
      <x:c r="D541" s="168" t="str">
        <x:v>JIVE INVESTMENTS</x:v>
      </x:c>
      <x:c r="E541" s="168" t="str">
        <x:f>IFERROR(INDEX('Classif Gestoras'!$H$6:$H$462,MATCH(D541,'Classif Gestoras'!$A$6:$A$462,0)),"Não classificada")</x:f>
        <x:v>Independente</x:v>
      </x:c>
      <x:c r="F541" s="168" t="str">
        <x:v>MAF Distribuidora de Títulos e Valores Mobiliários S.A.</x:v>
      </x:c>
      <x:c r="G541" s="168" t="str">
        <x:v>MAF DISTRIBUIDORA DE TITULOS E VALORES MOBILIARIOS S.A.</x:v>
      </x:c>
      <x:c r="H541" s="168" t="str">
        <x:v>Outros</x:v>
      </x:c>
      <x:c r="I541" s="168" t="str">
        <x:v>Multicarteira Outros</x:v>
      </x:c>
      <x:c r="J541" s="168" t="str">
        <x:v>CI</x:v>
      </x:c>
      <x:c r="K541" s="174" t="n">
        <x:v>1</x:v>
      </x:c>
      <x:c r="L541" s="187" t="str">
        <x:v>Proxy multicedente/multissacado — revisar</x:v>
      </x:c>
    </x:row>
    <x:row r="542">
      <x:c r="A542" s="177" t="str">
        <x:v>27.944.660/0001-87</x:v>
      </x:c>
      <x:c r="B542" s="168" t="str">
        <x:v>FACT LAW FUNDO DE INVESTIMENTO EM DIREITOS CREDITORIOS NAO-PADRONIZADOS</x:v>
      </x:c>
      <x:c r="C542" s="190" t="n">
        <x:v>257662456.91</x:v>
      </x:c>
      <x:c r="D542" s="168" t="str">
        <x:v>Fact Investments Gestão de Re</x:v>
      </x:c>
      <x:c r="E542" s="168" t="str">
        <x:f>IFERROR(INDEX('Classif Gestoras'!$H$6:$H$462,MATCH(D542,'Classif Gestoras'!$A$6:$A$462,0)),"Não classificada")</x:f>
        <x:v>Independente</x:v>
      </x:c>
      <x:c r="F542" s="168" t="str">
        <x:v>Singulare</x:v>
      </x:c>
      <x:c r="G542" s="168" t="str">
        <x:v>QI CORRETORA DE TÍTULOS E VALORES MOBILIÁRIOS S.A.</x:v>
      </x:c>
      <x:c r="H542" s="168" t="str">
        <x:v>Outros</x:v>
      </x:c>
      <x:c r="I542" s="168" t="str">
        <x:v>Poder Público</x:v>
      </x:c>
      <x:c r="J542" s="168" t="str">
        <x:v>CI</x:v>
      </x:c>
      <x:c r="K542" s="174" t="n">
        <x:v>2</x:v>
      </x:c>
      <x:c r="L542" s="187" t="str">
        <x:v>Não classificado</x:v>
      </x:c>
    </x:row>
    <x:row r="543">
      <x:c r="A543" s="177" t="str">
        <x:v>65.592.704/0001-46</x:v>
      </x:c>
      <x:c r="B543" s="168" t="str">
        <x:v>BTG LEGATO II PMFO 2 FUNDO DE INVESTIMENTO EM DIREITOS CREDITÓRIOS RESPONSABILIDADE LIMITADA</x:v>
      </x:c>
      <x:c r="C543" s="190" t="n">
        <x:v>257647817.71999997</x:v>
      </x:c>
      <x:c r="D543" s="168" t="str">
        <x:v>BTG Pactual Asset</x:v>
      </x:c>
      <x:c r="E543" s="168" t="str">
        <x:f>IFERROR(INDEX('Classif Gestoras'!$H$6:$H$462,MATCH(D543,'Classif Gestoras'!$A$6:$A$462,0)),"Não classificada")</x:f>
        <x:v>Ligada a banco</x:v>
      </x:c>
      <x:c r="F543" s="168" t="str">
        <x:v>BTG Pactual Servicos Financeiros S/A DTVM</x:v>
      </x:c>
      <x:c r="G543" s="168" t="str">
        <x:v>BANCO BTG PACTUAL S/A</x:v>
      </x:c>
      <x:c r="H543" s="168" t="str">
        <x:v>Outros</x:v>
      </x:c>
      <x:c r="I543" s="168" t="str">
        <x:v>Multicarteira Outros</x:v>
      </x:c>
      <x:c r="J543" s="168" t="str">
        <x:v>CI</x:v>
      </x:c>
      <x:c r="K543" s="174" t="n">
        <x:v>2</x:v>
      </x:c>
      <x:c r="L543" s="187" t="str">
        <x:v>Proxy multicedente/multissacado — revisar</x:v>
      </x:c>
    </x:row>
    <x:row r="544">
      <x:c r="A544" s="177" t="str">
        <x:v>53.577.135/0001-80</x:v>
      </x:c>
      <x:c r="B544" s="168" t="str">
        <x:v>ANGÁ FGTS II FUNDO DE INVESTIMENTO EM DIREITOS CREDITÓRIOS - RESPONSABILIDADE LIMITADA</x:v>
      </x:c>
      <x:c r="C544" s="190" t="n">
        <x:v>256279032.9</x:v>
      </x:c>
      <x:c r="D544" s="168" t="str">
        <x:v>ANGÁ ASSET MANAGEMENT</x:v>
      </x:c>
      <x:c r="E544" s="168" t="str">
        <x:f>IFERROR(INDEX('Classif Gestoras'!$H$6:$H$462,MATCH(D544,'Classif Gestoras'!$A$6:$A$462,0)),"Não classificada")</x:f>
        <x:v>Independente</x:v>
      </x:c>
      <x:c r="F544" s="168" t="str">
        <x:v>QI DISTRIBUIDORA DE TITULOS E VALORES MOBILIARIOS LTDA</x:v>
      </x:c>
      <x:c r="G544" s="168" t="str">
        <x:v>LASTRO RDV DTVM LTDA</x:v>
      </x:c>
      <x:c r="H544" s="168" t="str">
        <x:v>Financeiro</x:v>
      </x:c>
      <x:c r="I544" s="168" t="str">
        <x:v>Crédito Pessoal</x:v>
      </x:c>
      <x:c r="J544" s="168" t="str">
        <x:v>CI</x:v>
      </x:c>
      <x:c r="K544" s="174" t="n">
        <x:v>7</x:v>
      </x:c>
      <x:c r="L544" s="187" t="str">
        <x:v>Não classificado</x:v>
      </x:c>
    </x:row>
    <x:row r="545">
      <x:c r="A545" s="177" t="str">
        <x:v>17.015.979/0001-74</x:v>
      </x:c>
      <x:c r="B545" s="168" t="str">
        <x:v>EXCLUSIVO FUNDO DE INVESTIMENTO EM DIREITOS CREDITÓRIOS MULTISEGMENTOS DE RESPONSABILIDADE LIMITADA</x:v>
      </x:c>
      <x:c r="C545" s="190" t="n">
        <x:v>255900473.71</x:v>
      </x:c>
      <x:c r="D545" s="168" t="str">
        <x:v>Petra Capital</x:v>
      </x:c>
      <x:c r="E545" s="168" t="str">
        <x:f>IFERROR(INDEX('Classif Gestoras'!$H$6:$H$462,MATCH(D545,'Classif Gestoras'!$A$6:$A$462,0)),"Não classificada")</x:f>
        <x:v>Independente</x:v>
      </x:c>
      <x:c r="F545" s="168" t="str">
        <x:v>Banco Finaxis S.A.</x:v>
      </x:c>
      <x:c r="G545" s="168" t="str">
        <x:v>BANCO FINAXIS S.A.</x:v>
      </x:c>
      <x:c r="H545" s="168" t="str">
        <x:v>Outros</x:v>
      </x:c>
      <x:c r="I545" s="168" t="str">
        <x:v>Multicarteira Outros</x:v>
      </x:c>
      <x:c r="J545" s="168" t="str">
        <x:v>CI</x:v>
      </x:c>
      <x:c r="K545" s="174" t="n">
        <x:v>3</x:v>
      </x:c>
      <x:c r="L545" s="187" t="str">
        <x:v>Proxy multicedente/multissacado — revisar</x:v>
      </x:c>
    </x:row>
    <x:row r="546">
      <x:c r="A546" s="177" t="str">
        <x:v>50.963.249/0001-70</x:v>
      </x:c>
      <x:c r="B546" s="168" t="str">
        <x:v>BOREAL I FUNDO DE INVESTIMENTO EM DIREITOS CREDITÓRIOS COMERCIAL - RESPONSABILIDADE LIMITADA</x:v>
      </x:c>
      <x:c r="C546" s="190" t="n">
        <x:v>255119389.95</x:v>
      </x:c>
      <x:c r="D546" s="168" t="str">
        <x:v>OURO PRETO INVESTIMENTOS</x:v>
      </x:c>
      <x:c r="E546" s="168" t="str">
        <x:f>IFERROR(INDEX('Classif Gestoras'!$H$6:$H$462,MATCH(D546,'Classif Gestoras'!$A$6:$A$462,0)),"Não classificada")</x:f>
        <x:v>Independente</x:v>
      </x:c>
      <x:c r="F546" s="168" t="str">
        <x:v>ID Corretora de Títulos e Valores Mobiliários S.A.</x:v>
      </x:c>
      <x:c r="G546" s="168" t="str">
        <x:v>ID CORRETORA DE TITULOS E VALORES MOBILIARIOS S.A.</x:v>
      </x:c>
      <x:c r="H546" s="168" t="str">
        <x:v>Outros</x:v>
      </x:c>
      <x:c r="I546" s="168" t="str">
        <x:v>Multicarteira Outros</x:v>
      </x:c>
      <x:c r="J546" s="168" t="str">
        <x:v>CI</x:v>
      </x:c>
      <x:c r="K546" s="174" t="n">
        <x:v>27</x:v>
      </x:c>
      <x:c r="L546" s="187" t="str">
        <x:v>Proxy multicedente/multissacado — revisar</x:v>
      </x:c>
    </x:row>
    <x:row r="547">
      <x:c r="A547" s="177" t="str">
        <x:v>23.956.961/0001-70</x:v>
      </x:c>
      <x:c r="B547" s="168" t="str">
        <x:v>RIDOLFINVEST 2 FIDC NÃO PADRONIZADOS - RESPONSABILIDADE LIMITADA</x:v>
      </x:c>
      <x:c r="C547" s="190" t="n">
        <x:v>254396325.5</x:v>
      </x:c>
      <x:c r="D547" s="168" t="str">
        <x:v>Leen Capital</x:v>
      </x:c>
      <x:c r="E547" s="168" t="str">
        <x:f>IFERROR(INDEX('Classif Gestoras'!$H$6:$H$462,MATCH(D547,'Classif Gestoras'!$A$6:$A$462,0)),"Não classificada")</x:f>
        <x:v>Independente</x:v>
      </x:c>
      <x:c r="F547" s="168" t="str">
        <x:v>Singulare</x:v>
      </x:c>
      <x:c r="G547" s="168" t="str">
        <x:v>QI CORRETORA DE TÍTULOS E VALORES MOBILIÁRIOS S.A.</x:v>
      </x:c>
      <x:c r="H547" s="168" t="str">
        <x:v>Outros</x:v>
      </x:c>
      <x:c r="I547" s="168" t="str">
        <x:v>Poder Público</x:v>
      </x:c>
      <x:c r="J547" s="168" t="str">
        <x:v>CI</x:v>
      </x:c>
      <x:c r="K547" s="174" t="n">
        <x:v>38</x:v>
      </x:c>
      <x:c r="L547" s="187" t="str">
        <x:v>Não classificado</x:v>
      </x:c>
    </x:row>
    <x:row r="548">
      <x:c r="A548" s="177" t="str">
        <x:v>31.523.738/0001-67</x:v>
      </x:c>
      <x:c r="B548" s="168" t="str">
        <x:v>IMPETUS FUNDO DE INVESTIMENTO EM DIREITOS CREDITÓRIOS</x:v>
      </x:c>
      <x:c r="C548" s="190" t="n">
        <x:v>253730861.19</x:v>
      </x:c>
      <x:c r="D548" s="168" t="str">
        <x:v>Solis</x:v>
      </x:c>
      <x:c r="E548" s="168" t="str">
        <x:f>IFERROR(INDEX('Classif Gestoras'!$H$6:$H$462,MATCH(D548,'Classif Gestoras'!$A$6:$A$462,0)),"Não classificada")</x:f>
        <x:v>Independente</x:v>
      </x:c>
      <x:c r="F548" s="168" t="str">
        <x:v>HEMERA DTVM</x:v>
      </x:c>
      <x:c r="G548" s="168" t="str">
        <x:v>HEMERA DISTRIBUIDORA DE TITULOS E VALORES MOBILIARIOS LTDA</x:v>
      </x:c>
      <x:c r="H548" s="168" t="str">
        <x:v>Outros</x:v>
      </x:c>
      <x:c r="I548" s="168" t="str">
        <x:v>Multicarteira Outros</x:v>
      </x:c>
      <x:c r="J548" s="168" t="str">
        <x:v>CI</x:v>
      </x:c>
      <x:c r="K548" s="174" t="n">
        <x:v>2</x:v>
      </x:c>
      <x:c r="L548" s="187" t="str">
        <x:v>Proxy multicedente/multissacado — revisar</x:v>
      </x:c>
    </x:row>
    <x:row r="549">
      <x:c r="A549" s="177" t="str">
        <x:v>37.645.459/0001-52</x:v>
      </x:c>
      <x:c r="B549" s="168" t="str">
        <x:v>FUNDO DE INVESTIMENTO EM DIREITOS CREDITÓRIOS BASSANO DI GRAPPO - RESPONSABILIDADE LIMITADA</x:v>
      </x:c>
      <x:c r="C549" s="190" t="n">
        <x:v>253300491.95</x:v>
      </x:c>
      <x:c r="D549" s="168" t="str">
        <x:v>Phronesis Invest.</x:v>
      </x:c>
      <x:c r="E549" s="168" t="str">
        <x:f>IFERROR(INDEX('Classif Gestoras'!$H$6:$H$462,MATCH(D549,'Classif Gestoras'!$A$6:$A$462,0)),"Não classificada")</x:f>
        <x:v>Independente</x:v>
      </x:c>
      <x:c r="F549" s="168" t="str">
        <x:v>BRL TRUST DTVM</x:v>
      </x:c>
      <x:c r="G549" s="168" t="str">
        <x:v>BRL TRUST DISTRIBUIDORA DE TITULOS E VALORES MOBILIARIOS S.A.</x:v>
      </x:c>
      <x:c r="H549" s="168" t="str">
        <x:v>Outros</x:v>
      </x:c>
      <x:c r="I549" s="168" t="str">
        <x:v>Multicarteira Outros</x:v>
      </x:c>
      <x:c r="J549" s="168" t="str">
        <x:v>CI</x:v>
      </x:c>
      <x:c r="K549" s="174" t="n">
        <x:v>1</x:v>
      </x:c>
      <x:c r="L549" s="187" t="str">
        <x:v>Proxy multicedente/multissacado — revisar</x:v>
      </x:c>
    </x:row>
    <x:row r="550">
      <x:c r="A550" s="177" t="str">
        <x:v>59.143.807/0001-26</x:v>
      </x:c>
      <x:c r="B550" s="168" t="str">
        <x:v>AZQ CDO FUNDO DE INVESTIMENTO EM DIREITOS CREDITÓRIOS DE RESPONSABILIDADE ILIMITADA</x:v>
      </x:c>
      <x:c r="C550" s="190" t="n">
        <x:v>252769008.73</x:v>
      </x:c>
      <x:c r="D550" s="168" t="str">
        <x:v>AZ Quest MZK Investimentos Macro e Crédito Ltda.</x:v>
      </x:c>
      <x:c r="E550" s="168" t="str">
        <x:f>IFERROR(INDEX('Classif Gestoras'!$H$6:$H$462,MATCH(D550,'Classif Gestoras'!$A$6:$A$462,0)),"Não classificada")</x:f>
        <x:v>Independente</x:v>
      </x:c>
      <x:c r="F550" s="168" t="str">
        <x:v>BANCO DAYCOVAL S/A</x:v>
      </x:c>
      <x:c r="G550" s="168" t="str">
        <x:v>BANCO DAYCOVAL S.A.</x:v>
      </x:c>
      <x:c r="H550" s="168" t="str">
        <x:v>Financeiro</x:v>
      </x:c>
      <x:c r="I550" s="168" t="str">
        <x:v>Multicarteira Financeiro</x:v>
      </x:c>
      <x:c r="J550" s="168" t="str">
        <x:v>CI</x:v>
      </x:c>
      <x:c r="K550" s="174" t="n">
        <x:v>15</x:v>
      </x:c>
      <x:c r="L550" s="187" t="str">
        <x:v>Proxy multicedente/multissacado — revisar</x:v>
      </x:c>
    </x:row>
    <x:row r="551">
      <x:c r="A551" s="177" t="str">
        <x:v>48.969.748/0001-23</x:v>
      </x:c>
      <x:c r="B551" s="168" t="str">
        <x:v>OKNO 1 FUNDO DE INVESTIMENTO EM DIREITOS CREDITÓRIOS</x:v>
      </x:c>
      <x:c r="C551" s="190" t="n">
        <x:v>252284305.85999995</x:v>
      </x:c>
      <x:c r="D551" s="168" t="str">
        <x:v>ORRAM GESTÃO DE RECURSOS LTDA.</x:v>
      </x:c>
      <x:c r="E551" s="168" t="str">
        <x:f>IFERROR(INDEX('Classif Gestoras'!$H$6:$H$462,MATCH(D551,'Classif Gestoras'!$A$6:$A$462,0)),"Não classificada")</x:f>
        <x:v>Independente</x:v>
      </x:c>
      <x:c r="F551" s="168" t="str">
        <x:v>MAF Distribuidora de Títulos e Valores Mobiliários S.A.</x:v>
      </x:c>
      <x:c r="G551" s="168" t="str">
        <x:v>MAF DISTRIBUIDORA DE TITULOS E VALORES MOBILIARIOS S.A.</x:v>
      </x:c>
      <x:c r="H551" s="168" t="str">
        <x:v>Outros</x:v>
      </x:c>
      <x:c r="I551" s="168" t="str">
        <x:v>Multicarteira Outros</x:v>
      </x:c>
      <x:c r="J551" s="168" t="str">
        <x:v>CI</x:v>
      </x:c>
      <x:c r="K551" s="174" t="n">
        <x:v>39</x:v>
      </x:c>
      <x:c r="L551" s="187" t="str">
        <x:v>Proxy multicedente/multissacado — revisar</x:v>
      </x:c>
    </x:row>
    <x:row r="552">
      <x:c r="A552" s="177" t="str">
        <x:v>64.024.849/0001-88</x:v>
      </x:c>
      <x:c r="B552" s="168" t="str">
        <x:v>FUNDO DE INVESTIMENTO EM DIREITOS CREDITÓRIOS SPECIAL 2 DE RESPONSABILIDADE LIMITADA</x:v>
      </x:c>
      <x:c r="C552" s="190" t="n">
        <x:v>251889041.86</x:v>
      </x:c>
      <x:c r="D552" s="168" t="str">
        <x:v>G5 Adm. de Recursos</x:v>
      </x:c>
      <x:c r="E552" s="168" t="str">
        <x:f>IFERROR(INDEX('Classif Gestoras'!$H$6:$H$462,MATCH(D552,'Classif Gestoras'!$A$6:$A$462,0)),"Não classificada")</x:f>
        <x:v>Independente</x:v>
      </x:c>
      <x:c r="F552" s="168" t="str">
        <x:v>Singulare</x:v>
      </x:c>
      <x:c r="G552" s="168" t="str">
        <x:v>QI CORRETORA DE TÍTULOS E VALORES MOBILIÁRIOS S.A.</x:v>
      </x:c>
      <x:c r="H552" s="168" t="str">
        <x:v>Outros</x:v>
      </x:c>
      <x:c r="I552" s="168" t="str">
        <x:v>Multicarteira Outros</x:v>
      </x:c>
      <x:c r="J552" s="168" t="str">
        <x:v>CI</x:v>
      </x:c>
      <x:c r="K552" s="174" t="n">
        <x:v>2</x:v>
      </x:c>
      <x:c r="L552" s="187" t="str">
        <x:v>Proxy multicedente/multissacado — revisar</x:v>
      </x:c>
    </x:row>
    <x:row r="553">
      <x:c r="A553" s="177" t="str">
        <x:v>57.651.404/0001-62</x:v>
      </x:c>
      <x:c r="B553" s="168" t="str">
        <x:v>APPIA FUNDO DE INVESTIMENTO EM DIREITOS CREDITÓRIOS - RESPONSABILIDADE LIMITADA</x:v>
      </x:c>
      <x:c r="C553" s="190" t="n">
        <x:v>251869327.2</x:v>
      </x:c>
      <x:c r="D553" s="168" t="str">
        <x:v>Solis</x:v>
      </x:c>
      <x:c r="E553" s="168" t="str">
        <x:f>IFERROR(INDEX('Classif Gestoras'!$H$6:$H$462,MATCH(D553,'Classif Gestoras'!$A$6:$A$462,0)),"Não classificada")</x:f>
        <x:v>Independente</x:v>
      </x:c>
      <x:c r="F553" s="168" t="str">
        <x:v>HEMERA DTVM</x:v>
      </x:c>
      <x:c r="G553" s="168" t="str">
        <x:v>HEMERA DISTRIBUIDORA DE TITULOS E VALORES MOBILIARIOS LTDA</x:v>
      </x:c>
      <x:c r="H553" s="168" t="str">
        <x:v>Financeiro</x:v>
      </x:c>
      <x:c r="I553" s="168" t="str">
        <x:v>Crédito Consignado</x:v>
      </x:c>
      <x:c r="J553" s="168" t="str">
        <x:v>CI</x:v>
      </x:c>
      <x:c r="K553" s="174" t="n">
        <x:v>30</x:v>
      </x:c>
      <x:c r="L553" s="187" t="str">
        <x:v>Não classificado</x:v>
      </x:c>
    </x:row>
    <x:row r="554">
      <x:c r="A554" s="177" t="str">
        <x:v>29.492.703/0001-66</x:v>
      </x:c>
      <x:c r="B554" s="168" t="str">
        <x:v>FRADINHO N FUNDO DE INVESTIMENTO EM DIREITOS CREDITÓRIOS RESPONSABILIDADE LIMITADA</x:v>
      </x:c>
      <x:c r="C554" s="190" t="n">
        <x:v>251114244.03000003</x:v>
      </x:c>
      <x:c r="D554" s="168" t="str">
        <x:v>Kobold Gestora de Fundos LTDA.</x:v>
      </x:c>
      <x:c r="E554" s="168" t="str">
        <x:f>IFERROR(INDEX('Classif Gestoras'!$H$6:$H$462,MATCH(D554,'Classif Gestoras'!$A$6:$A$462,0)),"Não classificada")</x:f>
        <x:v>Independente</x:v>
      </x:c>
      <x:c r="F554" s="168" t="str">
        <x:v>Finaxis Corretora de Títulos e Valores Mobiliários S.A.</x:v>
      </x:c>
      <x:c r="G554" s="168" t="str">
        <x:v>BANCO FINAXIS S.A.</x:v>
      </x:c>
      <x:c r="H554" s="168" t="str">
        <x:v>Outros</x:v>
      </x:c>
      <x:c r="I554" s="168" t="str">
        <x:v>Multicarteira Outros</x:v>
      </x:c>
      <x:c r="J554" s="168" t="str">
        <x:v>CI</x:v>
      </x:c>
      <x:c r="K554" s="174" t="n">
        <x:v>6</x:v>
      </x:c>
      <x:c r="L554" s="187" t="str">
        <x:v>Proxy multicedente/multissacado — revisar</x:v>
      </x:c>
    </x:row>
    <x:row r="555">
      <x:c r="A555" s="177" t="str">
        <x:v>58.544.960/0001-00</x:v>
      </x:c>
      <x:c r="B555" s="168" t="str">
        <x:v>FLAGSTAFF FUNDO DE INVESTIMENTO EM DIREITOS CREDITÓRIOS</x:v>
      </x:c>
      <x:c r="C555" s="190" t="n">
        <x:v>251078966.94</x:v>
      </x:c>
      <x:c r="D555" s="168" t="str">
        <x:v>PACTUAL CAPITAL PART</x:v>
      </x:c>
      <x:c r="E555" s="168" t="str">
        <x:f>IFERROR(INDEX('Classif Gestoras'!$H$6:$H$462,MATCH(D555,'Classif Gestoras'!$A$6:$A$462,0)),"Não classificada")</x:f>
        <x:v>Independente</x:v>
      </x:c>
      <x:c r="F555" s="168" t="str">
        <x:v>BTG Pactual Servicos Financeiros S/A DTVM</x:v>
      </x:c>
      <x:c r="G555" s="168" t="str">
        <x:v>BANCO BTG PACTUAL S/A</x:v>
      </x:c>
      <x:c r="H555" s="168" t="str">
        <x:v>Outros</x:v>
      </x:c>
      <x:c r="I555" s="168" t="str">
        <x:v>Poder Público</x:v>
      </x:c>
      <x:c r="J555" s="168" t="str">
        <x:v>CI</x:v>
      </x:c>
      <x:c r="K555" s="174" t="n">
        <x:v>2</x:v>
      </x:c>
      <x:c r="L555" s="187" t="str">
        <x:v>Não classificado</x:v>
      </x:c>
    </x:row>
    <x:row r="556">
      <x:c r="A556" s="177" t="str">
        <x:v>47.240.173/0001-40</x:v>
      </x:c>
      <x:c r="B556" s="168" t="str">
        <x:v>CONSIGNADOS V FUNDO DE INVESTIMENTO EM DIREITOS CREDITÓRIOS - RESPONSABILIDADE LIMITADA</x:v>
      </x:c>
      <x:c r="C556" s="190" t="n">
        <x:v>251056005.48000005</x:v>
      </x:c>
      <x:c r="D556" s="168" t="str">
        <x:v>BRZ Investimentos</x:v>
      </x:c>
      <x:c r="E556" s="168" t="str">
        <x:f>IFERROR(INDEX('Classif Gestoras'!$H$6:$H$462,MATCH(D556,'Classif Gestoras'!$A$6:$A$462,0)),"Não classificada")</x:f>
        <x:v>Independente</x:v>
      </x:c>
      <x:c r="F556" s="168" t="str">
        <x:v>Banvox DTVM</x:v>
      </x:c>
      <x:c r="G556" s="168" t="str">
        <x:v>QI CORRETORA DE TÍTULOS E VALORES MOBILIÁRIOS S.A.</x:v>
      </x:c>
      <x:c r="H556" s="168" t="str">
        <x:v>Financeiro</x:v>
      </x:c>
      <x:c r="I556" s="168" t="str">
        <x:v>Crédito Consignado</x:v>
      </x:c>
      <x:c r="J556" s="168" t="str">
        <x:v>CI</x:v>
      </x:c>
      <x:c r="K556" s="174" t="n">
        <x:v>95</x:v>
      </x:c>
      <x:c r="L556" s="187" t="str">
        <x:v>Não classificado</x:v>
      </x:c>
    </x:row>
    <x:row r="557">
      <x:c r="A557" s="177" t="str">
        <x:v>15.489.383/0001-80</x:v>
      </x:c>
      <x:c r="B557" s="168" t="str">
        <x:v>FUNDO DE INVESTIMENTO EM DIREITOS CREDITÓRIOS SAN MARINO</x:v>
      </x:c>
      <x:c r="C557" s="190" t="n">
        <x:v>250885759.11</x:v>
      </x:c>
      <x:c r="D557" s="168" t="str">
        <x:v>Redwood Asset Management</x:v>
      </x:c>
      <x:c r="E557" s="168" t="str">
        <x:f>IFERROR(INDEX('Classif Gestoras'!$H$6:$H$462,MATCH(D557,'Classif Gestoras'!$A$6:$A$462,0)),"Não classificada")</x:f>
        <x:v>Independente</x:v>
      </x:c>
      <x:c r="F557" s="168" t="str">
        <x:v>PLANNER CV</x:v>
      </x:c>
      <x:c r="G557" s="168" t="str">
        <x:v>PLANNER CORRETORA DE VALORES S.A.</x:v>
      </x:c>
      <x:c r="H557" s="168" t="str">
        <x:v>Outros</x:v>
      </x:c>
      <x:c r="I557" s="168" t="str">
        <x:v>Multicarteira Outros</x:v>
      </x:c>
      <x:c r="J557" s="168" t="str">
        <x:v>CI</x:v>
      </x:c>
      <x:c r="K557" s="174" t="n">
        <x:v>1</x:v>
      </x:c>
      <x:c r="L557" s="187" t="str">
        <x:v>Proxy multicedente/multissacado — revisar</x:v>
      </x:c>
    </x:row>
    <x:row r="558">
      <x:c r="A558" s="177" t="str">
        <x:v>46.075.436/0001-40</x:v>
      </x:c>
      <x:c r="B558" s="168" t="str">
        <x:v>CREDIT OPPORTUNITIES I FUNDO DE INVESTIMENTO EM DIREITOS CREDITÓRIOS RESPONSABILIDADE LIMITADA</x:v>
      </x:c>
      <x:c r="C558" s="190" t="n">
        <x:v>250733172.57</x:v>
      </x:c>
      <x:c r="D558" s="168" t="str">
        <x:v>ITAU ASSET</x:v>
      </x:c>
      <x:c r="E558" s="168" t="str">
        <x:f>IFERROR(INDEX('Classif Gestoras'!$H$6:$H$462,MATCH(D558,'Classif Gestoras'!$A$6:$A$462,0)),"Não classificada")</x:f>
        <x:v>Ligada a banco</x:v>
      </x:c>
      <x:c r="F558" s="168" t="str">
        <x:v>BTG Pactual Servicos Financeiros S/A DTVM</x:v>
      </x:c>
      <x:c r="G558" s="168" t="str">
        <x:v>BANCO BTG PACTUAL S/A</x:v>
      </x:c>
      <x:c r="H558" s="168" t="str">
        <x:v>Outros</x:v>
      </x:c>
      <x:c r="I558" s="168" t="str">
        <x:v>Poder Público</x:v>
      </x:c>
      <x:c r="J558" s="168" t="str">
        <x:v>CI</x:v>
      </x:c>
      <x:c r="K558" s="174" t="n">
        <x:v>2</x:v>
      </x:c>
      <x:c r="L558" s="187" t="str">
        <x:v>Não classificado</x:v>
      </x:c>
    </x:row>
    <x:row r="559">
      <x:c r="A559" s="177" t="str">
        <x:v>64.299.705/0001-34</x:v>
      </x:c>
      <x:c r="B559" s="168" t="str">
        <x:v>ROOT CAPITAL FICUS FUNDO DE INVESTIMENTO EM DIREITOS CREDITÓRIOS - RESPONSABILIDADE LIMITADA</x:v>
      </x:c>
      <x:c r="C559" s="190" t="n">
        <x:v>249671299.96</x:v>
      </x:c>
      <x:c r="D559" s="168" t="str">
        <x:v>ROOT CAPITAL</x:v>
      </x:c>
      <x:c r="E559" s="168" t="str">
        <x:f>IFERROR(INDEX('Classif Gestoras'!$H$6:$H$462,MATCH(D559,'Classif Gestoras'!$A$6:$A$462,0)),"Não classificada")</x:f>
        <x:v>Independente</x:v>
      </x:c>
      <x:c r="F559" s="168" t="str">
        <x:v>BTG Pactual Servicos Financeiros S/A DTVM</x:v>
      </x:c>
      <x:c r="G559" s="168" t="str">
        <x:v>BANCO BTG PACTUAL S/A</x:v>
      </x:c>
      <x:c r="H559" s="168" t="str">
        <x:v>Outros</x:v>
      </x:c>
      <x:c r="I559" s="168" t="str">
        <x:v>Multicarteira Outros</x:v>
      </x:c>
      <x:c r="J559" s="168" t="str">
        <x:v>CI</x:v>
      </x:c>
      <x:c r="K559" s="174" t="n">
        <x:v>4905</x:v>
      </x:c>
      <x:c r="L559" s="187" t="str">
        <x:v>Proxy multicedente/multissacado — revisar</x:v>
      </x:c>
    </x:row>
    <x:row r="560">
      <x:c r="A560" s="177" t="str">
        <x:v>53.877.402/0001-35</x:v>
      </x:c>
      <x:c r="B560" s="168" t="str">
        <x:v>SÓLIDO FUNDO DE INVESTIMENTO EM DIREITOS CREDITÓRIOS</x:v>
      </x:c>
      <x:c r="C560" s="190" t="n">
        <x:v>248552926.21999997</x:v>
      </x:c>
      <x:c r="D560" s="168" t="str">
        <x:v>H2 CAPITAL</x:v>
      </x:c>
      <x:c r="E560" s="168" t="str">
        <x:f>IFERROR(INDEX('Classif Gestoras'!$H$6:$H$462,MATCH(D560,'Classif Gestoras'!$A$6:$A$462,0)),"Não classificada")</x:f>
        <x:v>Independente</x:v>
      </x:c>
      <x:c r="F560" s="168" t="str">
        <x:v>Singulare</x:v>
      </x:c>
      <x:c r="G560" s="168" t="str">
        <x:v>QI CORRETORA DE TÍTULOS E VALORES MOBILIÁRIOS S.A.</x:v>
      </x:c>
      <x:c r="H560" s="168" t="str">
        <x:v>Financeiro</x:v>
      </x:c>
      <x:c r="I560" s="168" t="str">
        <x:v>Crédito Pessoal</x:v>
      </x:c>
      <x:c r="J560" s="168" t="str">
        <x:v>CI</x:v>
      </x:c>
      <x:c r="K560" s="174" t="n">
        <x:v>3</x:v>
      </x:c>
      <x:c r="L560" s="187" t="str">
        <x:v>Não classificado</x:v>
      </x:c>
    </x:row>
    <x:row r="561">
      <x:c r="A561" s="177" t="str">
        <x:v>15.254.288/0001-06</x:v>
      </x:c>
      <x:c r="B561" s="168" t="str">
        <x:v>FUNDO DE INVESTIMENTO EM DIREITOS CREDITORIOS CAIXA DUBLIN</x:v>
      </x:c>
      <x:c r="C561" s="190" t="n">
        <x:v>247284902.9</x:v>
      </x:c>
      <x:c r="D561" s="168" t="str">
        <x:v>Caixa Distribuidora de Títulos e Valores Mobiliários S.A.</x:v>
      </x:c>
      <x:c r="E561" s="168" t="str">
        <x:f>IFERROR(INDEX('Classif Gestoras'!$H$6:$H$462,MATCH(D561,'Classif Gestoras'!$A$6:$A$462,0)),"Não classificada")</x:f>
        <x:v>Ligada a banco</x:v>
      </x:c>
      <x:c r="F561" s="168" t="str">
        <x:v>Caixa Econ. Federal</x:v>
      </x:c>
      <x:c r="G561" s="168" t="str">
        <x:v>OLIVEIRA TRUST DTVM S.A.</x:v>
      </x:c>
      <x:c r="H561" s="168" t="str">
        <x:v>Agro, Indústria e Comércio</x:v>
      </x:c>
      <x:c r="I561" s="168" t="str">
        <x:v>Infraestrutura</x:v>
      </x:c>
      <x:c r="J561" s="168" t="str">
        <x:v>CI</x:v>
      </x:c>
      <x:c r="K561" s="174" t="n">
        <x:v>2</x:v>
      </x:c>
      <x:c r="L561" s="187" t="str">
        <x:v>Não classificado</x:v>
      </x:c>
    </x:row>
    <x:row r="562">
      <x:c r="A562" s="177" t="str">
        <x:v>35.162.655/0001-40</x:v>
      </x:c>
      <x:c r="B562" s="168" t="str">
        <x:v>INTRABANK FUNDO DE INVESTIMENTO EM DIREITOS CREDITÓRIOS</x:v>
      </x:c>
      <x:c r="C562" s="190" t="n">
        <x:v>246569348.75</x:v>
      </x:c>
      <x:c r="D562" s="168" t="str">
        <x:v>Intrabank Asset</x:v>
      </x:c>
      <x:c r="E562" s="168" t="str">
        <x:f>IFERROR(INDEX('Classif Gestoras'!$H$6:$H$462,MATCH(D562,'Classif Gestoras'!$A$6:$A$462,0)),"Não classificada")</x:f>
        <x:v>Independente</x:v>
      </x:c>
      <x:c r="F562" s="168" t="str">
        <x:v>Oliveira Trust DTVM</x:v>
      </x:c>
      <x:c r="G562" s="168" t="str">
        <x:v>OLIVEIRA TRUST DTVM S.A.</x:v>
      </x:c>
      <x:c r="H562" s="168" t="str">
        <x:v>Outros</x:v>
      </x:c>
      <x:c r="I562" s="168" t="str">
        <x:v>Multicarteira Outros</x:v>
      </x:c>
      <x:c r="J562" s="168" t="str">
        <x:v>CI</x:v>
      </x:c>
      <x:c r="K562" s="174" t="n">
        <x:v>4</x:v>
      </x:c>
      <x:c r="L562" s="187" t="str">
        <x:v>Proxy multicedente/multissacado — revisar</x:v>
      </x:c>
    </x:row>
    <x:row r="563">
      <x:c r="A563" s="177" t="str">
        <x:v>36.643.574/0001-25</x:v>
      </x:c>
      <x:c r="B563" s="168" t="str">
        <x:v>VIVO PAY I FUNDO DE INVESTIMENTO EM DIREITOS CREDITORIOS RESPONSABILIDADE LIMITADA</x:v>
      </x:c>
      <x:c r="C563" s="190" t="n">
        <x:v>246275774.29</x:v>
      </x:c>
      <x:c r="D563" s="168" t="str">
        <x:v>POLÍGONO CAPITAL LTDA.</x:v>
      </x:c>
      <x:c r="E563" s="168" t="str">
        <x:f>IFERROR(INDEX('Classif Gestoras'!$H$6:$H$462,MATCH(D563,'Classif Gestoras'!$A$6:$A$462,0)),"Não classificada")</x:f>
        <x:v>Independente</x:v>
      </x:c>
      <x:c r="F563" s="168" t="str">
        <x:v>BTG Pactual Servicos Financeiros S/A DTVM</x:v>
      </x:c>
      <x:c r="G563" s="168" t="str">
        <x:v>BANCO BTG PACTUAL S/A</x:v>
      </x:c>
      <x:c r="H563" s="168" t="str">
        <x:v>Financeiro</x:v>
      </x:c>
      <x:c r="I563" s="168" t="str">
        <x:v>Crédito Pessoal</x:v>
      </x:c>
      <x:c r="J563" s="168" t="str">
        <x:v>CI</x:v>
      </x:c>
      <x:c r="K563" s="174" t="n">
        <x:v>6</x:v>
      </x:c>
      <x:c r="L563" s="187" t="str">
        <x:v>Não classificado</x:v>
      </x:c>
    </x:row>
    <x:row r="564">
      <x:c r="A564" s="177" t="str">
        <x:v>46.439.664/0001-52</x:v>
      </x:c>
      <x:c r="B564" s="168" t="str">
        <x:v>VALORA BWM FUNDO DE INVESTIMENTO EM DIREITOS CREDITÓRIOS RESPONSABILIDADE LIMITADA</x:v>
      </x:c>
      <x:c r="C564" s="190" t="n">
        <x:v>246100877.74</x:v>
      </x:c>
      <x:c r="D564" s="168" t="str">
        <x:v>VALORA RENDA FIXA LTDA.</x:v>
      </x:c>
      <x:c r="E564" s="168" t="str">
        <x:f>IFERROR(INDEX('Classif Gestoras'!$H$6:$H$462,MATCH(D564,'Classif Gestoras'!$A$6:$A$462,0)),"Não classificada")</x:f>
        <x:v>Independente</x:v>
      </x:c>
      <x:c r="F564" s="168" t="str">
        <x:v>BTG Pactual Servicos Financeiros S/A DTVM</x:v>
      </x:c>
      <x:c r="G564" s="168" t="str">
        <x:v>BANCO BTG PACTUAL S/A</x:v>
      </x:c>
      <x:c r="H564" s="168" t="str">
        <x:v>Outros</x:v>
      </x:c>
      <x:c r="I564" s="168" t="str">
        <x:v>Multicarteira Outros</x:v>
      </x:c>
      <x:c r="J564" s="168" t="str">
        <x:v>CI</x:v>
      </x:c>
      <x:c r="K564" s="174" t="n">
        <x:v>31</x:v>
      </x:c>
      <x:c r="L564" s="187" t="str">
        <x:v>Proxy multicedente/multissacado — revisar</x:v>
      </x:c>
    </x:row>
    <x:row r="565">
      <x:c r="A565" s="177" t="str">
        <x:v>62.729.814/0001-19</x:v>
      </x:c>
      <x:c r="B565" s="168" t="str">
        <x:v>DIRECIONAL RECEBÍVEIS FUNDO DE INVESTIMENTO EM DIREITOS CREDITÓRIOS FINANCEIROS DE RESP LTDA</x:v>
      </x:c>
      <x:c r="C565" s="190" t="n">
        <x:v>244771616.36999995</x:v>
      </x:c>
      <x:c r="D565" s="168" t="str">
        <x:v>Riza Securitização e Carteiras</x:v>
      </x:c>
      <x:c r="E565" s="168" t="str">
        <x:f>IFERROR(INDEX('Classif Gestoras'!$H$6:$H$462,MATCH(D565,'Classif Gestoras'!$A$6:$A$462,0)),"Não classificada")</x:f>
        <x:v>Independente</x:v>
      </x:c>
      <x:c r="F565" s="168" t="str">
        <x:v>Oliveira Trust DTVM</x:v>
      </x:c>
      <x:c r="G565" s="168" t="str">
        <x:v>OLIVEIRA TRUST DTVM S.A.</x:v>
      </x:c>
      <x:c r="H565" s="168" t="str">
        <x:v>Financeiro</x:v>
      </x:c>
      <x:c r="I565" s="168" t="str">
        <x:v>Crédito Imobiliário</x:v>
      </x:c>
      <x:c r="J565" s="168" t="str">
        <x:v>CI</x:v>
      </x:c>
      <x:c r="K565" s="174" t="n">
        <x:v>11</x:v>
      </x:c>
      <x:c r="L565" s="187" t="str">
        <x:v>Não classificado</x:v>
      </x:c>
    </x:row>
    <x:row r="566">
      <x:c r="A566" s="177" t="str">
        <x:v>48.660.463/0001-06</x:v>
      </x:c>
      <x:c r="B566" s="168" t="str">
        <x:v>FARMTECH UP CREDIT FUNDO DE INVESTIMENTO EM DIREITOS CREDITÓRIOS RESPONSABILIDADE LIMITADA</x:v>
      </x:c>
      <x:c r="C566" s="190" t="n">
        <x:v>244356512.27</x:v>
      </x:c>
      <x:c r="D566" s="168" t="str">
        <x:v>Farmtech Gestão de Recursos Ltda.</x:v>
      </x:c>
      <x:c r="E566" s="168" t="str">
        <x:f>IFERROR(INDEX('Classif Gestoras'!$H$6:$H$462,MATCH(D566,'Classif Gestoras'!$A$6:$A$462,0)),"Não classificada")</x:f>
        <x:v>Independente</x:v>
      </x:c>
      <x:c r="F566" s="168" t="str">
        <x:v>Oliveira Trust DTVM</x:v>
      </x:c>
      <x:c r="G566" s="168" t="str">
        <x:v>OLIVEIRA TRUST DTVM S.A.</x:v>
      </x:c>
      <x:c r="H566" s="168" t="str">
        <x:v>Agro, Indústria e Comércio</x:v>
      </x:c>
      <x:c r="I566" s="168" t="str">
        <x:v>Agronegócio</x:v>
      </x:c>
      <x:c r="J566" s="168" t="str">
        <x:v>CI</x:v>
      </x:c>
      <x:c r="K566" s="174" t="n">
        <x:v>3</x:v>
      </x:c>
      <x:c r="L566" s="187" t="str">
        <x:v>Não classificado</x:v>
      </x:c>
    </x:row>
    <x:row r="567">
      <x:c r="A567" s="177" t="str">
        <x:v>26.570.645/0001-53</x:v>
      </x:c>
      <x:c r="B567" s="168" t="str">
        <x:v>JC 4870 VI - FUNDO DE INVESTIMENTO EM DIREITOS CREDITÓRIOS NÃO PADRONIZADOS</x:v>
      </x:c>
      <x:c r="C567" s="190" t="n">
        <x:v>244243230.56</x:v>
      </x:c>
      <x:c r="D567" s="168" t="str">
        <x:v>PACTUAL CAPITAL PART</x:v>
      </x:c>
      <x:c r="E567" s="168" t="str">
        <x:f>IFERROR(INDEX('Classif Gestoras'!$H$6:$H$462,MATCH(D567,'Classif Gestoras'!$A$6:$A$462,0)),"Não classificada")</x:f>
        <x:v>Independente</x:v>
      </x:c>
      <x:c r="F567" s="168" t="str">
        <x:v>BTG Pactual Servicos Financeiros S/A DTVM</x:v>
      </x:c>
      <x:c r="G567" s="168" t="str">
        <x:v>BANCO BTG PACTUAL S/A</x:v>
      </x:c>
      <x:c r="H567" s="168" t="str">
        <x:v>Outros</x:v>
      </x:c>
      <x:c r="I567" s="168" t="str">
        <x:v>Poder Público</x:v>
      </x:c>
      <x:c r="J567" s="168" t="str">
        <x:v>CI</x:v>
      </x:c>
      <x:c r="K567" s="174" t="n">
        <x:v>9</x:v>
      </x:c>
      <x:c r="L567" s="187" t="str">
        <x:v>Não classificado</x:v>
      </x:c>
    </x:row>
    <x:row r="568">
      <x:c r="A568" s="177" t="str">
        <x:v>42.299.325/0001-67</x:v>
      </x:c>
      <x:c r="B568" s="168" t="str">
        <x:v>FUNDO DE INVESTIMENTO EM DIREITOS CREDITÓRIOS KUNA CAPITAL RESPONSABILIDADE LIMITADA</x:v>
      </x:c>
      <x:c r="C568" s="190" t="n">
        <x:v>243648730.27</x:v>
      </x:c>
      <x:c r="D568" s="168" t="str">
        <x:v>GV ATACAMA CAPITAL LTDA.</x:v>
      </x:c>
      <x:c r="E568" s="168" t="str">
        <x:f>IFERROR(INDEX('Classif Gestoras'!$H$6:$H$462,MATCH(D568,'Classif Gestoras'!$A$6:$A$462,0)),"Não classificada")</x:f>
        <x:v>Independente</x:v>
      </x:c>
      <x:c r="F568" s="168" t="str">
        <x:v>Singulare</x:v>
      </x:c>
      <x:c r="G568" s="168" t="str">
        <x:v>QI CORRETORA DE TÍTULOS E VALORES MOBILIÁRIOS S.A.</x:v>
      </x:c>
      <x:c r="H568" s="168" t="str">
        <x:v>Financeiro</x:v>
      </x:c>
      <x:c r="I568" s="168" t="str">
        <x:v>Financiamento de Veículos</x:v>
      </x:c>
      <x:c r="J568" s="168" t="str">
        <x:v>CI</x:v>
      </x:c>
      <x:c r="K568" s="174" t="n">
        <x:v>5</x:v>
      </x:c>
      <x:c r="L568" s="187" t="str">
        <x:v>Não classificado</x:v>
      </x:c>
    </x:row>
    <x:row r="569">
      <x:c r="A569" s="177" t="str">
        <x:v>49.740.972/0001-01</x:v>
      </x:c>
      <x:c r="B569" s="168" t="str">
        <x:v>PSS SPECTRUM-A PRINCIPAL FUNDO DE INVESTIMENTO EM DIREITOS CREDITÓRIOS</x:v>
      </x:c>
      <x:c r="C569" s="190" t="n">
        <x:v>243178194.86</x:v>
      </x:c>
      <x:c r="D569" s="168" t="str">
        <x:v>Prisma Capital Ltda.</x:v>
      </x:c>
      <x:c r="E569" s="168" t="str">
        <x:f>IFERROR(INDEX('Classif Gestoras'!$H$6:$H$462,MATCH(D569,'Classif Gestoras'!$A$6:$A$462,0)),"Não classificada")</x:f>
        <x:v>Independente</x:v>
      </x:c>
      <x:c r="F569" s="168" t="str">
        <x:v>Singulare</x:v>
      </x:c>
      <x:c r="G569" s="168" t="str">
        <x:v>QI CORRETORA DE TÍTULOS E VALORES MOBILIÁRIOS S.A.</x:v>
      </x:c>
      <x:c r="H569" s="168" t="str">
        <x:v>Outros</x:v>
      </x:c>
      <x:c r="I569" s="168" t="str">
        <x:v>Multicarteira Outros</x:v>
      </x:c>
      <x:c r="J569" s="168" t="str">
        <x:v>CI</x:v>
      </x:c>
      <x:c r="K569" s="174" t="n">
        <x:v>1</x:v>
      </x:c>
      <x:c r="L569" s="187" t="str">
        <x:v>Proxy multicedente/multissacado — revisar</x:v>
      </x:c>
    </x:row>
    <x:row r="570">
      <x:c r="A570" s="177" t="str">
        <x:v>26.395.682/0001-72</x:v>
      </x:c>
      <x:c r="B570" s="168" t="str">
        <x:v>FUNDO DE INVESTIMENTO EM DIREITOS CREDITÓRIOS XPCE IV</x:v>
      </x:c>
      <x:c r="C570" s="190" t="n">
        <x:v>242864537.05</x:v>
      </x:c>
      <x:c r="D570" s="168" t="str">
        <x:v>Vista Real Estate</x:v>
      </x:c>
      <x:c r="E570" s="168" t="str">
        <x:f>IFERROR(INDEX('Classif Gestoras'!$H$6:$H$462,MATCH(D570,'Classif Gestoras'!$A$6:$A$462,0)),"Não classificada")</x:f>
        <x:v>Independente</x:v>
      </x:c>
      <x:c r="F570" s="168" t="str">
        <x:v>XPI CCTVM S/A</x:v>
      </x:c>
      <x:c r="G570" s="168" t="str">
        <x:v>OLIVEIRA TRUST DTVM S.A.</x:v>
      </x:c>
      <x:c r="H570" s="168" t="str">
        <x:v>Outros</x:v>
      </x:c>
      <x:c r="I570" s="168" t="str">
        <x:v>Multicarteira Outros</x:v>
      </x:c>
      <x:c r="J570" s="168" t="str">
        <x:v>CI</x:v>
      </x:c>
      <x:c r="K570" s="174" t="n">
        <x:v>5</x:v>
      </x:c>
      <x:c r="L570" s="187" t="str">
        <x:v>Proxy multicedente/multissacado — revisar</x:v>
      </x:c>
    </x:row>
    <x:row r="571">
      <x:c r="A571" s="177" t="str">
        <x:v>58.533.905/0001-07</x:v>
      </x:c>
      <x:c r="B571" s="168" t="str">
        <x:v>LEGEND I SPECIAL ASSETS LEGAL CLAIMS FUNDO DE INVESTIMENTO EM DIREITOS CREDITÓRIOS</x:v>
      </x:c>
      <x:c r="C571" s="190" t="n">
        <x:v>242541522.92</x:v>
      </x:c>
      <x:c r="D571" s="168" t="str">
        <x:v>LEGEND LEGAL ASSETS GESTAO DE RECURSOS LTDA</x:v>
      </x:c>
      <x:c r="E571" s="168" t="str">
        <x:f>IFERROR(INDEX('Classif Gestoras'!$H$6:$H$462,MATCH(D571,'Classif Gestoras'!$A$6:$A$462,0)),"Não classificada")</x:f>
        <x:v>Independente</x:v>
      </x:c>
      <x:c r="F571" s="168" t="str">
        <x:v>BTG Pactual Servicos Financeiros S/A DTVM</x:v>
      </x:c>
      <x:c r="G571" s="168" t="str">
        <x:v>BANCO BTG PACTUAL S/A</x:v>
      </x:c>
      <x:c r="H571" s="168" t="str">
        <x:v>Outros</x:v>
      </x:c>
      <x:c r="I571" s="168" t="str">
        <x:v>Poder Público</x:v>
      </x:c>
      <x:c r="J571" s="168" t="str">
        <x:v>CI</x:v>
      </x:c>
      <x:c r="K571" s="174" t="n">
        <x:v>1</x:v>
      </x:c>
      <x:c r="L571" s="187" t="str">
        <x:v>Não classificado</x:v>
      </x:c>
    </x:row>
    <x:row r="572">
      <x:c r="A572" s="177" t="str">
        <x:v>61.996.793/0001-35</x:v>
      </x:c>
      <x:c r="B572" s="168" t="str">
        <x:v>SG II B FUNDO DE INVESTIMENTO EM DIREITOS CREDITÓRIOS</x:v>
      </x:c>
      <x:c r="C572" s="190" t="n">
        <x:v>241343149.15</x:v>
      </x:c>
      <x:c r="D572" s="168" t="str">
        <x:v>Jus Capital Gestão de Recursos LTDA</x:v>
      </x:c>
      <x:c r="E572" s="168" t="str">
        <x:f>IFERROR(INDEX('Classif Gestoras'!$H$6:$H$462,MATCH(D572,'Classif Gestoras'!$A$6:$A$462,0)),"Não classificada")</x:f>
        <x:v>Independente</x:v>
      </x:c>
      <x:c r="F572" s="168" t="str">
        <x:v>BTG Pactual Servicos Financeiros S/A DTVM</x:v>
      </x:c>
      <x:c r="G572" s="168" t="str">
        <x:v>BANCO BTG PACTUAL S/A</x:v>
      </x:c>
      <x:c r="H572" s="168" t="str">
        <x:v>Outros</x:v>
      </x:c>
      <x:c r="I572" s="168" t="str">
        <x:v>Poder Público</x:v>
      </x:c>
      <x:c r="J572" s="168" t="str">
        <x:v>CIPC</x:v>
      </x:c>
      <x:c r="K572" s="174" t="n">
        <x:v>1</x:v>
      </x:c>
      <x:c r="L572" s="187" t="str">
        <x:v>Não classificado</x:v>
      </x:c>
    </x:row>
    <x:row r="573">
      <x:c r="A573" s="177" t="str">
        <x:v>39.375.599/0001-83</x:v>
      </x:c>
      <x:c r="B573" s="168" t="str">
        <x:v>FUNDO DE INVESTIMENTO EM DIREITOS CREDITÓRIOS TRAMONTINA I</x:v>
      </x:c>
      <x:c r="C573" s="190" t="n">
        <x:v>241335572.11</x:v>
      </x:c>
      <x:c r="D573" s="168" t="str">
        <x:v>Cultinvest Asset</x:v>
      </x:c>
      <x:c r="E573" s="168" t="str">
        <x:f>IFERROR(INDEX('Classif Gestoras'!$H$6:$H$462,MATCH(D573,'Classif Gestoras'!$A$6:$A$462,0)),"Não classificada")</x:f>
        <x:v>Independente</x:v>
      </x:c>
      <x:c r="F573" s="168" t="str">
        <x:v>S3 Caceis Brasil Distribuidora de Títulos e Valores Mob</x:v>
      </x:c>
      <x:c r="G573" s="168" t="str">
        <x:v>S3 CACEIS BRASIL DISTRIBUIDORA DE TITULOS E VALORES MOBILIARIOS S.A</x:v>
      </x:c>
      <x:c r="H573" s="168" t="str">
        <x:v>Agro, Indústria e Comércio</x:v>
      </x:c>
      <x:c r="I573" s="168" t="str">
        <x:v>Recebíveis Comerciais</x:v>
      </x:c>
      <x:c r="J573" s="168" t="str">
        <x:v>CI</x:v>
      </x:c>
      <x:c r="K573" s="174" t="n">
        <x:v>72</x:v>
      </x:c>
      <x:c r="L573" s="187" t="str">
        <x:v>Não classificado</x:v>
      </x:c>
    </x:row>
    <x:row r="574">
      <x:c r="A574" s="177" t="str">
        <x:v>43.946.448/0001-05</x:v>
      </x:c>
      <x:c r="B574" s="168" t="str">
        <x:v>CALÊNDULA FUNDO DE INVESTIMENTO EM DIREITOS CREDITÓRIOS</x:v>
      </x:c>
      <x:c r="C574" s="190" t="n">
        <x:v>241064540.75</x:v>
      </x:c>
      <x:c r="D574" s="168" t="str">
        <x:v>Blue Solutions</x:v>
      </x:c>
      <x:c r="E574" s="168" t="str">
        <x:f>IFERROR(INDEX('Classif Gestoras'!$H$6:$H$462,MATCH(D574,'Classif Gestoras'!$A$6:$A$462,0)),"Não classificada")</x:f>
        <x:v>Independente</x:v>
      </x:c>
      <x:c r="F574" s="168" t="str">
        <x:v>TRUSTEE DTVM</x:v>
      </x:c>
      <x:c r="G574" s="168" t="str">
        <x:v>TRUSTEE DISTRIBUIDORA DE TITULOS E VALORES MOBILIARIOS LTDA.</x:v>
      </x:c>
      <x:c r="H574" s="168" t="str">
        <x:v>Outros</x:v>
      </x:c>
      <x:c r="I574" s="168" t="str">
        <x:v>Multicarteira Outros</x:v>
      </x:c>
      <x:c r="J574" s="168" t="str">
        <x:v>CI</x:v>
      </x:c>
      <x:c r="K574" s="174" t="n">
        <x:v>3</x:v>
      </x:c>
      <x:c r="L574" s="187" t="str">
        <x:v>Proxy multicedente/multissacado — revisar</x:v>
      </x:c>
    </x:row>
    <x:row r="575">
      <x:c r="A575" s="177" t="str">
        <x:v>47.425.662/0001-77</x:v>
      </x:c>
      <x:c r="B575" s="168" t="str">
        <x:v>IOX SPECIAL FUNDO DE INVESTIMENTO EM DIREITOS CREDITORIOS NÃO PADRONIZADO</x:v>
      </x:c>
      <x:c r="C575" s="190" t="n">
        <x:v>240209948.33999997</x:v>
      </x:c>
      <x:c r="D575" s="168" t="str">
        <x:v>M8 Partners</x:v>
      </x:c>
      <x:c r="E575" s="168" t="str">
        <x:f>IFERROR(INDEX('Classif Gestoras'!$H$6:$H$462,MATCH(D575,'Classif Gestoras'!$A$6:$A$462,0)),"Não classificada")</x:f>
        <x:v>Independente</x:v>
      </x:c>
      <x:c r="F575" s="168" t="str">
        <x:v>Singulare</x:v>
      </x:c>
      <x:c r="G575" s="168" t="str">
        <x:v>QI CORRETORA DE TÍTULOS E VALORES MOBILIÁRIOS S.A.</x:v>
      </x:c>
      <x:c r="H575" s="168" t="str">
        <x:v>Outros</x:v>
      </x:c>
      <x:c r="I575" s="168" t="str">
        <x:v>Multicarteira Outros</x:v>
      </x:c>
      <x:c r="J575" s="168" t="str">
        <x:v>CI</x:v>
      </x:c>
      <x:c r="K575" s="174" t="n">
        <x:v>37</x:v>
      </x:c>
      <x:c r="L575" s="187" t="str">
        <x:v>Proxy multicedente/multissacado — revisar</x:v>
      </x:c>
    </x:row>
    <x:row r="576">
      <x:c r="A576" s="177" t="str">
        <x:v>57.182.268/0001-09</x:v>
      </x:c>
      <x:c r="B576" s="168" t="str">
        <x:v>CONECTEPAG I FUNDO DE INVESTIMENTO EM DIREITOS CREDITORIOS RESPONSABILIDADE LIMITADA</x:v>
      </x:c>
      <x:c r="C576" s="190" t="n">
        <x:v>238002321.52</x:v>
      </x:c>
      <x:c r="D576" s="168" t="str">
        <x:v>AUGME CAPITAL GESTÃO DE RECURSOS LTDA.</x:v>
      </x:c>
      <x:c r="E576" s="168" t="str">
        <x:f>IFERROR(INDEX('Classif Gestoras'!$H$6:$H$462,MATCH(D576,'Classif Gestoras'!$A$6:$A$462,0)),"Não classificada")</x:f>
        <x:v>Independente</x:v>
      </x:c>
      <x:c r="F576" s="168" t="str">
        <x:v>BANCO DAYCOVAL S/A</x:v>
      </x:c>
      <x:c r="G576" s="168" t="str">
        <x:v>BANCO DAYCOVAL S.A.</x:v>
      </x:c>
      <x:c r="H576" s="168" t="str">
        <x:v>Outros</x:v>
      </x:c>
      <x:c r="I576" s="168" t="str">
        <x:v>Multicarteira Outros</x:v>
      </x:c>
      <x:c r="J576" s="168" t="str">
        <x:v>CI</x:v>
      </x:c>
      <x:c r="K576" s="174" t="n">
        <x:v>48</x:v>
      </x:c>
      <x:c r="L576" s="187" t="str">
        <x:v>Proxy multicedente/multissacado — revisar</x:v>
      </x:c>
    </x:row>
    <x:row r="577">
      <x:c r="A577" s="177" t="str">
        <x:v>39.769.235/0001-88</x:v>
      </x:c>
      <x:c r="B577" s="168" t="str">
        <x:v>CUPERTINO FUNDO DE INVESTIMENTO EM DIREITOS CREDITÓRIOS - RESPONSABILIDADE LIMITADA</x:v>
      </x:c>
      <x:c r="C577" s="190" t="n">
        <x:v>237888761.27000004</x:v>
      </x:c>
      <x:c r="D577" s="168" t="str">
        <x:v>M8 Partners</x:v>
      </x:c>
      <x:c r="E577" s="168" t="str">
        <x:f>IFERROR(INDEX('Classif Gestoras'!$H$6:$H$462,MATCH(D577,'Classif Gestoras'!$A$6:$A$462,0)),"Não classificada")</x:f>
        <x:v>Independente</x:v>
      </x:c>
      <x:c r="F577" s="168" t="str">
        <x:v>Singulare</x:v>
      </x:c>
      <x:c r="G577" s="168" t="str">
        <x:v>QI CORRETORA DE TÍTULOS E VALORES MOBILIÁRIOS S.A.</x:v>
      </x:c>
      <x:c r="H577" s="168" t="str">
        <x:v>Fomento Mercantil</x:v>
      </x:c>
      <x:c r="I577" s="168" t="str">
        <x:v>Fomento Mercantil</x:v>
      </x:c>
      <x:c r="J577" s="168" t="str">
        <x:v>CI</x:v>
      </x:c>
      <x:c r="K577" s="174" t="n">
        <x:v>183</x:v>
      </x:c>
      <x:c r="L577" s="187" t="str">
        <x:v>Não classificado</x:v>
      </x:c>
    </x:row>
    <x:row r="578">
      <x:c r="A578" s="177" t="str">
        <x:v>21.824.924/0001-82</x:v>
      </x:c>
      <x:c r="B578" s="168" t="str">
        <x:v>CIELO FUNDO DE INVESTIMENTO EM DIREITOS CREDITÓRIOS NÃO-PADRONIZADOS</x:v>
      </x:c>
      <x:c r="C578" s="190" t="n">
        <x:v>237405289.2</x:v>
      </x:c>
      <x:c r="D578" s="168" t="str">
        <x:v>Banco Bradesco S/A</x:v>
      </x:c>
      <x:c r="E578" s="168" t="str">
        <x:f>IFERROR(INDEX('Classif Gestoras'!$H$6:$H$462,MATCH(D578,'Classif Gestoras'!$A$6:$A$462,0)),"Não classificada")</x:f>
        <x:v>Ligada a banco</x:v>
      </x:c>
      <x:c r="F578" s="168" t="str">
        <x:v>BEM - DIST. DE TÍTUL</x:v>
      </x:c>
      <x:c r="G578" s="168" t="str">
        <x:v>BANCO BRADESCO S.A.</x:v>
      </x:c>
      <x:c r="H578" s="168" t="str">
        <x:v>Agro, Indústria e Comércio</x:v>
      </x:c>
      <x:c r="I578" s="168" t="str">
        <x:v>Recebíveis Comerciais</x:v>
      </x:c>
      <x:c r="J578" s="168" t="str">
        <x:v>CI</x:v>
      </x:c>
      <x:c r="K578" s="174" t="n">
        <x:v>1</x:v>
      </x:c>
      <x:c r="L578" s="187" t="str">
        <x:v>Não classificado</x:v>
      </x:c>
    </x:row>
    <x:row r="579">
      <x:c r="A579" s="177" t="str">
        <x:v>44.002.535/0001-77</x:v>
      </x:c>
      <x:c r="B579" s="168" t="str">
        <x:v>BEX FUNDO DE INVESTIMENTO EM DIREITOS CREDITÓRIOS - RESPONSABILIDADE LIMITADA</x:v>
      </x:c>
      <x:c r="C579" s="190" t="n">
        <x:v>237387135.42000005</x:v>
      </x:c>
      <x:c r="D579" s="168" t="str">
        <x:v>BRZ Investimentos</x:v>
      </x:c>
      <x:c r="E579" s="168" t="str">
        <x:f>IFERROR(INDEX('Classif Gestoras'!$H$6:$H$462,MATCH(D579,'Classif Gestoras'!$A$6:$A$462,0)),"Não classificada")</x:f>
        <x:v>Independente</x:v>
      </x:c>
      <x:c r="F579" s="168" t="str">
        <x:v>Singulare</x:v>
      </x:c>
      <x:c r="G579" s="168" t="str">
        <x:v>QI CORRETORA DE TÍTULOS E VALORES MOBILIÁRIOS S.A.</x:v>
      </x:c>
      <x:c r="H579" s="168" t="str">
        <x:v>Fomento Mercantil</x:v>
      </x:c>
      <x:c r="I579" s="168" t="str">
        <x:v>Fomento Mercantil</x:v>
      </x:c>
      <x:c r="J579" s="168" t="str">
        <x:v>CI</x:v>
      </x:c>
      <x:c r="K579" s="174" t="n">
        <x:v>123</x:v>
      </x:c>
      <x:c r="L579" s="187" t="str">
        <x:v>Não classificado</x:v>
      </x:c>
    </x:row>
    <x:row r="580">
      <x:c r="A580" s="177" t="str">
        <x:v>51.430.054/0001-28</x:v>
      </x:c>
      <x:c r="B580" s="168" t="str">
        <x:v>BRAVOS FUNDO DE INVESTIMENTO EM DIREITOS CREDITÓRIOS</x:v>
      </x:c>
      <x:c r="C580" s="190" t="n">
        <x:v>236726720.82</x:v>
      </x:c>
      <x:c r="D580" s="168" t="str">
        <x:v>Catálise Investimentos</x:v>
      </x:c>
      <x:c r="E580" s="168" t="str">
        <x:f>IFERROR(INDEX('Classif Gestoras'!$H$6:$H$462,MATCH(D580,'Classif Gestoras'!$A$6:$A$462,0)),"Não classificada")</x:f>
        <x:v>Independente</x:v>
      </x:c>
      <x:c r="F580" s="168" t="str">
        <x:v>CATÁLISE DTVM</x:v>
      </x:c>
      <x:c r="G580" s="168" t="str">
        <x:v>BANCO DAYCOVAL S.A.</x:v>
      </x:c>
      <x:c r="H580" s="168" t="str">
        <x:v>Outros</x:v>
      </x:c>
      <x:c r="I580" s="168" t="str">
        <x:v>Multicarteira Outros</x:v>
      </x:c>
      <x:c r="J580" s="168" t="str">
        <x:v>CI</x:v>
      </x:c>
      <x:c r="K580" s="174" t="n">
        <x:v>1</x:v>
      </x:c>
      <x:c r="L580" s="187" t="str">
        <x:v>Proxy multicedente/multissacado — revisar</x:v>
      </x:c>
    </x:row>
    <x:row r="581">
      <x:c r="A581" s="177" t="str">
        <x:v>49.669.950/0001-00</x:v>
      </x:c>
      <x:c r="B581" s="168" t="str">
        <x:v>MAROSTICA CAPITAL FUNDO DE INVESTIMENTO EM DIREITOS CREDITORIOS NÃO PADRONIZADO</x:v>
      </x:c>
      <x:c r="C581" s="190" t="n">
        <x:v>236623056.33</x:v>
      </x:c>
      <x:c r="D581" s="168" t="str">
        <x:v>Harbour Capital</x:v>
      </x:c>
      <x:c r="E581" s="168" t="str">
        <x:f>IFERROR(INDEX('Classif Gestoras'!$H$6:$H$462,MATCH(D581,'Classif Gestoras'!$A$6:$A$462,0)),"Não classificada")</x:f>
        <x:v>Independente</x:v>
      </x:c>
      <x:c r="F581" s="168" t="str">
        <x:v>Singulare</x:v>
      </x:c>
      <x:c r="G581" s="168" t="str">
        <x:v>QI CORRETORA DE TÍTULOS E VALORES MOBILIÁRIOS S.A.</x:v>
      </x:c>
      <x:c r="H581" s="168" t="str">
        <x:v>Fomento Mercantil</x:v>
      </x:c>
      <x:c r="I581" s="168" t="str">
        <x:v>Fomento Mercantil</x:v>
      </x:c>
      <x:c r="J581" s="168" t="str">
        <x:v>CI</x:v>
      </x:c>
      <x:c r="K581" s="174" t="n">
        <x:v>4</x:v>
      </x:c>
      <x:c r="L581" s="187" t="str">
        <x:v>Não classificado</x:v>
      </x:c>
    </x:row>
    <x:row r="582">
      <x:c r="A582" s="177" t="str">
        <x:v>11.198.684/0001-02</x:v>
      </x:c>
      <x:c r="B582" s="168" t="str">
        <x:v>PRASS FUNDO DE INVESTIMENTO EM DIREITOS CREDITÓRIOS II</x:v>
      </x:c>
      <x:c r="C582" s="190" t="n">
        <x:v>236334239.95</x:v>
      </x:c>
      <x:c r="D582" s="168" t="str">
        <x:v>Quatá Investimentos</x:v>
      </x:c>
      <x:c r="E582" s="168" t="str">
        <x:f>IFERROR(INDEX('Classif Gestoras'!$H$6:$H$462,MATCH(D582,'Classif Gestoras'!$A$6:$A$462,0)),"Não classificada")</x:f>
        <x:v>Independente</x:v>
      </x:c>
      <x:c r="F582" s="168" t="str">
        <x:v>BRL TRUST DTVM</x:v>
      </x:c>
      <x:c r="G582" s="168" t="str">
        <x:v>BRL TRUST DISTRIBUIDORA DE TITULOS E VALORES MOBILIARIOS S.A.</x:v>
      </x:c>
      <x:c r="H582" s="168" t="str">
        <x:v>Agro, Indústria e Comércio</x:v>
      </x:c>
      <x:c r="I582" s="168" t="str">
        <x:v>Crédito Corporativo</x:v>
      </x:c>
      <x:c r="J582" s="168" t="str">
        <x:v>CI</x:v>
      </x:c>
      <x:c r="K582" s="174" t="n">
        <x:v>48</x:v>
      </x:c>
      <x:c r="L582" s="187" t="str">
        <x:v>Não classificado</x:v>
      </x:c>
    </x:row>
    <x:row r="583">
      <x:c r="A583" s="177" t="str">
        <x:v>58.171.340/0001-65</x:v>
      </x:c>
      <x:c r="B583" s="168" t="str">
        <x:v>FRIMESA FUNDO DE INVESTIMENTO EM DIREITOS CREDITÓRIOS DE RESPONSABILIDADE LIMITADA</x:v>
      </x:c>
      <x:c r="C583" s="190" t="n">
        <x:v>236095604.02</x:v>
      </x:c>
      <x:c r="D583" s="168" t="str">
        <x:v>OPEA GESTORA DE RECURSOS</x:v>
      </x:c>
      <x:c r="E583" s="168" t="str">
        <x:f>IFERROR(INDEX('Classif Gestoras'!$H$6:$H$462,MATCH(D583,'Classif Gestoras'!$A$6:$A$462,0)),"Não classificada")</x:f>
        <x:v>Independente</x:v>
      </x:c>
      <x:c r="F583" s="168" t="str">
        <x:v>VÓRTX DTVM</x:v>
      </x:c>
      <x:c r="G583" s="168" t="str">
        <x:v>VORTX DISTRIBUIDORA DE TITULOS E VALORES MOBILIARIOS LTDA.</x:v>
      </x:c>
      <x:c r="H583" s="168" t="str">
        <x:v>Agro, Indústria e Comércio</x:v>
      </x:c>
      <x:c r="I583" s="168" t="str">
        <x:v>Multicarteira Agro, Indústria e Comércio</x:v>
      </x:c>
      <x:c r="J583" s="168" t="str">
        <x:v>CI</x:v>
      </x:c>
      <x:c r="K583" s="174" t="n">
        <x:v>4</x:v>
      </x:c>
      <x:c r="L583" s="187" t="str">
        <x:v>Proxy multicedente/multissacado — revisar</x:v>
      </x:c>
    </x:row>
    <x:row r="584">
      <x:c r="A584" s="177" t="str">
        <x:v>48.279.539/0001-58</x:v>
      </x:c>
      <x:c r="B584" s="168" t="str">
        <x:v>ALGARVE AMAZÔNIA FUNDO DE INVESTIMENTO EM DIREITOS CREDITÓRIOS DE RESPONSABILIDADE LIMITADA</x:v>
      </x:c>
      <x:c r="C584" s="190" t="n">
        <x:v>235413589.75</x:v>
      </x:c>
      <x:c r="D584" s="168" t="str">
        <x:v>Algarve Capital</x:v>
      </x:c>
      <x:c r="E584" s="168" t="str">
        <x:f>IFERROR(INDEX('Classif Gestoras'!$H$6:$H$462,MATCH(D584,'Classif Gestoras'!$A$6:$A$462,0)),"Não classificada")</x:f>
        <x:v>Independente</x:v>
      </x:c>
      <x:c r="F584" s="168" t="str">
        <x:v>BANCO DAYCOVAL S/A</x:v>
      </x:c>
      <x:c r="G584" s="168" t="str">
        <x:v>BANCO DAYCOVAL S.A.</x:v>
      </x:c>
      <x:c r="H584" s="168" t="str">
        <x:v>Outros</x:v>
      </x:c>
      <x:c r="I584" s="168" t="str">
        <x:v>Multicarteira Outros</x:v>
      </x:c>
      <x:c r="J584" s="168" t="str">
        <x:v>CI</x:v>
      </x:c>
      <x:c r="K584" s="174" t="n">
        <x:v>8</x:v>
      </x:c>
      <x:c r="L584" s="187" t="str">
        <x:v>Proxy multicedente/multissacado — revisar</x:v>
      </x:c>
    </x:row>
    <x:row r="585">
      <x:c r="A585" s="177" t="str">
        <x:v>52.498.585/0001-15</x:v>
      </x:c>
      <x:c r="B585" s="168" t="str">
        <x:v>SALENTO FUNDO DE INVESTIMENTO EM DIREITOS CREDITÓRIOS</x:v>
      </x:c>
      <x:c r="C585" s="190" t="n">
        <x:v>234927168.04</x:v>
      </x:c>
      <x:c r="D585" s="168" t="str">
        <x:v>Iggy Investimentos</x:v>
      </x:c>
      <x:c r="E585" s="168" t="str">
        <x:f>IFERROR(INDEX('Classif Gestoras'!$H$6:$H$462,MATCH(D585,'Classif Gestoras'!$A$6:$A$462,0)),"Não classificada")</x:f>
        <x:v>Independente</x:v>
      </x:c>
      <x:c r="F585" s="168" t="str">
        <x:v>Singulare</x:v>
      </x:c>
      <x:c r="G585" s="168" t="str">
        <x:v>QI CORRETORA DE TÍTULOS E VALORES MOBILIÁRIOS S.A.</x:v>
      </x:c>
      <x:c r="H585" s="168" t="str">
        <x:v>Outros</x:v>
      </x:c>
      <x:c r="I585" s="168" t="str">
        <x:v>Multicarteira Outros</x:v>
      </x:c>
      <x:c r="J585" s="168" t="str">
        <x:v>CI</x:v>
      </x:c>
      <x:c r="K585" s="174" t="n">
        <x:v>1</x:v>
      </x:c>
      <x:c r="L585" s="187" t="str">
        <x:v>Proxy multicedente/multissacado — revisar</x:v>
      </x:c>
    </x:row>
    <x:row r="586">
      <x:c r="A586" s="177" t="str">
        <x:v>36.655.893/0001-50</x:v>
      </x:c>
      <x:c r="B586" s="168" t="str">
        <x:v>XP CRÉDITO ESTRUTURADO 360 PROFISSIONAL FUNDO DE INVESTIMENTO EM DIREITOS CREDITÓRIOS</x:v>
      </x:c>
      <x:c r="C586" s="190" t="n">
        <x:v>233432926.49</x:v>
      </x:c>
      <x:c r="D586" s="168" t="str">
        <x:v>Vista Real Estate</x:v>
      </x:c>
      <x:c r="E586" s="168" t="str">
        <x:f>IFERROR(INDEX('Classif Gestoras'!$H$6:$H$462,MATCH(D586,'Classif Gestoras'!$A$6:$A$462,0)),"Não classificada")</x:f>
        <x:v>Independente</x:v>
      </x:c>
      <x:c r="F586" s="168" t="str">
        <x:v>VÓRTX DTVM</x:v>
      </x:c>
      <x:c r="G586" s="168" t="str">
        <x:v>VORTX DISTRIBUIDORA DE TITULOS E VALORES MOBILIARIOS LTDA.</x:v>
      </x:c>
      <x:c r="H586" s="168" t="str">
        <x:v>Outros</x:v>
      </x:c>
      <x:c r="I586" s="168" t="str">
        <x:v>Multicarteira Outros</x:v>
      </x:c>
      <x:c r="J586" s="168" t="str">
        <x:v>CI</x:v>
      </x:c>
      <x:c r="K586" s="174" t="n">
        <x:v>1</x:v>
      </x:c>
      <x:c r="L586" s="187" t="str">
        <x:v>Proxy multicedente/multissacado — revisar</x:v>
      </x:c>
    </x:row>
    <x:row r="587">
      <x:c r="A587" s="177" t="str">
        <x:v>14.770.038/0001-58</x:v>
      </x:c>
      <x:c r="B587" s="168" t="str">
        <x:v>MULTIPLIX MULTISSETORIAL FUNDO DE INVESTIMENTO EM DIREITOS CREDITÓRIOS - RESPONSABILIDADE LIMITADA</x:v>
      </x:c>
      <x:c r="C587" s="190" t="n">
        <x:v>233320820.07000005</x:v>
      </x:c>
      <x:c r="D587" s="168" t="str">
        <x:v>ARTESANAL MCMS</x:v>
      </x:c>
      <x:c r="E587" s="168" t="str">
        <x:f>IFERROR(INDEX('Classif Gestoras'!$H$6:$H$462,MATCH(D587,'Classif Gestoras'!$A$6:$A$462,0)),"Não classificada")</x:f>
        <x:v>Independente</x:v>
      </x:c>
      <x:c r="F587" s="168" t="str">
        <x:v>Singulare</x:v>
      </x:c>
      <x:c r="G587" s="168" t="str">
        <x:v>QI CORRETORA DE TÍTULOS E VALORES MOBILIÁRIOS S.A.</x:v>
      </x:c>
      <x:c r="H587" s="168" t="str">
        <x:v>Fomento Mercantil</x:v>
      </x:c>
      <x:c r="I587" s="168" t="str">
        <x:v>Fomento Mercantil</x:v>
      </x:c>
      <x:c r="J587" s="168" t="str">
        <x:v>CI</x:v>
      </x:c>
      <x:c r="K587" s="174" t="n">
        <x:v>17</x:v>
      </x:c>
      <x:c r="L587" s="187" t="str">
        <x:v>Não classificado</x:v>
      </x:c>
    </x:row>
    <x:row r="588">
      <x:c r="A588" s="177" t="str">
        <x:v>53.661.754/0001-59</x:v>
      </x:c>
      <x:c r="B588" s="168" t="str">
        <x:v>CRÉDITO CONSIGNADO PREFIXADO FI EM DIREITOS CREDITÓRIOS FINANCEIROS DE RESPONSABILIDADE LIMITADA</x:v>
      </x:c>
      <x:c r="C588" s="190" t="n">
        <x:v>232960417.34</x:v>
      </x:c>
      <x:c r="D588" s="168" t="str">
        <x:v>POLÍGONO CAPITAL LTDA.</x:v>
      </x:c>
      <x:c r="E588" s="168" t="str">
        <x:f>IFERROR(INDEX('Classif Gestoras'!$H$6:$H$462,MATCH(D588,'Classif Gestoras'!$A$6:$A$462,0)),"Não classificada")</x:f>
        <x:v>Independente</x:v>
      </x:c>
      <x:c r="F588" s="168" t="str">
        <x:v>BTG Pactual Servicos Financeiros S/A DTVM</x:v>
      </x:c>
      <x:c r="G588" s="168" t="str">
        <x:v>BANCO BTG PACTUAL S/A</x:v>
      </x:c>
      <x:c r="H588" s="168" t="str">
        <x:v>Financeiro</x:v>
      </x:c>
      <x:c r="I588" s="168" t="str">
        <x:v>Crédito Consignado</x:v>
      </x:c>
      <x:c r="J588" s="168" t="str">
        <x:v>CI</x:v>
      </x:c>
      <x:c r="K588" s="174" t="n">
        <x:v>5</x:v>
      </x:c>
      <x:c r="L588" s="187" t="str">
        <x:v>Não classificado</x:v>
      </x:c>
    </x:row>
    <x:row r="589">
      <x:c r="A589" s="177" t="str">
        <x:v>10.145.630/0001-08</x:v>
      </x:c>
      <x:c r="B589" s="168" t="str">
        <x:v>QUATA FUNDO DE INVESTIMENTO EM DIREITOS CREDITORIOS MULTISETORIAL</x:v>
      </x:c>
      <x:c r="C589" s="190" t="n">
        <x:v>232351437.96999997</x:v>
      </x:c>
      <x:c r="D589" s="168" t="str">
        <x:v>Quatá Investimentos</x:v>
      </x:c>
      <x:c r="E589" s="168" t="str">
        <x:f>IFERROR(INDEX('Classif Gestoras'!$H$6:$H$462,MATCH(D589,'Classif Gestoras'!$A$6:$A$462,0)),"Não classificada")</x:f>
        <x:v>Independente</x:v>
      </x:c>
      <x:c r="F589" s="168" t="str">
        <x:v>Singulare</x:v>
      </x:c>
      <x:c r="G589" s="168" t="str">
        <x:v>QI CORRETORA DE TÍTULOS E VALORES MOBILIÁRIOS S.A.</x:v>
      </x:c>
      <x:c r="H589" s="168" t="str">
        <x:v>Fomento Mercantil</x:v>
      </x:c>
      <x:c r="I589" s="168" t="str">
        <x:v>Fomento Mercantil</x:v>
      </x:c>
      <x:c r="J589" s="168" t="str">
        <x:v>CI</x:v>
      </x:c>
      <x:c r="K589" s="174" t="n">
        <x:v>200</x:v>
      </x:c>
      <x:c r="L589" s="187" t="str">
        <x:v>Não classificado</x:v>
      </x:c>
    </x:row>
    <x:row r="590">
      <x:c r="A590" s="177" t="str">
        <x:v>10.528.349/0001-54</x:v>
      </x:c>
      <x:c r="B590" s="168" t="str">
        <x:v>CREDENCIAL - FUNDO DE INVESTIMENTO EM DIREITOS CREDITÓRIOS RESPONSABILIDADE LIMITADA</x:v>
      </x:c>
      <x:c r="C590" s="190" t="n">
        <x:v>231061523.25</x:v>
      </x:c>
      <x:c r="D590" s="168" t="str">
        <x:v>Oliveira Trust DTVM</x:v>
      </x:c>
      <x:c r="E590" s="168" t="str">
        <x:f>IFERROR(INDEX('Classif Gestoras'!$H$6:$H$462,MATCH(D590,'Classif Gestoras'!$A$6:$A$462,0)),"Não classificada")</x:f>
        <x:v>Independente</x:v>
      </x:c>
      <x:c r="F590" s="168" t="str">
        <x:v>Oliveira Trust DTVM</x:v>
      </x:c>
      <x:c r="G590" s="168" t="str">
        <x:v>OLIVEIRA TRUST DTVM S.A.</x:v>
      </x:c>
      <x:c r="H590" s="168" t="str">
        <x:v>Agro, Indústria e Comércio</x:v>
      </x:c>
      <x:c r="I590" s="168" t="str">
        <x:v>Recebíveis Comerciais</x:v>
      </x:c>
      <x:c r="J590" s="168" t="str">
        <x:v>CI</x:v>
      </x:c>
      <x:c r="K590" s="174" t="n">
        <x:v>1</x:v>
      </x:c>
      <x:c r="L590" s="187" t="str">
        <x:v>Não classificado</x:v>
      </x:c>
    </x:row>
    <x:row r="591">
      <x:c r="A591" s="177" t="str">
        <x:v>55.401.645/0001-28</x:v>
      </x:c>
      <x:c r="B591" s="168" t="str">
        <x:v>QUATÁ FDC FGTS FUNDO DE INVESTIMENTO EM DIREITOS CREDITÓRIOS</x:v>
      </x:c>
      <x:c r="C591" s="190" t="n">
        <x:v>231005714.68001</x:v>
      </x:c>
      <x:c r="D591" s="168" t="str">
        <x:v>Quatá Investimentos</x:v>
      </x:c>
      <x:c r="E591" s="168" t="str">
        <x:f>IFERROR(INDEX('Classif Gestoras'!$H$6:$H$462,MATCH(D591,'Classif Gestoras'!$A$6:$A$462,0)),"Não classificada")</x:f>
        <x:v>Independente</x:v>
      </x:c>
      <x:c r="F591" s="168" t="str">
        <x:v>QI DISTRIBUIDORA DE TITULOS E VALORES MOBILIARIOS LTDA</x:v>
      </x:c>
      <x:c r="G591" s="168" t="str">
        <x:v>QI CORRETORA DE TÍTULOS E VALORES MOBILIÁRIOS S.A.</x:v>
      </x:c>
      <x:c r="H591" s="168" t="str">
        <x:v>Financeiro</x:v>
      </x:c>
      <x:c r="I591" s="168" t="str">
        <x:v>Crédito Pessoal</x:v>
      </x:c>
      <x:c r="J591" s="168" t="str">
        <x:v>CI</x:v>
      </x:c>
      <x:c r="K591" s="174" t="n">
        <x:v>6</x:v>
      </x:c>
      <x:c r="L591" s="187" t="str">
        <x:v>Não classificado</x:v>
      </x:c>
    </x:row>
    <x:row r="592">
      <x:c r="A592" s="177" t="str">
        <x:v>28.086.648/0001-41</x:v>
      </x:c>
      <x:c r="B592" s="168" t="str">
        <x:v>QG PRIM FUNDO DE INVESTIMENTO EM DIREITOS CREDITÓRIOS - RESPONSABILIDADE LIMITADA</x:v>
      </x:c>
      <x:c r="C592" s="190" t="n">
        <x:v>230369998.75</x:v>
      </x:c>
      <x:c r="D592" s="168" t="str">
        <x:v>Quadra Gestão de Recursos S.A.</x:v>
      </x:c>
      <x:c r="E592" s="168" t="str">
        <x:f>IFERROR(INDEX('Classif Gestoras'!$H$6:$H$462,MATCH(D592,'Classif Gestoras'!$A$6:$A$462,0)),"Não classificada")</x:f>
        <x:v>Independente</x:v>
      </x:c>
      <x:c r="F592" s="168" t="str">
        <x:v>BNY MELLON SERVICOS</x:v>
      </x:c>
      <x:c r="G592" s="168" t="str">
        <x:v>BNY MELLON BANCO S.A.</x:v>
      </x:c>
      <x:c r="H592" s="168" t="str">
        <x:v>Outros</x:v>
      </x:c>
      <x:c r="I592" s="168" t="str">
        <x:v>Multicarteira Outros</x:v>
      </x:c>
      <x:c r="J592" s="168" t="str">
        <x:v>CI</x:v>
      </x:c>
      <x:c r="K592" s="174" t="n">
        <x:v>1</x:v>
      </x:c>
      <x:c r="L592" s="187" t="str">
        <x:v>Proxy multicedente/multissacado — revisar</x:v>
      </x:c>
    </x:row>
    <x:row r="593">
      <x:c r="A593" s="177" t="str">
        <x:v>57.213.448/0001-00</x:v>
      </x:c>
      <x:c r="B593" s="168" t="str">
        <x:v>MISSÕES FUNDO DE INVESTIMENTO EM DIREITOS CREDITÓRIOS</x:v>
      </x:c>
      <x:c r="C593" s="190" t="n">
        <x:v>229890565</x:v>
      </x:c>
      <x:c r="D593" s="168" t="str">
        <x:v>SOMMA Investimentos</x:v>
      </x:c>
      <x:c r="E593" s="168" t="str">
        <x:f>IFERROR(INDEX('Classif Gestoras'!$H$6:$H$462,MATCH(D593,'Classif Gestoras'!$A$6:$A$462,0)),"Não classificada")</x:f>
        <x:v>Independente</x:v>
      </x:c>
      <x:c r="F593" s="168" t="str">
        <x:v>Singulare</x:v>
      </x:c>
      <x:c r="G593" s="168" t="str">
        <x:v>QI CORRETORA DE TÍTULOS E VALORES MOBILIÁRIOS S.A.</x:v>
      </x:c>
      <x:c r="H593" s="168" t="str">
        <x:v>Outros</x:v>
      </x:c>
      <x:c r="I593" s="168" t="str">
        <x:v>Multicarteira Outros</x:v>
      </x:c>
      <x:c r="J593" s="168" t="str">
        <x:v>CI</x:v>
      </x:c>
      <x:c r="K593" s="174" t="n">
        <x:v>4</x:v>
      </x:c>
      <x:c r="L593" s="187" t="str">
        <x:v>Proxy multicedente/multissacado — revisar</x:v>
      </x:c>
    </x:row>
    <x:row r="594">
      <x:c r="A594" s="177" t="str">
        <x:v>10.756.703/0001-06</x:v>
      </x:c>
      <x:c r="B594" s="168" t="str">
        <x:v>KOBOLD H FUNDO DE INVESTIMENTO EM DIREITOS CREDITÓRIOS RESPONSABILIDADE LIMITADA</x:v>
      </x:c>
      <x:c r="C594" s="190" t="n">
        <x:v>229843113.11</x:v>
      </x:c>
      <x:c r="D594" s="168" t="str">
        <x:v>Kobold Gestora de Fundos LTDA.</x:v>
      </x:c>
      <x:c r="E594" s="168" t="str">
        <x:f>IFERROR(INDEX('Classif Gestoras'!$H$6:$H$462,MATCH(D594,'Classif Gestoras'!$A$6:$A$462,0)),"Não classificada")</x:f>
        <x:v>Independente</x:v>
      </x:c>
      <x:c r="F594" s="168" t="str">
        <x:v>Finaxis Corretora de Títulos e Valores Mobiliários S.A.</x:v>
      </x:c>
      <x:c r="G594" s="168" t="str">
        <x:v>BANCO FINAXIS S.A.</x:v>
      </x:c>
      <x:c r="H594" s="168" t="str">
        <x:v>Outros</x:v>
      </x:c>
      <x:c r="I594" s="168" t="str">
        <x:v>Multicarteira Outros</x:v>
      </x:c>
      <x:c r="J594" s="168" t="str">
        <x:v>CI</x:v>
      </x:c>
      <x:c r="K594" s="174" t="n">
        <x:v>9</x:v>
      </x:c>
      <x:c r="L594" s="187" t="str">
        <x:v>Proxy multicedente/multissacado — revisar</x:v>
      </x:c>
    </x:row>
    <x:row r="595">
      <x:c r="A595" s="177" t="str">
        <x:v>48.181.830/0001-99</x:v>
      </x:c>
      <x:c r="B595" s="168" t="str">
        <x:v>TB1 FUNDO DE INVESTIMENTO EM DIREITOS CREDITÓRIOS DE RESPONSABILIDADE ILIMITADA</x:v>
      </x:c>
      <x:c r="C595" s="190" t="n">
        <x:v>229253821.33</x:v>
      </x:c>
      <x:c r="D595" s="168" t="str">
        <x:v>Milênio Capital</x:v>
      </x:c>
      <x:c r="E595" s="168" t="str">
        <x:f>IFERROR(INDEX('Classif Gestoras'!$H$6:$H$462,MATCH(D595,'Classif Gestoras'!$A$6:$A$462,0)),"Não classificada")</x:f>
        <x:v>Independente</x:v>
      </x:c>
      <x:c r="F595" s="168" t="str">
        <x:v>BANCO DAYCOVAL S/A</x:v>
      </x:c>
      <x:c r="G595" s="168" t="str">
        <x:v>BANCO DAYCOVAL S.A.</x:v>
      </x:c>
      <x:c r="H595" s="168" t="str">
        <x:v>Agro, Indústria e Comércio</x:v>
      </x:c>
      <x:c r="I595" s="168" t="str">
        <x:v>Crédito Corporativo</x:v>
      </x:c>
      <x:c r="J595" s="168" t="str">
        <x:v>CI</x:v>
      </x:c>
      <x:c r="K595" s="174" t="n">
        <x:v>1</x:v>
      </x:c>
      <x:c r="L595" s="187" t="str">
        <x:v>Não classificado</x:v>
      </x:c>
    </x:row>
    <x:row r="596">
      <x:c r="A596" s="177" t="str">
        <x:v>47.425.841/0001-04</x:v>
      </x:c>
      <x:c r="B596" s="168" t="str">
        <x:v>CVPAR II FUNDO DE INVESTIMENTO EM DIREITOS CREDITÓRIOS - RESPONSABILIDADE LIMITADA</x:v>
      </x:c>
      <x:c r="C596" s="190" t="n">
        <x:v>227940977.91000003</x:v>
      </x:c>
      <x:c r="D596" s="168" t="str">
        <x:v>CVPAR Investimentos ltda</x:v>
      </x:c>
      <x:c r="E596" s="168" t="str">
        <x:f>IFERROR(INDEX('Classif Gestoras'!$H$6:$H$462,MATCH(D596,'Classif Gestoras'!$A$6:$A$462,0)),"Não classificada")</x:f>
        <x:v>Independente</x:v>
      </x:c>
      <x:c r="F596" s="168" t="str">
        <x:v>Singulare</x:v>
      </x:c>
      <x:c r="G596" s="168" t="str">
        <x:v>QI CORRETORA DE TÍTULOS E VALORES MOBILIÁRIOS S.A.</x:v>
      </x:c>
      <x:c r="H596" s="168" t="str">
        <x:v>Outros</x:v>
      </x:c>
      <x:c r="I596" s="168" t="str">
        <x:v>Multicarteira Outros</x:v>
      </x:c>
      <x:c r="J596" s="168" t="str">
        <x:v>CI</x:v>
      </x:c>
      <x:c r="K596" s="174" t="n">
        <x:v>78</x:v>
      </x:c>
      <x:c r="L596" s="187" t="str">
        <x:v>Proxy multicedente/multissacado — revisar</x:v>
      </x:c>
    </x:row>
    <x:row r="597">
      <x:c r="A597" s="177" t="str">
        <x:v>43.236.160/0001-47</x:v>
      </x:c>
      <x:c r="B597" s="168" t="str">
        <x:v>FUNDO DE INVESTIMENTO EM DIREITOS CREDITÓRIOS VCK II CONSIGNADOS</x:v>
      </x:c>
      <x:c r="C597" s="190" t="n">
        <x:v>227868941.48</x:v>
      </x:c>
      <x:c r="D597" s="168" t="str">
        <x:v>VALORA RENDA FIXA ESTRUTURADOS LTDA.</x:v>
      </x:c>
      <x:c r="E597" s="168" t="str">
        <x:f>IFERROR(INDEX('Classif Gestoras'!$H$6:$H$462,MATCH(D597,'Classif Gestoras'!$A$6:$A$462,0)),"Não classificada")</x:f>
        <x:v>Independente</x:v>
      </x:c>
      <x:c r="F597" s="168" t="str">
        <x:v>Banvox DTVM</x:v>
      </x:c>
      <x:c r="G597" s="168" t="str">
        <x:v>QI CORRETORA DE TÍTULOS E VALORES MOBILIÁRIOS S.A.</x:v>
      </x:c>
      <x:c r="H597" s="168" t="str">
        <x:v>Financeiro</x:v>
      </x:c>
      <x:c r="I597" s="168" t="str">
        <x:v>Crédito Consignado</x:v>
      </x:c>
      <x:c r="J597" s="168" t="str">
        <x:v>CI</x:v>
      </x:c>
      <x:c r="K597" s="174" t="n">
        <x:v>44</x:v>
      </x:c>
      <x:c r="L597" s="187" t="str">
        <x:v>Não classificado</x:v>
      </x:c>
    </x:row>
    <x:row r="598">
      <x:c r="A598" s="177" t="str">
        <x:v>64.447.452/0001-07</x:v>
      </x:c>
      <x:c r="B598" s="168" t="str">
        <x:v>JIVEMAUÁ BOSSANOVA SECURITIZADO MASTER II FIDC CRED PRIV RESP LIMITADA</x:v>
      </x:c>
      <x:c r="C598" s="190" t="n">
        <x:v>227845094.72</x:v>
      </x:c>
      <x:c r="D598" s="168" t="str">
        <x:v>JIVE HIGH YIELD GESTÃO DE RECURSOS LTDA</x:v>
      </x:c>
      <x:c r="E598" s="168" t="str">
        <x:f>IFERROR(INDEX('Classif Gestoras'!$H$6:$H$462,MATCH(D598,'Classif Gestoras'!$A$6:$A$462,0)),"Não classificada")</x:f>
        <x:v>Independente</x:v>
      </x:c>
      <x:c r="F598" s="168" t="str">
        <x:v>BANCO DAYCOVAL S/A</x:v>
      </x:c>
      <x:c r="G598" s="168" t="str">
        <x:v>BANCO DAYCOVAL S.A.</x:v>
      </x:c>
      <x:c r="H598" s="168" t="str">
        <x:v>Outros</x:v>
      </x:c>
      <x:c r="I598" s="168" t="str">
        <x:v>Multicarteira Outros</x:v>
      </x:c>
      <x:c r="J598" s="168" t="str">
        <x:v>CI</x:v>
      </x:c>
      <x:c r="K598" s="174" t="n">
        <x:v>3</x:v>
      </x:c>
      <x:c r="L598" s="187" t="str">
        <x:v>Proxy multicedente/multissacado — revisar</x:v>
      </x:c>
    </x:row>
    <x:row r="599">
      <x:c r="A599" s="177" t="str">
        <x:v>63.845.478/0001-32</x:v>
      </x:c>
      <x:c r="B599" s="168" t="str">
        <x:v>FUNDO DE INVESTIMENTO EM DIREITOS CREDITÓRIOS SOMACRED VEGA SICÍLIA ASSISTÊNCIA FINANCEIRA RESP LTDA</x:v>
      </x:c>
      <x:c r="C599" s="190" t="n">
        <x:v>227835792.55</x:v>
      </x:c>
      <x:c r="D599" s="168" t="str">
        <x:v>VERT Gestora de Recursos Financeiros Ltda.</x:v>
      </x:c>
      <x:c r="E599" s="168" t="str">
        <x:f>IFERROR(INDEX('Classif Gestoras'!$H$6:$H$462,MATCH(D599,'Classif Gestoras'!$A$6:$A$462,0)),"Não classificada")</x:f>
        <x:v>Independente</x:v>
      </x:c>
      <x:c r="F599" s="168" t="str">
        <x:v>VERT Distribuidora de Títulos e Valores Mobiliários Ltd</x:v>
      </x:c>
      <x:c r="G599" s="168" t="str">
        <x:v>VERT DISTRIBUIDORA DE TÍTULOS E VALORES MOBILIÁRIOS LTDA.</x:v>
      </x:c>
      <x:c r="H599" s="168" t="str">
        <x:v>Financeiro</x:v>
      </x:c>
      <x:c r="I599" s="168" t="str">
        <x:v>Crédito Pessoal</x:v>
      </x:c>
      <x:c r="J599" s="168" t="str">
        <x:v>CI</x:v>
      </x:c>
      <x:c r="K599" s="174" t="n">
        <x:v>5</x:v>
      </x:c>
      <x:c r="L599" s="187" t="str">
        <x:v>Não classificado</x:v>
      </x:c>
    </x:row>
    <x:row r="600">
      <x:c r="A600" s="177" t="str">
        <x:v>40.770.569/0001-50</x:v>
      </x:c>
      <x:c r="B600" s="168" t="str">
        <x:v>ENDLESS SUMMIT FUNDO DE INVESTIMENTO EM DIREITOS CREDITÓRIOS</x:v>
      </x:c>
      <x:c r="C600" s="190" t="n">
        <x:v>227432212.19999996</x:v>
      </x:c>
      <x:c r="D600" s="168" t="str">
        <x:v>Latache Capital</x:v>
      </x:c>
      <x:c r="E600" s="168" t="str">
        <x:f>IFERROR(INDEX('Classif Gestoras'!$H$6:$H$462,MATCH(D600,'Classif Gestoras'!$A$6:$A$462,0)),"Não classificada")</x:f>
        <x:v>Independente</x:v>
      </x:c>
      <x:c r="F600" s="168" t="str">
        <x:v>BRL TRUST DTVM</x:v>
      </x:c>
      <x:c r="G600" s="168" t="str">
        <x:v>BRL TRUST DISTRIBUIDORA DE TITULOS E VALORES MOBILIARIOS S.A.</x:v>
      </x:c>
      <x:c r="H600" s="168" t="str">
        <x:v>Outros</x:v>
      </x:c>
      <x:c r="I600" s="168" t="str">
        <x:v>Multicarteira Outros</x:v>
      </x:c>
      <x:c r="J600" s="168" t="str">
        <x:v>CI</x:v>
      </x:c>
      <x:c r="K600" s="174" t="n">
        <x:v>6</x:v>
      </x:c>
      <x:c r="L600" s="187" t="str">
        <x:v>Proxy multicedente/multissacado — revisar</x:v>
      </x:c>
    </x:row>
    <x:row r="601">
      <x:c r="A601" s="177" t="str">
        <x:v>39.380.171/0001-29</x:v>
      </x:c>
      <x:c r="B601" s="168" t="str">
        <x:v>STARTER FUNDO DE INVESTIMENTO EM DIREITOS CREDITÓRIOS</x:v>
      </x:c>
      <x:c r="C601" s="190" t="n">
        <x:v>226797289.99</x:v>
      </x:c>
      <x:c r="D601" s="168" t="str">
        <x:v>M8 Partners</x:v>
      </x:c>
      <x:c r="E601" s="168" t="str">
        <x:f>IFERROR(INDEX('Classif Gestoras'!$H$6:$H$462,MATCH(D601,'Classif Gestoras'!$A$6:$A$462,0)),"Não classificada")</x:f>
        <x:v>Independente</x:v>
      </x:c>
      <x:c r="F601" s="168" t="str">
        <x:v>Singulare</x:v>
      </x:c>
      <x:c r="G601" s="168" t="str">
        <x:v>QI CORRETORA DE TÍTULOS E VALORES MOBILIÁRIOS S.A.</x:v>
      </x:c>
      <x:c r="H601" s="168" t="str">
        <x:v>Outros</x:v>
      </x:c>
      <x:c r="I601" s="168" t="str">
        <x:v>Multicarteira Outros</x:v>
      </x:c>
      <x:c r="J601" s="168" t="str">
        <x:v>CI</x:v>
      </x:c>
      <x:c r="K601" s="174" t="n">
        <x:v>5</x:v>
      </x:c>
      <x:c r="L601" s="187" t="str">
        <x:v>Proxy multicedente/multissacado — revisar</x:v>
      </x:c>
    </x:row>
    <x:row r="602">
      <x:c r="A602" s="177" t="str">
        <x:v>54.083.697/0001-30</x:v>
      </x:c>
      <x:c r="B602" s="168" t="str">
        <x:v>PERNAMBUCANAS FIDC DE RESPONSABILIDADE LIMITADA</x:v>
      </x:c>
      <x:c r="C602" s="190" t="n">
        <x:v>226728034.29</x:v>
      </x:c>
      <x:c r="D602" s="168" t="str">
        <x:v>DAYCOVAL ASSET MANAG</x:v>
      </x:c>
      <x:c r="E602" s="168" t="str">
        <x:f>IFERROR(INDEX('Classif Gestoras'!$H$6:$H$462,MATCH(D602,'Classif Gestoras'!$A$6:$A$462,0)),"Não classificada")</x:f>
        <x:v>Ligada a banco</x:v>
      </x:c>
      <x:c r="F602" s="168" t="str">
        <x:v>BANCO DAYCOVAL S/A</x:v>
      </x:c>
      <x:c r="G602" s="168" t="str">
        <x:v>BANCO DAYCOVAL S.A.</x:v>
      </x:c>
      <x:c r="H602" s="168" t="str">
        <x:v>Agro, Indústria e Comércio</x:v>
      </x:c>
      <x:c r="I602" s="168" t="str">
        <x:v>Multicarteira Agro, Indústria e Comércio</x:v>
      </x:c>
      <x:c r="J602" s="168" t="str">
        <x:v>CI</x:v>
      </x:c>
      <x:c r="K602" s="174" t="n">
        <x:v>2</x:v>
      </x:c>
      <x:c r="L602" s="187" t="str">
        <x:v>Proxy multicedente/multissacado — revisar</x:v>
      </x:c>
    </x:row>
    <x:row r="603">
      <x:c r="A603" s="177" t="str">
        <x:v>26.718.267/0001-02</x:v>
      </x:c>
      <x:c r="B603" s="168" t="str">
        <x:v>MILÊNIO LW 180 FUNDO DE INVESTIMENTO EM DIREITOS CREDITÓRIOS RESPONSABILIDADE LIMITADA</x:v>
      </x:c>
      <x:c r="C603" s="190" t="n">
        <x:v>225990814.52</x:v>
      </x:c>
      <x:c r="D603" s="168" t="str">
        <x:v>Milênio Capital</x:v>
      </x:c>
      <x:c r="E603" s="168" t="str">
        <x:f>IFERROR(INDEX('Classif Gestoras'!$H$6:$H$462,MATCH(D603,'Classif Gestoras'!$A$6:$A$462,0)),"Não classificada")</x:f>
        <x:v>Independente</x:v>
      </x:c>
      <x:c r="F603" s="168" t="str">
        <x:v>BTG Pactual Servicos Financeiros S/A DTVM</x:v>
      </x:c>
      <x:c r="G603" s="168" t="str">
        <x:v>BANCO BTG PACTUAL S/A</x:v>
      </x:c>
      <x:c r="H603" s="168" t="str">
        <x:v>Outros</x:v>
      </x:c>
      <x:c r="I603" s="168" t="str">
        <x:v>Multicarteira Outros</x:v>
      </x:c>
      <x:c r="J603" s="168" t="str">
        <x:v>CI</x:v>
      </x:c>
      <x:c r="K603" s="174" t="n">
        <x:v>86</x:v>
      </x:c>
      <x:c r="L603" s="187" t="str">
        <x:v>Proxy multicedente/multissacado — revisar</x:v>
      </x:c>
    </x:row>
    <x:row r="604">
      <x:c r="A604" s="177" t="str">
        <x:v>50.991.111/0001-85</x:v>
      </x:c>
      <x:c r="B604" s="168" t="str">
        <x:v>ROCKET IV CRÉDITOS JUDICIAIS FUNDO DE INVESTIMENTO EM DIREITOS CREDITÓRIOS</x:v>
      </x:c>
      <x:c r="C604" s="190" t="n">
        <x:v>225982834.23</x:v>
      </x:c>
      <x:c r="D604" s="168" t="str">
        <x:v>SOSU CAPITAL GESTÃO DE INVESTIMENTOS LTDA.</x:v>
      </x:c>
      <x:c r="E604" s="168" t="str">
        <x:f>IFERROR(INDEX('Classif Gestoras'!$H$6:$H$462,MATCH(D604,'Classif Gestoras'!$A$6:$A$462,0)),"Não classificada")</x:f>
        <x:v>Independente</x:v>
      </x:c>
      <x:c r="F604" s="168" t="str">
        <x:v>BRL TRUST DTVM</x:v>
      </x:c>
      <x:c r="G604" s="168" t="str">
        <x:v>BRL TRUST DISTRIBUIDORA DE TITULOS E VALORES MOBILIARIOS S.A.</x:v>
      </x:c>
      <x:c r="H604" s="168" t="str">
        <x:v>Outros</x:v>
      </x:c>
      <x:c r="I604" s="168" t="str">
        <x:v>Poder Público</x:v>
      </x:c>
      <x:c r="J604" s="168" t="str">
        <x:v>CI</x:v>
      </x:c>
      <x:c r="K604" s="174" t="n">
        <x:v>3</x:v>
      </x:c>
      <x:c r="L604" s="187" t="str">
        <x:v>Não classificado</x:v>
      </x:c>
    </x:row>
    <x:row r="605">
      <x:c r="A605" s="177" t="str">
        <x:v>37.720.020/0001-47</x:v>
      </x:c>
      <x:c r="B605" s="168" t="str">
        <x:v>FIDC MILAS II - FUNDO DE INVESTIMENTO EM DIREITOS CREDITÓRIOS</x:v>
      </x:c>
      <x:c r="C605" s="190" t="n">
        <x:v>225808004.63999996</x:v>
      </x:c>
      <x:c r="D605" s="168" t="str">
        <x:v>Quadra Gestão de Recursos S.A.</x:v>
      </x:c>
      <x:c r="E605" s="168" t="str">
        <x:f>IFERROR(INDEX('Classif Gestoras'!$H$6:$H$462,MATCH(D605,'Classif Gestoras'!$A$6:$A$462,0)),"Não classificada")</x:f>
        <x:v>Independente</x:v>
      </x:c>
      <x:c r="F605" s="168" t="str">
        <x:v>BTG Pactual Servicos Financeiros S/A DTVM</x:v>
      </x:c>
      <x:c r="G605" s="168" t="str">
        <x:v>BANCO BTG PACTUAL S/A</x:v>
      </x:c>
      <x:c r="H605" s="168" t="str">
        <x:v>Outros</x:v>
      </x:c>
      <x:c r="I605" s="168" t="str">
        <x:v>Multicarteira Outros</x:v>
      </x:c>
      <x:c r="J605" s="168" t="str">
        <x:v>CI</x:v>
      </x:c>
      <x:c r="K605" s="174" t="n">
        <x:v>1</x:v>
      </x:c>
      <x:c r="L605" s="187" t="str">
        <x:v>Proxy multicedente/multissacado — revisar</x:v>
      </x:c>
    </x:row>
    <x:row r="606">
      <x:c r="A606" s="177" t="str">
        <x:v>55.039.863/0001-64</x:v>
      </x:c>
      <x:c r="B606" s="168" t="str">
        <x:v>JIVE DISTRESSED &amp; SPECIAL SITS IV (PROFISSIONAL) FIDC - RESPONSABILIDADE LIMITADA</x:v>
      </x:c>
      <x:c r="C606" s="190" t="n">
        <x:v>225758922.55</x:v>
      </x:c>
      <x:c r="D606" s="168" t="str">
        <x:v>JIVE INVESTMENTS</x:v>
      </x:c>
      <x:c r="E606" s="168" t="str">
        <x:f>IFERROR(INDEX('Classif Gestoras'!$H$6:$H$462,MATCH(D606,'Classif Gestoras'!$A$6:$A$462,0)),"Não classificada")</x:f>
        <x:v>Independente</x:v>
      </x:c>
      <x:c r="F606" s="168" t="str">
        <x:v>MAF Distribuidora de Títulos e Valores Mobiliários S.A.</x:v>
      </x:c>
      <x:c r="G606" s="168" t="str">
        <x:v>MAF DISTRIBUIDORA DE TITULOS E VALORES MOBILIARIOS S.A.</x:v>
      </x:c>
      <x:c r="H606" s="168" t="str">
        <x:v>Outros</x:v>
      </x:c>
      <x:c r="I606" s="168" t="str">
        <x:v>Multicarteira Outros</x:v>
      </x:c>
      <x:c r="J606" s="168" t="str">
        <x:v>CI</x:v>
      </x:c>
      <x:c r="K606" s="174" t="n">
        <x:v>1</x:v>
      </x:c>
      <x:c r="L606" s="187" t="str">
        <x:v>Proxy multicedente/multissacado — revisar</x:v>
      </x:c>
    </x:row>
    <x:row r="607">
      <x:c r="A607" s="177" t="str">
        <x:v>45.523.699/0001-02</x:v>
      </x:c>
      <x:c r="B607" s="168" t="str">
        <x:v>VIXTRA FUNDO DE INVESTIMENTO EM DIREITOS CREDITÓRIOS RESPONSABILIDADE LIMITADA</x:v>
      </x:c>
      <x:c r="C607" s="190" t="n">
        <x:v>225436283.58</x:v>
      </x:c>
      <x:c r="D607" s="168" t="str">
        <x:v>CONTEA CAPITAL</x:v>
      </x:c>
      <x:c r="E607" s="168" t="str">
        <x:f>IFERROR(INDEX('Classif Gestoras'!$H$6:$H$462,MATCH(D607,'Classif Gestoras'!$A$6:$A$462,0)),"Não classificada")</x:f>
        <x:v>Independente</x:v>
      </x:c>
      <x:c r="F607" s="168" t="str">
        <x:v>Singulare</x:v>
      </x:c>
      <x:c r="G607" s="168" t="str">
        <x:v>QI CORRETORA DE TÍTULOS E VALORES MOBILIÁRIOS S.A.</x:v>
      </x:c>
      <x:c r="H607" s="168" t="str">
        <x:v>Outros</x:v>
      </x:c>
      <x:c r="I607" s="168" t="str">
        <x:v>Multicarteira Outros</x:v>
      </x:c>
      <x:c r="J607" s="168" t="str">
        <x:v>CI</x:v>
      </x:c>
      <x:c r="K607" s="174" t="n">
        <x:v>57</x:v>
      </x:c>
      <x:c r="L607" s="187" t="str">
        <x:v>Proxy multicedente/multissacado — revisar</x:v>
      </x:c>
    </x:row>
    <x:row r="608">
      <x:c r="A608" s="177" t="str">
        <x:v>47.425.750/0001-79</x:v>
      </x:c>
      <x:c r="B608" s="168" t="str">
        <x:v>CEREALIS FUNDO DE INVESTIMENTO EM DIREITOS CREDITÓRIOS</x:v>
      </x:c>
      <x:c r="C608" s="190" t="n">
        <x:v>225026363.65</x:v>
      </x:c>
      <x:c r="D608" s="168" t="str">
        <x:v>ORRAM GESTÃO DE RECURSOS LTDA.</x:v>
      </x:c>
      <x:c r="E608" s="168" t="str">
        <x:f>IFERROR(INDEX('Classif Gestoras'!$H$6:$H$462,MATCH(D608,'Classif Gestoras'!$A$6:$A$462,0)),"Não classificada")</x:f>
        <x:v>Independente</x:v>
      </x:c>
      <x:c r="F608" s="168" t="str">
        <x:v>Singulare</x:v>
      </x:c>
      <x:c r="G608" s="168" t="str">
        <x:v>QI CORRETORA DE TÍTULOS E VALORES MOBILIÁRIOS S.A.</x:v>
      </x:c>
      <x:c r="H608" s="168" t="str">
        <x:v>Outros</x:v>
      </x:c>
      <x:c r="I608" s="168" t="str">
        <x:v>Multicarteira Outros</x:v>
      </x:c>
      <x:c r="J608" s="168" t="str">
        <x:v>CI</x:v>
      </x:c>
      <x:c r="K608" s="174" t="n">
        <x:v>17</x:v>
      </x:c>
      <x:c r="L608" s="187" t="str">
        <x:v>Proxy multicedente/multissacado — revisar</x:v>
      </x:c>
    </x:row>
    <x:row r="609">
      <x:c r="A609" s="177" t="str">
        <x:v>36.544.636/0001-41</x:v>
      </x:c>
      <x:c r="B609" s="168" t="str">
        <x:v>PAY CARGO FUNDO DE INVESTIMENTO EM DIREITOS CREDITÓRIOS</x:v>
      </x:c>
      <x:c r="C609" s="190" t="n">
        <x:v>224052658.94</x:v>
      </x:c>
      <x:c r="D609" s="168" t="str">
        <x:v>Catálise Investimentos</x:v>
      </x:c>
      <x:c r="E609" s="168" t="str">
        <x:f>IFERROR(INDEX('Classif Gestoras'!$H$6:$H$462,MATCH(D609,'Classif Gestoras'!$A$6:$A$462,0)),"Não classificada")</x:f>
        <x:v>Independente</x:v>
      </x:c>
      <x:c r="F609" s="168" t="str">
        <x:v>CATÁLISE DTVM</x:v>
      </x:c>
      <x:c r="G609" s="168" t="str">
        <x:v>BANCO DAYCOVAL S.A.</x:v>
      </x:c>
      <x:c r="H609" s="168" t="str">
        <x:v>Agro, Indústria e Comércio</x:v>
      </x:c>
      <x:c r="I609" s="168" t="str">
        <x:v>Multicarteira Agro, Indústria e Comércio</x:v>
      </x:c>
      <x:c r="J609" s="168" t="str">
        <x:v>CI</x:v>
      </x:c>
      <x:c r="K609" s="174" t="n">
        <x:v>4</x:v>
      </x:c>
      <x:c r="L609" s="187" t="str">
        <x:v>Proxy multicedente/multissacado — revisar</x:v>
      </x:c>
    </x:row>
    <x:row r="610">
      <x:c r="A610" s="177" t="str">
        <x:v>59.499.177/0001-27</x:v>
      </x:c>
      <x:c r="B610" s="168" t="str">
        <x:v>PETTRA FUNDO DE INVESTIMENTO EM DIREITOS CREDITÓRIOS</x:v>
      </x:c>
      <x:c r="C610" s="190" t="n">
        <x:v>223431008.88</x:v>
      </x:c>
      <x:c r="D610" s="168" t="str">
        <x:v>Multiplica Capital</x:v>
      </x:c>
      <x:c r="E610" s="168" t="str">
        <x:f>IFERROR(INDEX('Classif Gestoras'!$H$6:$H$462,MATCH(D610,'Classif Gestoras'!$A$6:$A$462,0)),"Não classificada")</x:f>
        <x:v>Independente</x:v>
      </x:c>
      <x:c r="F610" s="168" t="str">
        <x:v>Singulare</x:v>
      </x:c>
      <x:c r="G610" s="168" t="str">
        <x:v>QI CORRETORA DE TÍTULOS E VALORES MOBILIÁRIOS S.A.</x:v>
      </x:c>
      <x:c r="H610" s="168" t="str">
        <x:v>Fomento Mercantil</x:v>
      </x:c>
      <x:c r="I610" s="168" t="str">
        <x:v>Fomento Mercantil</x:v>
      </x:c>
      <x:c r="J610" s="168" t="str">
        <x:v>CI</x:v>
      </x:c>
      <x:c r="K610" s="174" t="n">
        <x:v>23</x:v>
      </x:c>
      <x:c r="L610" s="187" t="str">
        <x:v>Não classificado</x:v>
      </x:c>
    </x:row>
    <x:row r="611">
      <x:c r="A611" s="177" t="str">
        <x:v>55.325.522/0001-55</x:v>
      </x:c>
      <x:c r="B611" s="168" t="str">
        <x:v>POLÍGONO MASTER PRO FUNDO DE INVESTIMENTO EM DIREITOS CREDITÓRIOS</x:v>
      </x:c>
      <x:c r="C611" s="190" t="n">
        <x:v>223366743.95</x:v>
      </x:c>
      <x:c r="D611" s="168" t="str">
        <x:v>POLÍGONO CAPITAL LTDA.</x:v>
      </x:c>
      <x:c r="E611" s="168" t="str">
        <x:f>IFERROR(INDEX('Classif Gestoras'!$H$6:$H$462,MATCH(D611,'Classif Gestoras'!$A$6:$A$462,0)),"Não classificada")</x:f>
        <x:v>Independente</x:v>
      </x:c>
      <x:c r="F611" s="168" t="str">
        <x:v>BTG Pactual Servicos Financeiros S/A DTVM</x:v>
      </x:c>
      <x:c r="G611" s="168" t="str">
        <x:v>BANCO BTG PACTUAL S/A</x:v>
      </x:c>
      <x:c r="H611" s="168" t="str">
        <x:v>Outros</x:v>
      </x:c>
      <x:c r="I611" s="168" t="str">
        <x:v>Multicarteira Outros</x:v>
      </x:c>
      <x:c r="J611" s="168" t="str">
        <x:v>CI</x:v>
      </x:c>
      <x:c r="K611" s="174" t="n">
        <x:v>5</x:v>
      </x:c>
      <x:c r="L611" s="187" t="str">
        <x:v>Proxy multicedente/multissacado — revisar</x:v>
      </x:c>
    </x:row>
    <x:row r="612">
      <x:c r="A612" s="177" t="str">
        <x:v>24.270.541/0001-06</x:v>
      </x:c>
      <x:c r="B612" s="168" t="str">
        <x:v>DISAM CASH - FIDC AGRONEGÓCIO DE RESPONSABILIDADE ILIMITADA</x:v>
      </x:c>
      <x:c r="C612" s="190" t="n">
        <x:v>223151208.33</x:v>
      </x:c>
      <x:c r="D612" s="168" t="str">
        <x:v>ORRAM GESTÃO DE RECURSOS LTDA.</x:v>
      </x:c>
      <x:c r="E612" s="168" t="str">
        <x:f>IFERROR(INDEX('Classif Gestoras'!$H$6:$H$462,MATCH(D612,'Classif Gestoras'!$A$6:$A$462,0)),"Não classificada")</x:f>
        <x:v>Independente</x:v>
      </x:c>
      <x:c r="F612" s="168" t="str">
        <x:v>BANCO DAYCOVAL S/A</x:v>
      </x:c>
      <x:c r="G612" s="168" t="str">
        <x:v>BANCO DAYCOVAL S.A.</x:v>
      </x:c>
      <x:c r="H612" s="168" t="str">
        <x:v>Agro, Indústria e Comércio</x:v>
      </x:c>
      <x:c r="I612" s="168" t="str">
        <x:v>Agronegócio</x:v>
      </x:c>
      <x:c r="J612" s="168" t="str">
        <x:v>CI</x:v>
      </x:c>
      <x:c r="K612" s="174" t="n">
        <x:v>78</x:v>
      </x:c>
      <x:c r="L612" s="187" t="str">
        <x:v>Não classificado</x:v>
      </x:c>
    </x:row>
    <x:row r="613">
      <x:c r="A613" s="177" t="str">
        <x:v>62.014.262/0001-62</x:v>
      </x:c>
      <x:c r="B613" s="168" t="str">
        <x:v>ITAÚ CRÉDITO ESTRUTURADO ALPES III UPFRONT FIDC RESPONSABILIDADE LIMITADA</x:v>
      </x:c>
      <x:c r="C613" s="190" t="n">
        <x:v>223021115.61</x:v>
      </x:c>
      <x:c r="D613" s="168" t="str">
        <x:v>ITAU ASSET</x:v>
      </x:c>
      <x:c r="E613" s="168" t="str">
        <x:f>IFERROR(INDEX('Classif Gestoras'!$H$6:$H$462,MATCH(D613,'Classif Gestoras'!$A$6:$A$462,0)),"Não classificada")</x:f>
        <x:v>Ligada a banco</x:v>
      </x:c>
      <x:c r="F613" s="168" t="str">
        <x:v>INTRAG DIST. DE TÍTU</x:v>
      </x:c>
      <x:c r="G613" s="168" t="str">
        <x:v>ITAU UNIBANCO S.A.</x:v>
      </x:c>
      <x:c r="H613" s="168" t="str">
        <x:v>Outros</x:v>
      </x:c>
      <x:c r="I613" s="168" t="str">
        <x:v>Multicarteira Outros</x:v>
      </x:c>
      <x:c r="J613" s="168" t="str">
        <x:v>CI</x:v>
      </x:c>
      <x:c r="K613" s="174" t="n">
        <x:v>590</x:v>
      </x:c>
      <x:c r="L613" s="187" t="str">
        <x:v>Proxy multicedente/multissacado — revisar</x:v>
      </x:c>
    </x:row>
    <x:row r="614">
      <x:c r="A614" s="177" t="str">
        <x:v>21.093.180/0001-73</x:v>
      </x:c>
      <x:c r="B614" s="168" t="str">
        <x:v>FIPER FUNDO DE INVESTIMENTO EM DIREITOS CREDITÓRIOS RESPONSABILIDADE LIMITADA</x:v>
      </x:c>
      <x:c r="C614" s="190" t="n">
        <x:v>222604891.38</x:v>
      </x:c>
      <x:c r="D614" s="168" t="str">
        <x:v>Oliveira Trust Servicer</x:v>
      </x:c>
      <x:c r="E614" s="168" t="str">
        <x:f>IFERROR(INDEX('Classif Gestoras'!$H$6:$H$462,MATCH(D614,'Classif Gestoras'!$A$6:$A$462,0)),"Não classificada")</x:f>
        <x:v>Independente</x:v>
      </x:c>
      <x:c r="F614" s="168" t="str">
        <x:v>Oliveira Trust DTVM</x:v>
      </x:c>
      <x:c r="G614" s="168" t="str">
        <x:v>OLIVEIRA TRUST DTVM S.A.</x:v>
      </x:c>
      <x:c r="H614" s="168" t="str">
        <x:v>Outros</x:v>
      </x:c>
      <x:c r="I614" s="168" t="str">
        <x:v>Multicarteira Outros</x:v>
      </x:c>
      <x:c r="J614" s="168" t="str">
        <x:v>CI</x:v>
      </x:c>
      <x:c r="K614" s="174" t="n">
        <x:v>8</x:v>
      </x:c>
      <x:c r="L614" s="187" t="str">
        <x:v>Proxy multicedente/multissacado — revisar</x:v>
      </x:c>
    </x:row>
    <x:row r="615">
      <x:c r="A615" s="177" t="str">
        <x:v>53.110.325/0001-93</x:v>
      </x:c>
      <x:c r="B615" s="168" t="str">
        <x:v>FUNDO DE INVESTIMENTO EM DIREITOS CREDITÓRIOS DIRETO RESPONSABILIDADE LIMITADA</x:v>
      </x:c>
      <x:c r="C615" s="190" t="n">
        <x:v>222543498.57</x:v>
      </x:c>
      <x:c r="D615" s="168" t="str">
        <x:v>Oliveira Trust Servicer</x:v>
      </x:c>
      <x:c r="E615" s="168" t="str">
        <x:f>IFERROR(INDEX('Classif Gestoras'!$H$6:$H$462,MATCH(D615,'Classif Gestoras'!$A$6:$A$462,0)),"Não classificada")</x:f>
        <x:v>Independente</x:v>
      </x:c>
      <x:c r="F615" s="168" t="str">
        <x:v>Oliveira Trust DTVM</x:v>
      </x:c>
      <x:c r="G615" s="168" t="str">
        <x:v>OLIVEIRA TRUST DTVM S.A.</x:v>
      </x:c>
      <x:c r="H615" s="168" t="str">
        <x:v>Financeiro</x:v>
      </x:c>
      <x:c r="I615" s="168" t="str">
        <x:v>Crédito Imobiliário</x:v>
      </x:c>
      <x:c r="J615" s="168" t="str">
        <x:v>CI</x:v>
      </x:c>
      <x:c r="K615" s="174" t="n">
        <x:v>12</x:v>
      </x:c>
      <x:c r="L615" s="187" t="str">
        <x:v>Não classificado</x:v>
      </x:c>
    </x:row>
    <x:row r="616">
      <x:c r="A616" s="177" t="str">
        <x:v>13.805.152/0001-03</x:v>
      </x:c>
      <x:c r="B616" s="168" t="str">
        <x:v>PUMA FUNDO DE INVESTIMENTO EM DIREITOS CREDITORIOS</x:v>
      </x:c>
      <x:c r="C616" s="190" t="n">
        <x:v>221222041.89</x:v>
      </x:c>
      <x:c r="D616" s="168" t="str">
        <x:v>M8 Partners</x:v>
      </x:c>
      <x:c r="E616" s="168" t="str">
        <x:f>IFERROR(INDEX('Classif Gestoras'!$H$6:$H$462,MATCH(D616,'Classif Gestoras'!$A$6:$A$462,0)),"Não classificada")</x:f>
        <x:v>Independente</x:v>
      </x:c>
      <x:c r="F616" s="168" t="str">
        <x:v>Singulare</x:v>
      </x:c>
      <x:c r="G616" s="168" t="str">
        <x:v>QI CORRETORA DE TÍTULOS E VALORES MOBILIÁRIOS S.A.</x:v>
      </x:c>
      <x:c r="H616" s="168" t="str">
        <x:v>Fomento Mercantil</x:v>
      </x:c>
      <x:c r="I616" s="168" t="str">
        <x:v>Fomento Mercantil</x:v>
      </x:c>
      <x:c r="J616" s="168" t="str">
        <x:v>CI</x:v>
      </x:c>
      <x:c r="K616" s="174" t="n">
        <x:v>13</x:v>
      </x:c>
      <x:c r="L616" s="187" t="str">
        <x:v>Não classificado</x:v>
      </x:c>
    </x:row>
    <x:row r="617">
      <x:c r="A617" s="177" t="str">
        <x:v>56.745.579/0001-76</x:v>
      </x:c>
      <x:c r="B617" s="168" t="str">
        <x:v>CBSB FUNDO DE INVESTIMENTO EM DIREITOS CREDITÓRIOS</x:v>
      </x:c>
      <x:c r="C617" s="190" t="n">
        <x:v>220480803.63</x:v>
      </x:c>
      <x:c r="D617" s="168" t="str">
        <x:v>Solis</x:v>
      </x:c>
      <x:c r="E617" s="168" t="str">
        <x:f>IFERROR(INDEX('Classif Gestoras'!$H$6:$H$462,MATCH(D617,'Classif Gestoras'!$A$6:$A$462,0)),"Não classificada")</x:f>
        <x:v>Independente</x:v>
      </x:c>
      <x:c r="F617" s="168" t="str">
        <x:v>HEMERA DTVM</x:v>
      </x:c>
      <x:c r="G617" s="168" t="str">
        <x:v>HEMERA DISTRIBUIDORA DE TITULOS E VALORES MOBILIARIOS LTDA</x:v>
      </x:c>
      <x:c r="H617" s="168" t="str">
        <x:v>Agro, Indústria e Comércio</x:v>
      </x:c>
      <x:c r="I617" s="168" t="str">
        <x:v>Crédito Corporativo</x:v>
      </x:c>
      <x:c r="J617" s="168" t="str">
        <x:v>CI</x:v>
      </x:c>
      <x:c r="K617" s="174" t="n">
        <x:v>6</x:v>
      </x:c>
      <x:c r="L617" s="187" t="str">
        <x:v>Não classificado</x:v>
      </x:c>
    </x:row>
    <x:row r="618">
      <x:c r="A618" s="177" t="str">
        <x:v>52.908.543/0001-05</x:v>
      </x:c>
      <x:c r="B618" s="168" t="str">
        <x:v>CNPJ 52908543000105</x:v>
      </x:c>
      <x:c r="C618" s="190" t="n">
        <x:v>219762433.59000003</x:v>
      </x:c>
      <x:c r="D618" s="168" t="str">
        <x:v>OPEA GESTORA DE RECURSOS</x:v>
      </x:c>
      <x:c r="E618" s="168" t="str">
        <x:f>IFERROR(INDEX('Classif Gestoras'!$H$6:$H$462,MATCH(D618,'Classif Gestoras'!$A$6:$A$462,0)),"Não classificada")</x:f>
        <x:v>Independente</x:v>
      </x:c>
      <x:c r="F618" s="168" t="str">
        <x:v>VÓRTX DTVM</x:v>
      </x:c>
      <x:c r="G618" s="168" t="str">
        <x:v>Não identificado</x:v>
      </x:c>
      <x:c r="H618" s="168" t="str">
        <x:v>Agro, Indústria e Comércio</x:v>
      </x:c>
      <x:c r="I618" s="168" t="str">
        <x:v>Multicarteira Agro, Indústria e Comércio</x:v>
      </x:c>
      <x:c r="J618" s="168" t="str">
        <x:v>CI</x:v>
      </x:c>
      <x:c r="K618" s="174"/>
      <x:c r="L618" s="187" t="str">
        <x:v>Proxy multicedente/multissacado — revisar</x:v>
      </x:c>
    </x:row>
    <x:row r="619">
      <x:c r="A619" s="177" t="str">
        <x:v>54.252.144/0001-64</x:v>
      </x:c>
      <x:c r="B619" s="168" t="str">
        <x:v>J17 FGTS FUNDO DE INVESTIMENTO EM DIREITOS CREDITÓRIOS FINANCEIRO - RESPONSABILIDADE LIMITADA</x:v>
      </x:c>
      <x:c r="C619" s="190" t="n">
        <x:v>219550168.73</x:v>
      </x:c>
      <x:c r="D619" s="168" t="str">
        <x:v>BURITI INVESTIMENTOS</x:v>
      </x:c>
      <x:c r="E619" s="168" t="str">
        <x:f>IFERROR(INDEX('Classif Gestoras'!$H$6:$H$462,MATCH(D619,'Classif Gestoras'!$A$6:$A$462,0)),"Não classificada")</x:f>
        <x:v>Independente</x:v>
      </x:c>
      <x:c r="F619" s="168" t="str">
        <x:v>Limine Trust Distribuidora de Titulos e Valores Mobiliá</x:v>
      </x:c>
      <x:c r="G619" s="168" t="str">
        <x:v>LIMINE TRUST DISTRIBUIDORA DE TITULOS E VALORES MOBILIARIOS LTDA.</x:v>
      </x:c>
      <x:c r="H619" s="168" t="str">
        <x:v>Financeiro</x:v>
      </x:c>
      <x:c r="I619" s="168" t="str">
        <x:v>Crédito Pessoal</x:v>
      </x:c>
      <x:c r="J619" s="168" t="str">
        <x:v>CI</x:v>
      </x:c>
      <x:c r="K619" s="174" t="n">
        <x:v>16</x:v>
      </x:c>
      <x:c r="L619" s="187" t="str">
        <x:v>Não classificado</x:v>
      </x:c>
    </x:row>
    <x:row r="620">
      <x:c r="A620" s="177" t="str">
        <x:v>39.616.091/0001-20</x:v>
      </x:c>
      <x:c r="B620" s="168" t="str">
        <x:v>TECNOMYL FUNDO DE INVESTIMENTO EM DIREITOS CREDITÓRIOS RESPONSABILIDADE LIMITADA</x:v>
      </x:c>
      <x:c r="C620" s="190" t="n">
        <x:v>219490505.73</x:v>
      </x:c>
      <x:c r="D620" s="168" t="str">
        <x:v>Brave Asset</x:v>
      </x:c>
      <x:c r="E620" s="168" t="str">
        <x:f>IFERROR(INDEX('Classif Gestoras'!$H$6:$H$462,MATCH(D620,'Classif Gestoras'!$A$6:$A$462,0)),"Não classificada")</x:f>
        <x:v>Independente</x:v>
      </x:c>
      <x:c r="F620" s="168" t="str">
        <x:v>BRL TRUST DTVM</x:v>
      </x:c>
      <x:c r="G620" s="168" t="str">
        <x:v>BRL TRUST DISTRIBUIDORA DE TITULOS E VALORES MOBILIARIOS S.A.</x:v>
      </x:c>
      <x:c r="H620" s="168" t="str">
        <x:v>Agro, Indústria e Comércio</x:v>
      </x:c>
      <x:c r="I620" s="168" t="str">
        <x:v>Multicarteira Agro, Indústria e Comércio</x:v>
      </x:c>
      <x:c r="J620" s="168" t="str">
        <x:v>CI</x:v>
      </x:c>
      <x:c r="K620" s="174" t="n">
        <x:v>27</x:v>
      </x:c>
      <x:c r="L620" s="187" t="str">
        <x:v>Proxy multicedente/multissacado — revisar</x:v>
      </x:c>
    </x:row>
    <x:row r="621">
      <x:c r="A621" s="177" t="str">
        <x:v>63.614.498/0001-00</x:v>
      </x:c>
      <x:c r="B621" s="168" t="str">
        <x:v>VENICE FUNDO DE INVESTIMENTO EM DIREITOS CREDITÓRIOS RESPONSABILIDADE LIMITADA</x:v>
      </x:c>
      <x:c r="C621" s="190" t="n">
        <x:v>218810925.36</x:v>
      </x:c>
      <x:c r="D621" s="168" t="str">
        <x:v>SUESTE CAPITAL GESTÃO DE RECURSOS LTDA.</x:v>
      </x:c>
      <x:c r="E621" s="168" t="str">
        <x:f>IFERROR(INDEX('Classif Gestoras'!$H$6:$H$462,MATCH(D621,'Classif Gestoras'!$A$6:$A$462,0)),"Não classificada")</x:f>
        <x:v>Independente</x:v>
      </x:c>
      <x:c r="F621" s="168" t="str">
        <x:v>Oliveira Trust DTVM</x:v>
      </x:c>
      <x:c r="G621" s="168" t="str">
        <x:v>OLIVEIRA TRUST DTVM S.A.</x:v>
      </x:c>
      <x:c r="H621" s="168" t="str">
        <x:v>Agro, Indústria e Comércio</x:v>
      </x:c>
      <x:c r="I621" s="168" t="str">
        <x:v>Recebíveis Comerciais</x:v>
      </x:c>
      <x:c r="J621" s="168" t="str">
        <x:v>CI</x:v>
      </x:c>
      <x:c r="K621" s="174" t="n">
        <x:v>1</x:v>
      </x:c>
      <x:c r="L621" s="187" t="str">
        <x:v>Não classificado</x:v>
      </x:c>
    </x:row>
    <x:row r="622">
      <x:c r="A622" s="177" t="str">
        <x:v>49.686.425/0001-95</x:v>
      </x:c>
      <x:c r="B622" s="168" t="str">
        <x:v>URANO FUNDO DE INVESTIMENTO EM DIREITOS CREDITÓRIOS NÃO PADRONIZADO</x:v>
      </x:c>
      <x:c r="C622" s="190" t="n">
        <x:v>218426489.76</x:v>
      </x:c>
      <x:c r="D622" s="168" t="str">
        <x:v>Jus Capital Gestão de Recursos LTDA</x:v>
      </x:c>
      <x:c r="E622" s="168" t="str">
        <x:f>IFERROR(INDEX('Classif Gestoras'!$H$6:$H$462,MATCH(D622,'Classif Gestoras'!$A$6:$A$462,0)),"Não classificada")</x:f>
        <x:v>Independente</x:v>
      </x:c>
      <x:c r="F622" s="168" t="str">
        <x:v>Singulare</x:v>
      </x:c>
      <x:c r="G622" s="168" t="str">
        <x:v>QI CORRETORA DE TÍTULOS E VALORES MOBILIÁRIOS S.A.</x:v>
      </x:c>
      <x:c r="H622" s="168" t="str">
        <x:v>Outros</x:v>
      </x:c>
      <x:c r="I622" s="168" t="str">
        <x:v>Poder Público</x:v>
      </x:c>
      <x:c r="J622" s="168" t="str">
        <x:v>CI</x:v>
      </x:c>
      <x:c r="K622" s="174" t="n">
        <x:v>2</x:v>
      </x:c>
      <x:c r="L622" s="187" t="str">
        <x:v>Não classificado</x:v>
      </x:c>
    </x:row>
    <x:row r="623">
      <x:c r="A623" s="177" t="str">
        <x:v>29.957.532/0001-01</x:v>
      </x:c>
      <x:c r="B623" s="168" t="str">
        <x:v>FUNDO DE INVESTIMENTO EM DIREITOS CREDITORIOS SABIA CREDIT</x:v>
      </x:c>
      <x:c r="C623" s="190" t="n">
        <x:v>218009394.31000003</x:v>
      </x:c>
      <x:c r="D623" s="168" t="str">
        <x:v>OURO PRETO INVESTIMENTOS</x:v>
      </x:c>
      <x:c r="E623" s="168" t="str">
        <x:f>IFERROR(INDEX('Classif Gestoras'!$H$6:$H$462,MATCH(D623,'Classif Gestoras'!$A$6:$A$462,0)),"Não classificada")</x:f>
        <x:v>Independente</x:v>
      </x:c>
      <x:c r="F623" s="168" t="str">
        <x:v>Singulare</x:v>
      </x:c>
      <x:c r="G623" s="168" t="str">
        <x:v>QI CORRETORA DE TÍTULOS E VALORES MOBILIÁRIOS S.A.</x:v>
      </x:c>
      <x:c r="H623" s="168" t="str">
        <x:v>Fomento Mercantil</x:v>
      </x:c>
      <x:c r="I623" s="168" t="str">
        <x:v>Fomento Mercantil</x:v>
      </x:c>
      <x:c r="J623" s="168" t="str">
        <x:v>CI</x:v>
      </x:c>
      <x:c r="K623" s="174" t="n">
        <x:v>47</x:v>
      </x:c>
      <x:c r="L623" s="187" t="str">
        <x:v>Não classificado</x:v>
      </x:c>
    </x:row>
    <x:row r="624">
      <x:c r="A624" s="177" t="str">
        <x:v>41.096.982/0001-44</x:v>
      </x:c>
      <x:c r="B624" s="168" t="str">
        <x:v>7S FUNDO DE INVESTIMENTO EM DIREITOS CREDITÓRIOS</x:v>
      </x:c>
      <x:c r="C624" s="190" t="n">
        <x:v>217768687.76</x:v>
      </x:c>
      <x:c r="D624" s="168" t="str">
        <x:v>TERCON ASSET MANAGEMENT</x:v>
      </x:c>
      <x:c r="E624" s="168" t="str">
        <x:f>IFERROR(INDEX('Classif Gestoras'!$H$6:$H$462,MATCH(D624,'Classif Gestoras'!$A$6:$A$462,0)),"Não classificada")</x:f>
        <x:v>Independente</x:v>
      </x:c>
      <x:c r="F624" s="168" t="str">
        <x:v>Singulare</x:v>
      </x:c>
      <x:c r="G624" s="168" t="str">
        <x:v>QI CORRETORA DE TÍTULOS E VALORES MOBILIÁRIOS S.A.</x:v>
      </x:c>
      <x:c r="H624" s="168" t="str">
        <x:v>Fomento Mercantil</x:v>
      </x:c>
      <x:c r="I624" s="168" t="str">
        <x:v>Fomento Mercantil</x:v>
      </x:c>
      <x:c r="J624" s="168" t="str">
        <x:v>CI</x:v>
      </x:c>
      <x:c r="K624" s="174" t="n">
        <x:v>1</x:v>
      </x:c>
      <x:c r="L624" s="187" t="str">
        <x:v>Não classificado</x:v>
      </x:c>
    </x:row>
    <x:row r="625">
      <x:c r="A625" s="177" t="str">
        <x:v>39.769.038/0001-69</x:v>
      </x:c>
      <x:c r="B625" s="168" t="str">
        <x:v>PHD FUNDO DE INVESTIMENTO EM DIREITOS CREDITÓRIOS</x:v>
      </x:c>
      <x:c r="C625" s="190" t="n">
        <x:v>217353553.24</x:v>
      </x:c>
      <x:c r="D625" s="168" t="str">
        <x:v>M8 Partners</x:v>
      </x:c>
      <x:c r="E625" s="168" t="str">
        <x:f>IFERROR(INDEX('Classif Gestoras'!$H$6:$H$462,MATCH(D625,'Classif Gestoras'!$A$6:$A$462,0)),"Não classificada")</x:f>
        <x:v>Independente</x:v>
      </x:c>
      <x:c r="F625" s="168" t="str">
        <x:v>Singulare</x:v>
      </x:c>
      <x:c r="G625" s="168" t="str">
        <x:v>QI CORRETORA DE TÍTULOS E VALORES MOBILIÁRIOS S.A.</x:v>
      </x:c>
      <x:c r="H625" s="168" t="str">
        <x:v>Fomento Mercantil</x:v>
      </x:c>
      <x:c r="I625" s="168" t="str">
        <x:v>Fomento Mercantil</x:v>
      </x:c>
      <x:c r="J625" s="168" t="str">
        <x:v>CI</x:v>
      </x:c>
      <x:c r="K625" s="174" t="n">
        <x:v>31</x:v>
      </x:c>
      <x:c r="L625" s="187" t="str">
        <x:v>Não classificado</x:v>
      </x:c>
    </x:row>
    <x:row r="626">
      <x:c r="A626" s="177" t="str">
        <x:v>23.426.441/0001-55</x:v>
      </x:c>
      <x:c r="B626" s="168" t="str">
        <x:v>MULTIPLIK FUNDO DE INVESTIMENTO EM DIREITOS CREDITÓRIOS MULTISSETORIAL LP</x:v>
      </x:c>
      <x:c r="C626" s="190" t="n">
        <x:v>217313325.73000005</x:v>
      </x:c>
      <x:c r="D626" s="168" t="str">
        <x:v>Multiplica Capital</x:v>
      </x:c>
      <x:c r="E626" s="168" t="str">
        <x:f>IFERROR(INDEX('Classif Gestoras'!$H$6:$H$462,MATCH(D626,'Classif Gestoras'!$A$6:$A$462,0)),"Não classificada")</x:f>
        <x:v>Independente</x:v>
      </x:c>
      <x:c r="F626" s="168" t="str">
        <x:v>PLANNER CV</x:v>
      </x:c>
      <x:c r="G626" s="168" t="str">
        <x:v>PLANNER CORRETORA DE VALORES S.A.</x:v>
      </x:c>
      <x:c r="H626" s="168" t="str">
        <x:v>Fomento Mercantil</x:v>
      </x:c>
      <x:c r="I626" s="168" t="str">
        <x:v>Fomento Mercantil</x:v>
      </x:c>
      <x:c r="J626" s="168" t="str">
        <x:v>CI</x:v>
      </x:c>
      <x:c r="K626" s="174" t="n">
        <x:v>19</x:v>
      </x:c>
      <x:c r="L626" s="187" t="str">
        <x:v>Não classificado</x:v>
      </x:c>
    </x:row>
    <x:row r="627">
      <x:c r="A627" s="177" t="str">
        <x:v>54.422.165/0001-80</x:v>
      </x:c>
      <x:c r="B627" s="168" t="str">
        <x:v>ORIZ ALOCAÇÃO CRÉDITO ESTRUTURADO FUNDO DE INVESTIMENTO EM DIREITOS CREDITÓRIOS DE RESP LIMITADA</x:v>
      </x:c>
      <x:c r="C627" s="190" t="n">
        <x:v>216918631.05</x:v>
      </x:c>
      <x:c r="D627" s="168" t="str">
        <x:v>ORIZ ASSET MANAGEMENT LTDA.</x:v>
      </x:c>
      <x:c r="E627" s="168" t="str">
        <x:f>IFERROR(INDEX('Classif Gestoras'!$H$6:$H$462,MATCH(D627,'Classif Gestoras'!$A$6:$A$462,0)),"Não classificada")</x:f>
        <x:v>Independente</x:v>
      </x:c>
      <x:c r="F627" s="168" t="str">
        <x:v>BANCO DAYCOVAL S/A</x:v>
      </x:c>
      <x:c r="G627" s="168" t="str">
        <x:v>BANCO DAYCOVAL S.A.</x:v>
      </x:c>
      <x:c r="H627" s="168" t="str">
        <x:v>Outros</x:v>
      </x:c>
      <x:c r="I627" s="168" t="str">
        <x:v>Multicarteira Outros</x:v>
      </x:c>
      <x:c r="J627" s="168" t="str">
        <x:v>CI</x:v>
      </x:c>
      <x:c r="K627" s="174" t="n">
        <x:v>130</x:v>
      </x:c>
      <x:c r="L627" s="187" t="str">
        <x:v>Proxy multicedente/multissacado — revisar</x:v>
      </x:c>
    </x:row>
    <x:row r="628">
      <x:c r="A628" s="177" t="str">
        <x:v>60.405.221/0001-71</x:v>
      </x:c>
      <x:c r="B628" s="168" t="str">
        <x:v>FUNDO DE INVESTIMENTO EM DIREITOS CREDITÓRIOS RESPONSABILIDADE LIMITADA FLAGSHIP BTO RECEIVABLES</x:v>
      </x:c>
      <x:c r="C628" s="190" t="n">
        <x:v>216756398.11</x:v>
      </x:c>
      <x:c r="D628" s="168" t="str">
        <x:v>VERT Gestora de Recursos Financeiros Ltda.</x:v>
      </x:c>
      <x:c r="E628" s="168" t="str">
        <x:f>IFERROR(INDEX('Classif Gestoras'!$H$6:$H$462,MATCH(D628,'Classif Gestoras'!$A$6:$A$462,0)),"Não classificada")</x:f>
        <x:v>Independente</x:v>
      </x:c>
      <x:c r="F628" s="168" t="str">
        <x:v>VERT Distribuidora de Títulos e Valores Mobiliários Ltd</x:v>
      </x:c>
      <x:c r="G628" s="168" t="str">
        <x:v>VERT DISTRIBUIDORA DE TÍTULOS E VALORES MOBILIÁRIOS LTDA.</x:v>
      </x:c>
      <x:c r="H628" s="168" t="str">
        <x:v>Agro, Indústria e Comércio</x:v>
      </x:c>
      <x:c r="I628" s="168" t="str">
        <x:v>Recebíveis Comerciais</x:v>
      </x:c>
      <x:c r="J628" s="168" t="str">
        <x:v>CI</x:v>
      </x:c>
      <x:c r="K628" s="174" t="n">
        <x:v>3</x:v>
      </x:c>
      <x:c r="L628" s="187" t="str">
        <x:v>Não classificado</x:v>
      </x:c>
    </x:row>
    <x:row r="629">
      <x:c r="A629" s="177" t="str">
        <x:v>51.390.507/0001-30</x:v>
      </x:c>
      <x:c r="B629" s="168" t="str">
        <x:v>FUNDO DE INVESTIMENTO EM DIREITOS CREDITÓRIOS ZONDA HY</x:v>
      </x:c>
      <x:c r="C629" s="190" t="n">
        <x:v>216521266.37</x:v>
      </x:c>
      <x:c r="D629" s="168" t="str">
        <x:v>AUGME CAPITAL GESTÃO DE RECURSOS LTDA.</x:v>
      </x:c>
      <x:c r="E629" s="168" t="str">
        <x:f>IFERROR(INDEX('Classif Gestoras'!$H$6:$H$462,MATCH(D629,'Classif Gestoras'!$A$6:$A$462,0)),"Não classificada")</x:f>
        <x:v>Independente</x:v>
      </x:c>
      <x:c r="F629" s="168" t="str">
        <x:v>BANCO DAYCOVAL S/A</x:v>
      </x:c>
      <x:c r="G629" s="168" t="str">
        <x:v>BANCO DAYCOVAL S.A.</x:v>
      </x:c>
      <x:c r="H629" s="168" t="str">
        <x:v>Outros</x:v>
      </x:c>
      <x:c r="I629" s="168" t="str">
        <x:v>Multicarteira Outros</x:v>
      </x:c>
      <x:c r="J629" s="168" t="str">
        <x:v>CI</x:v>
      </x:c>
      <x:c r="K629" s="174" t="n">
        <x:v>8</x:v>
      </x:c>
      <x:c r="L629" s="187" t="str">
        <x:v>Proxy multicedente/multissacado — revisar</x:v>
      </x:c>
    </x:row>
    <x:row r="630">
      <x:c r="A630" s="177" t="str">
        <x:v>17.198.574/0001-19</x:v>
      </x:c>
      <x:c r="B630" s="168" t="str">
        <x:v>PLATA I FUNDO DE INVESTIMENTO EM DIREITOS CREDITÓRIOS MULTISSEGMENTOS</x:v>
      </x:c>
      <x:c r="C630" s="190" t="n">
        <x:v>216421250.81</x:v>
      </x:c>
      <x:c r="D630" s="168" t="str">
        <x:v>Solis</x:v>
      </x:c>
      <x:c r="E630" s="168" t="str">
        <x:f>IFERROR(INDEX('Classif Gestoras'!$H$6:$H$462,MATCH(D630,'Classif Gestoras'!$A$6:$A$462,0)),"Não classificada")</x:f>
        <x:v>Independente</x:v>
      </x:c>
      <x:c r="F630" s="168" t="str">
        <x:v>HEMERA DTVM</x:v>
      </x:c>
      <x:c r="G630" s="168" t="str">
        <x:v>HEMERA DISTRIBUIDORA DE TITULOS E VALORES MOBILIARIOS LTDA</x:v>
      </x:c>
      <x:c r="H630" s="168" t="str">
        <x:v>Fomento Mercantil</x:v>
      </x:c>
      <x:c r="I630" s="168" t="str">
        <x:v>Fomento Mercantil</x:v>
      </x:c>
      <x:c r="J630" s="168" t="str">
        <x:v>CI</x:v>
      </x:c>
      <x:c r="K630" s="174" t="n">
        <x:v>52</x:v>
      </x:c>
      <x:c r="L630" s="187" t="str">
        <x:v>Não classificado</x:v>
      </x:c>
    </x:row>
    <x:row r="631">
      <x:c r="A631" s="177" t="str">
        <x:v>49.220.648/0001-62</x:v>
      </x:c>
      <x:c r="B631" s="168" t="str">
        <x:v>FUNDO DE INVESTIMENTO EM DIREITOS CREDITÓRIOS ALION III CONSIGNADOS - RESPONSABILIDADE LIMITADA</x:v>
      </x:c>
      <x:c r="C631" s="190" t="n">
        <x:v>215685633.5</x:v>
      </x:c>
      <x:c r="D631" s="168" t="str">
        <x:v>VALORA RENDA FIXA ESTRUTURADOS LTDA.</x:v>
      </x:c>
      <x:c r="E631" s="168" t="str">
        <x:f>IFERROR(INDEX('Classif Gestoras'!$H$6:$H$462,MATCH(D631,'Classif Gestoras'!$A$6:$A$462,0)),"Não classificada")</x:f>
        <x:v>Independente</x:v>
      </x:c>
      <x:c r="F631" s="168" t="str">
        <x:v>Singulare</x:v>
      </x:c>
      <x:c r="G631" s="168" t="str">
        <x:v>QI CORRETORA DE TÍTULOS E VALORES MOBILIÁRIOS S.A.</x:v>
      </x:c>
      <x:c r="H631" s="168" t="str">
        <x:v>Financeiro</x:v>
      </x:c>
      <x:c r="I631" s="168" t="str">
        <x:v>Crédito Consignado</x:v>
      </x:c>
      <x:c r="J631" s="168" t="str">
        <x:v>CI</x:v>
      </x:c>
      <x:c r="K631" s="174" t="n">
        <x:v>60</x:v>
      </x:c>
      <x:c r="L631" s="187" t="str">
        <x:v>Não classificado</x:v>
      </x:c>
    </x:row>
    <x:row r="632">
      <x:c r="A632" s="177" t="str">
        <x:v>55.497.707/0001-47</x:v>
      </x:c>
      <x:c r="B632" s="168" t="str">
        <x:v>ROOT CAPITAL HIGH YIELD T360 FUNDO DE INVESTIMENTO EM DIREITOS CREDITORIOS</x:v>
      </x:c>
      <x:c r="C632" s="190" t="n">
        <x:v>215328574.08230007</x:v>
      </x:c>
      <x:c r="D632" s="168" t="str">
        <x:v>ROOT CAPITAL</x:v>
      </x:c>
      <x:c r="E632" s="168" t="str">
        <x:f>IFERROR(INDEX('Classif Gestoras'!$H$6:$H$462,MATCH(D632,'Classif Gestoras'!$A$6:$A$462,0)),"Não classificada")</x:f>
        <x:v>Independente</x:v>
      </x:c>
      <x:c r="F632" s="168" t="str">
        <x:v>BTG Pactual Servicos Financeiros S/A DTVM</x:v>
      </x:c>
      <x:c r="G632" s="168" t="str">
        <x:v>BANCO BTG PACTUAL S/A</x:v>
      </x:c>
      <x:c r="H632" s="168" t="str">
        <x:v>Outros</x:v>
      </x:c>
      <x:c r="I632" s="168" t="str">
        <x:v>Multicarteira Outros</x:v>
      </x:c>
      <x:c r="J632" s="168" t="str">
        <x:v>CI</x:v>
      </x:c>
      <x:c r="K632" s="174" t="n">
        <x:v>204</x:v>
      </x:c>
      <x:c r="L632" s="187" t="str">
        <x:v>Proxy multicedente/multissacado — revisar</x:v>
      </x:c>
    </x:row>
    <x:row r="633">
      <x:c r="A633" s="177" t="str">
        <x:v>41.649.912/0001-76</x:v>
      </x:c>
      <x:c r="B633" s="168" t="str">
        <x:v>OLAM FUNDO DE INVESTIMENTO EM DIREITOS CREDITORIOS</x:v>
      </x:c>
      <x:c r="C633" s="190" t="n">
        <x:v>215044525.15</x:v>
      </x:c>
      <x:c r="D633" s="168" t="str">
        <x:v>TERCON ASSET MANAGEMENT</x:v>
      </x:c>
      <x:c r="E633" s="168" t="str">
        <x:f>IFERROR(INDEX('Classif Gestoras'!$H$6:$H$462,MATCH(D633,'Classif Gestoras'!$A$6:$A$462,0)),"Não classificada")</x:f>
        <x:v>Independente</x:v>
      </x:c>
      <x:c r="F633" s="168" t="str">
        <x:v>Singulare</x:v>
      </x:c>
      <x:c r="G633" s="168" t="str">
        <x:v>QI CORRETORA DE TÍTULOS E VALORES MOBILIÁRIOS S.A.</x:v>
      </x:c>
      <x:c r="H633" s="168" t="str">
        <x:v>Fomento Mercantil</x:v>
      </x:c>
      <x:c r="I633" s="168" t="str">
        <x:v>Fomento Mercantil</x:v>
      </x:c>
      <x:c r="J633" s="168" t="str">
        <x:v>CI</x:v>
      </x:c>
      <x:c r="K633" s="174" t="n">
        <x:v>61</x:v>
      </x:c>
      <x:c r="L633" s="187" t="str">
        <x:v>Não classificado</x:v>
      </x:c>
    </x:row>
    <x:row r="634">
      <x:c r="A634" s="177" t="str">
        <x:v>54.335.957/0001-18</x:v>
      </x:c>
      <x:c r="B634" s="168" t="str">
        <x:v>CREDIT RESTRUCTURING FUNDO DE INVESTIMENTO EM DIREITOS CREDITÓRIOS</x:v>
      </x:c>
      <x:c r="C634" s="190" t="n">
        <x:v>214674875.54</x:v>
      </x:c>
      <x:c r="D634" s="168" t="str">
        <x:v>XPI CCTVM S/A</x:v>
      </x:c>
      <x:c r="E634" s="168" t="str">
        <x:f>IFERROR(INDEX('Classif Gestoras'!$H$6:$H$462,MATCH(D634,'Classif Gestoras'!$A$6:$A$462,0)),"Não classificada")</x:f>
        <x:v>Ligada a banco</x:v>
      </x:c>
      <x:c r="F634" s="168" t="str">
        <x:v>XPI CCTVM S/A</x:v>
      </x:c>
      <x:c r="G634" s="168" t="str">
        <x:v>OLIVEIRA TRUST DTVM S.A.</x:v>
      </x:c>
      <x:c r="H634" s="168" t="str">
        <x:v>Outros</x:v>
      </x:c>
      <x:c r="I634" s="168" t="str">
        <x:v>Multicarteira Outros</x:v>
      </x:c>
      <x:c r="J634" s="168" t="str">
        <x:v>CI</x:v>
      </x:c>
      <x:c r="K634" s="174" t="n">
        <x:v>2</x:v>
      </x:c>
      <x:c r="L634" s="187" t="str">
        <x:v>Proxy multicedente/multissacado — revisar</x:v>
      </x:c>
    </x:row>
    <x:row r="635">
      <x:c r="A635" s="177" t="str">
        <x:v>37.351.013/0001-15</x:v>
      </x:c>
      <x:c r="B635" s="168" t="str">
        <x:v>CS FUNDO DE INVESTIMENTO EM DIREITOS CREDITORIOS</x:v>
      </x:c>
      <x:c r="C635" s="190" t="n">
        <x:v>214354769.12000003</x:v>
      </x:c>
      <x:c r="D635" s="168" t="str">
        <x:v>Libertas Asset</x:v>
      </x:c>
      <x:c r="E635" s="168" t="str">
        <x:f>IFERROR(INDEX('Classif Gestoras'!$H$6:$H$462,MATCH(D635,'Classif Gestoras'!$A$6:$A$462,0)),"Não classificada")</x:f>
        <x:v>Independente</x:v>
      </x:c>
      <x:c r="F635" s="168" t="str">
        <x:v>ACTUAL DTVM</x:v>
      </x:c>
      <x:c r="G635" s="168" t="str">
        <x:v>TRUSTEE DISTRIBUIDORA DE TITULOS E VALORES MOBILIARIOS LTDA.</x:v>
      </x:c>
      <x:c r="H635" s="168" t="str">
        <x:v>Fomento Mercantil</x:v>
      </x:c>
      <x:c r="I635" s="168" t="str">
        <x:v>Fomento Mercantil</x:v>
      </x:c>
      <x:c r="J635" s="168" t="str">
        <x:v>CI</x:v>
      </x:c>
      <x:c r="K635" s="174" t="n">
        <x:v>25</x:v>
      </x:c>
      <x:c r="L635" s="187" t="str">
        <x:v>Não classificado</x:v>
      </x:c>
    </x:row>
    <x:row r="636">
      <x:c r="A636" s="177" t="str">
        <x:v>19.675.590/0001-80</x:v>
      </x:c>
      <x:c r="B636" s="168" t="str">
        <x:v>V7 FUNDO DE INVESTIMENTO EM DIREITOS CREDITÓRIOS - AÇÕES JUDICIAIS</x:v>
      </x:c>
      <x:c r="C636" s="190" t="n">
        <x:v>214250875.8072</x:v>
      </x:c>
      <x:c r="D636" s="168" t="str">
        <x:v>Vision Brazil</x:v>
      </x:c>
      <x:c r="E636" s="168" t="str">
        <x:f>IFERROR(INDEX('Classif Gestoras'!$H$6:$H$462,MATCH(D636,'Classif Gestoras'!$A$6:$A$462,0)),"Não classificada")</x:f>
        <x:v>Independente</x:v>
      </x:c>
      <x:c r="F636" s="168" t="str">
        <x:v>BTG Pactual Servicos Financeiros S/A DTVM</x:v>
      </x:c>
      <x:c r="G636" s="168" t="str">
        <x:v>BANCO BTG PACTUAL S/A</x:v>
      </x:c>
      <x:c r="H636" s="168" t="str">
        <x:v>Outros</x:v>
      </x:c>
      <x:c r="I636" s="168" t="str">
        <x:v>Poder Público</x:v>
      </x:c>
      <x:c r="J636" s="168" t="str">
        <x:v>CI</x:v>
      </x:c>
      <x:c r="K636" s="174" t="n">
        <x:v>2</x:v>
      </x:c>
      <x:c r="L636" s="187" t="str">
        <x:v>Não classificado</x:v>
      </x:c>
    </x:row>
    <x:row r="637">
      <x:c r="A637" s="177" t="str">
        <x:v>55.167.862/0001-03</x:v>
      </x:c>
      <x:c r="B637" s="168" t="str">
        <x:v>FUNDO DE INVESTIMENTO EM DIREITOS CREDITÓRIOS - PAGBANK MULTIADQUIRÊNCIA - RESPONSABILIDADE LIMITADA</x:v>
      </x:c>
      <x:c r="C637" s="190" t="n">
        <x:v>213955119.34</x:v>
      </x:c>
      <x:c r="D637" s="168" t="str">
        <x:v>Oliveira Trust Servicer</x:v>
      </x:c>
      <x:c r="E637" s="168" t="str">
        <x:f>IFERROR(INDEX('Classif Gestoras'!$H$6:$H$462,MATCH(D637,'Classif Gestoras'!$A$6:$A$462,0)),"Não classificada")</x:f>
        <x:v>Independente</x:v>
      </x:c>
      <x:c r="F637" s="168" t="str">
        <x:v>Oliveira Trust DTVM</x:v>
      </x:c>
      <x:c r="G637" s="168" t="str">
        <x:v>OLIVEIRA TRUST DTVM S.A.</x:v>
      </x:c>
      <x:c r="H637" s="168" t="str">
        <x:v>Agro, Indústria e Comércio</x:v>
      </x:c>
      <x:c r="I637" s="168" t="str">
        <x:v>Recebíveis Comerciais</x:v>
      </x:c>
      <x:c r="J637" s="168" t="str">
        <x:v>CI</x:v>
      </x:c>
      <x:c r="K637" s="174" t="n">
        <x:v>1</x:v>
      </x:c>
      <x:c r="L637" s="187" t="str">
        <x:v>Não classificado</x:v>
      </x:c>
    </x:row>
    <x:row r="638">
      <x:c r="A638" s="177" t="str">
        <x:v>60.127.189/0001-00</x:v>
      </x:c>
      <x:c r="B638" s="168" t="str">
        <x:v>PARANÁ FIDC DO SEGMENTO AGRONEGÓCIO - RESPONSABILIDADE LIMITADA</x:v>
      </x:c>
      <x:c r="C638" s="190" t="n">
        <x:v>212852401.6</x:v>
      </x:c>
      <x:c r="D638" s="168" t="str">
        <x:v>SUNO ASSET MANAGEMENT</x:v>
      </x:c>
      <x:c r="E638" s="168" t="str">
        <x:f>IFERROR(INDEX('Classif Gestoras'!$H$6:$H$462,MATCH(D638,'Classif Gestoras'!$A$6:$A$462,0)),"Não classificada")</x:f>
        <x:v>Independente</x:v>
      </x:c>
      <x:c r="F638" s="168" t="str">
        <x:v>Genial Investimentos Corretora de Valores Mobiliários S.A.</x:v>
      </x:c>
      <x:c r="G638" s="168" t="str">
        <x:v>BANCO GENIAL S.A.</x:v>
      </x:c>
      <x:c r="H638" s="168" t="str">
        <x:v>Agro, Indústria e Comércio</x:v>
      </x:c>
      <x:c r="I638" s="168" t="str">
        <x:v>Agronegócio</x:v>
      </x:c>
      <x:c r="J638" s="168" t="str">
        <x:v>CI</x:v>
      </x:c>
      <x:c r="K638" s="174" t="n">
        <x:v>1</x:v>
      </x:c>
      <x:c r="L638" s="187" t="str">
        <x:v>Não classificado</x:v>
      </x:c>
    </x:row>
    <x:row r="639">
      <x:c r="A639" s="177" t="str">
        <x:v>54.876.169/0001-39</x:v>
      </x:c>
      <x:c r="B639" s="168" t="str">
        <x:v>BARBARESCO 4870 FUNDO DE INVESTIMENTO EM DIREITOS CREDITÓRIOS</x:v>
      </x:c>
      <x:c r="C639" s="190" t="n">
        <x:v>212252846.3</x:v>
      </x:c>
      <x:c r="D639" s="168" t="str">
        <x:v>PACTUAL CAPITAL PART</x:v>
      </x:c>
      <x:c r="E639" s="168" t="str">
        <x:f>IFERROR(INDEX('Classif Gestoras'!$H$6:$H$462,MATCH(D639,'Classif Gestoras'!$A$6:$A$462,0)),"Não classificada")</x:f>
        <x:v>Independente</x:v>
      </x:c>
      <x:c r="F639" s="168" t="str">
        <x:v>BTG Pactual Servicos Financeiros S/A DTVM</x:v>
      </x:c>
      <x:c r="G639" s="168" t="str">
        <x:v>BANCO BTG PACTUAL S/A</x:v>
      </x:c>
      <x:c r="H639" s="168" t="str">
        <x:v>Outros</x:v>
      </x:c>
      <x:c r="I639" s="168" t="str">
        <x:v>Poder Público</x:v>
      </x:c>
      <x:c r="J639" s="168" t="str">
        <x:v>CI</x:v>
      </x:c>
      <x:c r="K639" s="174" t="n">
        <x:v>4</x:v>
      </x:c>
      <x:c r="L639" s="187" t="str">
        <x:v>Não classificado</x:v>
      </x:c>
    </x:row>
    <x:row r="640">
      <x:c r="A640" s="177" t="str">
        <x:v>15.653.649/0001-89</x:v>
      </x:c>
      <x:c r="B640" s="168" t="str">
        <x:v>AURUM - FUNDO DE INVESTIMENTO EM DIREITOS CREDITÓRIOS MULTISSETORIAL LP</x:v>
      </x:c>
      <x:c r="C640" s="190" t="n">
        <x:v>211617056.12</x:v>
      </x:c>
      <x:c r="D640" s="168" t="str">
        <x:v>M8 Partners</x:v>
      </x:c>
      <x:c r="E640" s="168" t="str">
        <x:f>IFERROR(INDEX('Classif Gestoras'!$H$6:$H$462,MATCH(D640,'Classif Gestoras'!$A$6:$A$462,0)),"Não classificada")</x:f>
        <x:v>Independente</x:v>
      </x:c>
      <x:c r="F640" s="168" t="str">
        <x:v>Singulare</x:v>
      </x:c>
      <x:c r="G640" s="168" t="str">
        <x:v>QI CORRETORA DE TÍTULOS E VALORES MOBILIÁRIOS S.A.</x:v>
      </x:c>
      <x:c r="H640" s="168" t="str">
        <x:v>Fomento Mercantil</x:v>
      </x:c>
      <x:c r="I640" s="168" t="str">
        <x:v>Fomento Mercantil</x:v>
      </x:c>
      <x:c r="J640" s="168" t="str">
        <x:v>CI</x:v>
      </x:c>
      <x:c r="K640" s="174" t="n">
        <x:v>90</x:v>
      </x:c>
      <x:c r="L640" s="187" t="str">
        <x:v>Não classificado</x:v>
      </x:c>
    </x:row>
    <x:row r="641">
      <x:c r="A641" s="177" t="str">
        <x:v>43.309.133/0001-57</x:v>
      </x:c>
      <x:c r="B641" s="168" t="str">
        <x:v>NACIONAL FEITO PRA VOCÊ FUNDO DE INVESTIMENTO EM DIREITOS CREDITÓRIOS DE RESPONSABILIDADE LIMITADA</x:v>
      </x:c>
      <x:c r="C641" s="190" t="n">
        <x:v>211499341.73</x:v>
      </x:c>
      <x:c r="D641" s="168" t="str">
        <x:v>Oliveira Trust Servicer</x:v>
      </x:c>
      <x:c r="E641" s="168" t="str">
        <x:f>IFERROR(INDEX('Classif Gestoras'!$H$6:$H$462,MATCH(D641,'Classif Gestoras'!$A$6:$A$462,0)),"Não classificada")</x:f>
        <x:v>Independente</x:v>
      </x:c>
      <x:c r="F641" s="168" t="str">
        <x:v>Oliveira Trust DTVM</x:v>
      </x:c>
      <x:c r="G641" s="168" t="str">
        <x:v>OLIVEIRA TRUST DTVM S.A.</x:v>
      </x:c>
      <x:c r="H641" s="168" t="str">
        <x:v>Outros</x:v>
      </x:c>
      <x:c r="I641" s="168" t="str">
        <x:v>Poder Público</x:v>
      </x:c>
      <x:c r="J641" s="168" t="str">
        <x:v>CI</x:v>
      </x:c>
      <x:c r="K641" s="174" t="n">
        <x:v>18</x:v>
      </x:c>
      <x:c r="L641" s="187" t="str">
        <x:v>Não classificado</x:v>
      </x:c>
    </x:row>
    <x:row r="642">
      <x:c r="A642" s="177" t="str">
        <x:v>41.514.874/0001-44</x:v>
      </x:c>
      <x:c r="B642" s="168" t="str">
        <x:v>FORMES FUNDO DE INVESTIMENTO EM DIREITOS CREDITÓRIOS</x:v>
      </x:c>
      <x:c r="C642" s="190" t="n">
        <x:v>211411515.16</x:v>
      </x:c>
      <x:c r="D642" s="168" t="str">
        <x:v>WNT Gestora de Recursos Ltda.</x:v>
      </x:c>
      <x:c r="E642" s="168" t="str">
        <x:f>IFERROR(INDEX('Classif Gestoras'!$H$6:$H$462,MATCH(D642,'Classif Gestoras'!$A$6:$A$462,0)),"Não classificada")</x:f>
        <x:v>Independente</x:v>
      </x:c>
      <x:c r="F642" s="168" t="str">
        <x:v>TRUSTEE DTVM</x:v>
      </x:c>
      <x:c r="G642" s="168" t="str">
        <x:v>TRUSTEE DISTRIBUIDORA DE TITULOS E VALORES MOBILIARIOS LTDA.</x:v>
      </x:c>
      <x:c r="H642" s="168" t="str">
        <x:v>Outros</x:v>
      </x:c>
      <x:c r="I642" s="168" t="str">
        <x:v>Multicarteira Outros</x:v>
      </x:c>
      <x:c r="J642" s="168" t="str">
        <x:v>CI</x:v>
      </x:c>
      <x:c r="K642" s="174" t="n">
        <x:v>2</x:v>
      </x:c>
      <x:c r="L642" s="187" t="str">
        <x:v>Proxy multicedente/multissacado — revisar</x:v>
      </x:c>
    </x:row>
    <x:row r="643">
      <x:c r="A643" s="177" t="str">
        <x:v>47.669.200/0001-03</x:v>
      </x:c>
      <x:c r="B643" s="168" t="str">
        <x:v>FERT-AGRO FUNDO DE INVESTIMENTO EM DIREITOS CREDITÓRIOS DE RESPONSABILIDADE LIMITADA</x:v>
      </x:c>
      <x:c r="C643" s="190" t="n">
        <x:v>211377503.72</x:v>
      </x:c>
      <x:c r="D643" s="168" t="str">
        <x:v>ASSET MANAGEMENT</x:v>
      </x:c>
      <x:c r="E643" s="168" t="str">
        <x:f>IFERROR(INDEX('Classif Gestoras'!$H$6:$H$462,MATCH(D643,'Classif Gestoras'!$A$6:$A$462,0)),"Não classificada")</x:f>
        <x:v>Independente</x:v>
      </x:c>
      <x:c r="F643" s="168" t="str">
        <x:v>AZUMI DISTRIBUIDORA DE TÍTULOS E VALORES MOBILIÁRIOS LT</x:v>
      </x:c>
      <x:c r="G643" s="168" t="str">
        <x:v>AZUMI DISTRIBUIDORA DE TÍTULOS E VALORES MOBILIÁRIOS LTDA.</x:v>
      </x:c>
      <x:c r="H643" s="168" t="str">
        <x:v>Outros</x:v>
      </x:c>
      <x:c r="I643" s="168" t="str">
        <x:v>Multicarteira Outros</x:v>
      </x:c>
      <x:c r="J643" s="168" t="str">
        <x:v>CI</x:v>
      </x:c>
      <x:c r="K643" s="174" t="n">
        <x:v>186</x:v>
      </x:c>
      <x:c r="L643" s="187" t="str">
        <x:v>Proxy multicedente/multissacado — revisar</x:v>
      </x:c>
    </x:row>
    <x:row r="644">
      <x:c r="A644" s="177" t="str">
        <x:v>27.983.569/0001-70</x:v>
      </x:c>
      <x:c r="B644" s="168" t="str">
        <x:v>ENERGY 21 - FUNDO DE INVESTIMENTO EM DIREITOS CREDITÓRIOS</x:v>
      </x:c>
      <x:c r="C644" s="190" t="n">
        <x:v>211185064.39</x:v>
      </x:c>
      <x:c r="D644" s="168" t="str">
        <x:v>Multiplica Capital</x:v>
      </x:c>
      <x:c r="E644" s="168" t="str">
        <x:f>IFERROR(INDEX('Classif Gestoras'!$H$6:$H$462,MATCH(D644,'Classif Gestoras'!$A$6:$A$462,0)),"Não classificada")</x:f>
        <x:v>Independente</x:v>
      </x:c>
      <x:c r="F644" s="168" t="str">
        <x:v>TRUSTEE DTVM</x:v>
      </x:c>
      <x:c r="G644" s="168" t="str">
        <x:v>PLANNER CORRETORA DE VALORES S.A.</x:v>
      </x:c>
      <x:c r="H644" s="168" t="str">
        <x:v>Outros</x:v>
      </x:c>
      <x:c r="I644" s="168" t="str">
        <x:v>Multicarteira Outros</x:v>
      </x:c>
      <x:c r="J644" s="168" t="str">
        <x:v>CI</x:v>
      </x:c>
      <x:c r="K644" s="174" t="n">
        <x:v>1</x:v>
      </x:c>
      <x:c r="L644" s="187" t="str">
        <x:v>Proxy multicedente/multissacado — revisar</x:v>
      </x:c>
    </x:row>
    <x:row r="645">
      <x:c r="A645" s="177" t="str">
        <x:v>58.494.418/0001-82</x:v>
      </x:c>
      <x:c r="B645" s="168" t="str">
        <x:v>ARKAM I - FUNDO DE INVESTIMENTO EM DIREITOS CREDITÓRIOS</x:v>
      </x:c>
      <x:c r="C645" s="190" t="n">
        <x:v>210164214.18</x:v>
      </x:c>
      <x:c r="D645" s="168" t="str">
        <x:v>Acura Gestora de Recursos LTDA.</x:v>
      </x:c>
      <x:c r="E645" s="168" t="str">
        <x:f>IFERROR(INDEX('Classif Gestoras'!$H$6:$H$462,MATCH(D645,'Classif Gestoras'!$A$6:$A$462,0)),"Não classificada")</x:f>
        <x:v>Independente</x:v>
      </x:c>
      <x:c r="F645" s="168" t="str">
        <x:v>SEFER DTVM</x:v>
      </x:c>
      <x:c r="G645" s="168" t="str">
        <x:v>SEFER INVESTIMENTOS DISTRIBUIDORA DE TÍTULOS E VALORES MOBILIÁRIOS LTDA.</x:v>
      </x:c>
      <x:c r="H645" s="168" t="str">
        <x:v>Outros</x:v>
      </x:c>
      <x:c r="I645" s="168" t="str">
        <x:v>Poder Público</x:v>
      </x:c>
      <x:c r="J645" s="168" t="str">
        <x:v>CI</x:v>
      </x:c>
      <x:c r="K645" s="174" t="n">
        <x:v>2</x:v>
      </x:c>
      <x:c r="L645" s="187" t="str">
        <x:v>Não classificado</x:v>
      </x:c>
    </x:row>
    <x:row r="646">
      <x:c r="A646" s="177" t="str">
        <x:v>23.711.475/0001-91</x:v>
      </x:c>
      <x:c r="B646" s="168" t="str">
        <x:v>MULTINVEST 1940 FUNDO DE INVESTIMENTO EM DIREITOS CREDITÓRIOS DE RESPONSABILIDADE LIMITADA</x:v>
      </x:c>
      <x:c r="C646" s="190" t="n">
        <x:v>209895808.64</x:v>
      </x:c>
      <x:c r="D646" s="168" t="str">
        <x:v>Multinvest Capital</x:v>
      </x:c>
      <x:c r="E646" s="168" t="str">
        <x:f>IFERROR(INDEX('Classif Gestoras'!$H$6:$H$462,MATCH(D646,'Classif Gestoras'!$A$6:$A$462,0)),"Não classificada")</x:f>
        <x:v>Independente</x:v>
      </x:c>
      <x:c r="F646" s="168" t="str">
        <x:v>BANCO DAYCOVAL S/A</x:v>
      </x:c>
      <x:c r="G646" s="168" t="str">
        <x:v>BANCO DAYCOVAL S.A.</x:v>
      </x:c>
      <x:c r="H646" s="168" t="str">
        <x:v>Outros</x:v>
      </x:c>
      <x:c r="I646" s="168" t="str">
        <x:v>Multicarteira Outros</x:v>
      </x:c>
      <x:c r="J646" s="168" t="str">
        <x:v>CI</x:v>
      </x:c>
      <x:c r="K646" s="174" t="n">
        <x:v>2</x:v>
      </x:c>
      <x:c r="L646" s="187" t="str">
        <x:v>Proxy multicedente/multissacado — revisar</x:v>
      </x:c>
    </x:row>
    <x:row r="647">
      <x:c r="A647" s="177" t="str">
        <x:v>60.261.869/0001-11</x:v>
      </x:c>
      <x:c r="B647" s="168" t="str">
        <x:v>JIVEMAUÁ BOSSANOVA CRÉDITO SECURITIZADO (VAREJO) FUNDO DE INVESTIMENTO EM DIREITOS CREDITÓRIOS RL</x:v>
      </x:c>
      <x:c r="C647" s="190" t="n">
        <x:v>209836815.62</x:v>
      </x:c>
      <x:c r="D647" s="168" t="str">
        <x:v>JIVE HIGH YIELD GESTÃO DE RECURSOS LTDA</x:v>
      </x:c>
      <x:c r="E647" s="168" t="str">
        <x:f>IFERROR(INDEX('Classif Gestoras'!$H$6:$H$462,MATCH(D647,'Classif Gestoras'!$A$6:$A$462,0)),"Não classificada")</x:f>
        <x:v>Independente</x:v>
      </x:c>
      <x:c r="F647" s="168" t="str">
        <x:v>XPI CCTVM S/A</x:v>
      </x:c>
      <x:c r="G647" s="168" t="str">
        <x:v>OLIVEIRA TRUST DTVM S.A.</x:v>
      </x:c>
      <x:c r="H647" s="168" t="str">
        <x:v>Outros</x:v>
      </x:c>
      <x:c r="I647" s="168" t="str">
        <x:v>Multicarteira Outros</x:v>
      </x:c>
      <x:c r="J647" s="168" t="str">
        <x:v>CI</x:v>
      </x:c>
      <x:c r="K647" s="174" t="n">
        <x:v>3750</x:v>
      </x:c>
      <x:c r="L647" s="187" t="str">
        <x:v>Proxy multicedente/multissacado — revisar</x:v>
      </x:c>
    </x:row>
    <x:row r="648">
      <x:c r="A648" s="177" t="str">
        <x:v>62.363.602/0001-60</x:v>
      </x:c>
      <x:c r="B648" s="168" t="str">
        <x:v>GUARDIAN FUTURO V FUNDO DE INVESTIMENTO EM DIREITOS CREDITÓRIOS RESPONSABILIDADE LIMITADA</x:v>
      </x:c>
      <x:c r="C648" s="190" t="n">
        <x:v>209590814.18</x:v>
      </x:c>
      <x:c r="D648" s="168" t="str">
        <x:v>Guardian Crédito</x:v>
      </x:c>
      <x:c r="E648" s="168" t="str">
        <x:f>IFERROR(INDEX('Classif Gestoras'!$H$6:$H$462,MATCH(D648,'Classif Gestoras'!$A$6:$A$462,0)),"Não classificada")</x:f>
        <x:v>Independente</x:v>
      </x:c>
      <x:c r="F648" s="168" t="str">
        <x:v>Oliveira Trust DTVM</x:v>
      </x:c>
      <x:c r="G648" s="168" t="str">
        <x:v>OLIVEIRA TRUST DTVM S.A.</x:v>
      </x:c>
      <x:c r="H648" s="168" t="str">
        <x:v>Financeiro</x:v>
      </x:c>
      <x:c r="I648" s="168" t="str">
        <x:v>Multicarteira Financeiro</x:v>
      </x:c>
      <x:c r="J648" s="168" t="str">
        <x:v>CI</x:v>
      </x:c>
      <x:c r="K648" s="174" t="n">
        <x:v>4</x:v>
      </x:c>
      <x:c r="L648" s="187" t="str">
        <x:v>Proxy multicedente/multissacado — revisar</x:v>
      </x:c>
    </x:row>
    <x:row r="649">
      <x:c r="A649" s="177" t="str">
        <x:v>11.812.962/0001-61</x:v>
      </x:c>
      <x:c r="B649" s="168" t="str">
        <x:v>BERLANDA FUNDO DE INVESTIMENTO EM DIREITOS CREDITÓRIOS SEGMENTO ECONÔMICO FINANCEIRO</x:v>
      </x:c>
      <x:c r="C649" s="190" t="n">
        <x:v>209410086.42</x:v>
      </x:c>
      <x:c r="D649" s="168" t="str">
        <x:v>Petra Capital</x:v>
      </x:c>
      <x:c r="E649" s="168" t="str">
        <x:f>IFERROR(INDEX('Classif Gestoras'!$H$6:$H$462,MATCH(D649,'Classif Gestoras'!$A$6:$A$462,0)),"Não classificada")</x:f>
        <x:v>Independente</x:v>
      </x:c>
      <x:c r="F649" s="168" t="str">
        <x:v>Finaxis Corretora de Títulos e Valores Mobiliários S.A.</x:v>
      </x:c>
      <x:c r="G649" s="168" t="str">
        <x:v>BANCO FINAXIS S.A.</x:v>
      </x:c>
      <x:c r="H649" s="168" t="str">
        <x:v>Financeiro</x:v>
      </x:c>
      <x:c r="I649" s="168" t="str">
        <x:v>Crédito Pessoal</x:v>
      </x:c>
      <x:c r="J649" s="168" t="str">
        <x:v>CI</x:v>
      </x:c>
      <x:c r="K649" s="174" t="n">
        <x:v>4</x:v>
      </x:c>
      <x:c r="L649" s="187" t="str">
        <x:v>Não classificado</x:v>
      </x:c>
    </x:row>
    <x:row r="650">
      <x:c r="A650" s="177" t="str">
        <x:v>51.144.449/0001-64</x:v>
      </x:c>
      <x:c r="B650" s="168" t="str">
        <x:v>LBA FUNDO DE INVESTIMENTO EM DIREITOS CREDITÓRIOS</x:v>
      </x:c>
      <x:c r="C650" s="190" t="n">
        <x:v>209062462.36000004</x:v>
      </x:c>
      <x:c r="D650" s="168" t="str">
        <x:v>Artesanal Imobiliário</x:v>
      </x:c>
      <x:c r="E650" s="168" t="str">
        <x:f>IFERROR(INDEX('Classif Gestoras'!$H$6:$H$462,MATCH(D650,'Classif Gestoras'!$A$6:$A$462,0)),"Não classificada")</x:f>
        <x:v>Independente</x:v>
      </x:c>
      <x:c r="F650" s="168" t="str">
        <x:v>Singulare</x:v>
      </x:c>
      <x:c r="G650" s="168" t="str">
        <x:v>QI CORRETORA DE TÍTULOS E VALORES MOBILIÁRIOS S.A.</x:v>
      </x:c>
      <x:c r="H650" s="168" t="str">
        <x:v>Fomento Mercantil</x:v>
      </x:c>
      <x:c r="I650" s="168" t="str">
        <x:v>Fomento Mercantil</x:v>
      </x:c>
      <x:c r="J650" s="168" t="str">
        <x:v>CI</x:v>
      </x:c>
      <x:c r="K650" s="174" t="n">
        <x:v>17</x:v>
      </x:c>
      <x:c r="L650" s="187" t="str">
        <x:v>Não classificado</x:v>
      </x:c>
    </x:row>
    <x:row r="651">
      <x:c r="A651" s="177" t="str">
        <x:v>09.363.400/0001-36</x:v>
      </x:c>
      <x:c r="B651" s="168" t="str">
        <x:v>MERCANTIL NP FUNDO DE INVESTIMENTO EM DIREITOS CREDITORIOS NAO PADRONIZADOS MULTISETORIAL</x:v>
      </x:c>
      <x:c r="C651" s="190" t="n">
        <x:v>208374271.43</x:v>
      </x:c>
      <x:c r="D651" s="168" t="str">
        <x:v>TERCON ASSET MANAGEMENT</x:v>
      </x:c>
      <x:c r="E651" s="168" t="str">
        <x:f>IFERROR(INDEX('Classif Gestoras'!$H$6:$H$462,MATCH(D651,'Classif Gestoras'!$A$6:$A$462,0)),"Não classificada")</x:f>
        <x:v>Independente</x:v>
      </x:c>
      <x:c r="F651" s="168" t="str">
        <x:v>Singulare</x:v>
      </x:c>
      <x:c r="G651" s="168" t="str">
        <x:v>QI CORRETORA DE TÍTULOS E VALORES MOBILIÁRIOS S.A.</x:v>
      </x:c>
      <x:c r="H651" s="168" t="str">
        <x:v>Fomento Mercantil</x:v>
      </x:c>
      <x:c r="I651" s="168" t="str">
        <x:v>Fomento Mercantil</x:v>
      </x:c>
      <x:c r="J651" s="168" t="str">
        <x:v>CI</x:v>
      </x:c>
      <x:c r="K651" s="174" t="n">
        <x:v>7</x:v>
      </x:c>
      <x:c r="L651" s="187" t="str">
        <x:v>Não classificado</x:v>
      </x:c>
    </x:row>
    <x:row r="652">
      <x:c r="A652" s="177" t="str">
        <x:v>29.469.886/0001-07</x:v>
      </x:c>
      <x:c r="B652" s="168" t="str">
        <x:v>JC DIVERSIFICADO VI FUNDO DE INVESTIMENTO EM DIREITOS CREDITORIOS NAO-PADRONIZADOS</x:v>
      </x:c>
      <x:c r="C652" s="190" t="n">
        <x:v>207840019.57</x:v>
      </x:c>
      <x:c r="D652" s="168" t="str">
        <x:v>Jus Capital Gestão de Recursos LTDA</x:v>
      </x:c>
      <x:c r="E652" s="168" t="str">
        <x:f>IFERROR(INDEX('Classif Gestoras'!$H$6:$H$462,MATCH(D652,'Classif Gestoras'!$A$6:$A$462,0)),"Não classificada")</x:f>
        <x:v>Independente</x:v>
      </x:c>
      <x:c r="F652" s="168" t="str">
        <x:v>Singulare</x:v>
      </x:c>
      <x:c r="G652" s="168" t="str">
        <x:v>QI CORRETORA DE TÍTULOS E VALORES MOBILIÁRIOS S.A.</x:v>
      </x:c>
      <x:c r="H652" s="168" t="str">
        <x:v>Outros</x:v>
      </x:c>
      <x:c r="I652" s="168" t="str">
        <x:v>Poder Público</x:v>
      </x:c>
      <x:c r="J652" s="168" t="str">
        <x:v>CI</x:v>
      </x:c>
      <x:c r="K652" s="174" t="n">
        <x:v>5</x:v>
      </x:c>
      <x:c r="L652" s="187" t="str">
        <x:v>Não classificado</x:v>
      </x:c>
    </x:row>
    <x:row r="653">
      <x:c r="A653" s="177" t="str">
        <x:v>43.076.509/0001-20</x:v>
      </x:c>
      <x:c r="B653" s="168" t="str">
        <x:v>CERTO - FUNDO DE INVESTIMENTO EM DIREITOS CREDITÓRIOS</x:v>
      </x:c>
      <x:c r="C653" s="190" t="n">
        <x:v>207078531.3</x:v>
      </x:c>
      <x:c r="D653" s="168" t="str">
        <x:v>Libertas Asset</x:v>
      </x:c>
      <x:c r="E653" s="168" t="str">
        <x:f>IFERROR(INDEX('Classif Gestoras'!$H$6:$H$462,MATCH(D653,'Classif Gestoras'!$A$6:$A$462,0)),"Não classificada")</x:f>
        <x:v>Independente</x:v>
      </x:c>
      <x:c r="F653" s="168" t="str">
        <x:v>LASTRO RDV DIST. DE</x:v>
      </x:c>
      <x:c r="G653" s="168" t="str">
        <x:v>LASTRO RDV DTVM LTDA</x:v>
      </x:c>
      <x:c r="H653" s="168" t="str">
        <x:v>Financeiro</x:v>
      </x:c>
      <x:c r="I653" s="168" t="str">
        <x:v>Crédito Consignado</x:v>
      </x:c>
      <x:c r="J653" s="168" t="str">
        <x:v>CI</x:v>
      </x:c>
      <x:c r="K653" s="174" t="n">
        <x:v>2</x:v>
      </x:c>
      <x:c r="L653" s="187" t="str">
        <x:v>Não classificado</x:v>
      </x:c>
    </x:row>
    <x:row r="654">
      <x:c r="A654" s="177" t="str">
        <x:v>33.289.359/0001-80</x:v>
      </x:c>
      <x:c r="B654" s="168" t="str">
        <x:v>NOVA CAPITAL FUNDO DE INVESTIMENTO EM DIREITOS CREDITÓRIOS</x:v>
      </x:c>
      <x:c r="C654" s="190" t="n">
        <x:v>206765100.2</x:v>
      </x:c>
      <x:c r="D654" s="168" t="str">
        <x:v>TERCON ASSET MANAGEMENT</x:v>
      </x:c>
      <x:c r="E654" s="168" t="str">
        <x:f>IFERROR(INDEX('Classif Gestoras'!$H$6:$H$462,MATCH(D654,'Classif Gestoras'!$A$6:$A$462,0)),"Não classificada")</x:f>
        <x:v>Independente</x:v>
      </x:c>
      <x:c r="F654" s="168" t="str">
        <x:v>Singulare</x:v>
      </x:c>
      <x:c r="G654" s="168" t="str">
        <x:v>QI CORRETORA DE TÍTULOS E VALORES MOBILIÁRIOS S.A.</x:v>
      </x:c>
      <x:c r="H654" s="168" t="str">
        <x:v>Fomento Mercantil</x:v>
      </x:c>
      <x:c r="I654" s="168" t="str">
        <x:v>Fomento Mercantil</x:v>
      </x:c>
      <x:c r="J654" s="168" t="str">
        <x:v>CI</x:v>
      </x:c>
      <x:c r="K654" s="174" t="n">
        <x:v>64</x:v>
      </x:c>
      <x:c r="L654" s="187" t="str">
        <x:v>Não classificado</x:v>
      </x:c>
    </x:row>
    <x:row r="655">
      <x:c r="A655" s="177" t="str">
        <x:v>52.174.102/0001-27</x:v>
      </x:c>
      <x:c r="B655" s="168" t="str">
        <x:v>BYX CONSIGNADO MULTICONVENIOS FUNDO DE INVESTIMENTO EM DIREITOS CREDITÓRIOS RESP LIMITADA</x:v>
      </x:c>
      <x:c r="C655" s="190" t="n">
        <x:v>206417725.87</x:v>
      </x:c>
      <x:c r="D655" s="168" t="str">
        <x:v>GESTORA DE RECURSOS ID - GRID LTDA.</x:v>
      </x:c>
      <x:c r="E655" s="168" t="str">
        <x:f>IFERROR(INDEX('Classif Gestoras'!$H$6:$H$462,MATCH(D655,'Classif Gestoras'!$A$6:$A$462,0)),"Não classificada")</x:f>
        <x:v>Independente</x:v>
      </x:c>
      <x:c r="F655" s="168" t="str">
        <x:v>ID Corretora de Títulos e Valores Mobiliários S.A.</x:v>
      </x:c>
      <x:c r="G655" s="168" t="str">
        <x:v>ID CORRETORA DE TITULOS E VALORES MOBILIARIOS S.A.</x:v>
      </x:c>
      <x:c r="H655" s="168" t="str">
        <x:v>Financeiro</x:v>
      </x:c>
      <x:c r="I655" s="168" t="str">
        <x:v>Crédito Consignado</x:v>
      </x:c>
      <x:c r="J655" s="168" t="str">
        <x:v>CI</x:v>
      </x:c>
      <x:c r="K655" s="174" t="n">
        <x:v>3</x:v>
      </x:c>
      <x:c r="L655" s="187" t="str">
        <x:v>Não classificado</x:v>
      </x:c>
    </x:row>
    <x:row r="656">
      <x:c r="A656" s="177" t="str">
        <x:v>32.156.038/0001-44</x:v>
      </x:c>
      <x:c r="B656" s="168" t="str">
        <x:v>SUN CAPITAL FUNDO DE INVESTIMENTO EM DIREITOS CREDITÓRIOS NÃO PADRONIZADOS</x:v>
      </x:c>
      <x:c r="C656" s="190" t="n">
        <x:v>205437924.91000003</x:v>
      </x:c>
      <x:c r="D656" s="168" t="str">
        <x:v>GV ATACAMA CAPITAL LTDA.</x:v>
      </x:c>
      <x:c r="E656" s="168" t="str">
        <x:f>IFERROR(INDEX('Classif Gestoras'!$H$6:$H$462,MATCH(D656,'Classif Gestoras'!$A$6:$A$462,0)),"Não classificada")</x:f>
        <x:v>Independente</x:v>
      </x:c>
      <x:c r="F656" s="168" t="str">
        <x:v>Singulare</x:v>
      </x:c>
      <x:c r="G656" s="168" t="str">
        <x:v>QI CORRETORA DE TÍTULOS E VALORES MOBILIÁRIOS S.A.</x:v>
      </x:c>
      <x:c r="H656" s="168" t="str">
        <x:v>Outros</x:v>
      </x:c>
      <x:c r="I656" s="168" t="str">
        <x:v>Multicarteira Outros</x:v>
      </x:c>
      <x:c r="J656" s="168" t="str">
        <x:v>CI</x:v>
      </x:c>
      <x:c r="K656" s="174" t="n">
        <x:v>1</x:v>
      </x:c>
      <x:c r="L656" s="187" t="str">
        <x:v>Proxy multicedente/multissacado — revisar</x:v>
      </x:c>
    </x:row>
    <x:row r="657">
      <x:c r="A657" s="177" t="str">
        <x:v>20.118.619/0001-02</x:v>
      </x:c>
      <x:c r="B657" s="168" t="str">
        <x:v>SG GAINSA FUNDO DE INVESTIMENTO EM DIREITOS CREDITÓRIOS NÃO-PADRONIZADOS</x:v>
      </x:c>
      <x:c r="C657" s="190" t="n">
        <x:v>205014113.09</x:v>
      </x:c>
      <x:c r="D657" s="168" t="str">
        <x:v>Jus Capital Gestão de Recursos LTDA</x:v>
      </x:c>
      <x:c r="E657" s="168" t="str">
        <x:f>IFERROR(INDEX('Classif Gestoras'!$H$6:$H$462,MATCH(D657,'Classif Gestoras'!$A$6:$A$462,0)),"Não classificada")</x:f>
        <x:v>Independente</x:v>
      </x:c>
      <x:c r="F657" s="168" t="str">
        <x:v>BTG Pactual Servicos Financeiros S/A DTVM</x:v>
      </x:c>
      <x:c r="G657" s="168" t="str">
        <x:v>BANCO BTG PACTUAL S/A</x:v>
      </x:c>
      <x:c r="H657" s="168" t="str">
        <x:v>Outros</x:v>
      </x:c>
      <x:c r="I657" s="168" t="str">
        <x:v>Poder Público</x:v>
      </x:c>
      <x:c r="J657" s="168" t="str">
        <x:v>CI</x:v>
      </x:c>
      <x:c r="K657" s="174" t="n">
        <x:v>2</x:v>
      </x:c>
      <x:c r="L657" s="187" t="str">
        <x:v>Não classificado</x:v>
      </x:c>
    </x:row>
    <x:row r="658">
      <x:c r="A658" s="177" t="str">
        <x:v>51.170.105/0001-20</x:v>
      </x:c>
      <x:c r="B658" s="168" t="str">
        <x:v>CNPJ 51170105000120</x:v>
      </x:c>
      <x:c r="C658" s="190" t="n">
        <x:v>205004399.89</x:v>
      </x:c>
      <x:c r="D658" s="168" t="str">
        <x:v>MAV CAPITAL GESTORA DE RECURSOS SS LTDA</x:v>
      </x:c>
      <x:c r="E658" s="168" t="str">
        <x:f>IFERROR(INDEX('Classif Gestoras'!$H$6:$H$462,MATCH(D658,'Classif Gestoras'!$A$6:$A$462,0)),"Não classificada")</x:f>
        <x:v>Independente</x:v>
      </x:c>
      <x:c r="F658" s="168" t="str">
        <x:v>Banco Genial S.A.</x:v>
      </x:c>
      <x:c r="G658" s="168" t="str">
        <x:v>Não identificado</x:v>
      </x:c>
      <x:c r="H658" s="168" t="str">
        <x:v>Agro, Indústria e Comércio</x:v>
      </x:c>
      <x:c r="I658" s="168" t="str">
        <x:v>Agronegócio</x:v>
      </x:c>
      <x:c r="J658" s="168" t="str">
        <x:v>CI</x:v>
      </x:c>
      <x:c r="K658" s="174"/>
      <x:c r="L658" s="187" t="str">
        <x:v>Não classificado</x:v>
      </x:c>
    </x:row>
    <x:row r="659">
      <x:c r="A659" s="177" t="str">
        <x:v>55.983.705/0001-68</x:v>
      </x:c>
      <x:c r="B659" s="168" t="str">
        <x:v>PRAVALER CRÉDITO UNIVERSITÁRIO IV FUNDO DE INVESTIMENTO EM DIREITOS CREDITÓRIOS - RESP LIMITADA</x:v>
      </x:c>
      <x:c r="C659" s="190" t="n">
        <x:v>204904527.83</x:v>
      </x:c>
      <x:c r="D659" s="168" t="str">
        <x:v>PRAVALER S/A</x:v>
      </x:c>
      <x:c r="E659" s="168" t="str">
        <x:f>IFERROR(INDEX('Classif Gestoras'!$H$6:$H$462,MATCH(D659,'Classif Gestoras'!$A$6:$A$462,0)),"Não classificada")</x:f>
        <x:v>Independente</x:v>
      </x:c>
      <x:c r="F659" s="168" t="str">
        <x:v>Oliveira Trust DTVM</x:v>
      </x:c>
      <x:c r="G659" s="168" t="str">
        <x:v>OLIVEIRA TRUST DTVM S.A.</x:v>
      </x:c>
      <x:c r="H659" s="168" t="str">
        <x:v>Financeiro</x:v>
      </x:c>
      <x:c r="I659" s="168" t="str">
        <x:v>Crédito Pessoal</x:v>
      </x:c>
      <x:c r="J659" s="168" t="str">
        <x:v>CI</x:v>
      </x:c>
      <x:c r="K659" s="174" t="n">
        <x:v>58</x:v>
      </x:c>
      <x:c r="L659" s="187" t="str">
        <x:v>Não classificado</x:v>
      </x:c>
    </x:row>
    <x:row r="660">
      <x:c r="A660" s="177" t="str">
        <x:v>50.057.356/0001-30</x:v>
      </x:c>
      <x:c r="B660" s="168" t="str">
        <x:v>FUNDO DE INVESTIMENTO EM DIREITOS CREDITÓRIOS PRATA DIGITAL</x:v>
      </x:c>
      <x:c r="C660" s="190" t="n">
        <x:v>204785091.33</x:v>
      </x:c>
      <x:c r="D660" s="168" t="str">
        <x:v>ANGÁ ASSET MANAGEMENT</x:v>
      </x:c>
      <x:c r="E660" s="168" t="str">
        <x:f>IFERROR(INDEX('Classif Gestoras'!$H$6:$H$462,MATCH(D660,'Classif Gestoras'!$A$6:$A$462,0)),"Não classificada")</x:f>
        <x:v>Independente</x:v>
      </x:c>
      <x:c r="F660" s="168" t="str">
        <x:v>BANCO DAYCOVAL S/A</x:v>
      </x:c>
      <x:c r="G660" s="168" t="str">
        <x:v>BANCO DAYCOVAL S.A.</x:v>
      </x:c>
      <x:c r="H660" s="168" t="str">
        <x:v>Financeiro</x:v>
      </x:c>
      <x:c r="I660" s="168" t="str">
        <x:v>Crédito Pessoal</x:v>
      </x:c>
      <x:c r="J660" s="168" t="str">
        <x:v>CI</x:v>
      </x:c>
      <x:c r="K660" s="174" t="n">
        <x:v>133</x:v>
      </x:c>
      <x:c r="L660" s="187" t="str">
        <x:v>Não classificado</x:v>
      </x:c>
    </x:row>
    <x:row r="661">
      <x:c r="A661" s="177" t="str">
        <x:v>39.615.917/0001-36</x:v>
      </x:c>
      <x:c r="B661" s="168" t="str">
        <x:v>PCS II CLAIMS FUNDO DE INVESTIMENTO EM DIREITOS CREDITÓRIOS - NÃO PADRONIZADOS</x:v>
      </x:c>
      <x:c r="C661" s="190" t="n">
        <x:v>203945049.51</x:v>
      </x:c>
      <x:c r="D661" s="168" t="str">
        <x:v>Prisma Claims Ltda.</x:v>
      </x:c>
      <x:c r="E661" s="168" t="str">
        <x:f>IFERROR(INDEX('Classif Gestoras'!$H$6:$H$462,MATCH(D661,'Classif Gestoras'!$A$6:$A$462,0)),"Não classificada")</x:f>
        <x:v>Independente</x:v>
      </x:c>
      <x:c r="F661" s="168" t="str">
        <x:v>Singulare</x:v>
      </x:c>
      <x:c r="G661" s="168" t="str">
        <x:v>QI CORRETORA DE TÍTULOS E VALORES MOBILIÁRIOS S.A.</x:v>
      </x:c>
      <x:c r="H661" s="168" t="str">
        <x:v>Outros</x:v>
      </x:c>
      <x:c r="I661" s="168" t="str">
        <x:v>Multicarteira Outros</x:v>
      </x:c>
      <x:c r="J661" s="168" t="str">
        <x:v>CI</x:v>
      </x:c>
      <x:c r="K661" s="174" t="n">
        <x:v>2</x:v>
      </x:c>
      <x:c r="L661" s="187" t="str">
        <x:v>Proxy multicedente/multissacado — revisar</x:v>
      </x:c>
    </x:row>
    <x:row r="662">
      <x:c r="A662" s="177" t="str">
        <x:v>46.157.224/0001-02</x:v>
      </x:c>
      <x:c r="B662" s="168" t="str">
        <x:v>SOFISA CONSIGNADO FUNDO DE INVESTIMENTO EM DIREITOS CREDITÓRIOS - RESPONSABILIDADE LIMITADA</x:v>
      </x:c>
      <x:c r="C662" s="190" t="n">
        <x:v>203669858.77</x:v>
      </x:c>
      <x:c r="D662" s="168" t="str">
        <x:v>Solis</x:v>
      </x:c>
      <x:c r="E662" s="168" t="str">
        <x:f>IFERROR(INDEX('Classif Gestoras'!$H$6:$H$462,MATCH(D662,'Classif Gestoras'!$A$6:$A$462,0)),"Não classificada")</x:f>
        <x:v>Independente</x:v>
      </x:c>
      <x:c r="F662" s="168" t="str">
        <x:v>HEMERA DTVM</x:v>
      </x:c>
      <x:c r="G662" s="168" t="str">
        <x:v>HEMERA DISTRIBUIDORA DE TITULOS E VALORES MOBILIARIOS LTDA</x:v>
      </x:c>
      <x:c r="H662" s="168" t="str">
        <x:v>Financeiro</x:v>
      </x:c>
      <x:c r="I662" s="168" t="str">
        <x:v>Crédito Consignado</x:v>
      </x:c>
      <x:c r="J662" s="168" t="str">
        <x:v>CI</x:v>
      </x:c>
      <x:c r="K662" s="174" t="n">
        <x:v>1</x:v>
      </x:c>
      <x:c r="L662" s="187" t="str">
        <x:v>Não classificado</x:v>
      </x:c>
    </x:row>
    <x:row r="663">
      <x:c r="A663" s="177" t="str">
        <x:v>62.627.122/0001-60</x:v>
      </x:c>
      <x:c r="B663" s="168" t="str">
        <x:v>SUMUP SMART III FIDC SEGMENTO MEIOS DE PAGAMENTO DE RESPONSABILIDADE LIMITADA</x:v>
      </x:c>
      <x:c r="C663" s="190" t="n">
        <x:v>203549058.93</x:v>
      </x:c>
      <x:c r="D663" s="168" t="str">
        <x:v>Banco Bradesco S/A</x:v>
      </x:c>
      <x:c r="E663" s="168" t="str">
        <x:f>IFERROR(INDEX('Classif Gestoras'!$H$6:$H$462,MATCH(D663,'Classif Gestoras'!$A$6:$A$462,0)),"Não classificada")</x:f>
        <x:v>Ligada a banco</x:v>
      </x:c>
      <x:c r="F663" s="168" t="str">
        <x:v>BEM - DIST. DE TÍTUL</x:v>
      </x:c>
      <x:c r="G663" s="168" t="str">
        <x:v>BANCO BRADESCO S.A.</x:v>
      </x:c>
      <x:c r="H663" s="168" t="str">
        <x:v>Outros</x:v>
      </x:c>
      <x:c r="I663" s="168" t="str">
        <x:v>Multicarteira Outros</x:v>
      </x:c>
      <x:c r="J663" s="168" t="str">
        <x:v>CI</x:v>
      </x:c>
      <x:c r="K663" s="174" t="n">
        <x:v>16</x:v>
      </x:c>
      <x:c r="L663" s="187" t="str">
        <x:v>Proxy multicedente/multissacado — revisar</x:v>
      </x:c>
    </x:row>
    <x:row r="664">
      <x:c r="A664" s="177" t="str">
        <x:v>45.207.689/0001-68</x:v>
      </x:c>
      <x:c r="B664" s="168" t="str">
        <x:v>TESOURARIA 2 FUNDO DE INVESTIMENTO EM DIREITOS CREDITÓRIOS</x:v>
      </x:c>
      <x:c r="C664" s="190" t="n">
        <x:v>203447979.03</x:v>
      </x:c>
      <x:c r="D664" s="168" t="str">
        <x:v>Quadra Gestão de Recursos S.A.</x:v>
      </x:c>
      <x:c r="E664" s="168" t="str">
        <x:f>IFERROR(INDEX('Classif Gestoras'!$H$6:$H$462,MATCH(D664,'Classif Gestoras'!$A$6:$A$462,0)),"Não classificada")</x:f>
        <x:v>Independente</x:v>
      </x:c>
      <x:c r="F664" s="168" t="str">
        <x:v>BTG Pactual Servicos Financeiros S/A DTVM</x:v>
      </x:c>
      <x:c r="G664" s="168" t="str">
        <x:v>BANCO BTG PACTUAL S/A</x:v>
      </x:c>
      <x:c r="H664" s="168" t="str">
        <x:v>Outros</x:v>
      </x:c>
      <x:c r="I664" s="168" t="str">
        <x:v>Recuperação</x:v>
      </x:c>
      <x:c r="J664" s="168" t="str">
        <x:v>CI</x:v>
      </x:c>
      <x:c r="K664" s="174" t="n">
        <x:v>1</x:v>
      </x:c>
      <x:c r="L664" s="187" t="str">
        <x:v>Não classificado</x:v>
      </x:c>
    </x:row>
    <x:row r="665">
      <x:c r="A665" s="177" t="str">
        <x:v>52.100.879/0001-47</x:v>
      </x:c>
      <x:c r="B665" s="168" t="str">
        <x:v>SOTREQ FUNDO DE INVESTIMENTO EM DIREITOS CREDITÓRIOS - RESPONSABILIDADE LIMITADA</x:v>
      </x:c>
      <x:c r="C665" s="190" t="n">
        <x:v>203344797.40000004</x:v>
      </x:c>
      <x:c r="D665" s="168" t="str">
        <x:v>ANGÁ ASSET MANAGEMENT</x:v>
      </x:c>
      <x:c r="E665" s="168" t="str">
        <x:f>IFERROR(INDEX('Classif Gestoras'!$H$6:$H$462,MATCH(D665,'Classif Gestoras'!$A$6:$A$462,0)),"Não classificada")</x:f>
        <x:v>Independente</x:v>
      </x:c>
      <x:c r="F665" s="168" t="str">
        <x:v>Oliveira Trust DTVM</x:v>
      </x:c>
      <x:c r="G665" s="168" t="str">
        <x:v>OLIVEIRA TRUST DTVM S.A.</x:v>
      </x:c>
      <x:c r="H665" s="168" t="str">
        <x:v>Financeiro</x:v>
      </x:c>
      <x:c r="I665" s="168" t="str">
        <x:v>Multicarteira Financeiro</x:v>
      </x:c>
      <x:c r="J665" s="168" t="str">
        <x:v>CI</x:v>
      </x:c>
      <x:c r="K665" s="174" t="n">
        <x:v>3</x:v>
      </x:c>
      <x:c r="L665" s="187" t="str">
        <x:v>Proxy multicedente/multissacado — revisar</x:v>
      </x:c>
    </x:row>
    <x:row r="666">
      <x:c r="A666" s="177" t="str">
        <x:v>13.842.701/0001-10</x:v>
      </x:c>
      <x:c r="B666" s="168" t="str">
        <x:v>NEW TRADE BANK FUNDO DE INVESTIMENTO EM DIREITOS CREDITÓRIOS</x:v>
      </x:c>
      <x:c r="C666" s="190" t="n">
        <x:v>203269809.6</x:v>
      </x:c>
      <x:c r="D666" s="168" t="str">
        <x:v>TERCON ASSET MANAGEMENT</x:v>
      </x:c>
      <x:c r="E666" s="168" t="str">
        <x:f>IFERROR(INDEX('Classif Gestoras'!$H$6:$H$462,MATCH(D666,'Classif Gestoras'!$A$6:$A$462,0)),"Não classificada")</x:f>
        <x:v>Independente</x:v>
      </x:c>
      <x:c r="F666" s="168" t="str">
        <x:v>Singulare</x:v>
      </x:c>
      <x:c r="G666" s="168" t="str">
        <x:v>QI CORRETORA DE TÍTULOS E VALORES MOBILIÁRIOS S.A.</x:v>
      </x:c>
      <x:c r="H666" s="168" t="str">
        <x:v>Fomento Mercantil</x:v>
      </x:c>
      <x:c r="I666" s="168" t="str">
        <x:v>Fomento Mercantil</x:v>
      </x:c>
      <x:c r="J666" s="168" t="str">
        <x:v>CI</x:v>
      </x:c>
      <x:c r="K666" s="174" t="n">
        <x:v>3</x:v>
      </x:c>
      <x:c r="L666" s="187" t="str">
        <x:v>Não classificado</x:v>
      </x:c>
    </x:row>
    <x:row r="667">
      <x:c r="A667" s="177" t="str">
        <x:v>29.494.026/0001-15</x:v>
      </x:c>
      <x:c r="B667" s="168" t="str">
        <x:v>MULVI FIDC RESPONSABILIDADE LIMITADA - ARRANJO DE PAGAMENTOS</x:v>
      </x:c>
      <x:c r="C667" s="190" t="n">
        <x:v>203220393.49</x:v>
      </x:c>
      <x:c r="D667" s="168" t="str">
        <x:v>H2 CAPITAL</x:v>
      </x:c>
      <x:c r="E667" s="168" t="str">
        <x:f>IFERROR(INDEX('Classif Gestoras'!$H$6:$H$462,MATCH(D667,'Classif Gestoras'!$A$6:$A$462,0)),"Não classificada")</x:f>
        <x:v>Independente</x:v>
      </x:c>
      <x:c r="F667" s="168" t="str">
        <x:v>MASTER S/A CORRETORA</x:v>
      </x:c>
      <x:c r="G667" s="168" t="str">
        <x:v>BANCO GENIAL S.A.</x:v>
      </x:c>
      <x:c r="H667" s="168" t="str">
        <x:v>Agro, Indústria e Comércio</x:v>
      </x:c>
      <x:c r="I667" s="168" t="str">
        <x:v>Recebíveis Comerciais</x:v>
      </x:c>
      <x:c r="J667" s="168" t="str">
        <x:v>CI</x:v>
      </x:c>
      <x:c r="K667" s="174" t="n">
        <x:v>4</x:v>
      </x:c>
      <x:c r="L667" s="187" t="str">
        <x:v>Não classificado</x:v>
      </x:c>
    </x:row>
    <x:row r="668">
      <x:c r="A668" s="177" t="str">
        <x:v>22.175.369/0001-78</x:v>
      </x:c>
      <x:c r="B668" s="168" t="str">
        <x:v>CONFIANÇA FUNDO DE INVESTIMENTO EM DIREITOS CREDITÓRIOS</x:v>
      </x:c>
      <x:c r="C668" s="190" t="n">
        <x:v>202434977.06</x:v>
      </x:c>
      <x:c r="D668" s="168" t="str">
        <x:v>TERCON ASSET MANAGEMENT</x:v>
      </x:c>
      <x:c r="E668" s="168" t="str">
        <x:f>IFERROR(INDEX('Classif Gestoras'!$H$6:$H$462,MATCH(D668,'Classif Gestoras'!$A$6:$A$462,0)),"Não classificada")</x:f>
        <x:v>Independente</x:v>
      </x:c>
      <x:c r="F668" s="168" t="str">
        <x:v>Singulare</x:v>
      </x:c>
      <x:c r="G668" s="168" t="str">
        <x:v>QI CORRETORA DE TÍTULOS E VALORES MOBILIÁRIOS S.A.</x:v>
      </x:c>
      <x:c r="H668" s="168" t="str">
        <x:v>Fomento Mercantil</x:v>
      </x:c>
      <x:c r="I668" s="168" t="str">
        <x:v>Fomento Mercantil</x:v>
      </x:c>
      <x:c r="J668" s="168" t="str">
        <x:v>CI</x:v>
      </x:c>
      <x:c r="K668" s="174" t="n">
        <x:v>51</x:v>
      </x:c>
      <x:c r="L668" s="187" t="str">
        <x:v>Não classificado</x:v>
      </x:c>
    </x:row>
    <x:row r="669">
      <x:c r="A669" s="177" t="str">
        <x:v>12.796.029/0001-00</x:v>
      </x:c>
      <x:c r="B669" s="168" t="str">
        <x:v>FUNDO DE INVESTIMENTO EM DIREITOS CREDITÓRIOS MERCANTIS AUTO PEÇAS</x:v>
      </x:c>
      <x:c r="C669" s="190" t="n">
        <x:v>202099783.78</x:v>
      </x:c>
      <x:c r="D669" s="168" t="str">
        <x:v>Cultinvest Asset</x:v>
      </x:c>
      <x:c r="E669" s="168" t="str">
        <x:f>IFERROR(INDEX('Classif Gestoras'!$H$6:$H$462,MATCH(D669,'Classif Gestoras'!$A$6:$A$462,0)),"Não classificada")</x:f>
        <x:v>Independente</x:v>
      </x:c>
      <x:c r="F669" s="168" t="str">
        <x:v>S3 Caceis Brasil Distribuidora de Títulos e Valores Mob</x:v>
      </x:c>
      <x:c r="G669" s="168" t="str">
        <x:v>S3 CACEIS BRASIL DISTRIBUIDORA DE TITULOS E VALORES MOBILIARIOS S.A</x:v>
      </x:c>
      <x:c r="H669" s="168" t="str">
        <x:v>Agro, Indústria e Comércio</x:v>
      </x:c>
      <x:c r="I669" s="168" t="str">
        <x:v>Recebíveis Comerciais</x:v>
      </x:c>
      <x:c r="J669" s="168" t="str">
        <x:v>CI</x:v>
      </x:c>
      <x:c r="K669" s="174" t="n">
        <x:v>2</x:v>
      </x:c>
      <x:c r="L669" s="187" t="str">
        <x:v>Não classificado</x:v>
      </x:c>
    </x:row>
    <x:row r="670">
      <x:c r="A670" s="177" t="str">
        <x:v>35.765.961/0001-71</x:v>
      </x:c>
      <x:c r="B670" s="168" t="str">
        <x:v>C3E CRÉDITOS JUDICIAIS FUNDO DE INVESTIMENTO EM DIREITOS CREDITÓRIOS DE RESPONSABILIDADE LIMITADA</x:v>
      </x:c>
      <x:c r="C670" s="190" t="n">
        <x:v>201815482.86</x:v>
      </x:c>
      <x:c r="D670" s="168" t="str">
        <x:v>Iron Capital</x:v>
      </x:c>
      <x:c r="E670" s="168" t="str">
        <x:f>IFERROR(INDEX('Classif Gestoras'!$H$6:$H$462,MATCH(D670,'Classif Gestoras'!$A$6:$A$462,0)),"Não classificada")</x:f>
        <x:v>Independente</x:v>
      </x:c>
      <x:c r="F670" s="168" t="str">
        <x:v>MAF Distribuidora de Títulos e Valores Mobiliários S.A.</x:v>
      </x:c>
      <x:c r="G670" s="168" t="str">
        <x:v>MAF DISTRIBUIDORA DE TITULOS E VALORES MOBILIARIOS S.A.</x:v>
      </x:c>
      <x:c r="H670" s="168" t="str">
        <x:v>Outros</x:v>
      </x:c>
      <x:c r="I670" s="168" t="str">
        <x:v>Poder Público</x:v>
      </x:c>
      <x:c r="J670" s="168" t="str">
        <x:v>CI</x:v>
      </x:c>
      <x:c r="K670" s="174" t="n">
        <x:v>9</x:v>
      </x:c>
      <x:c r="L670" s="187" t="str">
        <x:v>Não classificado</x:v>
      </x:c>
    </x:row>
    <x:row r="671">
      <x:c r="A671" s="177" t="str">
        <x:v>36.703.167/0001-66</x:v>
      </x:c>
      <x:c r="B671" s="168" t="str">
        <x:v>YAALEH FUNDO DE INVESTIMENTO EM DIREITOS CREDITÓRIOS - RESPONSABILIDADE LIMITADA</x:v>
      </x:c>
      <x:c r="C671" s="190" t="n">
        <x:v>201535661.05</x:v>
      </x:c>
      <x:c r="D671" s="168" t="str">
        <x:v>BRZ Investimentos</x:v>
      </x:c>
      <x:c r="E671" s="168" t="str">
        <x:f>IFERROR(INDEX('Classif Gestoras'!$H$6:$H$462,MATCH(D671,'Classif Gestoras'!$A$6:$A$462,0)),"Não classificada")</x:f>
        <x:v>Independente</x:v>
      </x:c>
      <x:c r="F671" s="168" t="str">
        <x:v>Singulare</x:v>
      </x:c>
      <x:c r="G671" s="168" t="str">
        <x:v>QI CORRETORA DE TÍTULOS E VALORES MOBILIÁRIOS S.A.</x:v>
      </x:c>
      <x:c r="H671" s="168" t="str">
        <x:v>Fomento Mercantil</x:v>
      </x:c>
      <x:c r="I671" s="168" t="str">
        <x:v>Fomento Mercantil</x:v>
      </x:c>
      <x:c r="J671" s="168" t="str">
        <x:v>CI</x:v>
      </x:c>
      <x:c r="K671" s="174" t="n">
        <x:v>94</x:v>
      </x:c>
      <x:c r="L671" s="187" t="str">
        <x:v>Não classificado</x:v>
      </x:c>
    </x:row>
    <x:row r="672">
      <x:c r="A672" s="177" t="str">
        <x:v>64.158.002/0001-96</x:v>
      </x:c>
      <x:c r="B672" s="168" t="str">
        <x:v>POLÍGONO FOX FUNDO DE INVESTIMENTO EM DIREITOS CREDITÓRIOS</x:v>
      </x:c>
      <x:c r="C672" s="190" t="n">
        <x:v>200421356.09</x:v>
      </x:c>
      <x:c r="D672" s="168" t="str">
        <x:v>POLÍGONO CAPITAL LTDA.</x:v>
      </x:c>
      <x:c r="E672" s="168" t="str">
        <x:f>IFERROR(INDEX('Classif Gestoras'!$H$6:$H$462,MATCH(D672,'Classif Gestoras'!$A$6:$A$462,0)),"Não classificada")</x:f>
        <x:v>Independente</x:v>
      </x:c>
      <x:c r="F672" s="168" t="str">
        <x:v>BTG Pactual Servicos Financeiros S/A DTVM</x:v>
      </x:c>
      <x:c r="G672" s="168" t="str">
        <x:v>BANCO BTG PACTUAL S/A</x:v>
      </x:c>
      <x:c r="H672" s="168" t="str">
        <x:v>Outros</x:v>
      </x:c>
      <x:c r="I672" s="168" t="str">
        <x:v>Multicarteira Outros</x:v>
      </x:c>
      <x:c r="J672" s="168" t="str">
        <x:v>CI</x:v>
      </x:c>
      <x:c r="K672" s="174" t="n">
        <x:v>460</x:v>
      </x:c>
      <x:c r="L672" s="187" t="str">
        <x:v>Proxy multicedente/multissacado — revisar</x:v>
      </x:c>
    </x:row>
    <x:row r="673">
      <x:c r="A673" s="177" t="str">
        <x:v>50.059.866/0001-46</x:v>
      </x:c>
      <x:c r="B673" s="168" t="str">
        <x:v>PAGALEVE FUNDO DE INVESTIMENTO EM DIREITOS CREDITÓRIOS COMERCIAIS DE RESPONSABILIDADE LIMITADA</x:v>
      </x:c>
      <x:c r="C673" s="190" t="n">
        <x:v>199978986.22</x:v>
      </x:c>
      <x:c r="D673" s="168" t="str">
        <x:v>Kanastra</x:v>
      </x:c>
      <x:c r="E673" s="168" t="str">
        <x:f>IFERROR(INDEX('Classif Gestoras'!$H$6:$H$462,MATCH(D673,'Classif Gestoras'!$A$6:$A$462,0)),"Não classificada")</x:f>
        <x:v>Independente</x:v>
      </x:c>
      <x:c r="F673" s="168" t="str">
        <x:v>Limine Trust Distribuidora de Titulos e Valores Mobiliá</x:v>
      </x:c>
      <x:c r="G673" s="168" t="str">
        <x:v>LIMINE TRUST DISTRIBUIDORA DE TITULOS E VALORES MOBILIARIOS LTDA.</x:v>
      </x:c>
      <x:c r="H673" s="168" t="str">
        <x:v>Agro, Indústria e Comércio</x:v>
      </x:c>
      <x:c r="I673" s="168" t="str">
        <x:v>Recebíveis Comerciais</x:v>
      </x:c>
      <x:c r="J673" s="168" t="str">
        <x:v>CI</x:v>
      </x:c>
      <x:c r="K673" s="174" t="n">
        <x:v>14</x:v>
      </x:c>
      <x:c r="L673" s="187" t="str">
        <x:v>Não classificado</x:v>
      </x:c>
    </x:row>
    <x:row r="674">
      <x:c r="A674" s="177" t="str">
        <x:v>45.121.179/0001-73</x:v>
      </x:c>
      <x:c r="B674" s="168" t="str">
        <x:v>EVEREST FUNDO DE INVESTIMENTO EM DIREITOS CREDITÓRIOS RECEBÍVEIS IMOBILIÁRIOS</x:v>
      </x:c>
      <x:c r="C674" s="190" t="n">
        <x:v>199702257.49</x:v>
      </x:c>
      <x:c r="D674" s="168" t="str">
        <x:v>Everest Capital</x:v>
      </x:c>
      <x:c r="E674" s="168" t="str">
        <x:f>IFERROR(INDEX('Classif Gestoras'!$H$6:$H$462,MATCH(D674,'Classif Gestoras'!$A$6:$A$462,0)),"Não classificada")</x:f>
        <x:v>Independente</x:v>
      </x:c>
      <x:c r="F674" s="168" t="str">
        <x:v>Singulare</x:v>
      </x:c>
      <x:c r="G674" s="168" t="str">
        <x:v>QI CORRETORA DE TÍTULOS E VALORES MOBILIÁRIOS S.A.</x:v>
      </x:c>
      <x:c r="H674" s="168" t="str">
        <x:v>Financeiro</x:v>
      </x:c>
      <x:c r="I674" s="168" t="str">
        <x:v>Crédito Imobiliário</x:v>
      </x:c>
      <x:c r="J674" s="168" t="str">
        <x:v>CI</x:v>
      </x:c>
      <x:c r="K674" s="174" t="n">
        <x:v>28</x:v>
      </x:c>
      <x:c r="L674" s="187" t="str">
        <x:v>Não classificado</x:v>
      </x:c>
    </x:row>
    <x:row r="675">
      <x:c r="A675" s="177" t="str">
        <x:v>15.586.793/0001-40</x:v>
      </x:c>
      <x:c r="B675" s="168" t="str">
        <x:v>FUNDO DE INVESTIMENTO EM DIREITOS CREDITÓRIOS QW1 - RESPONSABILIDADE ILIMITADA</x:v>
      </x:c>
      <x:c r="C675" s="190" t="n">
        <x:v>199460988.45</x:v>
      </x:c>
      <x:c r="D675" s="168" t="str">
        <x:v>Quatá Investimentos</x:v>
      </x:c>
      <x:c r="E675" s="168" t="str">
        <x:f>IFERROR(INDEX('Classif Gestoras'!$H$6:$H$462,MATCH(D675,'Classif Gestoras'!$A$6:$A$462,0)),"Não classificada")</x:f>
        <x:v>Independente</x:v>
      </x:c>
      <x:c r="F675" s="168" t="str">
        <x:v>BRL TRUST DTVM</x:v>
      </x:c>
      <x:c r="G675" s="168" t="str">
        <x:v>BRL TRUST DISTRIBUIDORA DE TITULOS E VALORES MOBILIARIOS S.A.</x:v>
      </x:c>
      <x:c r="H675" s="168" t="str">
        <x:v>Agro, Indústria e Comércio</x:v>
      </x:c>
      <x:c r="I675" s="168" t="str">
        <x:v>Multicarteira Agro, Indústria e Comércio</x:v>
      </x:c>
      <x:c r="J675" s="168" t="str">
        <x:v>CI</x:v>
      </x:c>
      <x:c r="K675" s="174" t="n">
        <x:v>3</x:v>
      </x:c>
      <x:c r="L675" s="187" t="str">
        <x:v>Proxy multicedente/multissacado — revisar</x:v>
      </x:c>
    </x:row>
    <x:row r="676">
      <x:c r="A676" s="177" t="str">
        <x:v>23.006.061/0001-61</x:v>
      </x:c>
      <x:c r="B676" s="168" t="str">
        <x:v>MARTE FUNDO DE INVESTIMENTO EM DIREITOS CREDITÓRIOS</x:v>
      </x:c>
      <x:c r="C676" s="190" t="n">
        <x:v>199275785.99</x:v>
      </x:c>
      <x:c r="D676" s="168" t="str">
        <x:v>Veritas Capital Management</x:v>
      </x:c>
      <x:c r="E676" s="168" t="str">
        <x:f>IFERROR(INDEX('Classif Gestoras'!$H$6:$H$462,MATCH(D676,'Classif Gestoras'!$A$6:$A$462,0)),"Não classificada")</x:f>
        <x:v>Independente</x:v>
      </x:c>
      <x:c r="F676" s="168" t="str">
        <x:v>Singulare</x:v>
      </x:c>
      <x:c r="G676" s="168" t="str">
        <x:v>QI CORRETORA DE TÍTULOS E VALORES MOBILIÁRIOS S.A.</x:v>
      </x:c>
      <x:c r="H676" s="168" t="str">
        <x:v>Outros</x:v>
      </x:c>
      <x:c r="I676" s="168" t="str">
        <x:v>Multicarteira Outros</x:v>
      </x:c>
      <x:c r="J676" s="168" t="str">
        <x:v>CI</x:v>
      </x:c>
      <x:c r="K676" s="174" t="n">
        <x:v>2</x:v>
      </x:c>
      <x:c r="L676" s="187" t="str">
        <x:v>Proxy multicedente/multissacado — revisar</x:v>
      </x:c>
    </x:row>
    <x:row r="677">
      <x:c r="A677" s="177" t="str">
        <x:v>32.302.284/0001-67</x:v>
      </x:c>
      <x:c r="B677" s="168" t="str">
        <x:v>SOLIS WAREHOUSE FUNDO DE INVESTIMENTO EM DIREITOS CREDITÓRIOS MULTISSETORIAL - RESPONSABILIDADE LIMI</x:v>
      </x:c>
      <x:c r="C677" s="190" t="n">
        <x:v>198749461.35</x:v>
      </x:c>
      <x:c r="D677" s="168" t="str">
        <x:v>Solis</x:v>
      </x:c>
      <x:c r="E677" s="168" t="str">
        <x:f>IFERROR(INDEX('Classif Gestoras'!$H$6:$H$462,MATCH(D677,'Classif Gestoras'!$A$6:$A$462,0)),"Não classificada")</x:f>
        <x:v>Independente</x:v>
      </x:c>
      <x:c r="F677" s="168" t="str">
        <x:v>HEMERA DTVM</x:v>
      </x:c>
      <x:c r="G677" s="168" t="str">
        <x:v>HEMERA DISTRIBUIDORA DE TITULOS E VALORES MOBILIARIOS LTDA</x:v>
      </x:c>
      <x:c r="H677" s="168" t="str">
        <x:v>Outros</x:v>
      </x:c>
      <x:c r="I677" s="168" t="str">
        <x:v>Multicarteira Outros</x:v>
      </x:c>
      <x:c r="J677" s="168" t="str">
        <x:v>CI</x:v>
      </x:c>
      <x:c r="K677" s="174" t="n">
        <x:v>16</x:v>
      </x:c>
      <x:c r="L677" s="187" t="str">
        <x:v>Proxy multicedente/multissacado — revisar</x:v>
      </x:c>
    </x:row>
    <x:row r="678">
      <x:c r="A678" s="177" t="str">
        <x:v>57.823.707/0001-15</x:v>
      </x:c>
      <x:c r="B678" s="168" t="str">
        <x:v>ICRED INSS FUNDO DE INVESTIMENTO EM DIREITOS CREDITÓRIOS RESPONSABILIDADE LIMITADA</x:v>
      </x:c>
      <x:c r="C678" s="190" t="n">
        <x:v>198657891.27202</x:v>
      </x:c>
      <x:c r="D678" s="168" t="str">
        <x:v>VERT Gestora de Recursos Financeiros Ltda.</x:v>
      </x:c>
      <x:c r="E678" s="168" t="str">
        <x:f>IFERROR(INDEX('Classif Gestoras'!$H$6:$H$462,MATCH(D678,'Classif Gestoras'!$A$6:$A$462,0)),"Não classificada")</x:f>
        <x:v>Independente</x:v>
      </x:c>
      <x:c r="F678" s="168" t="str">
        <x:v>QI DISTRIBUIDORA DE TITULOS E VALORES MOBILIARIOS LTDA</x:v>
      </x:c>
      <x:c r="G678" s="168" t="str">
        <x:v>QI CORRETORA DE TÍTULOS E VALORES MOBILIÁRIOS S.A.</x:v>
      </x:c>
      <x:c r="H678" s="168" t="str">
        <x:v>Financeiro</x:v>
      </x:c>
      <x:c r="I678" s="168" t="str">
        <x:v>Crédito Consignado</x:v>
      </x:c>
      <x:c r="J678" s="168" t="str">
        <x:v>CI</x:v>
      </x:c>
      <x:c r="K678" s="174" t="n">
        <x:v>138</x:v>
      </x:c>
      <x:c r="L678" s="187" t="str">
        <x:v>Não classificado</x:v>
      </x:c>
    </x:row>
    <x:row r="679">
      <x:c r="A679" s="177" t="str">
        <x:v>61.885.788/0001-55</x:v>
      </x:c>
      <x:c r="B679" s="168" t="str">
        <x:v>ITAÚ CRÉDITO ESTRUTURADO ADVISORY ALPES III FIDC RESPONSABILIDADE LIMITADA</x:v>
      </x:c>
      <x:c r="C679" s="190" t="n">
        <x:v>198644647.68</x:v>
      </x:c>
      <x:c r="D679" s="168" t="str">
        <x:v>ITAU ASSET</x:v>
      </x:c>
      <x:c r="E679" s="168" t="str">
        <x:f>IFERROR(INDEX('Classif Gestoras'!$H$6:$H$462,MATCH(D679,'Classif Gestoras'!$A$6:$A$462,0)),"Não classificada")</x:f>
        <x:v>Ligada a banco</x:v>
      </x:c>
      <x:c r="F679" s="168" t="str">
        <x:v>INTRAG DIST. DE TÍTU</x:v>
      </x:c>
      <x:c r="G679" s="168" t="str">
        <x:v>ITAU UNIBANCO S.A.</x:v>
      </x:c>
      <x:c r="H679" s="168" t="str">
        <x:v>Outros</x:v>
      </x:c>
      <x:c r="I679" s="168" t="str">
        <x:v>Multicarteira Outros</x:v>
      </x:c>
      <x:c r="J679" s="168" t="str">
        <x:v>CI</x:v>
      </x:c>
      <x:c r="K679" s="174" t="n">
        <x:v>2234</x:v>
      </x:c>
      <x:c r="L679" s="187" t="str">
        <x:v>Proxy multicedente/multissacado — revisar</x:v>
      </x:c>
    </x:row>
    <x:row r="680">
      <x:c r="A680" s="177" t="str">
        <x:v>51.956.448/0001-14</x:v>
      </x:c>
      <x:c r="B680" s="168" t="str">
        <x:v>FIDC SOMACRED CONSIGNADO PÚBLICO II - RESPONSABILIDADE LIMITADA</x:v>
      </x:c>
      <x:c r="C680" s="190" t="n">
        <x:v>198101240.94</x:v>
      </x:c>
      <x:c r="D680" s="168" t="str">
        <x:v>Oliveira Trust Servicer</x:v>
      </x:c>
      <x:c r="E680" s="168" t="str">
        <x:f>IFERROR(INDEX('Classif Gestoras'!$H$6:$H$462,MATCH(D680,'Classif Gestoras'!$A$6:$A$462,0)),"Não classificada")</x:f>
        <x:v>Independente</x:v>
      </x:c>
      <x:c r="F680" s="168" t="str">
        <x:v>Oliveira Trust DTVM</x:v>
      </x:c>
      <x:c r="G680" s="168" t="str">
        <x:v>OLIVEIRA TRUST DTVM S.A.</x:v>
      </x:c>
      <x:c r="H680" s="168" t="str">
        <x:v>Financeiro</x:v>
      </x:c>
      <x:c r="I680" s="168" t="str">
        <x:v>Crédito Consignado</x:v>
      </x:c>
      <x:c r="J680" s="168" t="str">
        <x:v>CI</x:v>
      </x:c>
      <x:c r="K680" s="174" t="n">
        <x:v>109</x:v>
      </x:c>
      <x:c r="L680" s="187" t="str">
        <x:v>Não classificado</x:v>
      </x:c>
    </x:row>
    <x:row r="681">
      <x:c r="A681" s="177" t="str">
        <x:v>44.680.409/0001-71</x:v>
      </x:c>
      <x:c r="B681" s="168" t="str">
        <x:v>JUST TEC FUNDO DE INVESTIMENTO EM DIREITOS CREDITORIOS</x:v>
      </x:c>
      <x:c r="C681" s="190" t="n">
        <x:v>198091696.43000004</x:v>
      </x:c>
      <x:c r="D681" s="168" t="str">
        <x:v>Plural Investimentos Gestão de Recursos Ltda.</x:v>
      </x:c>
      <x:c r="E681" s="168" t="str">
        <x:f>IFERROR(INDEX('Classif Gestoras'!$H$6:$H$462,MATCH(D681,'Classif Gestoras'!$A$6:$A$462,0)),"Não classificada")</x:f>
        <x:v>Ligada a banco</x:v>
      </x:c>
      <x:c r="F681" s="168" t="str">
        <x:v>Genial Investimentos Corretora de Valores Mobiliários S.A.</x:v>
      </x:c>
      <x:c r="G681" s="168" t="str">
        <x:v>BANCO GENIAL S.A.</x:v>
      </x:c>
      <x:c r="H681" s="168" t="str">
        <x:v>Outros</x:v>
      </x:c>
      <x:c r="I681" s="168" t="str">
        <x:v>Poder Público</x:v>
      </x:c>
      <x:c r="J681" s="168" t="str">
        <x:v>CI</x:v>
      </x:c>
      <x:c r="K681" s="174" t="n">
        <x:v>123</x:v>
      </x:c>
      <x:c r="L681" s="187" t="str">
        <x:v>Não classificado</x:v>
      </x:c>
    </x:row>
    <x:row r="682">
      <x:c r="A682" s="177" t="str">
        <x:v>35.949.242/0001-00</x:v>
      </x:c>
      <x:c r="B682" s="168" t="str">
        <x:v>XP OPUS I FUNDO DE INVESTIMENTO EM DIREITOS CREDITÓRIOS DO SETOR DO ENTRETENIMENTO DE RESP LIMITADA</x:v>
      </x:c>
      <x:c r="C682" s="190" t="n">
        <x:v>197648048.52</x:v>
      </x:c>
      <x:c r="D682" s="168" t="str">
        <x:v>Vista Real Estate</x:v>
      </x:c>
      <x:c r="E682" s="168" t="str">
        <x:f>IFERROR(INDEX('Classif Gestoras'!$H$6:$H$462,MATCH(D682,'Classif Gestoras'!$A$6:$A$462,0)),"Não classificada")</x:f>
        <x:v>Independente</x:v>
      </x:c>
      <x:c r="F682" s="168" t="str">
        <x:v>BRL TRUST DTVM</x:v>
      </x:c>
      <x:c r="G682" s="168" t="str">
        <x:v>BRL TRUST DISTRIBUIDORA DE TITULOS E VALORES MOBILIARIOS S.A.</x:v>
      </x:c>
      <x:c r="H682" s="168" t="str">
        <x:v>Agro, Indústria e Comércio</x:v>
      </x:c>
      <x:c r="I682" s="168" t="str">
        <x:v>Multicarteira Agro, Indústria e Comércio</x:v>
      </x:c>
      <x:c r="J682" s="168" t="str">
        <x:v>CI</x:v>
      </x:c>
      <x:c r="K682" s="174" t="n">
        <x:v>21</x:v>
      </x:c>
      <x:c r="L682" s="187" t="str">
        <x:v>Proxy multicedente/multissacado — revisar</x:v>
      </x:c>
    </x:row>
    <x:row r="683">
      <x:c r="A683" s="177" t="str">
        <x:v>46.711.630/0001-75</x:v>
      </x:c>
      <x:c r="B683" s="168" t="str">
        <x:v>CHEMICAL XII - FUNDO DE INVESTIMENTO EM DIREITOS CREDITÓRIOS - INDÚSTRIA PETROQUÍMICA</x:v>
      </x:c>
      <x:c r="C683" s="190" t="n">
        <x:v>197491668.4</x:v>
      </x:c>
      <x:c r="D683" s="168" t="str">
        <x:v>Banco Bradesco S/A</x:v>
      </x:c>
      <x:c r="E683" s="168" t="str">
        <x:f>IFERROR(INDEX('Classif Gestoras'!$H$6:$H$462,MATCH(D683,'Classif Gestoras'!$A$6:$A$462,0)),"Não classificada")</x:f>
        <x:v>Ligada a banco</x:v>
      </x:c>
      <x:c r="F683" s="168" t="str">
        <x:v>BEM - DIST. DE TÍTUL</x:v>
      </x:c>
      <x:c r="G683" s="168" t="str">
        <x:v>BANCO BRADESCO S.A.</x:v>
      </x:c>
      <x:c r="H683" s="168" t="str">
        <x:v>Agro, Indústria e Comércio</x:v>
      </x:c>
      <x:c r="I683" s="168" t="str">
        <x:v>Recebíveis Comerciais</x:v>
      </x:c>
      <x:c r="J683" s="168" t="str">
        <x:v>CI</x:v>
      </x:c>
      <x:c r="K683" s="174" t="n">
        <x:v>68</x:v>
      </x:c>
      <x:c r="L683" s="187" t="str">
        <x:v>Não classificado</x:v>
      </x:c>
    </x:row>
    <x:row r="684">
      <x:c r="A684" s="177" t="str">
        <x:v>40.169.680/0001-96</x:v>
      </x:c>
      <x:c r="B684" s="168" t="str">
        <x:v>GREEN FIDC SOLAR GD -FUNDO DE INVESTIMENTO EM DIREITOS CREDITORIOS SOCIOAMBIENTAL-ENERGIA SOLAR - IS</x:v>
      </x:c>
      <x:c r="C684" s="190" t="n">
        <x:v>196368020.91000003</x:v>
      </x:c>
      <x:c r="D684" s="168" t="str">
        <x:v>Albion Capital LTDA.</x:v>
      </x:c>
      <x:c r="E684" s="168" t="str">
        <x:f>IFERROR(INDEX('Classif Gestoras'!$H$6:$H$462,MATCH(D684,'Classif Gestoras'!$A$6:$A$462,0)),"Não classificada")</x:f>
        <x:v>Independente</x:v>
      </x:c>
      <x:c r="F684" s="168" t="str">
        <x:v>Oliveira Trust DTVM</x:v>
      </x:c>
      <x:c r="G684" s="168" t="str">
        <x:v>OLIVEIRA TRUST DTVM S.A.</x:v>
      </x:c>
      <x:c r="H684" s="168" t="str">
        <x:v>Agro, Indústria e Comércio</x:v>
      </x:c>
      <x:c r="I684" s="168" t="str">
        <x:v>Infraestrutura</x:v>
      </x:c>
      <x:c r="J684" s="168" t="str">
        <x:v>CI</x:v>
      </x:c>
      <x:c r="K684" s="174" t="n">
        <x:v>367</x:v>
      </x:c>
      <x:c r="L684" s="187" t="str">
        <x:v>Não classificado</x:v>
      </x:c>
    </x:row>
    <x:row r="685">
      <x:c r="A685" s="177" t="str">
        <x:v>61.987.722/0001-76</x:v>
      </x:c>
      <x:c r="B685" s="168" t="str">
        <x:v>VINLAND CRÉDITO ESTRUTURADO MASTER FUNDO DE INVESTIMENTO EM DIREITOS CREDITÓRIOS RESP LIMITADA</x:v>
      </x:c>
      <x:c r="C685" s="190" t="n">
        <x:v>196147013.23999995</x:v>
      </x:c>
      <x:c r="D685" s="168" t="str">
        <x:v>VINLAND CAPITAL MANAGEMENT CREDITO PRIVADO GESTORA DE R</x:v>
      </x:c>
      <x:c r="E685" s="168" t="str">
        <x:f>IFERROR(INDEX('Classif Gestoras'!$H$6:$H$462,MATCH(D685,'Classif Gestoras'!$A$6:$A$462,0)),"Não classificada")</x:f>
        <x:v>Independente</x:v>
      </x:c>
      <x:c r="F685" s="168" t="str">
        <x:v>BTG Pactual Servicos Financeiros S/A DTVM</x:v>
      </x:c>
      <x:c r="G685" s="168" t="str">
        <x:v>BANCO BTG PACTUAL S/A</x:v>
      </x:c>
      <x:c r="H685" s="168" t="str">
        <x:v>Outros</x:v>
      </x:c>
      <x:c r="I685" s="168" t="str">
        <x:v>Multicarteira Outros</x:v>
      </x:c>
      <x:c r="J685" s="168" t="str">
        <x:v>CI</x:v>
      </x:c>
      <x:c r="K685" s="174" t="n">
        <x:v>4</x:v>
      </x:c>
      <x:c r="L685" s="187" t="str">
        <x:v>Proxy multicedente/multissacado — revisar</x:v>
      </x:c>
    </x:row>
    <x:row r="686">
      <x:c r="A686" s="177" t="str">
        <x:v>31.608.972/0001-97</x:v>
      </x:c>
      <x:c r="B686" s="168" t="str">
        <x:v>GAD FUNDO DE INVESTIMENTO EM DIREITOS CREDITÓRIOS</x:v>
      </x:c>
      <x:c r="C686" s="190" t="n">
        <x:v>196008720.94</x:v>
      </x:c>
      <x:c r="D686" s="168" t="str">
        <x:v>Multiplica Capital</x:v>
      </x:c>
      <x:c r="E686" s="168" t="str">
        <x:f>IFERROR(INDEX('Classif Gestoras'!$H$6:$H$462,MATCH(D686,'Classif Gestoras'!$A$6:$A$462,0)),"Não classificada")</x:f>
        <x:v>Independente</x:v>
      </x:c>
      <x:c r="F686" s="168" t="str">
        <x:v>PLANNER CV</x:v>
      </x:c>
      <x:c r="G686" s="168" t="str">
        <x:v>PLANNER CORRETORA DE VALORES S.A.</x:v>
      </x:c>
      <x:c r="H686" s="168" t="str">
        <x:v>Outros</x:v>
      </x:c>
      <x:c r="I686" s="168" t="str">
        <x:v>Multicarteira Outros</x:v>
      </x:c>
      <x:c r="J686" s="168" t="str">
        <x:v>CI</x:v>
      </x:c>
      <x:c r="K686" s="174" t="n">
        <x:v>27</x:v>
      </x:c>
      <x:c r="L686" s="187" t="str">
        <x:v>Proxy multicedente/multissacado — revisar</x:v>
      </x:c>
    </x:row>
    <x:row r="687">
      <x:c r="A687" s="177" t="str">
        <x:v>12.400.421/0001-99</x:v>
      </x:c>
      <x:c r="B687" s="168" t="str">
        <x:v>LIBRA FUNDO DE INVESTIMENTO EM DIREITOS CREDITÓRIOS MULTISSETORIAL</x:v>
      </x:c>
      <x:c r="C687" s="190" t="n">
        <x:v>195239644.02999997</x:v>
      </x:c>
      <x:c r="D687" s="168" t="str">
        <x:v>TERCON ASSET MANAGEMENT</x:v>
      </x:c>
      <x:c r="E687" s="168" t="str">
        <x:f>IFERROR(INDEX('Classif Gestoras'!$H$6:$H$462,MATCH(D687,'Classif Gestoras'!$A$6:$A$462,0)),"Não classificada")</x:f>
        <x:v>Independente</x:v>
      </x:c>
      <x:c r="F687" s="168" t="str">
        <x:v>Singulare</x:v>
      </x:c>
      <x:c r="G687" s="168" t="str">
        <x:v>QI CORRETORA DE TÍTULOS E VALORES MOBILIÁRIOS S.A.</x:v>
      </x:c>
      <x:c r="H687" s="168" t="str">
        <x:v>Fomento Mercantil</x:v>
      </x:c>
      <x:c r="I687" s="168" t="str">
        <x:v>Fomento Mercantil</x:v>
      </x:c>
      <x:c r="J687" s="168" t="str">
        <x:v>CI</x:v>
      </x:c>
      <x:c r="K687" s="174" t="n">
        <x:v>81</x:v>
      </x:c>
      <x:c r="L687" s="187" t="str">
        <x:v>Não classificado</x:v>
      </x:c>
    </x:row>
    <x:row r="688">
      <x:c r="A688" s="177" t="str">
        <x:v>53.601.640/0001-13</x:v>
      </x:c>
      <x:c r="B688" s="168" t="str">
        <x:v>ECO MULTI HY FUNDO DE INVESTIMENTO EM DIREITOS CREDITÓRIOS RESPONSABILIDADE LIMITADA</x:v>
      </x:c>
      <x:c r="C688" s="190" t="n">
        <x:v>194719253.60999995</x:v>
      </x:c>
      <x:c r="D688" s="168" t="str">
        <x:v>Eco Gestão de Ativos LTDA.</x:v>
      </x:c>
      <x:c r="E688" s="168" t="str">
        <x:f>IFERROR(INDEX('Classif Gestoras'!$H$6:$H$462,MATCH(D688,'Classif Gestoras'!$A$6:$A$462,0)),"Não classificada")</x:f>
        <x:v>Independente</x:v>
      </x:c>
      <x:c r="F688" s="168" t="str">
        <x:v>BANCO DAYCOVAL S/A</x:v>
      </x:c>
      <x:c r="G688" s="168" t="str">
        <x:v>BANCO DAYCOVAL S.A.</x:v>
      </x:c>
      <x:c r="H688" s="168" t="str">
        <x:v>Financeiro</x:v>
      </x:c>
      <x:c r="I688" s="168" t="str">
        <x:v>Multicarteira Financeiro</x:v>
      </x:c>
      <x:c r="J688" s="168" t="str">
        <x:v>CI</x:v>
      </x:c>
      <x:c r="K688" s="174" t="n">
        <x:v>260</x:v>
      </x:c>
      <x:c r="L688" s="187" t="str">
        <x:v>Proxy multicedente/multissacado — revisar</x:v>
      </x:c>
    </x:row>
    <x:row r="689">
      <x:c r="A689" s="177" t="str">
        <x:v>33.019.220/0001-16</x:v>
      </x:c>
      <x:c r="B689" s="168" t="str">
        <x:v>GENESIS FUNDO DE INVESTIMENTO EM DIREITOS CREDITÓRIOS RESPONSABILIDADE LIMITADA</x:v>
      </x:c>
      <x:c r="C689" s="190" t="n">
        <x:v>194601588.68</x:v>
      </x:c>
      <x:c r="D689" s="168" t="str">
        <x:v>Invista Asset</x:v>
      </x:c>
      <x:c r="E689" s="168" t="str">
        <x:f>IFERROR(INDEX('Classif Gestoras'!$H$6:$H$462,MATCH(D689,'Classif Gestoras'!$A$6:$A$462,0)),"Não classificada")</x:f>
        <x:v>Independente</x:v>
      </x:c>
      <x:c r="F689" s="168" t="str">
        <x:v>Singulare</x:v>
      </x:c>
      <x:c r="G689" s="168" t="str">
        <x:v>QI CORRETORA DE TÍTULOS E VALORES MOBILIÁRIOS S.A.</x:v>
      </x:c>
      <x:c r="H689" s="168" t="str">
        <x:v>Fomento Mercantil</x:v>
      </x:c>
      <x:c r="I689" s="168" t="str">
        <x:v>Fomento Mercantil</x:v>
      </x:c>
      <x:c r="J689" s="168" t="str">
        <x:v>CI</x:v>
      </x:c>
      <x:c r="K689" s="174" t="n">
        <x:v>8</x:v>
      </x:c>
      <x:c r="L689" s="187" t="str">
        <x:v>Não classificado</x:v>
      </x:c>
    </x:row>
    <x:row r="690">
      <x:c r="A690" s="177" t="str">
        <x:v>55.891.903/0001-00</x:v>
      </x:c>
      <x:c r="B690" s="168" t="str">
        <x:v>SP TUNE FUNDO DE INVESTIMENTO EM DIREITOS CREDITÓRIOS RESPONSABILIDADE LIMITADA</x:v>
      </x:c>
      <x:c r="C690" s="190" t="n">
        <x:v>194388448.44</x:v>
      </x:c>
      <x:c r="D690" s="168" t="str">
        <x:v>FIDD Administração de Recursos Ltda.</x:v>
      </x:c>
      <x:c r="E690" s="168" t="str">
        <x:f>IFERROR(INDEX('Classif Gestoras'!$H$6:$H$462,MATCH(D690,'Classif Gestoras'!$A$6:$A$462,0)),"Não classificada")</x:f>
        <x:v>Independente</x:v>
      </x:c>
      <x:c r="F690" s="168" t="str">
        <x:v>FIDD DISTRIBUIDORA DE TITULOS E VALORES MOBILIARIOS LTD</x:v>
      </x:c>
      <x:c r="G690" s="168" t="str">
        <x:v>FIDD DISTRIBUIDORA DE TITULOS E VALORES MOBILIARIOS LTDA.</x:v>
      </x:c>
      <x:c r="H690" s="168" t="str">
        <x:v>Outros</x:v>
      </x:c>
      <x:c r="I690" s="168" t="str">
        <x:v>Poder Público</x:v>
      </x:c>
      <x:c r="J690" s="168" t="str">
        <x:v>CI</x:v>
      </x:c>
      <x:c r="K690" s="174" t="n">
        <x:v>1</x:v>
      </x:c>
      <x:c r="L690" s="187" t="str">
        <x:v>Não classificado</x:v>
      </x:c>
    </x:row>
    <x:row r="691">
      <x:c r="A691" s="177" t="str">
        <x:v>46.783.889/0001-21</x:v>
      </x:c>
      <x:c r="B691" s="168" t="str">
        <x:v>MIDAS FUNDO DE INVESTIMENTO EM DIREITOS CREDITÓRIOS NÃO PADRONIZADOS</x:v>
      </x:c>
      <x:c r="C691" s="190" t="n">
        <x:v>194174986</x:v>
      </x:c>
      <x:c r="D691" s="168" t="str">
        <x:v>GV ATACAMA CAPITAL LTDA.</x:v>
      </x:c>
      <x:c r="E691" s="168" t="str">
        <x:f>IFERROR(INDEX('Classif Gestoras'!$H$6:$H$462,MATCH(D691,'Classif Gestoras'!$A$6:$A$462,0)),"Não classificada")</x:f>
        <x:v>Independente</x:v>
      </x:c>
      <x:c r="F691" s="168" t="str">
        <x:v>Singulare</x:v>
      </x:c>
      <x:c r="G691" s="168" t="str">
        <x:v>QI CORRETORA DE TÍTULOS E VALORES MOBILIÁRIOS S.A.</x:v>
      </x:c>
      <x:c r="H691" s="168" t="str">
        <x:v>Outros</x:v>
      </x:c>
      <x:c r="I691" s="168" t="str">
        <x:v>Poder Público</x:v>
      </x:c>
      <x:c r="J691" s="168" t="str">
        <x:v>CI</x:v>
      </x:c>
      <x:c r="K691" s="174" t="n">
        <x:v>2</x:v>
      </x:c>
      <x:c r="L691" s="187" t="str">
        <x:v>Não classificado</x:v>
      </x:c>
    </x:row>
    <x:row r="692">
      <x:c r="A692" s="177" t="str">
        <x:v>54.091.598/0001-09</x:v>
      </x:c>
      <x:c r="B692" s="168" t="str">
        <x:v>JUGIS II PRÉ-PRECATÓRIOS FUNDO DE INVESTIMENTO EM DIREITOS CREDITÓRIOS</x:v>
      </x:c>
      <x:c r="C692" s="190" t="n">
        <x:v>194088585.1</x:v>
      </x:c>
      <x:c r="D692" s="168" t="str">
        <x:v>JUGIS CAPITAL GESTÃO DE RECURSOS LTDA.</x:v>
      </x:c>
      <x:c r="E692" s="168" t="str">
        <x:f>IFERROR(INDEX('Classif Gestoras'!$H$6:$H$462,MATCH(D692,'Classif Gestoras'!$A$6:$A$462,0)),"Não classificada")</x:f>
        <x:v>Independente</x:v>
      </x:c>
      <x:c r="F692" s="168" t="str">
        <x:v>BRL TRUST DTVM</x:v>
      </x:c>
      <x:c r="G692" s="168" t="str">
        <x:v>BRL TRUST DISTRIBUIDORA DE TITULOS E VALORES MOBILIARIOS S.A.</x:v>
      </x:c>
      <x:c r="H692" s="168" t="str">
        <x:v>Outros</x:v>
      </x:c>
      <x:c r="I692" s="168" t="str">
        <x:v>Poder Público</x:v>
      </x:c>
      <x:c r="J692" s="168" t="str">
        <x:v>CI</x:v>
      </x:c>
      <x:c r="K692" s="174" t="n">
        <x:v>127</x:v>
      </x:c>
      <x:c r="L692" s="187" t="str">
        <x:v>Não classificado</x:v>
      </x:c>
    </x:row>
    <x:row r="693">
      <x:c r="A693" s="177" t="str">
        <x:v>21.081.952/0001-57</x:v>
      </x:c>
      <x:c r="B693" s="168" t="str">
        <x:v>FICOU FÁCIL FUNDO DE INVESTIMENTO EM DIREITOS CREDITÓRIOS EDUCACIONAL RESPONSABILIDADE LIMITADA</x:v>
      </x:c>
      <x:c r="C693" s="190" t="n">
        <x:v>192239494.84</x:v>
      </x:c>
      <x:c r="D693" s="168" t="str">
        <x:v>VERT Gestora de Recursos Financeiros Ltda.</x:v>
      </x:c>
      <x:c r="E693" s="168" t="str">
        <x:f>IFERROR(INDEX('Classif Gestoras'!$H$6:$H$462,MATCH(D693,'Classif Gestoras'!$A$6:$A$462,0)),"Não classificada")</x:f>
        <x:v>Independente</x:v>
      </x:c>
      <x:c r="F693" s="168" t="str">
        <x:v>Oliveira Trust DTVM</x:v>
      </x:c>
      <x:c r="G693" s="168" t="str">
        <x:v>OLIVEIRA TRUST DTVM S.A.</x:v>
      </x:c>
      <x:c r="H693" s="168" t="str">
        <x:v>Financeiro</x:v>
      </x:c>
      <x:c r="I693" s="168" t="str">
        <x:v>Crédito Pessoal</x:v>
      </x:c>
      <x:c r="J693" s="168" t="str">
        <x:v>CI</x:v>
      </x:c>
      <x:c r="K693" s="174" t="n">
        <x:v>4</x:v>
      </x:c>
      <x:c r="L693" s="187" t="str">
        <x:v>Não classificado</x:v>
      </x:c>
    </x:row>
    <x:row r="694">
      <x:c r="A694" s="177" t="str">
        <x:v>42.747.344/0001-09</x:v>
      </x:c>
      <x:c r="B694" s="168" t="str">
        <x:v>MICROCRÉDITO FUNDO DE INVESTIMENTO EM DIREITOS CREDITÓRIOS DE RESPONSABILIDADE LIMITADA</x:v>
      </x:c>
      <x:c r="C694" s="190" t="n">
        <x:v>192076931.06</x:v>
      </x:c>
      <x:c r="D694" s="168" t="str">
        <x:v>EuQueroInvestir Gestão de Recursos Ltda.</x:v>
      </x:c>
      <x:c r="E694" s="168" t="str">
        <x:f>IFERROR(INDEX('Classif Gestoras'!$H$6:$H$462,MATCH(D694,'Classif Gestoras'!$A$6:$A$462,0)),"Não classificada")</x:f>
        <x:v>Independente</x:v>
      </x:c>
      <x:c r="F694" s="168" t="str">
        <x:v>BTG Pactual Servicos Financeiros S/A DTVM</x:v>
      </x:c>
      <x:c r="G694" s="168" t="str">
        <x:v>BANCO BTG PACTUAL S/A</x:v>
      </x:c>
      <x:c r="H694" s="168" t="str">
        <x:v>Outros</x:v>
      </x:c>
      <x:c r="I694" s="168" t="str">
        <x:v>Multicarteira Outros</x:v>
      </x:c>
      <x:c r="J694" s="168" t="str">
        <x:v>CI</x:v>
      </x:c>
      <x:c r="K694" s="174" t="n">
        <x:v>4306</x:v>
      </x:c>
      <x:c r="L694" s="187" t="str">
        <x:v>Proxy multicedente/multissacado — revisar</x:v>
      </x:c>
    </x:row>
    <x:row r="695">
      <x:c r="A695" s="177" t="str">
        <x:v>65.804.737/0001-02</x:v>
      </x:c>
      <x:c r="B695" s="168" t="str">
        <x:v>OLIVENZA FUNDO DE INVESTIMENTO EM DIREITOS CREDITÓRIOS NÃO PADRONIZADOS</x:v>
      </x:c>
      <x:c r="C695" s="190" t="n">
        <x:v>191946699.18</x:v>
      </x:c>
      <x:c r="D695" s="168" t="str">
        <x:v>Multiplica Capital</x:v>
      </x:c>
      <x:c r="E695" s="168" t="str">
        <x:f>IFERROR(INDEX('Classif Gestoras'!$H$6:$H$462,MATCH(D695,'Classif Gestoras'!$A$6:$A$462,0)),"Não classificada")</x:f>
        <x:v>Independente</x:v>
      </x:c>
      <x:c r="F695" s="168" t="str">
        <x:v>PLANNER CV</x:v>
      </x:c>
      <x:c r="G695" s="168" t="str">
        <x:v>PLANNER CORRETORA DE VALORES S.A.</x:v>
      </x:c>
      <x:c r="H695" s="168" t="str">
        <x:v>Outros</x:v>
      </x:c>
      <x:c r="I695" s="168" t="str">
        <x:v>Multicarteira Outros</x:v>
      </x:c>
      <x:c r="J695" s="168" t="str">
        <x:v>CI</x:v>
      </x:c>
      <x:c r="K695" s="174" t="n">
        <x:v>2</x:v>
      </x:c>
      <x:c r="L695" s="187" t="str">
        <x:v>Proxy multicedente/multissacado — revisar</x:v>
      </x:c>
    </x:row>
    <x:row r="696">
      <x:c r="A696" s="177" t="str">
        <x:v>25.167.283/0001-91</x:v>
      </x:c>
      <x:c r="B696" s="168" t="str">
        <x:v>KRIPTA FUNDO DE INVESTIMENTO EM DIREITOS CREDITÓRIOS</x:v>
      </x:c>
      <x:c r="C696" s="190" t="n">
        <x:v>191084361.16000003</x:v>
      </x:c>
      <x:c r="D696" s="168" t="str">
        <x:v>Libertas Asset</x:v>
      </x:c>
      <x:c r="E696" s="168" t="str">
        <x:f>IFERROR(INDEX('Classif Gestoras'!$H$6:$H$462,MATCH(D696,'Classif Gestoras'!$A$6:$A$462,0)),"Não classificada")</x:f>
        <x:v>Independente</x:v>
      </x:c>
      <x:c r="F696" s="168" t="str">
        <x:v>ACTUAL DTVM</x:v>
      </x:c>
      <x:c r="G696" s="168" t="str">
        <x:v>TRUSTEE DISTRIBUIDORA DE TITULOS E VALORES MOBILIARIOS LTDA.</x:v>
      </x:c>
      <x:c r="H696" s="168" t="str">
        <x:v>Outros</x:v>
      </x:c>
      <x:c r="I696" s="168" t="str">
        <x:v>Multicarteira Outros</x:v>
      </x:c>
      <x:c r="J696" s="168" t="str">
        <x:v>CI</x:v>
      </x:c>
      <x:c r="K696" s="174" t="n">
        <x:v>1</x:v>
      </x:c>
      <x:c r="L696" s="187" t="str">
        <x:v>Proxy multicedente/multissacado — revisar</x:v>
      </x:c>
    </x:row>
    <x:row r="697">
      <x:c r="A697" s="177" t="str">
        <x:v>22.881.521/0001-38</x:v>
      </x:c>
      <x:c r="B697" s="168" t="str">
        <x:v>JC HONORÁRIOS TDA FUNDO DE INVESTIMENTO EM DIREITOS CREDITÓRIOS NÃO-PADRONIZADOS</x:v>
      </x:c>
      <x:c r="C697" s="190" t="n">
        <x:v>190916464.7</x:v>
      </x:c>
      <x:c r="D697" s="168" t="str">
        <x:v>GV ATACAMA CAPITAL LTDA.</x:v>
      </x:c>
      <x:c r="E697" s="168" t="str">
        <x:f>IFERROR(INDEX('Classif Gestoras'!$H$6:$H$462,MATCH(D697,'Classif Gestoras'!$A$6:$A$462,0)),"Não classificada")</x:f>
        <x:v>Independente</x:v>
      </x:c>
      <x:c r="F697" s="168" t="str">
        <x:v>Singulare</x:v>
      </x:c>
      <x:c r="G697" s="168" t="str">
        <x:v>QI CORRETORA DE TÍTULOS E VALORES MOBILIÁRIOS S.A.</x:v>
      </x:c>
      <x:c r="H697" s="168" t="str">
        <x:v>Outros</x:v>
      </x:c>
      <x:c r="I697" s="168" t="str">
        <x:v>Poder Público</x:v>
      </x:c>
      <x:c r="J697" s="168" t="str">
        <x:v>CI</x:v>
      </x:c>
      <x:c r="K697" s="174" t="n">
        <x:v>2</x:v>
      </x:c>
      <x:c r="L697" s="187" t="str">
        <x:v>Não classificado</x:v>
      </x:c>
    </x:row>
    <x:row r="698">
      <x:c r="A698" s="177" t="str">
        <x:v>50.988.212/0001-05</x:v>
      </x:c>
      <x:c r="B698" s="168" t="str">
        <x:v>CARTÃO DE COMPRA SUPPLIER FUNDO DE INVESTIMENTO EM DIREITOS CREDITÓRIOS II-RESPONSABILIDADE LIMITADA</x:v>
      </x:c>
      <x:c r="C698" s="190" t="n">
        <x:v>190803905.81</x:v>
      </x:c>
      <x:c r="D698" s="168" t="str">
        <x:v>Oliveira Trust DTVM</x:v>
      </x:c>
      <x:c r="E698" s="168" t="str">
        <x:f>IFERROR(INDEX('Classif Gestoras'!$H$6:$H$462,MATCH(D698,'Classif Gestoras'!$A$6:$A$462,0)),"Não classificada")</x:f>
        <x:v>Independente</x:v>
      </x:c>
      <x:c r="F698" s="168" t="str">
        <x:v>Oliveira Trust DTVM</x:v>
      </x:c>
      <x:c r="G698" s="168" t="str">
        <x:v>OLIVEIRA TRUST DTVM S.A.</x:v>
      </x:c>
      <x:c r="H698" s="168" t="str">
        <x:v>Financeiro</x:v>
      </x:c>
      <x:c r="I698" s="168" t="str">
        <x:v>Crédito Pessoal</x:v>
      </x:c>
      <x:c r="J698" s="168" t="str">
        <x:v>CI</x:v>
      </x:c>
      <x:c r="K698" s="174" t="n">
        <x:v>3</x:v>
      </x:c>
      <x:c r="L698" s="187" t="str">
        <x:v>Não classificado</x:v>
      </x:c>
    </x:row>
    <x:row r="699">
      <x:c r="A699" s="177" t="str">
        <x:v>53.286.391/0001-19</x:v>
      </x:c>
      <x:c r="B699" s="168" t="str">
        <x:v>CONSIGNADOS VIII FUNDO DE INVESTIMENTO EM DIREITOS CREDITÓRIOS - RESPONSABILIDADE LIMITADA</x:v>
      </x:c>
      <x:c r="C699" s="190" t="n">
        <x:v>190711299.65999997</x:v>
      </x:c>
      <x:c r="D699" s="168" t="str">
        <x:v>BRZ Investimentos</x:v>
      </x:c>
      <x:c r="E699" s="168" t="str">
        <x:f>IFERROR(INDEX('Classif Gestoras'!$H$6:$H$462,MATCH(D699,'Classif Gestoras'!$A$6:$A$462,0)),"Não classificada")</x:f>
        <x:v>Independente</x:v>
      </x:c>
      <x:c r="F699" s="168" t="str">
        <x:v>Banvox DTVM</x:v>
      </x:c>
      <x:c r="G699" s="168" t="str">
        <x:v>QI CORRETORA DE TÍTULOS E VALORES MOBILIÁRIOS S.A.</x:v>
      </x:c>
      <x:c r="H699" s="168" t="str">
        <x:v>Financeiro</x:v>
      </x:c>
      <x:c r="I699" s="168" t="str">
        <x:v>Crédito Consignado</x:v>
      </x:c>
      <x:c r="J699" s="168" t="str">
        <x:v>CI</x:v>
      </x:c>
      <x:c r="K699" s="174" t="n">
        <x:v>55</x:v>
      </x:c>
      <x:c r="L699" s="187" t="str">
        <x:v>Não classificado</x:v>
      </x:c>
    </x:row>
    <x:row r="700">
      <x:c r="A700" s="177" t="str">
        <x:v>64.756.178/0001-40</x:v>
      </x:c>
      <x:c r="B700" s="168" t="str">
        <x:v>G5 FUNDO DE INVESTIMENTO EM DIREITOS CREDITÓRIOS DE INFRAESTRUTURA ALLOCATION</x:v>
      </x:c>
      <x:c r="C700" s="190" t="n">
        <x:v>190619496.10999995</x:v>
      </x:c>
      <x:c r="D700" s="168" t="str">
        <x:v>G5 Adm. de Recursos</x:v>
      </x:c>
      <x:c r="E700" s="168" t="str">
        <x:f>IFERROR(INDEX('Classif Gestoras'!$H$6:$H$462,MATCH(D700,'Classif Gestoras'!$A$6:$A$462,0)),"Não classificada")</x:f>
        <x:v>Independente</x:v>
      </x:c>
      <x:c r="F700" s="168" t="str">
        <x:v>Singulare</x:v>
      </x:c>
      <x:c r="G700" s="168" t="str">
        <x:v>QI CORRETORA DE TÍTULOS E VALORES MOBILIÁRIOS S.A.</x:v>
      </x:c>
      <x:c r="H700" s="168" t="str">
        <x:v>Agro, Indústria e Comércio</x:v>
      </x:c>
      <x:c r="I700" s="168" t="str">
        <x:v>Infraestrutura</x:v>
      </x:c>
      <x:c r="J700" s="168" t="str">
        <x:v>CI</x:v>
      </x:c>
      <x:c r="K700" s="174" t="n">
        <x:v>121</x:v>
      </x:c>
      <x:c r="L700" s="187" t="str">
        <x:v>Não classificado</x:v>
      </x:c>
    </x:row>
    <x:row r="701">
      <x:c r="A701" s="177" t="str">
        <x:v>58.321.970/0001-79</x:v>
      </x:c>
      <x:c r="B701" s="168" t="str">
        <x:v>SIRIUS IV FUNDO DE INVESTIMENTO EM DIREITOS CREDITÓRIOS</x:v>
      </x:c>
      <x:c r="C701" s="190" t="n">
        <x:v>190606985.96</x:v>
      </x:c>
      <x:c r="D701" s="168" t="str">
        <x:v>TERCON ASSET MANAGEMENT</x:v>
      </x:c>
      <x:c r="E701" s="168" t="str">
        <x:f>IFERROR(INDEX('Classif Gestoras'!$H$6:$H$462,MATCH(D701,'Classif Gestoras'!$A$6:$A$462,0)),"Não classificada")</x:f>
        <x:v>Independente</x:v>
      </x:c>
      <x:c r="F701" s="168" t="str">
        <x:v>Singulare</x:v>
      </x:c>
      <x:c r="G701" s="168" t="str">
        <x:v>QI CORRETORA DE TÍTULOS E VALORES MOBILIÁRIOS S.A.</x:v>
      </x:c>
      <x:c r="H701" s="168" t="str">
        <x:v>Fomento Mercantil</x:v>
      </x:c>
      <x:c r="I701" s="168" t="str">
        <x:v>Fomento Mercantil</x:v>
      </x:c>
      <x:c r="J701" s="168" t="str">
        <x:v>CI</x:v>
      </x:c>
      <x:c r="K701" s="174" t="n">
        <x:v>2</x:v>
      </x:c>
      <x:c r="L701" s="187" t="str">
        <x:v>Não classificado</x:v>
      </x:c>
    </x:row>
    <x:row r="702">
      <x:c r="A702" s="177" t="str">
        <x:v>63.070.011/0001-68</x:v>
      </x:c>
      <x:c r="B702" s="168" t="str">
        <x:v>FIONA FUNDO DE INVESTIMENTO EM DIREITOS CREDITÓRIOS RESPONSABILIDADE LIMITADA</x:v>
      </x:c>
      <x:c r="C702" s="190" t="n">
        <x:v>190415981.1</x:v>
      </x:c>
      <x:c r="D702" s="168" t="str">
        <x:v>SUESTE CAPITAL GESTÃO DE RECURSOS LTDA.</x:v>
      </x:c>
      <x:c r="E702" s="168" t="str">
        <x:f>IFERROR(INDEX('Classif Gestoras'!$H$6:$H$462,MATCH(D702,'Classif Gestoras'!$A$6:$A$462,0)),"Não classificada")</x:f>
        <x:v>Independente</x:v>
      </x:c>
      <x:c r="F702" s="168" t="str">
        <x:v>Oliveira Trust DTVM</x:v>
      </x:c>
      <x:c r="G702" s="168" t="str">
        <x:v>OLIVEIRA TRUST DTVM S.A.</x:v>
      </x:c>
      <x:c r="H702" s="168" t="str">
        <x:v>Outros</x:v>
      </x:c>
      <x:c r="I702" s="168" t="str">
        <x:v>Multicarteira Outros</x:v>
      </x:c>
      <x:c r="J702" s="168" t="str">
        <x:v>CI</x:v>
      </x:c>
      <x:c r="K702" s="174" t="n">
        <x:v>1</x:v>
      </x:c>
      <x:c r="L702" s="187" t="str">
        <x:v>Proxy multicedente/multissacado — revisar</x:v>
      </x:c>
    </x:row>
    <x:row r="703">
      <x:c r="A703" s="177" t="str">
        <x:v>55.768.379/0001-76</x:v>
      </x:c>
      <x:c r="B703" s="168" t="str">
        <x:v>FGTS V FUNDO DE INVESTIMENTO EM DIREITOS CREDITÓRIOS</x:v>
      </x:c>
      <x:c r="C703" s="190" t="n">
        <x:v>189340308.61</x:v>
      </x:c>
      <x:c r="D703" s="168" t="str">
        <x:v>ANGÁ ASSET MANAGEMENT</x:v>
      </x:c>
      <x:c r="E703" s="168" t="str">
        <x:f>IFERROR(INDEX('Classif Gestoras'!$H$6:$H$462,MATCH(D703,'Classif Gestoras'!$A$6:$A$462,0)),"Não classificada")</x:f>
        <x:v>Independente</x:v>
      </x:c>
      <x:c r="F703" s="168" t="str">
        <x:v>BANCO DAYCOVAL S/A</x:v>
      </x:c>
      <x:c r="G703" s="168" t="str">
        <x:v>BANCO DAYCOVAL S.A.</x:v>
      </x:c>
      <x:c r="H703" s="168" t="str">
        <x:v>Financeiro</x:v>
      </x:c>
      <x:c r="I703" s="168" t="str">
        <x:v>Multicarteira Financeiro</x:v>
      </x:c>
      <x:c r="J703" s="168" t="str">
        <x:v>CI</x:v>
      </x:c>
      <x:c r="K703" s="174" t="n">
        <x:v>7</x:v>
      </x:c>
      <x:c r="L703" s="187" t="str">
        <x:v>Proxy multicedente/multissacado — revisar</x:v>
      </x:c>
    </x:row>
    <x:row r="704">
      <x:c r="A704" s="177" t="str">
        <x:v>40.753.151/0001-35</x:v>
      </x:c>
      <x:c r="B704" s="168" t="str">
        <x:v>JP CAPITAL FUNDO DE INVESTIMENTO EM DIREITOS CREDITÓRIOS - RESPONSABILIDADE LIMITADA</x:v>
      </x:c>
      <x:c r="C704" s="190" t="n">
        <x:v>189280087.75000003</x:v>
      </x:c>
      <x:c r="D704" s="168" t="str">
        <x:v>Apuama Capital</x:v>
      </x:c>
      <x:c r="E704" s="168" t="str">
        <x:f>IFERROR(INDEX('Classif Gestoras'!$H$6:$H$462,MATCH(D704,'Classif Gestoras'!$A$6:$A$462,0)),"Não classificada")</x:f>
        <x:v>Independente</x:v>
      </x:c>
      <x:c r="F704" s="168" t="str">
        <x:v>Singulare</x:v>
      </x:c>
      <x:c r="G704" s="168" t="str">
        <x:v>QI CORRETORA DE TÍTULOS E VALORES MOBILIÁRIOS S.A.</x:v>
      </x:c>
      <x:c r="H704" s="168" t="str">
        <x:v>Fomento Mercantil</x:v>
      </x:c>
      <x:c r="I704" s="168" t="str">
        <x:v>Fomento Mercantil</x:v>
      </x:c>
      <x:c r="J704" s="168" t="str">
        <x:v>CI</x:v>
      </x:c>
      <x:c r="K704" s="174" t="n">
        <x:v>48</x:v>
      </x:c>
      <x:c r="L704" s="187" t="str">
        <x:v>Não classificado</x:v>
      </x:c>
    </x:row>
    <x:row r="705">
      <x:c r="A705" s="177" t="str">
        <x:v>62.323.195/0001-68</x:v>
      </x:c>
      <x:c r="B705" s="168" t="str">
        <x:v>FIBRA RUBICON FUNDO DE INVESTIMENTO EM DIREITOS CREDITÓRIOS RESPONSABILIDADE LIMITADA</x:v>
      </x:c>
      <x:c r="C705" s="190" t="n">
        <x:v>188505504.52</x:v>
      </x:c>
      <x:c r="D705" s="168" t="str">
        <x:v>Fibra Asset</x:v>
      </x:c>
      <x:c r="E705" s="168" t="str">
        <x:f>IFERROR(INDEX('Classif Gestoras'!$H$6:$H$462,MATCH(D705,'Classif Gestoras'!$A$6:$A$462,0)),"Não classificada")</x:f>
        <x:v>Independente</x:v>
      </x:c>
      <x:c r="F705" s="168" t="str">
        <x:v>Limine Trust Distribuidora de Titulos e Valores Mobiliá</x:v>
      </x:c>
      <x:c r="G705" s="168" t="str">
        <x:v>LIMINE TRUST DISTRIBUIDORA DE TITULOS E VALORES MOBILIARIOS LTDA.</x:v>
      </x:c>
      <x:c r="H705" s="168" t="str">
        <x:v>Financeiro</x:v>
      </x:c>
      <x:c r="I705" s="168" t="str">
        <x:v>Crédito Consignado</x:v>
      </x:c>
      <x:c r="J705" s="168" t="str">
        <x:v>CI</x:v>
      </x:c>
      <x:c r="K705" s="174" t="n">
        <x:v>2</x:v>
      </x:c>
      <x:c r="L705" s="187" t="str">
        <x:v>Não classificado</x:v>
      </x:c>
    </x:row>
    <x:row r="706">
      <x:c r="A706" s="177" t="str">
        <x:v>62.160.076/0001-31</x:v>
      </x:c>
      <x:c r="B706" s="168" t="str">
        <x:v>TKO I FUNDO DE INVESTIMENTO EM DIREITOS CREDITÓRIOS</x:v>
      </x:c>
      <x:c r="C706" s="190" t="n">
        <x:v>187736157.7</x:v>
      </x:c>
      <x:c r="D706" s="168" t="str">
        <x:v>ANGÁ ASSET MANAGEMENT</x:v>
      </x:c>
      <x:c r="E706" s="168" t="str">
        <x:f>IFERROR(INDEX('Classif Gestoras'!$H$6:$H$462,MATCH(D706,'Classif Gestoras'!$A$6:$A$462,0)),"Não classificada")</x:f>
        <x:v>Independente</x:v>
      </x:c>
      <x:c r="F706" s="168" t="str">
        <x:v>BANCO DAYCOVAL S/A</x:v>
      </x:c>
      <x:c r="G706" s="168" t="str">
        <x:v>BANCO DAYCOVAL S.A.</x:v>
      </x:c>
      <x:c r="H706" s="168" t="str">
        <x:v>Financeiro</x:v>
      </x:c>
      <x:c r="I706" s="168" t="str">
        <x:v>Crédito Pessoal</x:v>
      </x:c>
      <x:c r="J706" s="168" t="str">
        <x:v>CI</x:v>
      </x:c>
      <x:c r="K706" s="174" t="n">
        <x:v>12</x:v>
      </x:c>
      <x:c r="L706" s="187" t="str">
        <x:v>Não classificado</x:v>
      </x:c>
    </x:row>
    <x:row r="707">
      <x:c r="A707" s="177" t="str">
        <x:v>59.900.616/0001-61</x:v>
      </x:c>
      <x:c r="B707" s="168" t="str">
        <x:v>GALAPAGOS SANTA HELENA FUNDO DE INVESTIMENTO EM DIREITOS CREDITÓRIOS RESPONSABILIDADE LIMITADA</x:v>
      </x:c>
      <x:c r="C707" s="190" t="n">
        <x:v>187527494.72</x:v>
      </x:c>
      <x:c r="D707" s="168" t="str">
        <x:v>Galápagos</x:v>
      </x:c>
      <x:c r="E707" s="168" t="str">
        <x:f>IFERROR(INDEX('Classif Gestoras'!$H$6:$H$462,MATCH(D707,'Classif Gestoras'!$A$6:$A$462,0)),"Não classificada")</x:f>
        <x:v>Independente</x:v>
      </x:c>
      <x:c r="F707" s="168" t="str">
        <x:v>VÓRTX DTVM</x:v>
      </x:c>
      <x:c r="G707" s="168" t="str">
        <x:v>VORTX DISTRIBUIDORA DE TITULOS E VALORES MOBILIARIOS LTDA.</x:v>
      </x:c>
      <x:c r="H707" s="168" t="str">
        <x:v>Outros</x:v>
      </x:c>
      <x:c r="I707" s="168" t="str">
        <x:v>Poder Público</x:v>
      </x:c>
      <x:c r="J707" s="168" t="str">
        <x:v>CI</x:v>
      </x:c>
      <x:c r="K707" s="174" t="n">
        <x:v>13</x:v>
      </x:c>
      <x:c r="L707" s="187" t="str">
        <x:v>Não classificado</x:v>
      </x:c>
    </x:row>
    <x:row r="708">
      <x:c r="A708" s="177" t="str">
        <x:v>63.784.711/0001-14</x:v>
      </x:c>
      <x:c r="B708" s="168" t="str">
        <x:v>DGV FUNDO DE INVESTIMENTOS EM DIREITOS CREDITÓRIOS</x:v>
      </x:c>
      <x:c r="C708" s="190" t="n">
        <x:v>187119360.27</x:v>
      </x:c>
      <x:c r="D708" s="168" t="str">
        <x:v>VESTRA CAPITAL</x:v>
      </x:c>
      <x:c r="E708" s="168" t="str">
        <x:f>IFERROR(INDEX('Classif Gestoras'!$H$6:$H$462,MATCH(D708,'Classif Gestoras'!$A$6:$A$462,0)),"Não classificada")</x:f>
        <x:v>Independente</x:v>
      </x:c>
      <x:c r="F708" s="168" t="str">
        <x:v>LASTRO RDV DIST. DE</x:v>
      </x:c>
      <x:c r="G708" s="168" t="str">
        <x:v>LASTRO RDV DTVM LTDA</x:v>
      </x:c>
      <x:c r="H708" s="168" t="str">
        <x:v>Outros</x:v>
      </x:c>
      <x:c r="I708" s="168" t="str">
        <x:v>Multicarteira Outros</x:v>
      </x:c>
      <x:c r="J708" s="168" t="str">
        <x:v>CI</x:v>
      </x:c>
      <x:c r="K708" s="174" t="n">
        <x:v>3</x:v>
      </x:c>
      <x:c r="L708" s="187" t="str">
        <x:v>Proxy multicedente/multissacado — revisar</x:v>
      </x:c>
    </x:row>
    <x:row r="709">
      <x:c r="A709" s="177" t="str">
        <x:v>54.495.443/0001-20</x:v>
      </x:c>
      <x:c r="B709" s="168" t="str">
        <x:v>GV HOME EQUITY FUNDO DE INVESTIMENTO EM DIREITOS CREDITÓRIOS</x:v>
      </x:c>
      <x:c r="C709" s="190" t="n">
        <x:v>186280052.77001</x:v>
      </x:c>
      <x:c r="D709" s="168" t="str">
        <x:v>GV ATACAMA CAPITAL LTDA.</x:v>
      </x:c>
      <x:c r="E709" s="168" t="str">
        <x:f>IFERROR(INDEX('Classif Gestoras'!$H$6:$H$462,MATCH(D709,'Classif Gestoras'!$A$6:$A$462,0)),"Não classificada")</x:f>
        <x:v>Independente</x:v>
      </x:c>
      <x:c r="F709" s="168" t="str">
        <x:v>Singulare</x:v>
      </x:c>
      <x:c r="G709" s="168" t="str">
        <x:v>QI CORRETORA DE TÍTULOS E VALORES MOBILIÁRIOS S.A.</x:v>
      </x:c>
      <x:c r="H709" s="168" t="str">
        <x:v>Outros</x:v>
      </x:c>
      <x:c r="I709" s="168" t="str">
        <x:v>Multicarteira Outros</x:v>
      </x:c>
      <x:c r="J709" s="168" t="str">
        <x:v>CI</x:v>
      </x:c>
      <x:c r="K709" s="174" t="n">
        <x:v>5</x:v>
      </x:c>
      <x:c r="L709" s="187" t="str">
        <x:v>Proxy multicedente/multissacado — revisar</x:v>
      </x:c>
    </x:row>
    <x:row r="710">
      <x:c r="A710" s="177" t="str">
        <x:v>29.720.582/0001-62</x:v>
      </x:c>
      <x:c r="B710" s="168" t="str">
        <x:v>SG FUNDO DE INVESTIMENTO EM DIREITOS CREDITÓRIOS</x:v>
      </x:c>
      <x:c r="C710" s="190" t="n">
        <x:v>186222576.22</x:v>
      </x:c>
      <x:c r="D710" s="168" t="str">
        <x:v>Solis</x:v>
      </x:c>
      <x:c r="E710" s="168" t="str">
        <x:f>IFERROR(INDEX('Classif Gestoras'!$H$6:$H$462,MATCH(D710,'Classif Gestoras'!$A$6:$A$462,0)),"Não classificada")</x:f>
        <x:v>Independente</x:v>
      </x:c>
      <x:c r="F710" s="168" t="str">
        <x:v>HEMERA DTVM</x:v>
      </x:c>
      <x:c r="G710" s="168" t="str">
        <x:v>HEMERA DISTRIBUIDORA DE TITULOS E VALORES MOBILIARIOS LTDA</x:v>
      </x:c>
      <x:c r="H710" s="168" t="str">
        <x:v>Outros</x:v>
      </x:c>
      <x:c r="I710" s="168" t="str">
        <x:v>Multicarteira Outros</x:v>
      </x:c>
      <x:c r="J710" s="168" t="str">
        <x:v>CI</x:v>
      </x:c>
      <x:c r="K710" s="174" t="n">
        <x:v>54</x:v>
      </x:c>
      <x:c r="L710" s="187" t="str">
        <x:v>Proxy multicedente/multissacado — revisar</x:v>
      </x:c>
    </x:row>
    <x:row r="711">
      <x:c r="A711" s="177" t="str">
        <x:v>10.269.029/0001-27</x:v>
      </x:c>
      <x:c r="B711" s="168" t="str">
        <x:v>AJAXJUD - FUNDO DE INVESTIMENTO EM DIREITOS CREDITÓRIOS MULTISEGMENTOS DE RESPONSABILIDADE LIMITADA</x:v>
      </x:c>
      <x:c r="C711" s="190" t="n">
        <x:v>186049954.3</x:v>
      </x:c>
      <x:c r="D711" s="168" t="str">
        <x:v>Solis</x:v>
      </x:c>
      <x:c r="E711" s="168" t="str">
        <x:f>IFERROR(INDEX('Classif Gestoras'!$H$6:$H$462,MATCH(D711,'Classif Gestoras'!$A$6:$A$462,0)),"Não classificada")</x:f>
        <x:v>Independente</x:v>
      </x:c>
      <x:c r="F711" s="168" t="str">
        <x:v>HEMERA DTVM</x:v>
      </x:c>
      <x:c r="G711" s="168" t="str">
        <x:v>HEMERA DISTRIBUIDORA DE TITULOS E VALORES MOBILIARIOS LTDA</x:v>
      </x:c>
      <x:c r="H711" s="168" t="str">
        <x:v>Outros</x:v>
      </x:c>
      <x:c r="I711" s="168" t="str">
        <x:v>Multicarteira Outros</x:v>
      </x:c>
      <x:c r="J711" s="168" t="str">
        <x:v>CI</x:v>
      </x:c>
      <x:c r="K711" s="174" t="n">
        <x:v>3</x:v>
      </x:c>
      <x:c r="L711" s="187" t="str">
        <x:v>Proxy multicedente/multissacado — revisar</x:v>
      </x:c>
    </x:row>
    <x:row r="712">
      <x:c r="A712" s="177" t="str">
        <x:v>41.114.564/0001-32</x:v>
      </x:c>
      <x:c r="B712" s="168" t="str">
        <x:v>LARCA MULTIPLICA CAPITAL FUNDO DE INVESTIMENTO EM DIREITOS CREDITÓRIOS</x:v>
      </x:c>
      <x:c r="C712" s="190" t="n">
        <x:v>185878656.02999997</x:v>
      </x:c>
      <x:c r="D712" s="168" t="str">
        <x:v>TERCON ASSET MANAGEMENT</x:v>
      </x:c>
      <x:c r="E712" s="168" t="str">
        <x:f>IFERROR(INDEX('Classif Gestoras'!$H$6:$H$462,MATCH(D712,'Classif Gestoras'!$A$6:$A$462,0)),"Não classificada")</x:f>
        <x:v>Independente</x:v>
      </x:c>
      <x:c r="F712" s="168" t="str">
        <x:v>MASTER S/A CORRETORA</x:v>
      </x:c>
      <x:c r="G712" s="168" t="str">
        <x:v>QI CORRETORA DE TÍTULOS E VALORES MOBILIÁRIOS S.A.</x:v>
      </x:c>
      <x:c r="H712" s="168" t="str">
        <x:v>Outros</x:v>
      </x:c>
      <x:c r="I712" s="168" t="str">
        <x:v>Fomento Mercantil</x:v>
      </x:c>
      <x:c r="J712" s="168" t="str">
        <x:v>CI</x:v>
      </x:c>
      <x:c r="K712" s="174" t="n">
        <x:v>65</x:v>
      </x:c>
      <x:c r="L712" s="187" t="str">
        <x:v>Não classificado</x:v>
      </x:c>
    </x:row>
    <x:row r="713">
      <x:c r="A713" s="177" t="str">
        <x:v>30.590.978/0001-11</x:v>
      </x:c>
      <x:c r="B713" s="168" t="str">
        <x:v>AUTOMOTIVO FUNDO DE INVESTIMENTO EM DIREITOS CREDITÓRIOS</x:v>
      </x:c>
      <x:c r="C713" s="190" t="n">
        <x:v>185704203.99</x:v>
      </x:c>
      <x:c r="D713" s="168" t="str">
        <x:v>Oliveira Trust Servicer</x:v>
      </x:c>
      <x:c r="E713" s="168" t="str">
        <x:f>IFERROR(INDEX('Classif Gestoras'!$H$6:$H$462,MATCH(D713,'Classif Gestoras'!$A$6:$A$462,0)),"Não classificada")</x:f>
        <x:v>Independente</x:v>
      </x:c>
      <x:c r="F713" s="168" t="str">
        <x:v>Oliveira Trust DTVM</x:v>
      </x:c>
      <x:c r="G713" s="168" t="str">
        <x:v>OLIVEIRA TRUST DTVM S.A.</x:v>
      </x:c>
      <x:c r="H713" s="168" t="str">
        <x:v>Agro, Indústria e Comércio</x:v>
      </x:c>
      <x:c r="I713" s="168" t="str">
        <x:v>Crédito Corporativo</x:v>
      </x:c>
      <x:c r="J713" s="168" t="str">
        <x:v>CI</x:v>
      </x:c>
      <x:c r="K713" s="174" t="n">
        <x:v>57</x:v>
      </x:c>
      <x:c r="L713" s="187" t="str">
        <x:v>Não classificado</x:v>
      </x:c>
    </x:row>
    <x:row r="714">
      <x:c r="A714" s="177" t="str">
        <x:v>52.155.823/0001-90</x:v>
      </x:c>
      <x:c r="B714" s="168" t="str">
        <x:v>CHIMERA NPL &amp; SPECIAL OPPORTUNITIES II FUNDO DE INVESTIMENTO EM DIREITOS CREDITÓRIOS DE RESPONSABILI</x:v>
      </x:c>
      <x:c r="C714" s="190" t="n">
        <x:v>185440316.49</x:v>
      </x:c>
      <x:c r="D714" s="168" t="str">
        <x:v>Chimera Capital Asset Management Ltda.</x:v>
      </x:c>
      <x:c r="E714" s="168" t="str">
        <x:f>IFERROR(INDEX('Classif Gestoras'!$H$6:$H$462,MATCH(D714,'Classif Gestoras'!$A$6:$A$462,0)),"Não classificada")</x:f>
        <x:v>Independente</x:v>
      </x:c>
      <x:c r="F714" s="168" t="str">
        <x:v>VÓRTX DTVM</x:v>
      </x:c>
      <x:c r="G714" s="168" t="str">
        <x:v>VORTX DISTRIBUIDORA DE TITULOS E VALORES MOBILIARIOS LTDA.</x:v>
      </x:c>
      <x:c r="H714" s="168" t="str">
        <x:v>Outros</x:v>
      </x:c>
      <x:c r="I714" s="168" t="str">
        <x:v>Multicarteira Outros</x:v>
      </x:c>
      <x:c r="J714" s="168" t="str">
        <x:v>CI</x:v>
      </x:c>
      <x:c r="K714" s="174" t="n">
        <x:v>3</x:v>
      </x:c>
      <x:c r="L714" s="187" t="str">
        <x:v>Proxy multicedente/multissacado — revisar</x:v>
      </x:c>
    </x:row>
    <x:row r="715">
      <x:c r="A715" s="177" t="str">
        <x:v>55.257.461/0001-36</x:v>
      </x:c>
      <x:c r="B715" s="168" t="str">
        <x:v>SELLOR FUNDO DE INVESTIMENTO EM DIREITOS CREDITÓRIOS MULTISSETORIAL</x:v>
      </x:c>
      <x:c r="C715" s="190" t="n">
        <x:v>185140620.29</x:v>
      </x:c>
      <x:c r="D715" s="168" t="str">
        <x:v>ORRAM GESTÃO DE RECURSOS LTDA.</x:v>
      </x:c>
      <x:c r="E715" s="168" t="str">
        <x:f>IFERROR(INDEX('Classif Gestoras'!$H$6:$H$462,MATCH(D715,'Classif Gestoras'!$A$6:$A$462,0)),"Não classificada")</x:f>
        <x:v>Independente</x:v>
      </x:c>
      <x:c r="F715" s="168" t="str">
        <x:v>Singulare</x:v>
      </x:c>
      <x:c r="G715" s="168" t="str">
        <x:v>QI CORRETORA DE TÍTULOS E VALORES MOBILIÁRIOS S.A.</x:v>
      </x:c>
      <x:c r="H715" s="168" t="str">
        <x:v>Fomento Mercantil</x:v>
      </x:c>
      <x:c r="I715" s="168" t="str">
        <x:v>Fomento Mercantil</x:v>
      </x:c>
      <x:c r="J715" s="168" t="str">
        <x:v>CI</x:v>
      </x:c>
      <x:c r="K715" s="174" t="n">
        <x:v>52</x:v>
      </x:c>
      <x:c r="L715" s="187" t="str">
        <x:v>Não classificado</x:v>
      </x:c>
    </x:row>
    <x:row r="716">
      <x:c r="A716" s="177" t="str">
        <x:v>46.390.255/0001-09</x:v>
      </x:c>
      <x:c r="B716" s="168" t="str">
        <x:v>CULTURA AGROMAIS FIAGRO RESPONSABILIDADE LIMITADA</x:v>
      </x:c>
      <x:c r="C716" s="190" t="n">
        <x:v>185063382.97999996</x:v>
      </x:c>
      <x:c r="D716" s="168" t="str">
        <x:v>Artesanal Agro</x:v>
      </x:c>
      <x:c r="E716" s="168" t="str">
        <x:f>IFERROR(INDEX('Classif Gestoras'!$H$6:$H$462,MATCH(D716,'Classif Gestoras'!$A$6:$A$462,0)),"Não classificada")</x:f>
        <x:v>Independente</x:v>
      </x:c>
      <x:c r="F716" s="168" t="str">
        <x:v>Singulare</x:v>
      </x:c>
      <x:c r="G716" s="168" t="str">
        <x:v>QI CORRETORA DE TÍTULOS E VALORES MOBILIÁRIOS S.A.</x:v>
      </x:c>
      <x:c r="H716" s="168" t="str">
        <x:v>Agro, Indústria e Comércio</x:v>
      </x:c>
      <x:c r="I716" s="168" t="str">
        <x:v>Agronegócio</x:v>
      </x:c>
      <x:c r="J716" s="168" t="str">
        <x:v>CI</x:v>
      </x:c>
      <x:c r="K716" s="174" t="n">
        <x:v>12</x:v>
      </x:c>
      <x:c r="L716" s="187" t="str">
        <x:v>Não classificado</x:v>
      </x:c>
    </x:row>
    <x:row r="717">
      <x:c r="A717" s="177" t="str">
        <x:v>09.104.359/0001-83</x:v>
      </x:c>
      <x:c r="B717" s="168" t="str">
        <x:v>DETOMASO FIDC-NP MULTISSETORIAL</x:v>
      </x:c>
      <x:c r="C717" s="190" t="n">
        <x:v>184959979.76</x:v>
      </x:c>
      <x:c r="D717" s="168" t="str">
        <x:v>BURITI INVESTIMENTOS</x:v>
      </x:c>
      <x:c r="E717" s="168" t="str">
        <x:f>IFERROR(INDEX('Classif Gestoras'!$H$6:$H$462,MATCH(D717,'Classif Gestoras'!$A$6:$A$462,0)),"Não classificada")</x:f>
        <x:v>Independente</x:v>
      </x:c>
      <x:c r="F717" s="168" t="str">
        <x:v>Singulare</x:v>
      </x:c>
      <x:c r="G717" s="168" t="str">
        <x:v>QI CORRETORA DE TÍTULOS E VALORES MOBILIÁRIOS S.A.</x:v>
      </x:c>
      <x:c r="H717" s="168" t="str">
        <x:v>Fomento Mercantil</x:v>
      </x:c>
      <x:c r="I717" s="168" t="str">
        <x:v>Fomento Mercantil</x:v>
      </x:c>
      <x:c r="J717" s="168" t="str">
        <x:v>CI</x:v>
      </x:c>
      <x:c r="K717" s="174" t="n">
        <x:v>4</x:v>
      </x:c>
      <x:c r="L717" s="187" t="str">
        <x:v>Não classificado</x:v>
      </x:c>
    </x:row>
    <x:row r="718">
      <x:c r="A718" s="177" t="str">
        <x:v>56.112.240/0001-32</x:v>
      </x:c>
      <x:c r="B718" s="168" t="str">
        <x:v>FUNDO DE INVESTIMENTO EM DIREITOS CREDITÓRIOS AUTO GWM - RESPONSABILIDADE LIMITADA</x:v>
      </x:c>
      <x:c r="C718" s="190" t="n">
        <x:v>184740197.11</x:v>
      </x:c>
      <x:c r="D718" s="168" t="str">
        <x:v>Integral Investimentos</x:v>
      </x:c>
      <x:c r="E718" s="168" t="str">
        <x:f>IFERROR(INDEX('Classif Gestoras'!$H$6:$H$462,MATCH(D718,'Classif Gestoras'!$A$6:$A$462,0)),"Não classificada")</x:f>
        <x:v>Independente</x:v>
      </x:c>
      <x:c r="F718" s="168" t="str">
        <x:v>INTEGRAL ACCESS DTVM</x:v>
      </x:c>
      <x:c r="G718" s="168" t="str">
        <x:v>OLIVEIRA TRUST DTVM S.A.</x:v>
      </x:c>
      <x:c r="H718" s="168" t="str">
        <x:v>Financeiro</x:v>
      </x:c>
      <x:c r="I718" s="168" t="str">
        <x:v>Financiamento de Veículos</x:v>
      </x:c>
      <x:c r="J718" s="168" t="str">
        <x:v>CI</x:v>
      </x:c>
      <x:c r="K718" s="174" t="n">
        <x:v>29</x:v>
      </x:c>
      <x:c r="L718" s="187" t="str">
        <x:v>Não classificado</x:v>
      </x:c>
    </x:row>
    <x:row r="719">
      <x:c r="A719" s="177" t="str">
        <x:v>32.388.176/0001-59</x:v>
      </x:c>
      <x:c r="B719" s="168" t="str">
        <x:v>BOMTRATO FUNDO DE INVESTIMENTO EM DIREITOS CREDITÓRIOS - NÃO PADRONIZADOS</x:v>
      </x:c>
      <x:c r="C719" s="190" t="n">
        <x:v>184142813.54</x:v>
      </x:c>
      <x:c r="D719" s="168" t="str">
        <x:v>Prisma Claims Ltda.</x:v>
      </x:c>
      <x:c r="E719" s="168" t="str">
        <x:f>IFERROR(INDEX('Classif Gestoras'!$H$6:$H$462,MATCH(D719,'Classif Gestoras'!$A$6:$A$462,0)),"Não classificada")</x:f>
        <x:v>Independente</x:v>
      </x:c>
      <x:c r="F719" s="168" t="str">
        <x:v>Singulare</x:v>
      </x:c>
      <x:c r="G719" s="168" t="str">
        <x:v>QI CORRETORA DE TÍTULOS E VALORES MOBILIÁRIOS S.A.</x:v>
      </x:c>
      <x:c r="H719" s="168" t="str">
        <x:v>Outros</x:v>
      </x:c>
      <x:c r="I719" s="168" t="str">
        <x:v>Multicarteira Outros</x:v>
      </x:c>
      <x:c r="J719" s="168" t="str">
        <x:v>CI</x:v>
      </x:c>
      <x:c r="K719" s="174" t="n">
        <x:v>2</x:v>
      </x:c>
      <x:c r="L719" s="187" t="str">
        <x:v>Proxy multicedente/multissacado — revisar</x:v>
      </x:c>
    </x:row>
    <x:row r="720">
      <x:c r="A720" s="177" t="str">
        <x:v>52.994.887/0001-84</x:v>
      </x:c>
      <x:c r="B720" s="168" t="str">
        <x:v>ZIPPI FUNDO DE INVESTIMENTO EM DIREITOS CREDITÓRIOS - RESPONSABILIDADE LIMITADA</x:v>
      </x:c>
      <x:c r="C720" s="190" t="n">
        <x:v>183819431.96</x:v>
      </x:c>
      <x:c r="D720" s="168" t="str">
        <x:v>VALORA RENDA FIXA ESTRUTURADOS LTDA.</x:v>
      </x:c>
      <x:c r="E720" s="168" t="str">
        <x:f>IFERROR(INDEX('Classif Gestoras'!$H$6:$H$462,MATCH(D720,'Classif Gestoras'!$A$6:$A$462,0)),"Não classificada")</x:f>
        <x:v>Independente</x:v>
      </x:c>
      <x:c r="F720" s="168" t="str">
        <x:v>VERT Distribuidora de Títulos e Valores Mobiliários Ltd</x:v>
      </x:c>
      <x:c r="G720" s="168" t="str">
        <x:v>VERT DISTRIBUIDORA DE TÍTULOS E VALORES MOBILIÁRIOS LTDA.</x:v>
      </x:c>
      <x:c r="H720" s="168" t="str">
        <x:v>Outros</x:v>
      </x:c>
      <x:c r="I720" s="168" t="str">
        <x:v>Multicarteira Outros</x:v>
      </x:c>
      <x:c r="J720" s="168" t="str">
        <x:v>CI</x:v>
      </x:c>
      <x:c r="K720" s="174" t="n">
        <x:v>14</x:v>
      </x:c>
      <x:c r="L720" s="187" t="str">
        <x:v>Proxy multicedente/multissacado — revisar</x:v>
      </x:c>
    </x:row>
    <x:row r="721">
      <x:c r="A721" s="177" t="str">
        <x:v>17.093.144/0001-32</x:v>
      </x:c>
      <x:c r="B721" s="168" t="str">
        <x:v>BLACKPARTNERS MIRUNA FI EM DIREITOS CREDITÓRIOS MULTISSEGMENTOS DE RESPONSABILIDADE LIMITADA</x:v>
      </x:c>
      <x:c r="C721" s="190" t="n">
        <x:v>183551838.89</x:v>
      </x:c>
      <x:c r="D721" s="168" t="str">
        <x:v>BLP CAPITAL</x:v>
      </x:c>
      <x:c r="E721" s="168" t="str">
        <x:f>IFERROR(INDEX('Classif Gestoras'!$H$6:$H$462,MATCH(D721,'Classif Gestoras'!$A$6:$A$462,0)),"Não classificada")</x:f>
        <x:v>Independente</x:v>
      </x:c>
      <x:c r="F721" s="168" t="str">
        <x:v>Finaxis Corretora de Títulos e Valores Mobiliários S.A.</x:v>
      </x:c>
      <x:c r="G721" s="168" t="str">
        <x:v>VORTX DISTRIBUIDORA DE TITULOS E VALORES MOBILIARIOS LTDA.</x:v>
      </x:c>
      <x:c r="H721" s="168" t="str">
        <x:v>Outros</x:v>
      </x:c>
      <x:c r="I721" s="168" t="str">
        <x:v>Multicarteira Outros</x:v>
      </x:c>
      <x:c r="J721" s="168" t="str">
        <x:v>CI</x:v>
      </x:c>
      <x:c r="K721" s="174" t="n">
        <x:v>1</x:v>
      </x:c>
      <x:c r="L721" s="187" t="str">
        <x:v>Proxy multicedente/multissacado — revisar</x:v>
      </x:c>
    </x:row>
    <x:row r="722">
      <x:c r="A722" s="177" t="str">
        <x:v>57.777.919/0001-03</x:v>
      </x:c>
      <x:c r="B722" s="168" t="str">
        <x:v>FUNDO DE INVESTIMENTO EM DIREITOS CREDITÓRIOS SÃO PAULO FUTEBOL CLUBE - RESPONSABILIDADE LIMITADA</x:v>
      </x:c>
      <x:c r="C722" s="190" t="n">
        <x:v>183244954.11</x:v>
      </x:c>
      <x:c r="D722" s="168" t="str">
        <x:v>VÓRTX DTVM</x:v>
      </x:c>
      <x:c r="E722" s="168" t="str">
        <x:f>IFERROR(INDEX('Classif Gestoras'!$H$6:$H$462,MATCH(D722,'Classif Gestoras'!$A$6:$A$462,0)),"Não classificada")</x:f>
        <x:v>Independente</x:v>
      </x:c>
      <x:c r="F722" s="168" t="str">
        <x:v>VÓRTX DTVM</x:v>
      </x:c>
      <x:c r="G722" s="168" t="str">
        <x:v>VORTX DISTRIBUIDORA DE TITULOS E VALORES MOBILIARIOS LTDA.</x:v>
      </x:c>
      <x:c r="H722" s="168" t="str">
        <x:v>Outros</x:v>
      </x:c>
      <x:c r="I722" s="168" t="str">
        <x:v>Multicarteira Outros</x:v>
      </x:c>
      <x:c r="J722" s="168" t="str">
        <x:v>CI</x:v>
      </x:c>
      <x:c r="K722" s="174" t="n">
        <x:v>664</x:v>
      </x:c>
      <x:c r="L722" s="187" t="str">
        <x:v>Proxy multicedente/multissacado — revisar</x:v>
      </x:c>
    </x:row>
    <x:row r="723">
      <x:c r="A723" s="177" t="str">
        <x:v>18.563.847/0001-40</x:v>
      </x:c>
      <x:c r="B723" s="168" t="str">
        <x:v>LIBRA II NP FUNDO DE INVESTIMENTO EM DIREITOS CREDITÓRIOS NÃO PADRONIZADOS MULTISSETORIAL</x:v>
      </x:c>
      <x:c r="C723" s="190" t="n">
        <x:v>182959606.15</x:v>
      </x:c>
      <x:c r="D723" s="168" t="str">
        <x:v>TERCON ASSET MANAGEMENT</x:v>
      </x:c>
      <x:c r="E723" s="168" t="str">
        <x:f>IFERROR(INDEX('Classif Gestoras'!$H$6:$H$462,MATCH(D723,'Classif Gestoras'!$A$6:$A$462,0)),"Não classificada")</x:f>
        <x:v>Independente</x:v>
      </x:c>
      <x:c r="F723" s="168" t="str">
        <x:v>Singulare</x:v>
      </x:c>
      <x:c r="G723" s="168" t="str">
        <x:v>QI CORRETORA DE TÍTULOS E VALORES MOBILIÁRIOS S.A.</x:v>
      </x:c>
      <x:c r="H723" s="168" t="str">
        <x:v>Fomento Mercantil</x:v>
      </x:c>
      <x:c r="I723" s="168" t="str">
        <x:v>Fomento Mercantil</x:v>
      </x:c>
      <x:c r="J723" s="168" t="str">
        <x:v>CI</x:v>
      </x:c>
      <x:c r="K723" s="174" t="n">
        <x:v>59</x:v>
      </x:c>
      <x:c r="L723" s="187" t="str">
        <x:v>Não classificado</x:v>
      </x:c>
    </x:row>
    <x:row r="724">
      <x:c r="A724" s="177" t="str">
        <x:v>50.857.998/0001-13</x:v>
      </x:c>
      <x:c r="B724" s="168" t="str">
        <x:v>LEO MADEIRAS FIDC SEGMENTO MEIOS DE PAGAMENTO DE RESPONSABILIDADE LIMITADA</x:v>
      </x:c>
      <x:c r="C724" s="190" t="n">
        <x:v>182817434.22</x:v>
      </x:c>
      <x:c r="D724" s="168" t="str">
        <x:v>GENIAL GESTÃO LTDA.</x:v>
      </x:c>
      <x:c r="E724" s="168" t="str">
        <x:f>IFERROR(INDEX('Classif Gestoras'!$H$6:$H$462,MATCH(D724,'Classif Gestoras'!$A$6:$A$462,0)),"Não classificada")</x:f>
        <x:v>Ligada a banco</x:v>
      </x:c>
      <x:c r="F724" s="168" t="str">
        <x:v>Banco Genial S.A.</x:v>
      </x:c>
      <x:c r="G724" s="168" t="str">
        <x:v>BANCO GENIAL S.A.</x:v>
      </x:c>
      <x:c r="H724" s="168" t="str">
        <x:v>Agro, Indústria e Comércio</x:v>
      </x:c>
      <x:c r="I724" s="168" t="str">
        <x:v>Recebíveis Comerciais</x:v>
      </x:c>
      <x:c r="J724" s="168" t="str">
        <x:v>CI</x:v>
      </x:c>
      <x:c r="K724" s="174" t="n">
        <x:v>25</x:v>
      </x:c>
      <x:c r="L724" s="187" t="str">
        <x:v>Não classificado</x:v>
      </x:c>
    </x:row>
    <x:row r="725">
      <x:c r="A725" s="177" t="str">
        <x:v>24.220.859/0001-74</x:v>
      </x:c>
      <x:c r="B725" s="168" t="str">
        <x:v>DIP FINANCING 11 FUNDO DE INVESTIMENTO EM DIREITOS CREDITÓRIOS NÃO-PADRONIZADOS</x:v>
      </x:c>
      <x:c r="C725" s="190" t="n">
        <x:v>182485562.61</x:v>
      </x:c>
      <x:c r="D725" s="168" t="str">
        <x:v>M8 Partners</x:v>
      </x:c>
      <x:c r="E725" s="168" t="str">
        <x:f>IFERROR(INDEX('Classif Gestoras'!$H$6:$H$462,MATCH(D725,'Classif Gestoras'!$A$6:$A$462,0)),"Não classificada")</x:f>
        <x:v>Independente</x:v>
      </x:c>
      <x:c r="F725" s="168" t="str">
        <x:v>Singulare</x:v>
      </x:c>
      <x:c r="G725" s="168" t="str">
        <x:v>QI CORRETORA DE TÍTULOS E VALORES MOBILIÁRIOS S.A.</x:v>
      </x:c>
      <x:c r="H725" s="168" t="str">
        <x:v>Fomento Mercantil</x:v>
      </x:c>
      <x:c r="I725" s="168" t="str">
        <x:v>Fomento Mercantil</x:v>
      </x:c>
      <x:c r="J725" s="168" t="str">
        <x:v>CI</x:v>
      </x:c>
      <x:c r="K725" s="174" t="n">
        <x:v>51</x:v>
      </x:c>
      <x:c r="L725" s="187" t="str">
        <x:v>Não classificado</x:v>
      </x:c>
    </x:row>
    <x:row r="726">
      <x:c r="A726" s="177" t="str">
        <x:v>62.014.120/0001-03</x:v>
      </x:c>
      <x:c r="B726" s="168" t="str">
        <x:v>ITAÚ CRÉDITO ESTRUTURADO ALPES III CHAMADA DE CAPITAL FIDC RESPONSABILIDADE LIMITADA</x:v>
      </x:c>
      <x:c r="C726" s="190" t="n">
        <x:v>182410428.84</x:v>
      </x:c>
      <x:c r="D726" s="168" t="str">
        <x:v>ITAU ASSET</x:v>
      </x:c>
      <x:c r="E726" s="168" t="str">
        <x:f>IFERROR(INDEX('Classif Gestoras'!$H$6:$H$462,MATCH(D726,'Classif Gestoras'!$A$6:$A$462,0)),"Não classificada")</x:f>
        <x:v>Ligada a banco</x:v>
      </x:c>
      <x:c r="F726" s="168" t="str">
        <x:v>INTRAG DIST. DE TÍTU</x:v>
      </x:c>
      <x:c r="G726" s="168" t="str">
        <x:v>ITAU UNIBANCO S.A.</x:v>
      </x:c>
      <x:c r="H726" s="168" t="str">
        <x:v>Outros</x:v>
      </x:c>
      <x:c r="I726" s="168" t="str">
        <x:v>Multicarteira Outros</x:v>
      </x:c>
      <x:c r="J726" s="168" t="str">
        <x:v>CI</x:v>
      </x:c>
      <x:c r="K726" s="174" t="n">
        <x:v>209</x:v>
      </x:c>
      <x:c r="L726" s="187" t="str">
        <x:v>Proxy multicedente/multissacado — revisar</x:v>
      </x:c>
    </x:row>
    <x:row r="727">
      <x:c r="A727" s="177" t="str">
        <x:v>14.042.458/0001-18</x:v>
      </x:c>
      <x:c r="B727" s="168" t="str">
        <x:v>FEDERAL 4870 IAA FUNDO DE INVESTIMENTO EM DIREITOS CREDITÓRIOS NÃO-PADRONIZADOS</x:v>
      </x:c>
      <x:c r="C727" s="190" t="n">
        <x:v>182189772.50000003</x:v>
      </x:c>
      <x:c r="D727" s="168" t="str">
        <x:v>Carpa Family Office</x:v>
      </x:c>
      <x:c r="E727" s="168" t="str">
        <x:f>IFERROR(INDEX('Classif Gestoras'!$H$6:$H$462,MATCH(D727,'Classif Gestoras'!$A$6:$A$462,0)),"Não classificada")</x:f>
        <x:v>Independente</x:v>
      </x:c>
      <x:c r="F727" s="168" t="str">
        <x:v>Singulare</x:v>
      </x:c>
      <x:c r="G727" s="168" t="str">
        <x:v>QI CORRETORA DE TÍTULOS E VALORES MOBILIÁRIOS S.A.</x:v>
      </x:c>
      <x:c r="H727" s="168" t="str">
        <x:v>Outros</x:v>
      </x:c>
      <x:c r="I727" s="168" t="str">
        <x:v>Poder Público</x:v>
      </x:c>
      <x:c r="J727" s="168" t="str">
        <x:v>CI</x:v>
      </x:c>
      <x:c r="K727" s="174" t="n">
        <x:v>13</x:v>
      </x:c>
      <x:c r="L727" s="187" t="str">
        <x:v>Não classificado</x:v>
      </x:c>
    </x:row>
    <x:row r="728">
      <x:c r="A728" s="177" t="str">
        <x:v>52.918.480/0001-78</x:v>
      </x:c>
      <x:c r="B728" s="168" t="str">
        <x:v>AMC FUNDO DE INVESTIMENTO EM DIREITOS CREDITÓRIOS</x:v>
      </x:c>
      <x:c r="C728" s="190" t="n">
        <x:v>181970351.49</x:v>
      </x:c>
      <x:c r="D728" s="168" t="str">
        <x:v>Plural Investimentos Gestão de Recursos Ltda.</x:v>
      </x:c>
      <x:c r="E728" s="168" t="str">
        <x:f>IFERROR(INDEX('Classif Gestoras'!$H$6:$H$462,MATCH(D728,'Classif Gestoras'!$A$6:$A$462,0)),"Não classificada")</x:f>
        <x:v>Ligada a banco</x:v>
      </x:c>
      <x:c r="F728" s="168" t="str">
        <x:v>FIDD DISTRIBUIDORA DE TITULOS E VALORES MOBILIARIOS LTD</x:v>
      </x:c>
      <x:c r="G728" s="168" t="str">
        <x:v>FIDD DISTRIBUIDORA DE TITULOS E VALORES MOBILIARIOS LTDA.</x:v>
      </x:c>
      <x:c r="H728" s="168" t="str">
        <x:v>Outros</x:v>
      </x:c>
      <x:c r="I728" s="168" t="str">
        <x:v>Multicarteira Outros</x:v>
      </x:c>
      <x:c r="J728" s="168" t="str">
        <x:v>CI</x:v>
      </x:c>
      <x:c r="K728" s="174" t="n">
        <x:v>1</x:v>
      </x:c>
      <x:c r="L728" s="187" t="str">
        <x:v>Proxy multicedente/multissacado — revisar</x:v>
      </x:c>
    </x:row>
    <x:row r="729">
      <x:c r="A729" s="177" t="str">
        <x:v>30.591.284/0001-07</x:v>
      </x:c>
      <x:c r="B729" s="168" t="str">
        <x:v>MOLEIRO CONSIGNADO FIDC FINANCEIROS DE RESPONSABILIDADE LIMITADA</x:v>
      </x:c>
      <x:c r="C729" s="190" t="n">
        <x:v>181961888.41</x:v>
      </x:c>
      <x:c r="D729" s="168" t="str">
        <x:v>Integral Investimentos</x:v>
      </x:c>
      <x:c r="E729" s="168" t="str">
        <x:f>IFERROR(INDEX('Classif Gestoras'!$H$6:$H$462,MATCH(D729,'Classif Gestoras'!$A$6:$A$462,0)),"Não classificada")</x:f>
        <x:v>Independente</x:v>
      </x:c>
      <x:c r="F729" s="168" t="str">
        <x:v>Oliveira Trust DTVM</x:v>
      </x:c>
      <x:c r="G729" s="168" t="str">
        <x:v>OLIVEIRA TRUST DTVM S.A.</x:v>
      </x:c>
      <x:c r="H729" s="168" t="str">
        <x:v>Financeiro</x:v>
      </x:c>
      <x:c r="I729" s="168" t="str">
        <x:v>Crédito Consignado</x:v>
      </x:c>
      <x:c r="J729" s="168" t="str">
        <x:v>CI</x:v>
      </x:c>
      <x:c r="K729" s="174" t="n">
        <x:v>29</x:v>
      </x:c>
      <x:c r="L729" s="187" t="str">
        <x:v>Não classificado</x:v>
      </x:c>
    </x:row>
    <x:row r="730">
      <x:c r="A730" s="177" t="str">
        <x:v>32.316.940/0001-80</x:v>
      </x:c>
      <x:c r="B730" s="168" t="str">
        <x:v>FINANZI FUNDO DE INVESTIMENTO EM DIREITOS CREDITÓRIOS NÃO PADRONIZADOS</x:v>
      </x:c>
      <x:c r="C730" s="190" t="n">
        <x:v>181509734.42</x:v>
      </x:c>
      <x:c r="D730" s="168" t="str">
        <x:v>TERCON ASSET MANAGEMENT</x:v>
      </x:c>
      <x:c r="E730" s="168" t="str">
        <x:f>IFERROR(INDEX('Classif Gestoras'!$H$6:$H$462,MATCH(D730,'Classif Gestoras'!$A$6:$A$462,0)),"Não classificada")</x:f>
        <x:v>Independente</x:v>
      </x:c>
      <x:c r="F730" s="168" t="str">
        <x:v>Singulare</x:v>
      </x:c>
      <x:c r="G730" s="168" t="str">
        <x:v>QI CORRETORA DE TÍTULOS E VALORES MOBILIÁRIOS S.A.</x:v>
      </x:c>
      <x:c r="H730" s="168" t="str">
        <x:v>Fomento Mercantil</x:v>
      </x:c>
      <x:c r="I730" s="168" t="str">
        <x:v>Fomento Mercantil</x:v>
      </x:c>
      <x:c r="J730" s="168" t="str">
        <x:v>CI</x:v>
      </x:c>
      <x:c r="K730" s="174" t="n">
        <x:v>7</x:v>
      </x:c>
      <x:c r="L730" s="187" t="str">
        <x:v>Não classificado</x:v>
      </x:c>
    </x:row>
    <x:row r="731">
      <x:c r="A731" s="177" t="str">
        <x:v>44.395.203/0001-08</x:v>
      </x:c>
      <x:c r="B731" s="168" t="str">
        <x:v>DOMINÓ CRÉDITOS JUDICIAIS FUNDO DE INVESTIMENTO EM DIREITOS CREDITÓRIOS</x:v>
      </x:c>
      <x:c r="C731" s="190" t="n">
        <x:v>181123556.7185</x:v>
      </x:c>
      <x:c r="D731" s="168" t="str">
        <x:v>LASS CAPITAL</x:v>
      </x:c>
      <x:c r="E731" s="168" t="str">
        <x:f>IFERROR(INDEX('Classif Gestoras'!$H$6:$H$462,MATCH(D731,'Classif Gestoras'!$A$6:$A$462,0)),"Não classificada")</x:f>
        <x:v>Independente</x:v>
      </x:c>
      <x:c r="F731" s="168" t="str">
        <x:v>BTG Pactual Servicos Financeiros S/A DTVM</x:v>
      </x:c>
      <x:c r="G731" s="168" t="str">
        <x:v>BANCO BTG PACTUAL S/A</x:v>
      </x:c>
      <x:c r="H731" s="168" t="str">
        <x:v>Outros</x:v>
      </x:c>
      <x:c r="I731" s="168" t="str">
        <x:v>Multicarteira Outros</x:v>
      </x:c>
      <x:c r="J731" s="168" t="str">
        <x:v>CI</x:v>
      </x:c>
      <x:c r="K731" s="174" t="n">
        <x:v>3</x:v>
      </x:c>
      <x:c r="L731" s="187" t="str">
        <x:v>Proxy multicedente/multissacado — revisar</x:v>
      </x:c>
    </x:row>
    <x:row r="732">
      <x:c r="A732" s="177" t="str">
        <x:v>30.035.329/0001-59</x:v>
      </x:c>
      <x:c r="B732" s="168" t="str">
        <x:v>VIA INVEST II FUNDO DE INVESTIMENTO EM DIREITOS CREDITÓRIOS RESPONSABILIDADE LIMITADA</x:v>
      </x:c>
      <x:c r="C732" s="190" t="n">
        <x:v>180997772.44</x:v>
      </x:c>
      <x:c r="D732" s="168" t="str">
        <x:v>Via Invest Gestão de Recursos Ltda.</x:v>
      </x:c>
      <x:c r="E732" s="168" t="str">
        <x:f>IFERROR(INDEX('Classif Gestoras'!$H$6:$H$462,MATCH(D732,'Classif Gestoras'!$A$6:$A$462,0)),"Não classificada")</x:f>
        <x:v>Independente</x:v>
      </x:c>
      <x:c r="F732" s="168" t="str">
        <x:v>Genial Investimentos Corretora de Valores Mobiliários S.A.</x:v>
      </x:c>
      <x:c r="G732" s="168" t="str">
        <x:v>BANCO GENIAL S.A.</x:v>
      </x:c>
      <x:c r="H732" s="168" t="str">
        <x:v>Financeiro</x:v>
      </x:c>
      <x:c r="I732" s="168" t="str">
        <x:v>Crédito Consignado</x:v>
      </x:c>
      <x:c r="J732" s="168" t="str">
        <x:v>CI</x:v>
      </x:c>
      <x:c r="K732" s="174" t="n">
        <x:v>5</x:v>
      </x:c>
      <x:c r="L732" s="187" t="str">
        <x:v>Não classificado</x:v>
      </x:c>
    </x:row>
    <x:row r="733">
      <x:c r="A733" s="177" t="str">
        <x:v>43.722.605/0001-07</x:v>
      </x:c>
      <x:c r="B733" s="168" t="str">
        <x:v>EDENTOURMALINE HAN FIDC SEGMENTO MEIOS DE PAGAMENTO DE RESPONSABILIDADE LIMITADA</x:v>
      </x:c>
      <x:c r="C733" s="190" t="n">
        <x:v>180470212.08</x:v>
      </x:c>
      <x:c r="D733" s="168" t="str">
        <x:v>GENIAL GESTÃO LTDA.</x:v>
      </x:c>
      <x:c r="E733" s="168" t="str">
        <x:f>IFERROR(INDEX('Classif Gestoras'!$H$6:$H$462,MATCH(D733,'Classif Gestoras'!$A$6:$A$462,0)),"Não classificada")</x:f>
        <x:v>Ligada a banco</x:v>
      </x:c>
      <x:c r="F733" s="168" t="str">
        <x:v>Genial Investimentos Corretora de Valores Mobiliários S.A.</x:v>
      </x:c>
      <x:c r="G733" s="168" t="str">
        <x:v>BANCO GENIAL S.A.</x:v>
      </x:c>
      <x:c r="H733" s="168" t="str">
        <x:v>Agro, Indústria e Comércio</x:v>
      </x:c>
      <x:c r="I733" s="168" t="str">
        <x:v>Recebíveis Comerciais</x:v>
      </x:c>
      <x:c r="J733" s="168" t="str">
        <x:v>CI</x:v>
      </x:c>
      <x:c r="K733" s="174" t="n">
        <x:v>21</x:v>
      </x:c>
      <x:c r="L733" s="187" t="str">
        <x:v>Não classificado</x:v>
      </x:c>
    </x:row>
    <x:row r="734">
      <x:c r="A734" s="177" t="str">
        <x:v>55.251.884/0001-49</x:v>
      </x:c>
      <x:c r="B734" s="168" t="str">
        <x:v>JAZZ CAPITAL FUNDO DE INVESTIMENTO EM DIREITOS CREDITÓRIOS DE RESPONSABILIDADE LIMITADA</x:v>
      </x:c>
      <x:c r="C734" s="190" t="n">
        <x:v>180374297.49</x:v>
      </x:c>
      <x:c r="D734" s="168" t="str">
        <x:v>URCA CAPITAL PARTNERS</x:v>
      </x:c>
      <x:c r="E734" s="168" t="str">
        <x:f>IFERROR(INDEX('Classif Gestoras'!$H$6:$H$462,MATCH(D734,'Classif Gestoras'!$A$6:$A$462,0)),"Não classificada")</x:f>
        <x:v>Independente</x:v>
      </x:c>
      <x:c r="F734" s="168" t="str">
        <x:v>BANCO DAYCOVAL S/A</x:v>
      </x:c>
      <x:c r="G734" s="168" t="str">
        <x:v>BANCO DAYCOVAL S.A.</x:v>
      </x:c>
      <x:c r="H734" s="168" t="str">
        <x:v>Financeiro</x:v>
      </x:c>
      <x:c r="I734" s="168" t="str">
        <x:v>Multicarteira Financeiro</x:v>
      </x:c>
      <x:c r="J734" s="168" t="str">
        <x:v>CI</x:v>
      </x:c>
      <x:c r="K734" s="174" t="n">
        <x:v>8</x:v>
      </x:c>
      <x:c r="L734" s="187" t="str">
        <x:v>Proxy multicedente/multissacado — revisar</x:v>
      </x:c>
    </x:row>
    <x:row r="735">
      <x:c r="A735" s="177" t="str">
        <x:v>35.157.905/0001-54</x:v>
      </x:c>
      <x:c r="B735" s="168" t="str">
        <x:v>LUNA FUNDO DE INVESTIMENTO EM DIREITOS CREDITÓRIOS</x:v>
      </x:c>
      <x:c r="C735" s="190" t="n">
        <x:v>179894201.79</x:v>
      </x:c>
      <x:c r="D735" s="168" t="str">
        <x:v>Blue Solutions</x:v>
      </x:c>
      <x:c r="E735" s="168" t="str">
        <x:f>IFERROR(INDEX('Classif Gestoras'!$H$6:$H$462,MATCH(D735,'Classif Gestoras'!$A$6:$A$462,0)),"Não classificada")</x:f>
        <x:v>Independente</x:v>
      </x:c>
      <x:c r="F735" s="168" t="str">
        <x:v>TRUSTEE DTVM</x:v>
      </x:c>
      <x:c r="G735" s="168" t="str">
        <x:v>TRUSTEE DISTRIBUIDORA DE TITULOS E VALORES MOBILIARIOS LTDA.</x:v>
      </x:c>
      <x:c r="H735" s="168" t="str">
        <x:v>Outros</x:v>
      </x:c>
      <x:c r="I735" s="168" t="str">
        <x:v>Multicarteira Outros</x:v>
      </x:c>
      <x:c r="J735" s="168" t="str">
        <x:v>CI</x:v>
      </x:c>
      <x:c r="K735" s="174" t="n">
        <x:v>3</x:v>
      </x:c>
      <x:c r="L735" s="187" t="str">
        <x:v>Proxy multicedente/multissacado — revisar</x:v>
      </x:c>
    </x:row>
    <x:row r="736">
      <x:c r="A736" s="177" t="str">
        <x:v>27.456.204/0001-98</x:v>
      </x:c>
      <x:c r="B736" s="168" t="str">
        <x:v>PREMIUM RECEBÍVEIS MULTISSETORIAL FUNDO DE INVESTIMENTO EM DIREITOS CREDITÓRIOS - RESP LIMITADA</x:v>
      </x:c>
      <x:c r="C736" s="190" t="n">
        <x:v>179849518.37</x:v>
      </x:c>
      <x:c r="D736" s="168" t="str">
        <x:v>Solis</x:v>
      </x:c>
      <x:c r="E736" s="168" t="str">
        <x:f>IFERROR(INDEX('Classif Gestoras'!$H$6:$H$462,MATCH(D736,'Classif Gestoras'!$A$6:$A$462,0)),"Não classificada")</x:f>
        <x:v>Independente</x:v>
      </x:c>
      <x:c r="F736" s="168" t="str">
        <x:v>HEMERA DTVM</x:v>
      </x:c>
      <x:c r="G736" s="168" t="str">
        <x:v>HEMERA DISTRIBUIDORA DE TITULOS E VALORES MOBILIARIOS LTDA</x:v>
      </x:c>
      <x:c r="H736" s="168" t="str">
        <x:v>Fomento Mercantil</x:v>
      </x:c>
      <x:c r="I736" s="168" t="str">
        <x:v>Fomento Mercantil</x:v>
      </x:c>
      <x:c r="J736" s="168" t="str">
        <x:v>CI</x:v>
      </x:c>
      <x:c r="K736" s="174" t="n">
        <x:v>41</x:v>
      </x:c>
      <x:c r="L736" s="187" t="str">
        <x:v>Não classificado</x:v>
      </x:c>
    </x:row>
    <x:row r="737">
      <x:c r="A737" s="177" t="str">
        <x:v>49.007.595/0001-04</x:v>
      </x:c>
      <x:c r="B737" s="168" t="str">
        <x:v>SP CAPITAL FUNDO DE INVESTIMENTO EM DIREITOS CREDITÓRIOS</x:v>
      </x:c>
      <x:c r="C737" s="190" t="n">
        <x:v>179671885.51</x:v>
      </x:c>
      <x:c r="D737" s="168" t="str">
        <x:v>TERCON ASSET MANAGEMENT</x:v>
      </x:c>
      <x:c r="E737" s="168" t="str">
        <x:f>IFERROR(INDEX('Classif Gestoras'!$H$6:$H$462,MATCH(D737,'Classif Gestoras'!$A$6:$A$462,0)),"Não classificada")</x:f>
        <x:v>Independente</x:v>
      </x:c>
      <x:c r="F737" s="168" t="str">
        <x:v>Singulare</x:v>
      </x:c>
      <x:c r="G737" s="168" t="str">
        <x:v>QI CORRETORA DE TÍTULOS E VALORES MOBILIÁRIOS S.A.</x:v>
      </x:c>
      <x:c r="H737" s="168" t="str">
        <x:v>Fomento Mercantil</x:v>
      </x:c>
      <x:c r="I737" s="168" t="str">
        <x:v>Fomento Mercantil</x:v>
      </x:c>
      <x:c r="J737" s="168" t="str">
        <x:v>CI</x:v>
      </x:c>
      <x:c r="K737" s="174" t="n">
        <x:v>47</x:v>
      </x:c>
      <x:c r="L737" s="187" t="str">
        <x:v>Não classificado</x:v>
      </x:c>
    </x:row>
    <x:row r="738">
      <x:c r="A738" s="177" t="str">
        <x:v>44.615.718/0001-68</x:v>
      </x:c>
      <x:c r="B738" s="168" t="str">
        <x:v>INTERLAKEN FUNDO DE INVESTIMENTO EM DIREITOS CREDITÓRIOS NÃO PADRONIZADOS</x:v>
      </x:c>
      <x:c r="C738" s="190" t="n">
        <x:v>179224679.13000005</x:v>
      </x:c>
      <x:c r="D738" s="168" t="str">
        <x:v>ASAROCK ASSET MANAGEMENT</x:v>
      </x:c>
      <x:c r="E738" s="168" t="str">
        <x:f>IFERROR(INDEX('Classif Gestoras'!$H$6:$H$462,MATCH(D738,'Classif Gestoras'!$A$6:$A$462,0)),"Não classificada")</x:f>
        <x:v>Independente</x:v>
      </x:c>
      <x:c r="F738" s="168" t="str">
        <x:v>PLANNER CV</x:v>
      </x:c>
      <x:c r="G738" s="168" t="str">
        <x:v>PLANNER CORRETORA DE VALORES S.A.</x:v>
      </x:c>
      <x:c r="H738" s="168" t="str">
        <x:v>Outros</x:v>
      </x:c>
      <x:c r="I738" s="168" t="str">
        <x:v>Multicarteira Outros</x:v>
      </x:c>
      <x:c r="J738" s="168" t="str">
        <x:v>CI</x:v>
      </x:c>
      <x:c r="K738" s="174" t="n">
        <x:v>2</x:v>
      </x:c>
      <x:c r="L738" s="187" t="str">
        <x:v>Proxy multicedente/multissacado — revisar</x:v>
      </x:c>
    </x:row>
    <x:row r="739">
      <x:c r="A739" s="177" t="str">
        <x:v>65.924.624/0001-40</x:v>
      </x:c>
      <x:c r="B739" s="168" t="str">
        <x:v>DIFAL FUNDO DE INVESTIMENTO EM DIREITOS CREDITÓRIOS - RESPONSABILIDADE LIMITADA</x:v>
      </x:c>
      <x:c r="C739" s="190" t="n">
        <x:v>179173020.29999998</x:v>
      </x:c>
      <x:c r="D739" s="168" t="str">
        <x:v>JIVE INVESTMENTS</x:v>
      </x:c>
      <x:c r="E739" s="168" t="str">
        <x:f>IFERROR(INDEX('Classif Gestoras'!$H$6:$H$462,MATCH(D739,'Classif Gestoras'!$A$6:$A$462,0)),"Não classificada")</x:f>
        <x:v>Independente</x:v>
      </x:c>
      <x:c r="F739" s="168" t="str">
        <x:v>BRL TRUST DTVM</x:v>
      </x:c>
      <x:c r="G739" s="168" t="str">
        <x:v>BRL TRUST DISTRIBUIDORA DE TITULOS E VALORES MOBILIARIOS S.A.</x:v>
      </x:c>
      <x:c r="H739" s="168" t="str">
        <x:v>Outros</x:v>
      </x:c>
      <x:c r="I739" s="168" t="str">
        <x:v>Recuperação</x:v>
      </x:c>
      <x:c r="J739" s="168" t="str">
        <x:v>CI</x:v>
      </x:c>
      <x:c r="K739" s="174" t="n">
        <x:v>4</x:v>
      </x:c>
      <x:c r="L739" s="187" t="str">
        <x:v>Não classificado</x:v>
      </x:c>
    </x:row>
    <x:row r="740">
      <x:c r="A740" s="177" t="str">
        <x:v>29.969.815/0001-65</x:v>
      </x:c>
      <x:c r="B740" s="168" t="str">
        <x:v>ALAMIN CAPITAL FUNDO DE INVESTIMENTO EM DIREITOS CREDITORIOS MULTISSETORIAL</x:v>
      </x:c>
      <x:c r="C740" s="190" t="n">
        <x:v>179098262.01</x:v>
      </x:c>
      <x:c r="D740" s="168" t="str">
        <x:v>Global Gestão e Investimentos</x:v>
      </x:c>
      <x:c r="E740" s="168" t="str">
        <x:f>IFERROR(INDEX('Classif Gestoras'!$H$6:$H$462,MATCH(D740,'Classif Gestoras'!$A$6:$A$462,0)),"Não classificada")</x:f>
        <x:v>Independente</x:v>
      </x:c>
      <x:c r="F740" s="168" t="str">
        <x:v>Singulare</x:v>
      </x:c>
      <x:c r="G740" s="168" t="str">
        <x:v>QI CORRETORA DE TÍTULOS E VALORES MOBILIÁRIOS S.A.</x:v>
      </x:c>
      <x:c r="H740" s="168" t="str">
        <x:v>Outros</x:v>
      </x:c>
      <x:c r="I740" s="168" t="str">
        <x:v>Multicarteira Outros</x:v>
      </x:c>
      <x:c r="J740" s="168" t="str">
        <x:v>CI</x:v>
      </x:c>
      <x:c r="K740" s="174" t="n">
        <x:v>2</x:v>
      </x:c>
      <x:c r="L740" s="187" t="str">
        <x:v>Proxy multicedente/multissacado — revisar</x:v>
      </x:c>
    </x:row>
    <x:row r="741">
      <x:c r="A741" s="177" t="str">
        <x:v>32.274.571/0001-00</x:v>
      </x:c>
      <x:c r="B741" s="168" t="str">
        <x:v>V11 FUNDO DE INVESTIMENTO EM DIREITOS CREDITÓRIOS - PRECATÓRIOS</x:v>
      </x:c>
      <x:c r="C741" s="190" t="n">
        <x:v>178808385.87</x:v>
      </x:c>
      <x:c r="D741" s="168" t="str">
        <x:v>Vision Brazil</x:v>
      </x:c>
      <x:c r="E741" s="168" t="str">
        <x:f>IFERROR(INDEX('Classif Gestoras'!$H$6:$H$462,MATCH(D741,'Classif Gestoras'!$A$6:$A$462,0)),"Não classificada")</x:f>
        <x:v>Independente</x:v>
      </x:c>
      <x:c r="F741" s="168" t="str">
        <x:v>BTG Pactual Servicos Financeiros S/A DTVM</x:v>
      </x:c>
      <x:c r="G741" s="168" t="str">
        <x:v>BANCO BTG PACTUAL S/A</x:v>
      </x:c>
      <x:c r="H741" s="168" t="str">
        <x:v>Outros</x:v>
      </x:c>
      <x:c r="I741" s="168" t="str">
        <x:v>Poder Público</x:v>
      </x:c>
      <x:c r="J741" s="168" t="str">
        <x:v>CI</x:v>
      </x:c>
      <x:c r="K741" s="174" t="n">
        <x:v>1</x:v>
      </x:c>
      <x:c r="L741" s="187" t="str">
        <x:v>Não classificado</x:v>
      </x:c>
    </x:row>
    <x:row r="742">
      <x:c r="A742" s="177" t="str">
        <x:v>24.987.402/0001-90</x:v>
      </x:c>
      <x:c r="B742" s="168" t="str">
        <x:v>SEJA FUNDO DE INVESTIMENTO EM DIREITOS CREDITÓRIOS</x:v>
      </x:c>
      <x:c r="C742" s="190" t="n">
        <x:v>178452094.35</x:v>
      </x:c>
      <x:c r="D742" s="168" t="str">
        <x:v>TERCON ASSET MANAGEMENT</x:v>
      </x:c>
      <x:c r="E742" s="168" t="str">
        <x:f>IFERROR(INDEX('Classif Gestoras'!$H$6:$H$462,MATCH(D742,'Classif Gestoras'!$A$6:$A$462,0)),"Não classificada")</x:f>
        <x:v>Independente</x:v>
      </x:c>
      <x:c r="F742" s="168" t="str">
        <x:v>Limine Trust Distribuidora de Titulos e Valores Mobiliá</x:v>
      </x:c>
      <x:c r="G742" s="168" t="str">
        <x:v>LIMINE TRUST DISTRIBUIDORA DE TITULOS E VALORES MOBILIARIOS LTDA.</x:v>
      </x:c>
      <x:c r="H742" s="168" t="str">
        <x:v>Fomento Mercantil</x:v>
      </x:c>
      <x:c r="I742" s="168" t="str">
        <x:v>Fomento Mercantil</x:v>
      </x:c>
      <x:c r="J742" s="168" t="str">
        <x:v>CI</x:v>
      </x:c>
      <x:c r="K742" s="174" t="n">
        <x:v>44</x:v>
      </x:c>
      <x:c r="L742" s="187" t="str">
        <x:v>Não classificado</x:v>
      </x:c>
    </x:row>
    <x:row r="743">
      <x:c r="A743" s="177" t="str">
        <x:v>63.912.733/0001-12</x:v>
      </x:c>
      <x:c r="B743" s="168" t="str">
        <x:v>JIVEMAUÁ BOSSANOVA CRÉDITO SECURITIZADO II (VAREJO) FUNDO DE INVESTIMENTO EM DIREITOS CREDITÓRIOS</x:v>
      </x:c>
      <x:c r="C743" s="190" t="n">
        <x:v>178016025.57999998</x:v>
      </x:c>
      <x:c r="D743" s="168" t="str">
        <x:v>JIVE HIGH YIELD GESTÃO DE RECURSOS LTDA</x:v>
      </x:c>
      <x:c r="E743" s="168" t="str">
        <x:f>IFERROR(INDEX('Classif Gestoras'!$H$6:$H$462,MATCH(D743,'Classif Gestoras'!$A$6:$A$462,0)),"Não classificada")</x:f>
        <x:v>Independente</x:v>
      </x:c>
      <x:c r="F743" s="168" t="str">
        <x:v>XPI CCTVM S/A</x:v>
      </x:c>
      <x:c r="G743" s="168" t="str">
        <x:v>OLIVEIRA TRUST DTVM S.A.</x:v>
      </x:c>
      <x:c r="H743" s="168" t="str">
        <x:v>Outros</x:v>
      </x:c>
      <x:c r="I743" s="168" t="str">
        <x:v>Multicarteira Outros</x:v>
      </x:c>
      <x:c r="J743" s="168" t="str">
        <x:v>CI</x:v>
      </x:c>
      <x:c r="K743" s="174" t="n">
        <x:v>2</x:v>
      </x:c>
      <x:c r="L743" s="187" t="str">
        <x:v>Proxy multicedente/multissacado — revisar</x:v>
      </x:c>
    </x:row>
    <x:row r="744">
      <x:c r="A744" s="177" t="str">
        <x:v>30.659.408/0001-30</x:v>
      </x:c>
      <x:c r="B744" s="168" t="str">
        <x:v>PER FUNDO DE INVESTIMENTO EM DIREITOS CREDITORIOS - RESPONSABILIDADE LIMITADA</x:v>
      </x:c>
      <x:c r="C744" s="190" t="n">
        <x:v>176791519.05</x:v>
      </x:c>
      <x:c r="D744" s="168" t="str">
        <x:v>Ghia Asset Management</x:v>
      </x:c>
      <x:c r="E744" s="168" t="str">
        <x:f>IFERROR(INDEX('Classif Gestoras'!$H$6:$H$462,MATCH(D744,'Classif Gestoras'!$A$6:$A$462,0)),"Não classificada")</x:f>
        <x:v>Independente</x:v>
      </x:c>
      <x:c r="F744" s="168" t="str">
        <x:v>Singulare</x:v>
      </x:c>
      <x:c r="G744" s="168" t="str">
        <x:v>QI CORRETORA DE TÍTULOS E VALORES MOBILIÁRIOS S.A.</x:v>
      </x:c>
      <x:c r="H744" s="168" t="str">
        <x:v>Outros</x:v>
      </x:c>
      <x:c r="I744" s="168" t="str">
        <x:v>Multicarteira Outros</x:v>
      </x:c>
      <x:c r="J744" s="168" t="str">
        <x:v>CI</x:v>
      </x:c>
      <x:c r="K744" s="174" t="n">
        <x:v>16</x:v>
      </x:c>
      <x:c r="L744" s="187" t="str">
        <x:v>Proxy multicedente/multissacado — revisar</x:v>
      </x:c>
    </x:row>
    <x:row r="745">
      <x:c r="A745" s="177" t="str">
        <x:v>65.205.033/0001-13</x:v>
      </x:c>
      <x:c r="B745" s="168" t="str">
        <x:v>ARC DEB III FUNDO DE INVESTIMENTO EM DIREITOS CREDITÓRIOS DE RESPONSABILIDADE LIMITADA</x:v>
      </x:c>
      <x:c r="C745" s="190" t="n">
        <x:v>176738033.73</x:v>
      </x:c>
      <x:c r="D745" s="168" t="str">
        <x:v>ARC Capital</x:v>
      </x:c>
      <x:c r="E745" s="168" t="str">
        <x:f>IFERROR(INDEX('Classif Gestoras'!$H$6:$H$462,MATCH(D745,'Classif Gestoras'!$A$6:$A$462,0)),"Não classificada")</x:f>
        <x:v>Independente</x:v>
      </x:c>
      <x:c r="F745" s="168" t="str">
        <x:v>Oliveira Trust DTVM</x:v>
      </x:c>
      <x:c r="G745" s="168" t="str">
        <x:v>OLIVEIRA TRUST DTVM S.A.</x:v>
      </x:c>
      <x:c r="H745" s="168" t="str">
        <x:v>Outros</x:v>
      </x:c>
      <x:c r="I745" s="168" t="str">
        <x:v>Multicarteira Outros</x:v>
      </x:c>
      <x:c r="J745" s="168" t="str">
        <x:v>CI</x:v>
      </x:c>
      <x:c r="K745" s="174" t="n">
        <x:v>1</x:v>
      </x:c>
      <x:c r="L745" s="187" t="str">
        <x:v>Proxy multicedente/multissacado — revisar</x:v>
      </x:c>
    </x:row>
    <x:row r="746">
      <x:c r="A746" s="177" t="str">
        <x:v>43.290.912/0001-58</x:v>
      </x:c>
      <x:c r="B746" s="168" t="str">
        <x:v>SDL FUNDO DE INVESTIMENTO EM DIREITOS CREDITÓRIOS DE RESPONSABILIDADE LIMITADA</x:v>
      </x:c>
      <x:c r="C746" s="190" t="n">
        <x:v>176706321.48999998</x:v>
      </x:c>
      <x:c r="D746" s="168" t="str">
        <x:v>Catálise Investimentos</x:v>
      </x:c>
      <x:c r="E746" s="168" t="str">
        <x:f>IFERROR(INDEX('Classif Gestoras'!$H$6:$H$462,MATCH(D746,'Classif Gestoras'!$A$6:$A$462,0)),"Não classificada")</x:f>
        <x:v>Independente</x:v>
      </x:c>
      <x:c r="F746" s="168" t="str">
        <x:v>CATÁLISE DTVM</x:v>
      </x:c>
      <x:c r="G746" s="168" t="str">
        <x:v>BANCO DAYCOVAL S.A.</x:v>
      </x:c>
      <x:c r="H746" s="168" t="str">
        <x:v>Agro, Indústria e Comércio</x:v>
      </x:c>
      <x:c r="I746" s="168" t="str">
        <x:v>Multicarteira Agro, Indústria e Comércio</x:v>
      </x:c>
      <x:c r="J746" s="168" t="str">
        <x:v>CI</x:v>
      </x:c>
      <x:c r="K746" s="174" t="n">
        <x:v>1</x:v>
      </x:c>
      <x:c r="L746" s="187" t="str">
        <x:v>Proxy multicedente/multissacado — revisar</x:v>
      </x:c>
    </x:row>
    <x:row r="747">
      <x:c r="A747" s="177" t="str">
        <x:v>33.133.194/0001-52</x:v>
      </x:c>
      <x:c r="B747" s="168" t="str">
        <x:v>JES FUNDO DE INVESTIMENTO EM DIREITOS CREDITÓRIOS MULTISEGMENTOS</x:v>
      </x:c>
      <x:c r="C747" s="190" t="n">
        <x:v>176500282.39000002</x:v>
      </x:c>
      <x:c r="D747" s="168" t="str">
        <x:v>Petra Capital</x:v>
      </x:c>
      <x:c r="E747" s="168" t="str">
        <x:f>IFERROR(INDEX('Classif Gestoras'!$H$6:$H$462,MATCH(D747,'Classif Gestoras'!$A$6:$A$462,0)),"Não classificada")</x:f>
        <x:v>Independente</x:v>
      </x:c>
      <x:c r="F747" s="168" t="str">
        <x:v>Finaxis Corretora de Títulos e Valores Mobiliários S.A.</x:v>
      </x:c>
      <x:c r="G747" s="168" t="str">
        <x:v>BANCO FINAXIS S.A.</x:v>
      </x:c>
      <x:c r="H747" s="168" t="str">
        <x:v>Agro, Indústria e Comércio</x:v>
      </x:c>
      <x:c r="I747" s="168" t="str">
        <x:v>Recebíveis Comerciais</x:v>
      </x:c>
      <x:c r="J747" s="168" t="str">
        <x:v>CI</x:v>
      </x:c>
      <x:c r="K747" s="174" t="n">
        <x:v>2</x:v>
      </x:c>
      <x:c r="L747" s="187" t="str">
        <x:v>Não classificado</x:v>
      </x:c>
    </x:row>
    <x:row r="748">
      <x:c r="A748" s="177" t="str">
        <x:v>28.702.814/0001-97</x:v>
      </x:c>
      <x:c r="B748" s="168" t="str">
        <x:v>CREDITISE FUNDO DE INVESTIMENTO EM DIREITOS CREDITÓRIOS - RESPONSABILIDADE LIMITADA</x:v>
      </x:c>
      <x:c r="C748" s="190" t="n">
        <x:v>175386338.67999998</x:v>
      </x:c>
      <x:c r="D748" s="168" t="str">
        <x:v>Solis</x:v>
      </x:c>
      <x:c r="E748" s="168" t="str">
        <x:f>IFERROR(INDEX('Classif Gestoras'!$H$6:$H$462,MATCH(D748,'Classif Gestoras'!$A$6:$A$462,0)),"Não classificada")</x:f>
        <x:v>Independente</x:v>
      </x:c>
      <x:c r="F748" s="168" t="str">
        <x:v>HEMERA DTVM</x:v>
      </x:c>
      <x:c r="G748" s="168" t="str">
        <x:v>HEMERA DISTRIBUIDORA DE TITULOS E VALORES MOBILIARIOS LTDA</x:v>
      </x:c>
      <x:c r="H748" s="168" t="str">
        <x:v>Outros</x:v>
      </x:c>
      <x:c r="I748" s="168" t="str">
        <x:v>Multicarteira Outros</x:v>
      </x:c>
      <x:c r="J748" s="168" t="str">
        <x:v>CI</x:v>
      </x:c>
      <x:c r="K748" s="174" t="n">
        <x:v>7</x:v>
      </x:c>
      <x:c r="L748" s="187" t="str">
        <x:v>Proxy multicedente/multissacado — revisar</x:v>
      </x:c>
    </x:row>
    <x:row r="749">
      <x:c r="A749" s="177" t="str">
        <x:v>38.658.727/0001-33</x:v>
      </x:c>
      <x:c r="B749" s="168" t="str">
        <x:v>FUNDO DE INVESTIMENTO EM DIREITOS CREDITÓRIOS FORNECEDORES MADEIRA MADEIRA I</x:v>
      </x:c>
      <x:c r="C749" s="190" t="n">
        <x:v>175301844.07000002</x:v>
      </x:c>
      <x:c r="D749" s="168" t="str">
        <x:v>BRL TRUST DTVM</x:v>
      </x:c>
      <x:c r="E749" s="168" t="str">
        <x:f>IFERROR(INDEX('Classif Gestoras'!$H$6:$H$462,MATCH(D749,'Classif Gestoras'!$A$6:$A$462,0)),"Não classificada")</x:f>
        <x:v>Independente</x:v>
      </x:c>
      <x:c r="F749" s="168" t="str">
        <x:v>BRL TRUST DTVM</x:v>
      </x:c>
      <x:c r="G749" s="168" t="str">
        <x:v>VERT DISTRIBUIDORA DE TÍTULOS E VALORES MOBILIÁRIOS LTDA.</x:v>
      </x:c>
      <x:c r="H749" s="168" t="str">
        <x:v>Outros</x:v>
      </x:c>
      <x:c r="I749" s="168" t="str">
        <x:v>Multicarteira Outros</x:v>
      </x:c>
      <x:c r="J749" s="168" t="str">
        <x:v>CI</x:v>
      </x:c>
      <x:c r="K749" s="174" t="n">
        <x:v>4</x:v>
      </x:c>
      <x:c r="L749" s="187" t="str">
        <x:v>Proxy multicedente/multissacado — revisar</x:v>
      </x:c>
    </x:row>
    <x:row r="750">
      <x:c r="A750" s="177" t="str">
        <x:v>45.080.955/0001-34</x:v>
      </x:c>
      <x:c r="B750" s="168" t="str">
        <x:v>GREEN FIDC SOLAR GD II-FUNDO DE INVESTIMENTO EM DIREITOS CREDITÓRIOS SOCIOAMBIENTAL-ENERGIA SOLAR-IS</x:v>
      </x:c>
      <x:c r="C750" s="190" t="n">
        <x:v>175018562.38</x:v>
      </x:c>
      <x:c r="D750" s="168" t="str">
        <x:v>Albion Capital LTDA.</x:v>
      </x:c>
      <x:c r="E750" s="168" t="str">
        <x:f>IFERROR(INDEX('Classif Gestoras'!$H$6:$H$462,MATCH(D750,'Classif Gestoras'!$A$6:$A$462,0)),"Não classificada")</x:f>
        <x:v>Independente</x:v>
      </x:c>
      <x:c r="F750" s="168" t="str">
        <x:v>Oliveira Trust DTVM</x:v>
      </x:c>
      <x:c r="G750" s="168" t="str">
        <x:v>OLIVEIRA TRUST DTVM S.A.</x:v>
      </x:c>
      <x:c r="H750" s="168" t="str">
        <x:v>Agro, Indústria e Comércio</x:v>
      </x:c>
      <x:c r="I750" s="168" t="str">
        <x:v>Infraestrutura</x:v>
      </x:c>
      <x:c r="J750" s="168" t="str">
        <x:v>CI</x:v>
      </x:c>
      <x:c r="K750" s="174" t="n">
        <x:v>147</x:v>
      </x:c>
      <x:c r="L750" s="187" t="str">
        <x:v>Não classificado</x:v>
      </x:c>
    </x:row>
    <x:row r="751">
      <x:c r="A751" s="177" t="str">
        <x:v>57.271.402/0001-48</x:v>
      </x:c>
      <x:c r="B751" s="168" t="str">
        <x:v>ROOT CAPITAL FIGUEIRA FUNDO DE INVESTIMENTO EM DIREITOS CREDITÓRIOS DE RESPONSABILIDADE LIMITADA</x:v>
      </x:c>
      <x:c r="C751" s="190" t="n">
        <x:v>174062466.49</x:v>
      </x:c>
      <x:c r="D751" s="168" t="str">
        <x:v>ROOT CAPITAL</x:v>
      </x:c>
      <x:c r="E751" s="168" t="str">
        <x:f>IFERROR(INDEX('Classif Gestoras'!$H$6:$H$462,MATCH(D751,'Classif Gestoras'!$A$6:$A$462,0)),"Não classificada")</x:f>
        <x:v>Independente</x:v>
      </x:c>
      <x:c r="F751" s="168" t="str">
        <x:v>XPI CCTVM S/A</x:v>
      </x:c>
      <x:c r="G751" s="168" t="str">
        <x:v>S3 CACEIS BRASIL DISTRIBUIDORA DE TITULOS E VALORES MOBILIARIOS S.A</x:v>
      </x:c>
      <x:c r="H751" s="168" t="str">
        <x:v>Outros</x:v>
      </x:c>
      <x:c r="I751" s="168" t="str">
        <x:v>Multicarteira Outros</x:v>
      </x:c>
      <x:c r="J751" s="168" t="str">
        <x:v>CI</x:v>
      </x:c>
      <x:c r="K751" s="174" t="n">
        <x:v>2159</x:v>
      </x:c>
      <x:c r="L751" s="187" t="str">
        <x:v>Proxy multicedente/multissacado — revisar</x:v>
      </x:c>
    </x:row>
    <x:row r="752">
      <x:c r="A752" s="177" t="str">
        <x:v>53.405.469/0001-77</x:v>
      </x:c>
      <x:c r="B752" s="168" t="str">
        <x:v>XP PJUS FUNDO DE INVESTIMENTO EM DIREITOS CREDITÓRIOS</x:v>
      </x:c>
      <x:c r="C752" s="190" t="n">
        <x:v>173824414.28</x:v>
      </x:c>
      <x:c r="D752" s="168" t="str">
        <x:v>Vista Real Estate</x:v>
      </x:c>
      <x:c r="E752" s="168" t="str">
        <x:f>IFERROR(INDEX('Classif Gestoras'!$H$6:$H$462,MATCH(D752,'Classif Gestoras'!$A$6:$A$462,0)),"Não classificada")</x:f>
        <x:v>Independente</x:v>
      </x:c>
      <x:c r="F752" s="168" t="str">
        <x:v>BRL TRUST DTVM</x:v>
      </x:c>
      <x:c r="G752" s="168" t="str">
        <x:v>BRL TRUST DISTRIBUIDORA DE TITULOS E VALORES MOBILIARIOS S.A.</x:v>
      </x:c>
      <x:c r="H752" s="168" t="str">
        <x:v>Outros</x:v>
      </x:c>
      <x:c r="I752" s="168" t="str">
        <x:v>Poder Público</x:v>
      </x:c>
      <x:c r="J752" s="168" t="str">
        <x:v>CI</x:v>
      </x:c>
      <x:c r="K752" s="174" t="n">
        <x:v>12</x:v>
      </x:c>
      <x:c r="L752" s="187" t="str">
        <x:v>Não classificado</x:v>
      </x:c>
    </x:row>
    <x:row r="753">
      <x:c r="A753" s="177" t="str">
        <x:v>53.523.699/0001-30</x:v>
      </x:c>
      <x:c r="B753" s="168" t="str">
        <x:v>FUNDO DE INVESTIMENTO EM DIREITOS CREDITÓRIOS SIGA ENERGIA PORTFÓLIO DE RESPONSABILIDADE LIMITADA</x:v>
      </x:c>
      <x:c r="C753" s="190" t="n">
        <x:v>173459909.13000005</x:v>
      </x:c>
      <x:c r="D753" s="168" t="str">
        <x:v>SIGA GESTORA DE RECURSOS LTDA</x:v>
      </x:c>
      <x:c r="E753" s="168" t="str">
        <x:f>IFERROR(INDEX('Classif Gestoras'!$H$6:$H$462,MATCH(D753,'Classif Gestoras'!$A$6:$A$462,0)),"Não classificada")</x:f>
        <x:v>Independente</x:v>
      </x:c>
      <x:c r="F753" s="168" t="str">
        <x:v>BANCO DAYCOVAL S/A</x:v>
      </x:c>
      <x:c r="G753" s="168" t="str">
        <x:v>BANCO DAYCOVAL S.A.</x:v>
      </x:c>
      <x:c r="H753" s="168" t="str">
        <x:v>Financeiro</x:v>
      </x:c>
      <x:c r="I753" s="168" t="str">
        <x:v>Multicarteira Financeiro</x:v>
      </x:c>
      <x:c r="J753" s="168" t="str">
        <x:v>CI</x:v>
      </x:c>
      <x:c r="K753" s="174" t="n">
        <x:v>52</x:v>
      </x:c>
      <x:c r="L753" s="187" t="str">
        <x:v>Proxy multicedente/multissacado — revisar</x:v>
      </x:c>
    </x:row>
    <x:row r="754">
      <x:c r="A754" s="177" t="str">
        <x:v>32.202.903/0001-41</x:v>
      </x:c>
      <x:c r="B754" s="168" t="str">
        <x:v>DCASH FUNDO DE INVESTIMENTO EM DIREITOS CREDITÓRIOS</x:v>
      </x:c>
      <x:c r="C754" s="190" t="n">
        <x:v>172915372.32999998</x:v>
      </x:c>
      <x:c r="D754" s="168" t="str">
        <x:v>TERCON ASSET MANAGEMENT</x:v>
      </x:c>
      <x:c r="E754" s="168" t="str">
        <x:f>IFERROR(INDEX('Classif Gestoras'!$H$6:$H$462,MATCH(D754,'Classif Gestoras'!$A$6:$A$462,0)),"Não classificada")</x:f>
        <x:v>Independente</x:v>
      </x:c>
      <x:c r="F754" s="168" t="str">
        <x:v>Singulare</x:v>
      </x:c>
      <x:c r="G754" s="168" t="str">
        <x:v>QI CORRETORA DE TÍTULOS E VALORES MOBILIÁRIOS S.A.</x:v>
      </x:c>
      <x:c r="H754" s="168" t="str">
        <x:v>Fomento Mercantil</x:v>
      </x:c>
      <x:c r="I754" s="168" t="str">
        <x:v>Fomento Mercantil</x:v>
      </x:c>
      <x:c r="J754" s="168" t="str">
        <x:v>CI</x:v>
      </x:c>
      <x:c r="K754" s="174" t="n">
        <x:v>65</x:v>
      </x:c>
      <x:c r="L754" s="187" t="str">
        <x:v>Não classificado</x:v>
      </x:c>
    </x:row>
    <x:row r="755">
      <x:c r="A755" s="177" t="str">
        <x:v>50.996.316/0001-53</x:v>
      </x:c>
      <x:c r="B755" s="168" t="str">
        <x:v>OCEANO FUNDO DE INVESTIMENTO EM DIREITOS CREDITÓRIOS NÃO PADRONIZADOS</x:v>
      </x:c>
      <x:c r="C755" s="190" t="n">
        <x:v>172810862.50000003</x:v>
      </x:c>
      <x:c r="D755" s="168" t="str">
        <x:v>GV ATACAMA CAPITAL LTDA.</x:v>
      </x:c>
      <x:c r="E755" s="168" t="str">
        <x:f>IFERROR(INDEX('Classif Gestoras'!$H$6:$H$462,MATCH(D755,'Classif Gestoras'!$A$6:$A$462,0)),"Não classificada")</x:f>
        <x:v>Independente</x:v>
      </x:c>
      <x:c r="F755" s="168" t="str">
        <x:v>Singulare</x:v>
      </x:c>
      <x:c r="G755" s="168" t="str">
        <x:v>QI CORRETORA DE TÍTULOS E VALORES MOBILIÁRIOS S.A.</x:v>
      </x:c>
      <x:c r="H755" s="168" t="str">
        <x:v>Outros</x:v>
      </x:c>
      <x:c r="I755" s="168" t="str">
        <x:v>Poder Público</x:v>
      </x:c>
      <x:c r="J755" s="168" t="str">
        <x:v>CI</x:v>
      </x:c>
      <x:c r="K755" s="174" t="n">
        <x:v>30</x:v>
      </x:c>
      <x:c r="L755" s="187" t="str">
        <x:v>Não classificado</x:v>
      </x:c>
    </x:row>
    <x:row r="756">
      <x:c r="A756" s="177" t="str">
        <x:v>61.373.414/0001-50</x:v>
      </x:c>
      <x:c r="B756" s="168" t="str">
        <x:v>G5 FUNDO DE INVESTIMENTO EM DIREITOS CREDITÓRIOS S.O</x:v>
      </x:c>
      <x:c r="C756" s="190" t="n">
        <x:v>172717905.60000002</x:v>
      </x:c>
      <x:c r="D756" s="168" t="str">
        <x:v>G5 Adm. de Recursos</x:v>
      </x:c>
      <x:c r="E756" s="168" t="str">
        <x:f>IFERROR(INDEX('Classif Gestoras'!$H$6:$H$462,MATCH(D756,'Classif Gestoras'!$A$6:$A$462,0)),"Não classificada")</x:f>
        <x:v>Independente</x:v>
      </x:c>
      <x:c r="F756" s="168" t="str">
        <x:v>BTG Pactual Servicos Financeiros S/A DTVM</x:v>
      </x:c>
      <x:c r="G756" s="168" t="str">
        <x:v>BANCO BTG PACTUAL S/A</x:v>
      </x:c>
      <x:c r="H756" s="168" t="str">
        <x:v>Outros</x:v>
      </x:c>
      <x:c r="I756" s="168" t="str">
        <x:v>Multicarteira Outros</x:v>
      </x:c>
      <x:c r="J756" s="168" t="str">
        <x:v>CI</x:v>
      </x:c>
      <x:c r="K756" s="174" t="n">
        <x:v>11</x:v>
      </x:c>
      <x:c r="L756" s="187" t="str">
        <x:v>Proxy multicedente/multissacado — revisar</x:v>
      </x:c>
    </x:row>
    <x:row r="757">
      <x:c r="A757" s="177" t="str">
        <x:v>47.167.918/0001-93</x:v>
      </x:c>
      <x:c r="B757" s="168" t="str">
        <x:v>GV ATACAMA FUNDO DE INVESTIMENTO EM DIREITOS CREDITÓRIOS</x:v>
      </x:c>
      <x:c r="C757" s="190" t="n">
        <x:v>172655157.58</x:v>
      </x:c>
      <x:c r="D757" s="168" t="str">
        <x:v>GV ATACAMA CAPITAL LTDA.</x:v>
      </x:c>
      <x:c r="E757" s="168" t="str">
        <x:f>IFERROR(INDEX('Classif Gestoras'!$H$6:$H$462,MATCH(D757,'Classif Gestoras'!$A$6:$A$462,0)),"Não classificada")</x:f>
        <x:v>Independente</x:v>
      </x:c>
      <x:c r="F757" s="168" t="str">
        <x:v>Singulare</x:v>
      </x:c>
      <x:c r="G757" s="168" t="str">
        <x:v>QI CORRETORA DE TÍTULOS E VALORES MOBILIÁRIOS S.A.</x:v>
      </x:c>
      <x:c r="H757" s="168" t="str">
        <x:v>Outros</x:v>
      </x:c>
      <x:c r="I757" s="168" t="str">
        <x:v>Multicarteira Outros</x:v>
      </x:c>
      <x:c r="J757" s="168" t="str">
        <x:v>CI</x:v>
      </x:c>
      <x:c r="K757" s="174" t="n">
        <x:v>1</x:v>
      </x:c>
      <x:c r="L757" s="187" t="str">
        <x:v>Proxy multicedente/multissacado — revisar</x:v>
      </x:c>
    </x:row>
    <x:row r="758">
      <x:c r="A758" s="177" t="str">
        <x:v>52.683.660/0001-18</x:v>
      </x:c>
      <x:c r="B758" s="168" t="str">
        <x:v>PLATÃO FUNDO DE INVESTIMENTO EM DIREITOS CREDITÓRIOS</x:v>
      </x:c>
      <x:c r="C758" s="190" t="n">
        <x:v>172468476.45000002</x:v>
      </x:c>
      <x:c r="D758" s="168" t="str">
        <x:v>NORTH SEA CAPITAL</x:v>
      </x:c>
      <x:c r="E758" s="168" t="str">
        <x:f>IFERROR(INDEX('Classif Gestoras'!$H$6:$H$462,MATCH(D758,'Classif Gestoras'!$A$6:$A$462,0)),"Não classificada")</x:f>
        <x:v>Independente</x:v>
      </x:c>
      <x:c r="F758" s="168" t="str">
        <x:v>Qore DTVM</x:v>
      </x:c>
      <x:c r="G758" s="168" t="str">
        <x:v>QORE DISTRIBUIDORA DE TÍTULOS E VALORES MOBILIÁRIOS LTDA.</x:v>
      </x:c>
      <x:c r="H758" s="168" t="str">
        <x:v>Financeiro</x:v>
      </x:c>
      <x:c r="I758" s="168" t="str">
        <x:v>Crédito Imobiliário</x:v>
      </x:c>
      <x:c r="J758" s="168" t="str">
        <x:v>CI</x:v>
      </x:c>
      <x:c r="K758" s="174" t="n">
        <x:v>2</x:v>
      </x:c>
      <x:c r="L758" s="187" t="str">
        <x:v>Não classificado</x:v>
      </x:c>
    </x:row>
    <x:row r="759">
      <x:c r="A759" s="177" t="str">
        <x:v>57.362.995/0001-58</x:v>
      </x:c>
      <x:c r="B759" s="168" t="str">
        <x:v>MILK INVEST FUNDO DE INVESTIMENTO EM DIREITOS CREDITÓRIOS</x:v>
      </x:c>
      <x:c r="C759" s="190" t="n">
        <x:v>172355719.22</x:v>
      </x:c>
      <x:c r="D759" s="168" t="str">
        <x:v>Multiplica Capital</x:v>
      </x:c>
      <x:c r="E759" s="168" t="str">
        <x:f>IFERROR(INDEX('Classif Gestoras'!$H$6:$H$462,MATCH(D759,'Classif Gestoras'!$A$6:$A$462,0)),"Não classificada")</x:f>
        <x:v>Independente</x:v>
      </x:c>
      <x:c r="F759" s="168" t="str">
        <x:v>Singulare</x:v>
      </x:c>
      <x:c r="G759" s="168" t="str">
        <x:v>QI CORRETORA DE TÍTULOS E VALORES MOBILIÁRIOS S.A.</x:v>
      </x:c>
      <x:c r="H759" s="168" t="str">
        <x:v>Fomento Mercantil</x:v>
      </x:c>
      <x:c r="I759" s="168" t="str">
        <x:v>Fomento Mercantil</x:v>
      </x:c>
      <x:c r="J759" s="168" t="str">
        <x:v>CI</x:v>
      </x:c>
      <x:c r="K759" s="174" t="n">
        <x:v>17</x:v>
      </x:c>
      <x:c r="L759" s="187" t="str">
        <x:v>Não classificado</x:v>
      </x:c>
    </x:row>
    <x:row r="760">
      <x:c r="A760" s="177" t="str">
        <x:v>43.237.790/0001-36</x:v>
      </x:c>
      <x:c r="B760" s="168" t="str">
        <x:v>FUNDO DE INVESTIMENTO EM DIREITOS CREDITÓRIOS CONSORCIEI II - RESPONSABILIDADE LIMITADA</x:v>
      </x:c>
      <x:c r="C760" s="190" t="n">
        <x:v>171828582.55999997</x:v>
      </x:c>
      <x:c r="D760" s="168" t="str">
        <x:v>TERA CAPITAL</x:v>
      </x:c>
      <x:c r="E760" s="168" t="str">
        <x:f>IFERROR(INDEX('Classif Gestoras'!$H$6:$H$462,MATCH(D760,'Classif Gestoras'!$A$6:$A$462,0)),"Não classificada")</x:f>
        <x:v>Independente</x:v>
      </x:c>
      <x:c r="F760" s="168" t="str">
        <x:v>BANCO DAYCOVAL S/A</x:v>
      </x:c>
      <x:c r="G760" s="168" t="str">
        <x:v>BANCO DAYCOVAL S.A.</x:v>
      </x:c>
      <x:c r="H760" s="168" t="str">
        <x:v>Outros</x:v>
      </x:c>
      <x:c r="I760" s="168" t="str">
        <x:v>Multicarteira Outros</x:v>
      </x:c>
      <x:c r="J760" s="168" t="str">
        <x:v>CI</x:v>
      </x:c>
      <x:c r="K760" s="174" t="n">
        <x:v>58</x:v>
      </x:c>
      <x:c r="L760" s="187" t="str">
        <x:v>Proxy multicedente/multissacado — revisar</x:v>
      </x:c>
    </x:row>
    <x:row r="761">
      <x:c r="A761" s="177" t="str">
        <x:v>53.273.825/0001-46</x:v>
      </x:c>
      <x:c r="B761" s="168" t="str">
        <x:v>FUNDO DE INVESTIMENTO EM DIREITOS CREDITÓRIOS AGRO OPEA COCARI DE RESPONSABILIDADE LIMITADA</x:v>
      </x:c>
      <x:c r="C761" s="190" t="n">
        <x:v>171787473.15</x:v>
      </x:c>
      <x:c r="D761" s="168" t="str">
        <x:v>OPEA GESTORA DE RECURSOS</x:v>
      </x:c>
      <x:c r="E761" s="168" t="str">
        <x:f>IFERROR(INDEX('Classif Gestoras'!$H$6:$H$462,MATCH(D761,'Classif Gestoras'!$A$6:$A$462,0)),"Não classificada")</x:f>
        <x:v>Independente</x:v>
      </x:c>
      <x:c r="F761" s="168" t="str">
        <x:v>VÓRTX DTVM</x:v>
      </x:c>
      <x:c r="G761" s="168" t="str">
        <x:v>VORTX DISTRIBUIDORA DE TITULOS E VALORES MOBILIARIOS LTDA.</x:v>
      </x:c>
      <x:c r="H761" s="168" t="str">
        <x:v>Agro, Indústria e Comércio</x:v>
      </x:c>
      <x:c r="I761" s="168" t="str">
        <x:v>Agronegócio</x:v>
      </x:c>
      <x:c r="J761" s="168" t="str">
        <x:v>CI</x:v>
      </x:c>
      <x:c r="K761" s="174" t="n">
        <x:v>4</x:v>
      </x:c>
      <x:c r="L761" s="187" t="str">
        <x:v>Não classificado</x:v>
      </x:c>
    </x:row>
    <x:row r="762">
      <x:c r="A762" s="177" t="str">
        <x:v>45.778.027/0001-48</x:v>
      </x:c>
      <x:c r="B762" s="168" t="str">
        <x:v>INFRA FUNDO DE INVESTIMENTO EM DIREITOS CREDITORIOS NÃO PADRONIZADO</x:v>
      </x:c>
      <x:c r="C762" s="190" t="n">
        <x:v>171063383.88</x:v>
      </x:c>
      <x:c r="D762" s="168" t="str">
        <x:v>Renta Gestão de Recursos LTDA.</x:v>
      </x:c>
      <x:c r="E762" s="168" t="str">
        <x:f>IFERROR(INDEX('Classif Gestoras'!$H$6:$H$462,MATCH(D762,'Classif Gestoras'!$A$6:$A$462,0)),"Não classificada")</x:f>
        <x:v>Independente</x:v>
      </x:c>
      <x:c r="F762" s="168" t="str">
        <x:v>Singulare</x:v>
      </x:c>
      <x:c r="G762" s="168" t="str">
        <x:v>QI CORRETORA DE TÍTULOS E VALORES MOBILIÁRIOS S.A.</x:v>
      </x:c>
      <x:c r="H762" s="168" t="str">
        <x:v>Outros</x:v>
      </x:c>
      <x:c r="I762" s="168" t="str">
        <x:v>Multicarteira Outros</x:v>
      </x:c>
      <x:c r="J762" s="168" t="str">
        <x:v>CI</x:v>
      </x:c>
      <x:c r="K762" s="174" t="n">
        <x:v>2</x:v>
      </x:c>
      <x:c r="L762" s="187" t="str">
        <x:v>Proxy multicedente/multissacado — revisar</x:v>
      </x:c>
    </x:row>
    <x:row r="763">
      <x:c r="A763" s="177" t="str">
        <x:v>19.932.422/0001-23</x:v>
      </x:c>
      <x:c r="B763" s="168" t="str">
        <x:v>SBK CAPITAL FUNDO DE INVESTIMENTO EM DIREITOS CREDITÓRIOS MULTISSETORIAL RESPONSABILIDADE LIMITADA</x:v>
      </x:c>
      <x:c r="C763" s="190" t="n">
        <x:v>171036993.38</x:v>
      </x:c>
      <x:c r="D763" s="168" t="str">
        <x:v>OURO PRETO INVESTIMENTOS</x:v>
      </x:c>
      <x:c r="E763" s="168" t="str">
        <x:f>IFERROR(INDEX('Classif Gestoras'!$H$6:$H$462,MATCH(D763,'Classif Gestoras'!$A$6:$A$462,0)),"Não classificada")</x:f>
        <x:v>Independente</x:v>
      </x:c>
      <x:c r="F763" s="168" t="str">
        <x:v>Singulare</x:v>
      </x:c>
      <x:c r="G763" s="168" t="str">
        <x:v>QI CORRETORA DE TÍTULOS E VALORES MOBILIÁRIOS S.A.</x:v>
      </x:c>
      <x:c r="H763" s="168" t="str">
        <x:v>Fomento Mercantil</x:v>
      </x:c>
      <x:c r="I763" s="168" t="str">
        <x:v>Fomento Mercantil</x:v>
      </x:c>
      <x:c r="J763" s="168" t="str">
        <x:v>CI</x:v>
      </x:c>
      <x:c r="K763" s="174" t="n">
        <x:v>67</x:v>
      </x:c>
      <x:c r="L763" s="187" t="str">
        <x:v>Não classificado</x:v>
      </x:c>
    </x:row>
    <x:row r="764">
      <x:c r="A764" s="177" t="str">
        <x:v>58.557.938/0001-97</x:v>
      </x:c>
      <x:c r="B764" s="168" t="str">
        <x:v>JVD FUNDO DE INVESTIMENTO EM DIREITOS CREDITORIOS</x:v>
      </x:c>
      <x:c r="C764" s="190" t="n">
        <x:v>170984811.92999998</x:v>
      </x:c>
      <x:c r="D764" s="168" t="str">
        <x:v>Libertas Asset</x:v>
      </x:c>
      <x:c r="E764" s="168" t="str">
        <x:f>IFERROR(INDEX('Classif Gestoras'!$H$6:$H$462,MATCH(D764,'Classif Gestoras'!$A$6:$A$462,0)),"Não classificada")</x:f>
        <x:v>Independente</x:v>
      </x:c>
      <x:c r="F764" s="168" t="str">
        <x:v>ACTUAL DTVM</x:v>
      </x:c>
      <x:c r="G764" s="168" t="str">
        <x:v>TRUSTEE DISTRIBUIDORA DE TITULOS E VALORES MOBILIARIOS LTDA.</x:v>
      </x:c>
      <x:c r="H764" s="168" t="str">
        <x:v>Outros</x:v>
      </x:c>
      <x:c r="I764" s="168" t="str">
        <x:v>Multicarteira Outros</x:v>
      </x:c>
      <x:c r="J764" s="168" t="str">
        <x:v>CI</x:v>
      </x:c>
      <x:c r="K764" s="174" t="n">
        <x:v>3</x:v>
      </x:c>
      <x:c r="L764" s="187" t="str">
        <x:v>Proxy multicedente/multissacado — revisar</x:v>
      </x:c>
    </x:row>
    <x:row r="765">
      <x:c r="A765" s="177" t="str">
        <x:v>55.125.894/0001-38</x:v>
      </x:c>
      <x:c r="B765" s="168" t="str">
        <x:v>MTR CRÉDITOS SELECIONADOS I FUNDO DE INVESTIMENTO EM DIREITOS CREDITÓRIOS RESPONSABILIDADE LIMITADA</x:v>
      </x:c>
      <x:c r="C765" s="190" t="n">
        <x:v>170859281.53</x:v>
      </x:c>
      <x:c r="D765" s="168" t="str">
        <x:v>BURITI INVESTIMENTOS</x:v>
      </x:c>
      <x:c r="E765" s="168" t="str">
        <x:f>IFERROR(INDEX('Classif Gestoras'!$H$6:$H$462,MATCH(D765,'Classif Gestoras'!$A$6:$A$462,0)),"Não classificada")</x:f>
        <x:v>Independente</x:v>
      </x:c>
      <x:c r="F765" s="168" t="str">
        <x:v>Singulare</x:v>
      </x:c>
      <x:c r="G765" s="168" t="str">
        <x:v>QI CORRETORA DE TÍTULOS E VALORES MOBILIÁRIOS S.A.</x:v>
      </x:c>
      <x:c r="H765" s="168" t="str">
        <x:v>Outros</x:v>
      </x:c>
      <x:c r="I765" s="168" t="str">
        <x:v>Poder Público</x:v>
      </x:c>
      <x:c r="J765" s="168" t="str">
        <x:v>CI</x:v>
      </x:c>
      <x:c r="K765" s="174" t="n">
        <x:v>18</x:v>
      </x:c>
      <x:c r="L765" s="187" t="str">
        <x:v>Não classificado</x:v>
      </x:c>
    </x:row>
    <x:row r="766">
      <x:c r="A766" s="177" t="str">
        <x:v>12.764.483/0001-80</x:v>
      </x:c>
      <x:c r="B766" s="168" t="str">
        <x:v>NEGOCIAL FIDC SEGMENTO ECONÔMICO FINANCEIRO, INDUSTRIAL, COMERCIAL E PRESTAÇÃO DE SERVIÇOS</x:v>
      </x:c>
      <x:c r="C766" s="190" t="n">
        <x:v>170578131.56</x:v>
      </x:c>
      <x:c r="D766" s="168" t="str">
        <x:v>Petra Capital</x:v>
      </x:c>
      <x:c r="E766" s="168" t="str">
        <x:f>IFERROR(INDEX('Classif Gestoras'!$H$6:$H$462,MATCH(D766,'Classif Gestoras'!$A$6:$A$462,0)),"Não classificada")</x:f>
        <x:v>Independente</x:v>
      </x:c>
      <x:c r="F766" s="168" t="str">
        <x:v>Banco Finaxis S.A.</x:v>
      </x:c>
      <x:c r="G766" s="168" t="str">
        <x:v>BANCO FINAXIS S.A.</x:v>
      </x:c>
      <x:c r="H766" s="168" t="str">
        <x:v>Fomento Mercantil</x:v>
      </x:c>
      <x:c r="I766" s="168" t="str">
        <x:v>Fomento Mercantil</x:v>
      </x:c>
      <x:c r="J766" s="168" t="str">
        <x:v>CI</x:v>
      </x:c>
      <x:c r="K766" s="174" t="n">
        <x:v>3</x:v>
      </x:c>
      <x:c r="L766" s="187" t="str">
        <x:v>Não classificado</x:v>
      </x:c>
    </x:row>
    <x:row r="767">
      <x:c r="A767" s="177" t="str">
        <x:v>54.837.785/0001-80</x:v>
      </x:c>
      <x:c r="B767" s="168" t="str">
        <x:v>CELOSIA FUNDO DE INVESTIMENTO EM DIREITOS CREDITÓRIOS RESPONSABILIDADE LIMITADA</x:v>
      </x:c>
      <x:c r="C767" s="190" t="n">
        <x:v>170498684.2</x:v>
      </x:c>
      <x:c r="D767" s="168" t="str">
        <x:v>Versal Finance Gestão de Recursos LTDA.</x:v>
      </x:c>
      <x:c r="E767" s="168" t="str">
        <x:f>IFERROR(INDEX('Classif Gestoras'!$H$6:$H$462,MATCH(D767,'Classif Gestoras'!$A$6:$A$462,0)),"Não classificada")</x:f>
        <x:v>Independente</x:v>
      </x:c>
      <x:c r="F767" s="168" t="str">
        <x:v>Banvox DTVM</x:v>
      </x:c>
      <x:c r="G767" s="168" t="str">
        <x:v>BANVOX DISTRIBUIDORA DE TITULOS E VALORES MOBILIARIOS LTDA</x:v>
      </x:c>
      <x:c r="H767" s="168" t="str">
        <x:v>Outros</x:v>
      </x:c>
      <x:c r="I767" s="168" t="str">
        <x:v>Poder Público</x:v>
      </x:c>
      <x:c r="J767" s="168" t="str">
        <x:v>CI</x:v>
      </x:c>
      <x:c r="K767" s="174" t="n">
        <x:v>3</x:v>
      </x:c>
      <x:c r="L767" s="187" t="str">
        <x:v>Não classificado</x:v>
      </x:c>
    </x:row>
    <x:row r="768">
      <x:c r="A768" s="177" t="str">
        <x:v>47.279.584/0001-40</x:v>
      </x:c>
      <x:c r="B768" s="168" t="str">
        <x:v>ROMAPE FUNDO DE INVESTIMENTO EM DIREITOS CREDITÓRIOS NÃO PADRONIZADOS</x:v>
      </x:c>
      <x:c r="C768" s="190" t="n">
        <x:v>170192426.87</x:v>
      </x:c>
      <x:c r="D768" s="168" t="str">
        <x:v>B.Side Wealth</x:v>
      </x:c>
      <x:c r="E768" s="168" t="str">
        <x:f>IFERROR(INDEX('Classif Gestoras'!$H$6:$H$462,MATCH(D768,'Classif Gestoras'!$A$6:$A$462,0)),"Não classificada")</x:f>
        <x:v>Independente</x:v>
      </x:c>
      <x:c r="F768" s="168" t="str">
        <x:v>ID Corretora de Títulos e Valores Mobiliários S.A.</x:v>
      </x:c>
      <x:c r="G768" s="168" t="str">
        <x:v>ID CORRETORA DE TITULOS E VALORES MOBILIARIOS S.A.</x:v>
      </x:c>
      <x:c r="H768" s="168" t="str">
        <x:v>Outros</x:v>
      </x:c>
      <x:c r="I768" s="168" t="str">
        <x:v>Multicarteira Outros</x:v>
      </x:c>
      <x:c r="J768" s="168" t="str">
        <x:v>CI</x:v>
      </x:c>
      <x:c r="K768" s="174" t="n">
        <x:v>2</x:v>
      </x:c>
      <x:c r="L768" s="187" t="str">
        <x:v>Proxy multicedente/multissacado — revisar</x:v>
      </x:c>
    </x:row>
    <x:row r="769">
      <x:c r="A769" s="177" t="str">
        <x:v>41.801.514/0001-23</x:v>
      </x:c>
      <x:c r="B769" s="168" t="str">
        <x:v>MLC1 FUNDO DE INVESTIMENTO EM DIREITOS CREDITÓRIOS - RESPONSABILIDADE LIMITADA</x:v>
      </x:c>
      <x:c r="C769" s="190" t="n">
        <x:v>169962860.51999998</x:v>
      </x:c>
      <x:c r="D769" s="168" t="str">
        <x:v>Möbius Capital</x:v>
      </x:c>
      <x:c r="E769" s="168" t="str">
        <x:f>IFERROR(INDEX('Classif Gestoras'!$H$6:$H$462,MATCH(D769,'Classif Gestoras'!$A$6:$A$462,0)),"Não classificada")</x:f>
        <x:v>Independente</x:v>
      </x:c>
      <x:c r="F769" s="168" t="str">
        <x:v>BANCO DAYCOVAL S/A</x:v>
      </x:c>
      <x:c r="G769" s="168" t="str">
        <x:v>BANCO DAYCOVAL S.A.</x:v>
      </x:c>
      <x:c r="H769" s="168" t="str">
        <x:v>Outros</x:v>
      </x:c>
      <x:c r="I769" s="168" t="str">
        <x:v>Multicarteira Outros</x:v>
      </x:c>
      <x:c r="J769" s="168" t="str">
        <x:v>CI</x:v>
      </x:c>
      <x:c r="K769" s="174" t="n">
        <x:v>89</x:v>
      </x:c>
      <x:c r="L769" s="187" t="str">
        <x:v>Proxy multicedente/multissacado — revisar</x:v>
      </x:c>
    </x:row>
    <x:row r="770">
      <x:c r="A770" s="177" t="str">
        <x:v>53.075.146/0001-62</x:v>
      </x:c>
      <x:c r="B770" s="168" t="str">
        <x:v>TRINU FUNDO DE INVESTIMENTO EM DIREITOS CREDITÓRIOS RESPONSABILIDADE LIMITADA</x:v>
      </x:c>
      <x:c r="C770" s="190" t="n">
        <x:v>169373774.63000005</x:v>
      </x:c>
      <x:c r="D770" s="168" t="str">
        <x:v>Catálise Investimentos</x:v>
      </x:c>
      <x:c r="E770" s="168" t="str">
        <x:f>IFERROR(INDEX('Classif Gestoras'!$H$6:$H$462,MATCH(D770,'Classif Gestoras'!$A$6:$A$462,0)),"Não classificada")</x:f>
        <x:v>Independente</x:v>
      </x:c>
      <x:c r="F770" s="168" t="str">
        <x:v>Qore DTVM</x:v>
      </x:c>
      <x:c r="G770" s="168" t="str">
        <x:v>QORE DISTRIBUIDORA DE TÍTULOS E VALORES MOBILIÁRIOS LTDA.</x:v>
      </x:c>
      <x:c r="H770" s="168" t="str">
        <x:v>Agro, Indústria e Comércio</x:v>
      </x:c>
      <x:c r="I770" s="168" t="str">
        <x:v>Recebíveis Comerciais</x:v>
      </x:c>
      <x:c r="J770" s="168" t="str">
        <x:v>CI</x:v>
      </x:c>
      <x:c r="K770" s="174" t="n">
        <x:v>11</x:v>
      </x:c>
      <x:c r="L770" s="187" t="str">
        <x:v>Não classificado</x:v>
      </x:c>
    </x:row>
    <x:row r="771">
      <x:c r="A771" s="177" t="str">
        <x:v>64.078.685/0001-71</x:v>
      </x:c>
      <x:c r="B771" s="168" t="str">
        <x:v>VOGAL FUNDO DE INVESTIMENTO EM DIREITOS CREDITÓRIOS - RESPONSABILIDADE LIMITADA</x:v>
      </x:c>
      <x:c r="C771" s="190" t="n">
        <x:v>169112782.47</x:v>
      </x:c>
      <x:c r="D771" s="168" t="str">
        <x:v>Bocom BBM Corretora de Câmbio e Valores Mobiliários S.A</x:v>
      </x:c>
      <x:c r="E771" s="168" t="str">
        <x:f>IFERROR(INDEX('Classif Gestoras'!$H$6:$H$462,MATCH(D771,'Classif Gestoras'!$A$6:$A$462,0)),"Não classificada")</x:f>
        <x:v>Independente</x:v>
      </x:c>
      <x:c r="F771" s="168" t="str">
        <x:v>BNY MELLON SERVICOS</x:v>
      </x:c>
      <x:c r="G771" s="168" t="str">
        <x:v>BNY MELLON BANCO S.A.</x:v>
      </x:c>
      <x:c r="H771" s="168" t="str">
        <x:v>Outros</x:v>
      </x:c>
      <x:c r="I771" s="168" t="str">
        <x:v>Multicarteira Outros</x:v>
      </x:c>
      <x:c r="J771" s="168" t="str">
        <x:v>CI</x:v>
      </x:c>
      <x:c r="K771" s="174" t="n">
        <x:v>3</x:v>
      </x:c>
      <x:c r="L771" s="187" t="str">
        <x:v>Proxy multicedente/multissacado — revisar</x:v>
      </x:c>
    </x:row>
    <x:row r="772">
      <x:c r="A772" s="177" t="str">
        <x:v>18.862.277/0001-99</x:v>
      </x:c>
      <x:c r="B772" s="168" t="str">
        <x:v>BRASFOR FUNDO DE INVESTIMENTO EM DIREITOS CREDITÓRIOS MULTISEGMENTOS</x:v>
      </x:c>
      <x:c r="C772" s="190" t="n">
        <x:v>168655520.4</x:v>
      </x:c>
      <x:c r="D772" s="168" t="str">
        <x:v>Petra Capital</x:v>
      </x:c>
      <x:c r="E772" s="168" t="str">
        <x:f>IFERROR(INDEX('Classif Gestoras'!$H$6:$H$462,MATCH(D772,'Classif Gestoras'!$A$6:$A$462,0)),"Não classificada")</x:f>
        <x:v>Independente</x:v>
      </x:c>
      <x:c r="F772" s="168" t="str">
        <x:v>Finaxis Corretora de Títulos e Valores Mobiliários S.A.</x:v>
      </x:c>
      <x:c r="G772" s="168" t="str">
        <x:v>BANCO FINAXIS S.A.</x:v>
      </x:c>
      <x:c r="H772" s="168" t="str">
        <x:v>Fomento Mercantil</x:v>
      </x:c>
      <x:c r="I772" s="168" t="str">
        <x:v>Fomento Mercantil</x:v>
      </x:c>
      <x:c r="J772" s="168" t="str">
        <x:v>CI</x:v>
      </x:c>
      <x:c r="K772" s="174" t="n">
        <x:v>31</x:v>
      </x:c>
      <x:c r="L772" s="187" t="str">
        <x:v>Não classificado</x:v>
      </x:c>
    </x:row>
    <x:row r="773">
      <x:c r="A773" s="177" t="str">
        <x:v>51.507.998/0001-56</x:v>
      </x:c>
      <x:c r="B773" s="168" t="str">
        <x:v>LESTE CREDIT MD PRECATÓRIOS III FUNDO DE INVESTIMENTO EM DIREITOS CREDITÓRIOS RESP LIMITADA</x:v>
      </x:c>
      <x:c r="C773" s="190" t="n">
        <x:v>168586779.12000003</x:v>
      </x:c>
      <x:c r="D773" s="168" t="str">
        <x:v>Leste Credit Gestão de Recursos LTDA.</x:v>
      </x:c>
      <x:c r="E773" s="168" t="str">
        <x:f>IFERROR(INDEX('Classif Gestoras'!$H$6:$H$462,MATCH(D773,'Classif Gestoras'!$A$6:$A$462,0)),"Não classificada")</x:f>
        <x:v>Independente</x:v>
      </x:c>
      <x:c r="F773" s="168" t="str">
        <x:v>PLANNER CV</x:v>
      </x:c>
      <x:c r="G773" s="168" t="str">
        <x:v>PLANNER CORRETORA DE VALORES S.A.</x:v>
      </x:c>
      <x:c r="H773" s="168" t="str">
        <x:v>Outros</x:v>
      </x:c>
      <x:c r="I773" s="168" t="str">
        <x:v>Poder Público</x:v>
      </x:c>
      <x:c r="J773" s="168" t="str">
        <x:v>CI</x:v>
      </x:c>
      <x:c r="K773" s="174" t="n">
        <x:v>56</x:v>
      </x:c>
      <x:c r="L773" s="187" t="str">
        <x:v>Não classificado</x:v>
      </x:c>
    </x:row>
    <x:row r="774">
      <x:c r="A774" s="177" t="str">
        <x:v>45.830.738/0001-14</x:v>
      </x:c>
      <x:c r="B774" s="168" t="str">
        <x:v>ARTESANAL CRÉDITO PRIVADO 30 FUNDO DE INVESTIMENTO EM DIREITOS CREDITÓRIOS - RESP LIMITADA</x:v>
      </x:c>
      <x:c r="C774" s="190" t="n">
        <x:v>168482740.66</x:v>
      </x:c>
      <x:c r="D774" s="168" t="str">
        <x:v>Artesanal Investimentos</x:v>
      </x:c>
      <x:c r="E774" s="168" t="str">
        <x:f>IFERROR(INDEX('Classif Gestoras'!$H$6:$H$462,MATCH(D774,'Classif Gestoras'!$A$6:$A$462,0)),"Não classificada")</x:f>
        <x:v>Independente</x:v>
      </x:c>
      <x:c r="F774" s="168" t="str">
        <x:v>Genial Investimentos Corretora de Valores Mobiliários S.A.</x:v>
      </x:c>
      <x:c r="G774" s="168" t="str">
        <x:v>BANCO B3 S.A.</x:v>
      </x:c>
      <x:c r="H774" s="168" t="str">
        <x:v>Outros</x:v>
      </x:c>
      <x:c r="I774" s="168" t="str">
        <x:v>Multicarteira Outros</x:v>
      </x:c>
      <x:c r="J774" s="168" t="str">
        <x:v>CI</x:v>
      </x:c>
      <x:c r="K774" s="174" t="n">
        <x:v>1337</x:v>
      </x:c>
      <x:c r="L774" s="187" t="str">
        <x:v>Proxy multicedente/multissacado — revisar</x:v>
      </x:c>
    </x:row>
    <x:row r="775">
      <x:c r="A775" s="177" t="str">
        <x:v>58.377.489/0001-03</x:v>
      </x:c>
      <x:c r="B775" s="168" t="str">
        <x:v>CNPJ 58377489000103</x:v>
      </x:c>
      <x:c r="C775" s="190" t="n">
        <x:v>168392892.62</x:v>
      </x:c>
      <x:c r="D775" s="168" t="str">
        <x:v>MAV CAPITAL GESTORA DE RECURSOS SS LTDA</x:v>
      </x:c>
      <x:c r="E775" s="168" t="str">
        <x:f>IFERROR(INDEX('Classif Gestoras'!$H$6:$H$462,MATCH(D775,'Classif Gestoras'!$A$6:$A$462,0)),"Não classificada")</x:f>
        <x:v>Independente</x:v>
      </x:c>
      <x:c r="F775" s="168" t="str">
        <x:v>Genial Investimentos Corretora de Valores Mobiliários S.A.</x:v>
      </x:c>
      <x:c r="G775" s="168" t="str">
        <x:v>Não identificado</x:v>
      </x:c>
      <x:c r="H775" s="168" t="str">
        <x:v>Agro, Indústria e Comércio</x:v>
      </x:c>
      <x:c r="I775" s="168" t="str">
        <x:v>Multicarteira Agro, Indústria e Comércio</x:v>
      </x:c>
      <x:c r="J775" s="168" t="str">
        <x:v>CI</x:v>
      </x:c>
      <x:c r="K775" s="174"/>
      <x:c r="L775" s="187" t="str">
        <x:v>Proxy multicedente/multissacado — revisar</x:v>
      </x:c>
    </x:row>
    <x:row r="776">
      <x:c r="A776" s="177" t="str">
        <x:v>54.591.932/0001-85</x:v>
      </x:c>
      <x:c r="B776" s="168" t="str">
        <x:v>CLÁSSICO FUNDO DE INVESTIMENTO EM DIREITOS CREDITÓRIOS NÃO-PADRONIZADOS</x:v>
      </x:c>
      <x:c r="C776" s="190" t="n">
        <x:v>168018160.08</x:v>
      </x:c>
      <x:c r="D776" s="168" t="str">
        <x:v>G5 Adm. de Recursos</x:v>
      </x:c>
      <x:c r="E776" s="168" t="str">
        <x:f>IFERROR(INDEX('Classif Gestoras'!$H$6:$H$462,MATCH(D776,'Classif Gestoras'!$A$6:$A$462,0)),"Não classificada")</x:f>
        <x:v>Independente</x:v>
      </x:c>
      <x:c r="F776" s="168" t="str">
        <x:v>Singulare</x:v>
      </x:c>
      <x:c r="G776" s="168" t="str">
        <x:v>QI CORRETORA DE TÍTULOS E VALORES MOBILIÁRIOS S.A.</x:v>
      </x:c>
      <x:c r="H776" s="168" t="str">
        <x:v>Outros</x:v>
      </x:c>
      <x:c r="I776" s="168" t="str">
        <x:v>Poder Público</x:v>
      </x:c>
      <x:c r="J776" s="168" t="str">
        <x:v>CI</x:v>
      </x:c>
      <x:c r="K776" s="174" t="n">
        <x:v>1</x:v>
      </x:c>
      <x:c r="L776" s="187" t="str">
        <x:v>Não classificado</x:v>
      </x:c>
    </x:row>
    <x:row r="777">
      <x:c r="A777" s="177" t="str">
        <x:v>50.653.785/0001-70</x:v>
      </x:c>
      <x:c r="B777" s="168" t="str">
        <x:v>CNPJ 50653785000170</x:v>
      </x:c>
      <x:c r="C777" s="190" t="n">
        <x:v>167882706.6136784</x:v>
      </x:c>
      <x:c r="D777" s="168" t="str">
        <x:v>Eco Gestão de Ativos LTDA.</x:v>
      </x:c>
      <x:c r="E777" s="168" t="str">
        <x:f>IFERROR(INDEX('Classif Gestoras'!$H$6:$H$462,MATCH(D777,'Classif Gestoras'!$A$6:$A$462,0)),"Não classificada")</x:f>
        <x:v>Independente</x:v>
      </x:c>
      <x:c r="F777" s="168" t="str">
        <x:v>BANCO DAYCOVAL S/A</x:v>
      </x:c>
      <x:c r="G777" s="168" t="str">
        <x:v>Não identificado</x:v>
      </x:c>
      <x:c r="H777" s="168" t="str">
        <x:v>Agro, Indústria e Comércio</x:v>
      </x:c>
      <x:c r="I777" s="168" t="str">
        <x:v>Agronegócio</x:v>
      </x:c>
      <x:c r="J777" s="168" t="str">
        <x:v>CI</x:v>
      </x:c>
      <x:c r="K777" s="174"/>
      <x:c r="L777" s="187" t="str">
        <x:v>Não classificado</x:v>
      </x:c>
    </x:row>
    <x:row r="778">
      <x:c r="A778" s="177" t="str">
        <x:v>37.484.246/0001-96</x:v>
      </x:c>
      <x:c r="B778" s="168" t="str">
        <x:v>CNPJ 37484246000196</x:v>
      </x:c>
      <x:c r="C778" s="190" t="n">
        <x:v>167868396.20000002</x:v>
      </x:c>
      <x:c r="D778" s="168" t="str">
        <x:v>Emerald Gestão de Investimento</x:v>
      </x:c>
      <x:c r="E778" s="168" t="str">
        <x:f>IFERROR(INDEX('Classif Gestoras'!$H$6:$H$462,MATCH(D778,'Classif Gestoras'!$A$6:$A$462,0)),"Não classificada")</x:f>
        <x:v>Independente</x:v>
      </x:c>
      <x:c r="F778" s="168" t="str">
        <x:v>BANCO J. SAFRA S/A</x:v>
      </x:c>
      <x:c r="G778" s="168" t="str">
        <x:v>Não identificado</x:v>
      </x:c>
      <x:c r="H778" s="168" t="str">
        <x:v>Outros</x:v>
      </x:c>
      <x:c r="I778" s="168" t="str">
        <x:v>Poder Público</x:v>
      </x:c>
      <x:c r="J778" s="168" t="str">
        <x:v>CI</x:v>
      </x:c>
      <x:c r="K778" s="174"/>
      <x:c r="L778" s="187" t="str">
        <x:v>Não classificado</x:v>
      </x:c>
    </x:row>
    <x:row r="779">
      <x:c r="A779" s="177" t="str">
        <x:v>63.934.300/0001-68</x:v>
      </x:c>
      <x:c r="B779" s="168" t="str">
        <x:v>FUNDO DE INVESTIMENTO EM DIREITOS CREDITÓRIOS CONSIGNADO EXT V-EIGHT - RESPONSABILIDADE LIMITADA</x:v>
      </x:c>
      <x:c r="C779" s="190" t="n">
        <x:v>167164295.77999997</x:v>
      </x:c>
      <x:c r="D779" s="168" t="str">
        <x:v>Ext Capital</x:v>
      </x:c>
      <x:c r="E779" s="168" t="str">
        <x:f>IFERROR(INDEX('Classif Gestoras'!$H$6:$H$462,MATCH(D779,'Classif Gestoras'!$A$6:$A$462,0)),"Não classificada")</x:f>
        <x:v>Independente</x:v>
      </x:c>
      <x:c r="F779" s="168" t="str">
        <x:v>BANCO DAYCOVAL S/A</x:v>
      </x:c>
      <x:c r="G779" s="168" t="str">
        <x:v>BANCO DAYCOVAL S.A.</x:v>
      </x:c>
      <x:c r="H779" s="168" t="str">
        <x:v>Financeiro</x:v>
      </x:c>
      <x:c r="I779" s="168" t="str">
        <x:v>Crédito Pessoal</x:v>
      </x:c>
      <x:c r="J779" s="168" t="str">
        <x:v>CI</x:v>
      </x:c>
      <x:c r="K779" s="174" t="n">
        <x:v>22</x:v>
      </x:c>
      <x:c r="L779" s="187" t="str">
        <x:v>Não classificado</x:v>
      </x:c>
    </x:row>
    <x:row r="780">
      <x:c r="A780" s="177" t="str">
        <x:v>51.983.505/0001-54</x:v>
      </x:c>
      <x:c r="B780" s="168" t="str">
        <x:v>GEAR CONSIGNADOS FUNDO DE INVESTIMENTO EM DIREITOS CREDITÓRIOS</x:v>
      </x:c>
      <x:c r="C780" s="190" t="n">
        <x:v>166893363.05</x:v>
      </x:c>
      <x:c r="D780" s="168" t="str">
        <x:v>Plural Investimentos Gestão de Recursos Ltda.</x:v>
      </x:c>
      <x:c r="E780" s="168" t="str">
        <x:f>IFERROR(INDEX('Classif Gestoras'!$H$6:$H$462,MATCH(D780,'Classif Gestoras'!$A$6:$A$462,0)),"Não classificada")</x:f>
        <x:v>Ligada a banco</x:v>
      </x:c>
      <x:c r="F780" s="168" t="str">
        <x:v>Genial Investimentos Corretora de Valores Mobiliários S.A.</x:v>
      </x:c>
      <x:c r="G780" s="168" t="str">
        <x:v>BANCO GENIAL S.A.</x:v>
      </x:c>
      <x:c r="H780" s="168" t="str">
        <x:v>Financeiro</x:v>
      </x:c>
      <x:c r="I780" s="168" t="str">
        <x:v>Crédito Consignado</x:v>
      </x:c>
      <x:c r="J780" s="168" t="str">
        <x:v>CI</x:v>
      </x:c>
      <x:c r="K780" s="174" t="n">
        <x:v>146</x:v>
      </x:c>
      <x:c r="L780" s="187" t="str">
        <x:v>Não classificado</x:v>
      </x:c>
    </x:row>
    <x:row r="781">
      <x:c r="A781" s="177" t="str">
        <x:v>28.075.236/0001-06</x:v>
      </x:c>
      <x:c r="B781" s="168" t="str">
        <x:v>SOFISA RECEBÍVEIS FUNDO DE INVESTIMENTO EM DIREITOS CREDITÓRIOS RESPONSABILIDADE LIMITADA</x:v>
      </x:c>
      <x:c r="C781" s="190" t="n">
        <x:v>166665100.71</x:v>
      </x:c>
      <x:c r="D781" s="168" t="str">
        <x:v>Solis</x:v>
      </x:c>
      <x:c r="E781" s="168" t="str">
        <x:f>IFERROR(INDEX('Classif Gestoras'!$H$6:$H$462,MATCH(D781,'Classif Gestoras'!$A$6:$A$462,0)),"Não classificada")</x:f>
        <x:v>Independente</x:v>
      </x:c>
      <x:c r="F781" s="168" t="str">
        <x:v>HEMERA DTVM</x:v>
      </x:c>
      <x:c r="G781" s="168" t="str">
        <x:v>HEMERA DISTRIBUIDORA DE TITULOS E VALORES MOBILIARIOS LTDA</x:v>
      </x:c>
      <x:c r="H781" s="168" t="str">
        <x:v>Outros</x:v>
      </x:c>
      <x:c r="I781" s="168" t="str">
        <x:v>Multicarteira Outros</x:v>
      </x:c>
      <x:c r="J781" s="168" t="str">
        <x:v>CI</x:v>
      </x:c>
      <x:c r="K781" s="174" t="n">
        <x:v>1</x:v>
      </x:c>
      <x:c r="L781" s="187" t="str">
        <x:v>Proxy multicedente/multissacado — revisar</x:v>
      </x:c>
    </x:row>
    <x:row r="782">
      <x:c r="A782" s="177" t="str">
        <x:v>34.407.714/0001-30</x:v>
      </x:c>
      <x:c r="B782" s="168" t="str">
        <x:v>FUNDO DE INVESTIMENTO EM DIREITOS CREDITORIÓS ANTECIPA RESPONSABILIDADE LIMITADA</x:v>
      </x:c>
      <x:c r="C782" s="190" t="n">
        <x:v>166607619.95</x:v>
      </x:c>
      <x:c r="D782" s="168" t="str">
        <x:v>Oliveira Trust Servicer</x:v>
      </x:c>
      <x:c r="E782" s="168" t="str">
        <x:f>IFERROR(INDEX('Classif Gestoras'!$H$6:$H$462,MATCH(D782,'Classif Gestoras'!$A$6:$A$462,0)),"Não classificada")</x:f>
        <x:v>Independente</x:v>
      </x:c>
      <x:c r="F782" s="168" t="str">
        <x:v>Oliveira Trust DTVM</x:v>
      </x:c>
      <x:c r="G782" s="168" t="str">
        <x:v>OLIVEIRA TRUST DTVM S.A.</x:v>
      </x:c>
      <x:c r="H782" s="168" t="str">
        <x:v>Outros</x:v>
      </x:c>
      <x:c r="I782" s="168" t="str">
        <x:v>Multicarteira Outros</x:v>
      </x:c>
      <x:c r="J782" s="168" t="str">
        <x:v>CI</x:v>
      </x:c>
      <x:c r="K782" s="174" t="n">
        <x:v>1</x:v>
      </x:c>
      <x:c r="L782" s="187" t="str">
        <x:v>Proxy multicedente/multissacado — revisar</x:v>
      </x:c>
    </x:row>
    <x:row r="783">
      <x:c r="A783" s="177" t="str">
        <x:v>58.238.773/0001-90</x:v>
      </x:c>
      <x:c r="B783" s="168" t="str">
        <x:v>FUNDO DE INVESTIMENTO EM DIREITOS CREDITÓRIOS CONRETORNO - RESPONSABILIDADE LIMITADA</x:v>
      </x:c>
      <x:c r="C783" s="190" t="n">
        <x:v>166594531.29</x:v>
      </x:c>
      <x:c r="D783" s="168" t="str">
        <x:v>TERA CAPITAL</x:v>
      </x:c>
      <x:c r="E783" s="168" t="str">
        <x:f>IFERROR(INDEX('Classif Gestoras'!$H$6:$H$462,MATCH(D783,'Classif Gestoras'!$A$6:$A$462,0)),"Não classificada")</x:f>
        <x:v>Independente</x:v>
      </x:c>
      <x:c r="F783" s="168" t="str">
        <x:v>BANCO DAYCOVAL S/A</x:v>
      </x:c>
      <x:c r="G783" s="168" t="str">
        <x:v>BANCO DAYCOVAL S.A.</x:v>
      </x:c>
      <x:c r="H783" s="168" t="str">
        <x:v>Outros</x:v>
      </x:c>
      <x:c r="I783" s="168" t="str">
        <x:v>Multicarteira Outros</x:v>
      </x:c>
      <x:c r="J783" s="168" t="str">
        <x:v>CI</x:v>
      </x:c>
      <x:c r="K783" s="174" t="n">
        <x:v>1</x:v>
      </x:c>
      <x:c r="L783" s="187" t="str">
        <x:v>Proxy multicedente/multissacado — revisar</x:v>
      </x:c>
    </x:row>
    <x:row r="784">
      <x:c r="A784" s="177" t="str">
        <x:v>55.938.045/0001-01</x:v>
      </x:c>
      <x:c r="B784" s="168" t="str">
        <x:v>KASTEN FUNDO DE INVESTIMENTO EM DIREITOS CREDITÓRIOS</x:v>
      </x:c>
      <x:c r="C784" s="190" t="n">
        <x:v>166501826.45000002</x:v>
      </x:c>
      <x:c r="D784" s="168" t="str">
        <x:v>KP GESTÃO DE RECURSOS LTDA.</x:v>
      </x:c>
      <x:c r="E784" s="168" t="str">
        <x:f>IFERROR(INDEX('Classif Gestoras'!$H$6:$H$462,MATCH(D784,'Classif Gestoras'!$A$6:$A$462,0)),"Não classificada")</x:f>
        <x:v>Independente</x:v>
      </x:c>
      <x:c r="F784" s="168" t="str">
        <x:v>Singulare</x:v>
      </x:c>
      <x:c r="G784" s="168" t="str">
        <x:v>QI CORRETORA DE TÍTULOS E VALORES MOBILIÁRIOS S.A.</x:v>
      </x:c>
      <x:c r="H784" s="168" t="str">
        <x:v>Outros</x:v>
      </x:c>
      <x:c r="I784" s="168" t="str">
        <x:v>Multicarteira Outros</x:v>
      </x:c>
      <x:c r="J784" s="168" t="str">
        <x:v>CI</x:v>
      </x:c>
      <x:c r="K784" s="174" t="n">
        <x:v>3</x:v>
      </x:c>
      <x:c r="L784" s="187" t="str">
        <x:v>Proxy multicedente/multissacado — revisar</x:v>
      </x:c>
    </x:row>
    <x:row r="785">
      <x:c r="A785" s="177" t="str">
        <x:v>31.844.721/0001-01</x:v>
      </x:c>
      <x:c r="B785" s="168" t="str">
        <x:v>PONTUAL BRASIL FUNDO DE INVESTIMENTO EM DIREITOS CREDITÓRIOS MULTISSETORIAL - RESPONSABILIDADE LIMIT</x:v>
      </x:c>
      <x:c r="C785" s="190" t="n">
        <x:v>166135072.89000002</x:v>
      </x:c>
      <x:c r="D785" s="168" t="str">
        <x:v>OURO PRETO INVESTIMENTOS</x:v>
      </x:c>
      <x:c r="E785" s="168" t="str">
        <x:f>IFERROR(INDEX('Classif Gestoras'!$H$6:$H$462,MATCH(D785,'Classif Gestoras'!$A$6:$A$462,0)),"Não classificada")</x:f>
        <x:v>Independente</x:v>
      </x:c>
      <x:c r="F785" s="168" t="str">
        <x:v>Singulare</x:v>
      </x:c>
      <x:c r="G785" s="168" t="str">
        <x:v>QI CORRETORA DE TÍTULOS E VALORES MOBILIÁRIOS S.A.</x:v>
      </x:c>
      <x:c r="H785" s="168" t="str">
        <x:v>Fomento Mercantil</x:v>
      </x:c>
      <x:c r="I785" s="168" t="str">
        <x:v>Fomento Mercantil</x:v>
      </x:c>
      <x:c r="J785" s="168" t="str">
        <x:v>CI</x:v>
      </x:c>
      <x:c r="K785" s="174" t="n">
        <x:v>2</x:v>
      </x:c>
      <x:c r="L785" s="187" t="str">
        <x:v>Não classificado</x:v>
      </x:c>
    </x:row>
    <x:row r="786">
      <x:c r="A786" s="177" t="str">
        <x:v>54.349.601/0001-33</x:v>
      </x:c>
      <x:c r="B786" s="168" t="str">
        <x:v>AERIS FIDC - INDÚSTRIA E COMÉRCIO - RESPONSABILIDADE LIMITADA</x:v>
      </x:c>
      <x:c r="C786" s="190" t="n">
        <x:v>165854001</x:v>
      </x:c>
      <x:c r="D786" s="168" t="str">
        <x:v>UC Gestora de Recursos</x:v>
      </x:c>
      <x:c r="E786" s="168" t="str">
        <x:f>IFERROR(INDEX('Classif Gestoras'!$H$6:$H$462,MATCH(D786,'Classif Gestoras'!$A$6:$A$462,0)),"Não classificada")</x:f>
        <x:v>Independente</x:v>
      </x:c>
      <x:c r="F786" s="168" t="str">
        <x:v>Singulare</x:v>
      </x:c>
      <x:c r="G786" s="168" t="str">
        <x:v>QI CORRETORA DE TÍTULOS E VALORES MOBILIÁRIOS S.A.</x:v>
      </x:c>
      <x:c r="H786" s="168" t="str">
        <x:v>Agro, Indústria e Comércio</x:v>
      </x:c>
      <x:c r="I786" s="168" t="str">
        <x:v>Multicarteira Agro, Indústria e Comércio</x:v>
      </x:c>
      <x:c r="J786" s="168" t="str">
        <x:v>CI</x:v>
      </x:c>
      <x:c r="K786" s="174" t="n">
        <x:v>20</x:v>
      </x:c>
      <x:c r="L786" s="187" t="str">
        <x:v>Proxy multicedente/multissacado — revisar</x:v>
      </x:c>
    </x:row>
    <x:row r="787">
      <x:c r="A787" s="177" t="str">
        <x:v>55.364.540/0001-46</x:v>
      </x:c>
      <x:c r="B787" s="168" t="str">
        <x:v>ANGÁ FGTS IV FUNDO DE INVESTIMENTO EM DIREITOS CREDITÓRIOS</x:v>
      </x:c>
      <x:c r="C787" s="190" t="n">
        <x:v>165577862.82</x:v>
      </x:c>
      <x:c r="D787" s="168" t="str">
        <x:v>ANGÁ ASSET MANAGEMENT</x:v>
      </x:c>
      <x:c r="E787" s="168" t="str">
        <x:f>IFERROR(INDEX('Classif Gestoras'!$H$6:$H$462,MATCH(D787,'Classif Gestoras'!$A$6:$A$462,0)),"Não classificada")</x:f>
        <x:v>Independente</x:v>
      </x:c>
      <x:c r="F787" s="168" t="str">
        <x:v>BANCO DAYCOVAL S/A</x:v>
      </x:c>
      <x:c r="G787" s="168" t="str">
        <x:v>BANCO DAYCOVAL S.A.</x:v>
      </x:c>
      <x:c r="H787" s="168" t="str">
        <x:v>Financeiro</x:v>
      </x:c>
      <x:c r="I787" s="168" t="str">
        <x:v>Crédito Pessoal</x:v>
      </x:c>
      <x:c r="J787" s="168" t="str">
        <x:v>CI</x:v>
      </x:c>
      <x:c r="K787" s="174" t="n">
        <x:v>27</x:v>
      </x:c>
      <x:c r="L787" s="187" t="str">
        <x:v>Não classificado</x:v>
      </x:c>
    </x:row>
    <x:row r="788">
      <x:c r="A788" s="177" t="str">
        <x:v>49.427.492/0001-95</x:v>
      </x:c>
      <x:c r="B788" s="168" t="str">
        <x:v>IBITIPOCA FUNDO DE INVESTIMENTO EM DIREITOS CREDITÓRIOS NÃO-PADRONIZADOS</x:v>
      </x:c>
      <x:c r="C788" s="190" t="n">
        <x:v>165425509.60999998</x:v>
      </x:c>
      <x:c r="D788" s="168" t="str">
        <x:v>ASAROCK ASSET MANAGEMENT</x:v>
      </x:c>
      <x:c r="E788" s="168" t="str">
        <x:f>IFERROR(INDEX('Classif Gestoras'!$H$6:$H$462,MATCH(D788,'Classif Gestoras'!$A$6:$A$462,0)),"Não classificada")</x:f>
        <x:v>Independente</x:v>
      </x:c>
      <x:c r="F788" s="168" t="str">
        <x:v>PLANNER CV</x:v>
      </x:c>
      <x:c r="G788" s="168" t="str">
        <x:v>PLANNER CORRETORA DE VALORES S.A.</x:v>
      </x:c>
      <x:c r="H788" s="168" t="str">
        <x:v>Outros</x:v>
      </x:c>
      <x:c r="I788" s="168" t="str">
        <x:v>Multicarteira Outros</x:v>
      </x:c>
      <x:c r="J788" s="168" t="str">
        <x:v>CI</x:v>
      </x:c>
      <x:c r="K788" s="174" t="n">
        <x:v>3</x:v>
      </x:c>
      <x:c r="L788" s="187" t="str">
        <x:v>Proxy multicedente/multissacado — revisar</x:v>
      </x:c>
    </x:row>
    <x:row r="789">
      <x:c r="A789" s="177" t="str">
        <x:v>58.476.088/0001-00</x:v>
      </x:c>
      <x:c r="B789" s="168" t="str">
        <x:v>SAGA FUNDO DE INVESTIMENTO EM DIREITOS CREDITÓRIOS CRÉDITO PRIVADO - RESPONSABILIDADE LIMITADA</x:v>
      </x:c>
      <x:c r="C789" s="190" t="n">
        <x:v>165270005.59</x:v>
      </x:c>
      <x:c r="D789" s="168" t="str">
        <x:v>Oliveira Trust Servicer</x:v>
      </x:c>
      <x:c r="E789" s="168" t="str">
        <x:f>IFERROR(INDEX('Classif Gestoras'!$H$6:$H$462,MATCH(D789,'Classif Gestoras'!$A$6:$A$462,0)),"Não classificada")</x:f>
        <x:v>Independente</x:v>
      </x:c>
      <x:c r="F789" s="168" t="str">
        <x:v>Oliveira Trust DTVM</x:v>
      </x:c>
      <x:c r="G789" s="168" t="str">
        <x:v>OLIVEIRA TRUST DTVM S.A.</x:v>
      </x:c>
      <x:c r="H789" s="168" t="str">
        <x:v>Agro, Indústria e Comércio</x:v>
      </x:c>
      <x:c r="I789" s="168" t="str">
        <x:v>Recebíveis Comerciais</x:v>
      </x:c>
      <x:c r="J789" s="168" t="str">
        <x:v>CI</x:v>
      </x:c>
      <x:c r="K789" s="174" t="n">
        <x:v>21</x:v>
      </x:c>
      <x:c r="L789" s="187" t="str">
        <x:v>Não classificado</x:v>
      </x:c>
    </x:row>
    <x:row r="790">
      <x:c r="A790" s="177" t="str">
        <x:v>55.106.118/0001-90</x:v>
      </x:c>
      <x:c r="B790" s="168" t="str">
        <x:v>DBANK FUNDO DE INVESTIMENTO EM DIREITOS CREDITÓRIOS DE RESPONSABILIDADE LIMITADA</x:v>
      </x:c>
      <x:c r="C790" s="190" t="n">
        <x:v>165188598.48</x:v>
      </x:c>
      <x:c r="D790" s="168" t="str">
        <x:v>Catálise Investimentos</x:v>
      </x:c>
      <x:c r="E790" s="168" t="str">
        <x:f>IFERROR(INDEX('Classif Gestoras'!$H$6:$H$462,MATCH(D790,'Classif Gestoras'!$A$6:$A$462,0)),"Não classificada")</x:f>
        <x:v>Independente</x:v>
      </x:c>
      <x:c r="F790" s="168" t="str">
        <x:v>CATÁLISE DTVM</x:v>
      </x:c>
      <x:c r="G790" s="168" t="str">
        <x:v>BANCO DAYCOVAL S.A.</x:v>
      </x:c>
      <x:c r="H790" s="168" t="str">
        <x:v>Agro, Indústria e Comércio</x:v>
      </x:c>
      <x:c r="I790" s="168" t="str">
        <x:v>Multicarteira Agro, Indústria e Comércio</x:v>
      </x:c>
      <x:c r="J790" s="168" t="str">
        <x:v>CI</x:v>
      </x:c>
      <x:c r="K790" s="174" t="n">
        <x:v>3</x:v>
      </x:c>
      <x:c r="L790" s="187" t="str">
        <x:v>Proxy multicedente/multissacado — revisar</x:v>
      </x:c>
    </x:row>
    <x:row r="791">
      <x:c r="A791" s="177" t="str">
        <x:v>36.729.755/0001-79</x:v>
      </x:c>
      <x:c r="B791" s="168" t="str">
        <x:v>GALÁPAGOS DRAGON FUNDO DE INVESTIMENTO EM DIREITOS CREDITÓRIOS</x:v>
      </x:c>
      <x:c r="C791" s="190" t="n">
        <x:v>165181669.40740004</x:v>
      </x:c>
      <x:c r="D791" s="168" t="str">
        <x:v>Galápagos</x:v>
      </x:c>
      <x:c r="E791" s="168" t="str">
        <x:f>IFERROR(INDEX('Classif Gestoras'!$H$6:$H$462,MATCH(D791,'Classif Gestoras'!$A$6:$A$462,0)),"Não classificada")</x:f>
        <x:v>Independente</x:v>
      </x:c>
      <x:c r="F791" s="168" t="str">
        <x:v>BTG Pactual Servicos Financeiros S/A DTVM</x:v>
      </x:c>
      <x:c r="G791" s="168" t="str">
        <x:v>BANCO BTG PACTUAL S/A</x:v>
      </x:c>
      <x:c r="H791" s="168" t="str">
        <x:v>Outros</x:v>
      </x:c>
      <x:c r="I791" s="168" t="str">
        <x:v>Multicarteira Outros</x:v>
      </x:c>
      <x:c r="J791" s="168" t="str">
        <x:v>CI</x:v>
      </x:c>
      <x:c r="K791" s="174" t="n">
        <x:v>1561</x:v>
      </x:c>
      <x:c r="L791" s="187" t="str">
        <x:v>Proxy multicedente/multissacado — revisar</x:v>
      </x:c>
    </x:row>
    <x:row r="792">
      <x:c r="A792" s="177" t="str">
        <x:v>47.984.241/0001-86</x:v>
      </x:c>
      <x:c r="B792" s="168" t="str">
        <x:v>JUGIS I PRECATÓRIOS FUNDO DE INVESTIMENTO EM DIREITOS CREDITÓRIOS</x:v>
      </x:c>
      <x:c r="C792" s="190" t="n">
        <x:v>164459950.36</x:v>
      </x:c>
      <x:c r="D792" s="168" t="str">
        <x:v>JUGIS CAPITAL GESTÃO DE RECURSOS LTDA.</x:v>
      </x:c>
      <x:c r="E792" s="168" t="str">
        <x:f>IFERROR(INDEX('Classif Gestoras'!$H$6:$H$462,MATCH(D792,'Classif Gestoras'!$A$6:$A$462,0)),"Não classificada")</x:f>
        <x:v>Independente</x:v>
      </x:c>
      <x:c r="F792" s="168" t="str">
        <x:v>MAF Distribuidora de Títulos e Valores Mobiliários S.A.</x:v>
      </x:c>
      <x:c r="G792" s="168" t="str">
        <x:v>MAF DISTRIBUIDORA DE TITULOS E VALORES MOBILIARIOS S.A.</x:v>
      </x:c>
      <x:c r="H792" s="168" t="str">
        <x:v>Outros</x:v>
      </x:c>
      <x:c r="I792" s="168" t="str">
        <x:v>Poder Público</x:v>
      </x:c>
      <x:c r="J792" s="168" t="str">
        <x:v>CI</x:v>
      </x:c>
      <x:c r="K792" s="174" t="n">
        <x:v>1</x:v>
      </x:c>
      <x:c r="L792" s="187" t="str">
        <x:v>Não classificado</x:v>
      </x:c>
    </x:row>
    <x:row r="793">
      <x:c r="A793" s="177" t="str">
        <x:v>62.552.447/0001-20</x:v>
      </x:c>
      <x:c r="B793" s="168" t="str">
        <x:v>V CDT 1 FUNDO DE INVESTIMENTO EM DIREITOS CREDITÓRIOS RESPONSABILIDADE LIMITADA</x:v>
      </x:c>
      <x:c r="C793" s="190" t="n">
        <x:v>164182708.87</x:v>
      </x:c>
      <x:c r="D793" s="168" t="str">
        <x:v>BTG Pactual Asset</x:v>
      </x:c>
      <x:c r="E793" s="168" t="str">
        <x:f>IFERROR(INDEX('Classif Gestoras'!$H$6:$H$462,MATCH(D793,'Classif Gestoras'!$A$6:$A$462,0)),"Não classificada")</x:f>
        <x:v>Ligada a banco</x:v>
      </x:c>
      <x:c r="F793" s="168" t="str">
        <x:v>BTG Pactual Servicos Financeiros S/A DTVM</x:v>
      </x:c>
      <x:c r="G793" s="168" t="str">
        <x:v>BANCO BTG PACTUAL S/A</x:v>
      </x:c>
      <x:c r="H793" s="168" t="str">
        <x:v>Financeiro</x:v>
      </x:c>
      <x:c r="I793" s="168" t="str">
        <x:v>Multicarteira Financeiro</x:v>
      </x:c>
      <x:c r="J793" s="168" t="str">
        <x:v>CI</x:v>
      </x:c>
      <x:c r="K793" s="174" t="n">
        <x:v>3</x:v>
      </x:c>
      <x:c r="L793" s="187" t="str">
        <x:v>Proxy multicedente/multissacado — revisar</x:v>
      </x:c>
    </x:row>
    <x:row r="794">
      <x:c r="A794" s="177" t="str">
        <x:v>58.215.693/0001-10</x:v>
      </x:c>
      <x:c r="B794" s="168" t="str">
        <x:v>SEGUE ÁRTICO FUNDO DE INVESTIMENTO EM DIREITOS CREDITÓRIOS FINANCEIRO RESPONSABILIDADE LIMITADA</x:v>
      </x:c>
      <x:c r="C794" s="190" t="n">
        <x:v>163982858.7</x:v>
      </x:c>
      <x:c r="D794" s="168" t="str">
        <x:v>VALORA RENDA FIXA ESTRUTURADOS LTDA.</x:v>
      </x:c>
      <x:c r="E794" s="168" t="str">
        <x:f>IFERROR(INDEX('Classif Gestoras'!$H$6:$H$462,MATCH(D794,'Classif Gestoras'!$A$6:$A$462,0)),"Não classificada")</x:f>
        <x:v>Independente</x:v>
      </x:c>
      <x:c r="F794" s="168" t="str">
        <x:v>VERT Distribuidora de Títulos e Valores Mobiliários Ltd</x:v>
      </x:c>
      <x:c r="G794" s="168" t="str">
        <x:v>VERT DISTRIBUIDORA DE TÍTULOS E VALORES MOBILIÁRIOS LTDA.</x:v>
      </x:c>
      <x:c r="H794" s="168" t="str">
        <x:v>Financeiro</x:v>
      </x:c>
      <x:c r="I794" s="168" t="str">
        <x:v>Crédito Consignado</x:v>
      </x:c>
      <x:c r="J794" s="168" t="str">
        <x:v>CI</x:v>
      </x:c>
      <x:c r="K794" s="174" t="n">
        <x:v>11</x:v>
      </x:c>
      <x:c r="L794" s="187" t="str">
        <x:v>Não classificado</x:v>
      </x:c>
    </x:row>
    <x:row r="795">
      <x:c r="A795" s="177" t="str">
        <x:v>43.721.652/0001-28</x:v>
      </x:c>
      <x:c r="B795" s="168" t="str">
        <x:v>TELCOBANK I FUNDO DE INVESTIMENTO EM DIREITOS CREDITÓRIOS RESPONSABILIDADE LIMITADA</x:v>
      </x:c>
      <x:c r="C795" s="190" t="n">
        <x:v>163554978.76999998</x:v>
      </x:c>
      <x:c r="D795" s="168" t="str">
        <x:v>IDGR</x:v>
      </x:c>
      <x:c r="E795" s="168" t="str">
        <x:f>IFERROR(INDEX('Classif Gestoras'!$H$6:$H$462,MATCH(D795,'Classif Gestoras'!$A$6:$A$462,0)),"Não classificada")</x:f>
        <x:v>Independente</x:v>
      </x:c>
      <x:c r="F795" s="168" t="str">
        <x:v>ID Corretora de Títulos e Valores Mobiliários S.A.</x:v>
      </x:c>
      <x:c r="G795" s="168" t="str">
        <x:v>VORTX DISTRIBUIDORA DE TITULOS E VALORES MOBILIARIOS LTDA.</x:v>
      </x:c>
      <x:c r="H795" s="168" t="str">
        <x:v>Fomento Mercantil</x:v>
      </x:c>
      <x:c r="I795" s="168" t="str">
        <x:v>Fomento Mercantil</x:v>
      </x:c>
      <x:c r="J795" s="168" t="str">
        <x:v>CI</x:v>
      </x:c>
      <x:c r="K795" s="174" t="n">
        <x:v>91</x:v>
      </x:c>
      <x:c r="L795" s="187" t="str">
        <x:v>Não classificado</x:v>
      </x:c>
    </x:row>
    <x:row r="796">
      <x:c r="A796" s="177" t="str">
        <x:v>58.922.423/0001-49</x:v>
      </x:c>
      <x:c r="B796" s="168" t="str">
        <x:v>PBG SUPPLIERS - FUNDO DE INVESTIMENTO EM DIREITOS CREDITÓRIO</x:v>
      </x:c>
      <x:c r="C796" s="190" t="n">
        <x:v>163405494.60000002</x:v>
      </x:c>
      <x:c r="D796" s="168" t="str">
        <x:v>Kanastra</x:v>
      </x:c>
      <x:c r="E796" s="168" t="str">
        <x:f>IFERROR(INDEX('Classif Gestoras'!$H$6:$H$462,MATCH(D796,'Classif Gestoras'!$A$6:$A$462,0)),"Não classificada")</x:f>
        <x:v>Independente</x:v>
      </x:c>
      <x:c r="F796" s="168" t="str">
        <x:v>Limine Trust Distribuidora de Titulos e Valores Mobiliá</x:v>
      </x:c>
      <x:c r="G796" s="168" t="str">
        <x:v>LIMINE TRUST DISTRIBUIDORA DE TITULOS E VALORES MOBILIARIOS LTDA.</x:v>
      </x:c>
      <x:c r="H796" s="168" t="str">
        <x:v>Outros</x:v>
      </x:c>
      <x:c r="I796" s="168" t="str">
        <x:v>Multicarteira Outros</x:v>
      </x:c>
      <x:c r="J796" s="168" t="str">
        <x:v>CI</x:v>
      </x:c>
      <x:c r="K796" s="174" t="n">
        <x:v>3</x:v>
      </x:c>
      <x:c r="L796" s="187" t="str">
        <x:v>Proxy multicedente/multissacado — revisar</x:v>
      </x:c>
    </x:row>
    <x:row r="797">
      <x:c r="A797" s="177" t="str">
        <x:v>40.054.828/0001-47</x:v>
      </x:c>
      <x:c r="B797" s="168" t="str">
        <x:v>GAIA FUNDO DE INVESTIMENTO EM DIREITOS CREDITÓRIOS NÃO-PADRONIZADOS</x:v>
      </x:c>
      <x:c r="C797" s="190" t="n">
        <x:v>162868508.25</x:v>
      </x:c>
      <x:c r="D797" s="168" t="str">
        <x:v>Jus Capital Gestão de Recursos LTDA</x:v>
      </x:c>
      <x:c r="E797" s="168" t="str">
        <x:f>IFERROR(INDEX('Classif Gestoras'!$H$6:$H$462,MATCH(D797,'Classif Gestoras'!$A$6:$A$462,0)),"Não classificada")</x:f>
        <x:v>Independente</x:v>
      </x:c>
      <x:c r="F797" s="168" t="str">
        <x:v>BTG Pactual Servicos Financeiros S/A DTVM</x:v>
      </x:c>
      <x:c r="G797" s="168" t="str">
        <x:v>BANCO BTG PACTUAL S/A</x:v>
      </x:c>
      <x:c r="H797" s="168" t="str">
        <x:v>Outros</x:v>
      </x:c>
      <x:c r="I797" s="168" t="str">
        <x:v>Poder Público</x:v>
      </x:c>
      <x:c r="J797" s="168" t="str">
        <x:v>CI</x:v>
      </x:c>
      <x:c r="K797" s="174" t="n">
        <x:v>4</x:v>
      </x:c>
      <x:c r="L797" s="187" t="str">
        <x:v>Não classificado</x:v>
      </x:c>
    </x:row>
    <x:row r="798">
      <x:c r="A798" s="177" t="str">
        <x:v>42.513.808/0001-12</x:v>
      </x:c>
      <x:c r="B798" s="168" t="str">
        <x:v>CNPJ 42513808000112</x:v>
      </x:c>
      <x:c r="C798" s="190" t="n">
        <x:v>162464960.39</x:v>
      </x:c>
      <x:c r="D798" s="168" t="str">
        <x:v>Emerald Gestão de Investimento</x:v>
      </x:c>
      <x:c r="E798" s="168" t="str">
        <x:f>IFERROR(INDEX('Classif Gestoras'!$H$6:$H$462,MATCH(D798,'Classif Gestoras'!$A$6:$A$462,0)),"Não classificada")</x:f>
        <x:v>Independente</x:v>
      </x:c>
      <x:c r="F798" s="168" t="str">
        <x:v>BANCO J. SAFRA S/A</x:v>
      </x:c>
      <x:c r="G798" s="168" t="str">
        <x:v>Não identificado</x:v>
      </x:c>
      <x:c r="H798" s="168" t="str">
        <x:v>Outros</x:v>
      </x:c>
      <x:c r="I798" s="168" t="str">
        <x:v>Poder Público</x:v>
      </x:c>
      <x:c r="J798" s="168" t="str">
        <x:v>CI</x:v>
      </x:c>
      <x:c r="K798" s="174"/>
      <x:c r="L798" s="187" t="str">
        <x:v>Não classificado</x:v>
      </x:c>
    </x:row>
    <x:row r="799">
      <x:c r="A799" s="177" t="str">
        <x:v>62.543.802/0001-03</x:v>
      </x:c>
      <x:c r="B799" s="168" t="str">
        <x:v>PINE LIFT I CARTÃO INSS FIDC - RESP LIMITADA</x:v>
      </x:c>
      <x:c r="C799" s="190" t="n">
        <x:v>162325173.02</x:v>
      </x:c>
      <x:c r="D799" s="168" t="str">
        <x:v>Namari Capital Gestão de Recursos Ltda.</x:v>
      </x:c>
      <x:c r="E799" s="168" t="str">
        <x:f>IFERROR(INDEX('Classif Gestoras'!$H$6:$H$462,MATCH(D799,'Classif Gestoras'!$A$6:$A$462,0)),"Não classificada")</x:f>
        <x:v>Independente</x:v>
      </x:c>
      <x:c r="F799" s="168" t="str">
        <x:v>BANCO DAYCOVAL S/A</x:v>
      </x:c>
      <x:c r="G799" s="168" t="str">
        <x:v>BANCO DAYCOVAL S.A.</x:v>
      </x:c>
      <x:c r="H799" s="168" t="str">
        <x:v>Financeiro</x:v>
      </x:c>
      <x:c r="I799" s="168" t="str">
        <x:v>Crédito Consignado</x:v>
      </x:c>
      <x:c r="J799" s="168" t="str">
        <x:v>CI</x:v>
      </x:c>
      <x:c r="K799" s="174" t="n">
        <x:v>17</x:v>
      </x:c>
      <x:c r="L799" s="187" t="str">
        <x:v>Não classificado</x:v>
      </x:c>
    </x:row>
    <x:row r="800">
      <x:c r="A800" s="177" t="str">
        <x:v>58.396.668/0001-80</x:v>
      </x:c>
      <x:c r="B800" s="168" t="str">
        <x:v>TECNOMYL III FUNDO DE INVESTIMENTO EM DIREITOS CREDITÓRIOS - AGRONEGÓCIO</x:v>
      </x:c>
      <x:c r="C800" s="190" t="n">
        <x:v>162268548.95999998</x:v>
      </x:c>
      <x:c r="D800" s="168" t="str">
        <x:v>Sabrina Ribeiro Molina</x:v>
      </x:c>
      <x:c r="E800" s="168" t="str">
        <x:f>IFERROR(INDEX('Classif Gestoras'!$H$6:$H$462,MATCH(D800,'Classif Gestoras'!$A$6:$A$462,0)),"Não classificada")</x:f>
        <x:v>Independente</x:v>
      </x:c>
      <x:c r="F800" s="168" t="str">
        <x:v>Singulare</x:v>
      </x:c>
      <x:c r="G800" s="168" t="str">
        <x:v>QI CORRETORA DE TÍTULOS E VALORES MOBILIÁRIOS S.A.</x:v>
      </x:c>
      <x:c r="H800" s="168" t="str">
        <x:v>Outros</x:v>
      </x:c>
      <x:c r="I800" s="168" t="str">
        <x:v>Multicarteira Outros</x:v>
      </x:c>
      <x:c r="J800" s="168" t="str">
        <x:v>CI</x:v>
      </x:c>
      <x:c r="K800" s="174" t="n">
        <x:v>10</x:v>
      </x:c>
      <x:c r="L800" s="187" t="str">
        <x:v>Proxy multicedente/multissacado — revisar</x:v>
      </x:c>
    </x:row>
    <x:row r="801">
      <x:c r="A801" s="177" t="str">
        <x:v>42.404.659/0001-53</x:v>
      </x:c>
      <x:c r="B801" s="168" t="str">
        <x:v>ARCESP CONSIGNADO FUNDO DE INVESTIMENTO EM DIREITOS CREDITÓRIOS</x:v>
      </x:c>
      <x:c r="C801" s="190" t="n">
        <x:v>162249457.6</x:v>
      </x:c>
      <x:c r="D801" s="168" t="str">
        <x:v>OPEA GESTORA DE RECURSOS</x:v>
      </x:c>
      <x:c r="E801" s="168" t="str">
        <x:f>IFERROR(INDEX('Classif Gestoras'!$H$6:$H$462,MATCH(D801,'Classif Gestoras'!$A$6:$A$462,0)),"Não classificada")</x:f>
        <x:v>Independente</x:v>
      </x:c>
      <x:c r="F801" s="168" t="str">
        <x:v>VÓRTX DTVM</x:v>
      </x:c>
      <x:c r="G801" s="168" t="str">
        <x:v>VORTX DISTRIBUIDORA DE TITULOS E VALORES MOBILIARIOS LTDA.</x:v>
      </x:c>
      <x:c r="H801" s="168" t="str">
        <x:v>Financeiro</x:v>
      </x:c>
      <x:c r="I801" s="168" t="str">
        <x:v>Crédito Consignado</x:v>
      </x:c>
      <x:c r="J801" s="168" t="str">
        <x:v>CI</x:v>
      </x:c>
      <x:c r="K801" s="174" t="n">
        <x:v>64</x:v>
      </x:c>
      <x:c r="L801" s="187" t="str">
        <x:v>Não classificado</x:v>
      </x:c>
    </x:row>
    <x:row r="802">
      <x:c r="A802" s="177" t="str">
        <x:v>17.198.822/0001-21</x:v>
      </x:c>
      <x:c r="B802" s="168" t="str">
        <x:v>ROVENSA FUNDO DE INVESTIMENTO EM DIREITOS CREDITÓRIOS AGRONEGÓCIO RESPONSABILIDADE LIMITADA</x:v>
      </x:c>
      <x:c r="C802" s="190" t="n">
        <x:v>161637758.45999998</x:v>
      </x:c>
      <x:c r="D802" s="168" t="str">
        <x:v>Eco Gestão de Ativos LTDA.</x:v>
      </x:c>
      <x:c r="E802" s="168" t="str">
        <x:f>IFERROR(INDEX('Classif Gestoras'!$H$6:$H$462,MATCH(D802,'Classif Gestoras'!$A$6:$A$462,0)),"Não classificada")</x:f>
        <x:v>Independente</x:v>
      </x:c>
      <x:c r="F802" s="168" t="str">
        <x:v>Finaxis Corretora de Títulos e Valores Mobiliários S.A.</x:v>
      </x:c>
      <x:c r="G802" s="168" t="str">
        <x:v>BANCO FINAXIS S.A.</x:v>
      </x:c>
      <x:c r="H802" s="168" t="str">
        <x:v>Agro, Indústria e Comércio</x:v>
      </x:c>
      <x:c r="I802" s="168" t="str">
        <x:v>Agronegócio</x:v>
      </x:c>
      <x:c r="J802" s="168" t="str">
        <x:v>CI</x:v>
      </x:c>
      <x:c r="K802" s="174" t="n">
        <x:v>5</x:v>
      </x:c>
      <x:c r="L802" s="187" t="str">
        <x:v>Não classificado</x:v>
      </x:c>
    </x:row>
    <x:row r="803">
      <x:c r="A803" s="177" t="str">
        <x:v>63.428.693/0001-38</x:v>
      </x:c>
      <x:c r="B803" s="168" t="str">
        <x:v>AVEIRO FUNDO DE INVESTIMENTO EM DIREITOS CREDITÓRIOS</x:v>
      </x:c>
      <x:c r="C803" s="190" t="n">
        <x:v>161031120.01</x:v>
      </x:c>
      <x:c r="D803" s="168" t="str">
        <x:v>Acura Gestora de Recursos LTDA.</x:v>
      </x:c>
      <x:c r="E803" s="168" t="str">
        <x:f>IFERROR(INDEX('Classif Gestoras'!$H$6:$H$462,MATCH(D803,'Classif Gestoras'!$A$6:$A$462,0)),"Não classificada")</x:f>
        <x:v>Independente</x:v>
      </x:c>
      <x:c r="F803" s="168" t="str">
        <x:v>SEFER DTVM</x:v>
      </x:c>
      <x:c r="G803" s="168" t="str">
        <x:v>SEFER INVESTIMENTOS DISTRIBUIDORA DE TÍTULOS E VALORES MOBILIÁRIOS LTDA.</x:v>
      </x:c>
      <x:c r="H803" s="168" t="str">
        <x:v>Outros</x:v>
      </x:c>
      <x:c r="I803" s="168" t="str">
        <x:v>Multicarteira Outros</x:v>
      </x:c>
      <x:c r="J803" s="168" t="str">
        <x:v>CI</x:v>
      </x:c>
      <x:c r="K803" s="174" t="n">
        <x:v>7</x:v>
      </x:c>
      <x:c r="L803" s="187" t="str">
        <x:v>Proxy multicedente/multissacado — revisar</x:v>
      </x:c>
    </x:row>
    <x:row r="804">
      <x:c r="A804" s="177" t="str">
        <x:v>52.892.178/0001-98</x:v>
      </x:c>
      <x:c r="B804" s="168" t="str">
        <x:v>CISS FUNDO DE INVESTIMENTO EM DIREITOS CREDITÓRIOS PRESTAÇÃO DE SERVIÇOS</x:v>
      </x:c>
      <x:c r="C804" s="190" t="n">
        <x:v>160302916.4</x:v>
      </x:c>
      <x:c r="D804" s="168" t="str">
        <x:v>VALORA RENDA FIXA ESTRUTURADOS LTDA.</x:v>
      </x:c>
      <x:c r="E804" s="168" t="str">
        <x:f>IFERROR(INDEX('Classif Gestoras'!$H$6:$H$462,MATCH(D804,'Classif Gestoras'!$A$6:$A$462,0)),"Não classificada")</x:f>
        <x:v>Independente</x:v>
      </x:c>
      <x:c r="F804" s="168" t="str">
        <x:v>BANCO DAYCOVAL S/A</x:v>
      </x:c>
      <x:c r="G804" s="168" t="str">
        <x:v>BANCO DAYCOVAL S.A.</x:v>
      </x:c>
      <x:c r="H804" s="168" t="str">
        <x:v>Agro, Indústria e Comércio</x:v>
      </x:c>
      <x:c r="I804" s="168" t="str">
        <x:v>Recebíveis Comerciais</x:v>
      </x:c>
      <x:c r="J804" s="168" t="str">
        <x:v>CI</x:v>
      </x:c>
      <x:c r="K804" s="174" t="n">
        <x:v>71</x:v>
      </x:c>
      <x:c r="L804" s="187" t="str">
        <x:v>Não classificado</x:v>
      </x:c>
    </x:row>
    <x:row r="805">
      <x:c r="A805" s="177" t="str">
        <x:v>45.683.318/0001-52</x:v>
      </x:c>
      <x:c r="B805" s="168" t="str">
        <x:v>JGP FUNDO DE INVESTIMENTO EM DIREITOS CREDITÓRIOS HIGH YIELD - RESPONSABILIDADE LIMITADA</x:v>
      </x:c>
      <x:c r="C805" s="190" t="n">
        <x:v>160086079.97</x:v>
      </x:c>
      <x:c r="D805" s="168" t="str">
        <x:v>JGP Gestão de Crédito LTDA.</x:v>
      </x:c>
      <x:c r="E805" s="168" t="str">
        <x:f>IFERROR(INDEX('Classif Gestoras'!$H$6:$H$462,MATCH(D805,'Classif Gestoras'!$A$6:$A$462,0)),"Não classificada")</x:f>
        <x:v>Independente</x:v>
      </x:c>
      <x:c r="F805" s="168" t="str">
        <x:v>BNY MELLON SERVICOS</x:v>
      </x:c>
      <x:c r="G805" s="168" t="str">
        <x:v>BNY MELLON BANCO S.A.</x:v>
      </x:c>
      <x:c r="H805" s="168" t="str">
        <x:v>Outros</x:v>
      </x:c>
      <x:c r="I805" s="168" t="str">
        <x:v>Multicarteira Outros</x:v>
      </x:c>
      <x:c r="J805" s="168" t="str">
        <x:v>CI</x:v>
      </x:c>
      <x:c r="K805" s="174" t="n">
        <x:v>8</x:v>
      </x:c>
      <x:c r="L805" s="187" t="str">
        <x:v>Proxy multicedente/multissacado — revisar</x:v>
      </x:c>
    </x:row>
    <x:row r="806">
      <x:c r="A806" s="177" t="str">
        <x:v>57.619.773/0001-78</x:v>
      </x:c>
      <x:c r="B806" s="168" t="str">
        <x:v>PLGN VIC FUNDO DE INVESTIMENTO EM DIREITOS CREDITÓRIOS</x:v>
      </x:c>
      <x:c r="C806" s="190" t="n">
        <x:v>160065144.71</x:v>
      </x:c>
      <x:c r="D806" s="168" t="str">
        <x:v>POLÍGONO CAPITAL LTDA.</x:v>
      </x:c>
      <x:c r="E806" s="168" t="str">
        <x:f>IFERROR(INDEX('Classif Gestoras'!$H$6:$H$462,MATCH(D806,'Classif Gestoras'!$A$6:$A$462,0)),"Não classificada")</x:f>
        <x:v>Independente</x:v>
      </x:c>
      <x:c r="F806" s="168" t="str">
        <x:v>BTG Pactual Servicos Financeiros S/A DTVM</x:v>
      </x:c>
      <x:c r="G806" s="168" t="str">
        <x:v>BANCO BTG PACTUAL S/A</x:v>
      </x:c>
      <x:c r="H806" s="168" t="str">
        <x:v>Outros</x:v>
      </x:c>
      <x:c r="I806" s="168" t="str">
        <x:v>Multicarteira Outros</x:v>
      </x:c>
      <x:c r="J806" s="168" t="str">
        <x:v>CI</x:v>
      </x:c>
      <x:c r="K806" s="174" t="n">
        <x:v>1</x:v>
      </x:c>
      <x:c r="L806" s="187" t="str">
        <x:v>Proxy multicedente/multissacado — revisar</x:v>
      </x:c>
    </x:row>
    <x:row r="807">
      <x:c r="A807" s="177" t="str">
        <x:v>65.873.297/0001-45</x:v>
      </x:c>
      <x:c r="B807" s="168" t="str">
        <x:v>ARCELORMITTAL VÉRTICE FUNDO DE INVESTIMENTO EM DIREITOS CREDITÓRIOS COMERCIAIS - RESP LIMITADA</x:v>
      </x:c>
      <x:c r="C807" s="190" t="n">
        <x:v>159979051.73000002</x:v>
      </x:c>
      <x:c r="D807" s="168" t="str">
        <x:v>Oliveira Trust Servicer</x:v>
      </x:c>
      <x:c r="E807" s="168" t="str">
        <x:f>IFERROR(INDEX('Classif Gestoras'!$H$6:$H$462,MATCH(D807,'Classif Gestoras'!$A$6:$A$462,0)),"Não classificada")</x:f>
        <x:v>Independente</x:v>
      </x:c>
      <x:c r="F807" s="168" t="str">
        <x:v>Oliveira Trust DTVM</x:v>
      </x:c>
      <x:c r="G807" s="168" t="str">
        <x:v>OLIVEIRA TRUST DTVM S.A.</x:v>
      </x:c>
      <x:c r="H807" s="168" t="str">
        <x:v>Agro, Indústria e Comércio</x:v>
      </x:c>
      <x:c r="I807" s="168" t="str">
        <x:v>Recebíveis Comerciais</x:v>
      </x:c>
      <x:c r="J807" s="168" t="str">
        <x:v>CI</x:v>
      </x:c>
      <x:c r="K807" s="174" t="n">
        <x:v>2</x:v>
      </x:c>
      <x:c r="L807" s="187" t="str">
        <x:v>Não classificado</x:v>
      </x:c>
    </x:row>
    <x:row r="808">
      <x:c r="A808" s="177" t="str">
        <x:v>19.390.746/0001-87</x:v>
      </x:c>
      <x:c r="B808" s="168" t="str">
        <x:v>ATLAS FUNDO DE INVESTIMENTO EM DIREITOS CREDITÓRIOS DE RESPONSABILIDADE LIMITADA</x:v>
      </x:c>
      <x:c r="C808" s="190" t="n">
        <x:v>159200616.59</x:v>
      </x:c>
      <x:c r="D808" s="168" t="str">
        <x:v>TERCON ASSET MANAGEMENT</x:v>
      </x:c>
      <x:c r="E808" s="168" t="str">
        <x:f>IFERROR(INDEX('Classif Gestoras'!$H$6:$H$462,MATCH(D808,'Classif Gestoras'!$A$6:$A$462,0)),"Não classificada")</x:f>
        <x:v>Independente</x:v>
      </x:c>
      <x:c r="F808" s="168" t="str">
        <x:v>Singulare</x:v>
      </x:c>
      <x:c r="G808" s="168" t="str">
        <x:v>QI CORRETORA DE TÍTULOS E VALORES MOBILIÁRIOS S.A.</x:v>
      </x:c>
      <x:c r="H808" s="168" t="str">
        <x:v>Fomento Mercantil</x:v>
      </x:c>
      <x:c r="I808" s="168" t="str">
        <x:v>Fomento Mercantil</x:v>
      </x:c>
      <x:c r="J808" s="168" t="str">
        <x:v>CI</x:v>
      </x:c>
      <x:c r="K808" s="174" t="n">
        <x:v>2</x:v>
      </x:c>
      <x:c r="L808" s="187" t="str">
        <x:v>Não classificado</x:v>
      </x:c>
    </x:row>
    <x:row r="809">
      <x:c r="A809" s="177" t="str">
        <x:v>49.879.065/0001-48</x:v>
      </x:c>
      <x:c r="B809" s="168" t="str">
        <x:v>ARTESANAL VP FUNDO DE INVESTIMENTO EM DIREITOS CREDITÓRIOS - RESPONSABILIDADE LIMITADA</x:v>
      </x:c>
      <x:c r="C809" s="190" t="n">
        <x:v>158829358.97</x:v>
      </x:c>
      <x:c r="D809" s="168" t="str">
        <x:v>Artesanal Investimentos</x:v>
      </x:c>
      <x:c r="E809" s="168" t="str">
        <x:f>IFERROR(INDEX('Classif Gestoras'!$H$6:$H$462,MATCH(D809,'Classif Gestoras'!$A$6:$A$462,0)),"Não classificada")</x:f>
        <x:v>Independente</x:v>
      </x:c>
      <x:c r="F809" s="168" t="str">
        <x:v>Genial Investimentos Corretora de Valores Mobiliários S.A.</x:v>
      </x:c>
      <x:c r="G809" s="168" t="str">
        <x:v>BANCO B3 S.A.</x:v>
      </x:c>
      <x:c r="H809" s="168" t="str">
        <x:v>Outros</x:v>
      </x:c>
      <x:c r="I809" s="168" t="str">
        <x:v>Multicarteira Outros</x:v>
      </x:c>
      <x:c r="J809" s="168" t="str">
        <x:v>CI</x:v>
      </x:c>
      <x:c r="K809" s="174" t="n">
        <x:v>3</x:v>
      </x:c>
      <x:c r="L809" s="187" t="str">
        <x:v>Proxy multicedente/multissacado — revisar</x:v>
      </x:c>
    </x:row>
    <x:row r="810">
      <x:c r="A810" s="177" t="str">
        <x:v>19.117.931/0001-00</x:v>
      </x:c>
      <x:c r="B810" s="168" t="str">
        <x:v>FIDC MRFG FUNDO DE INVESTIMENTO EM DIREITOS CREDITÓRIOS - RESPONSABILIDADE LIMITADA</x:v>
      </x:c>
      <x:c r="C810" s="190" t="n">
        <x:v>158540534.2</x:v>
      </x:c>
      <x:c r="D810" s="168" t="str">
        <x:v>Oliveira Trust Servicer</x:v>
      </x:c>
      <x:c r="E810" s="168" t="str">
        <x:f>IFERROR(INDEX('Classif Gestoras'!$H$6:$H$462,MATCH(D810,'Classif Gestoras'!$A$6:$A$462,0)),"Não classificada")</x:f>
        <x:v>Independente</x:v>
      </x:c>
      <x:c r="F810" s="168" t="str">
        <x:v>Oliveira Trust DTVM</x:v>
      </x:c>
      <x:c r="G810" s="168" t="str">
        <x:v>OLIVEIRA TRUST DTVM S.A.</x:v>
      </x:c>
      <x:c r="H810" s="168" t="str">
        <x:v>Agro, Indústria e Comércio</x:v>
      </x:c>
      <x:c r="I810" s="168" t="str">
        <x:v>Multicarteira Agro, Indústria e Comércio</x:v>
      </x:c>
      <x:c r="J810" s="168" t="str">
        <x:v>CI</x:v>
      </x:c>
      <x:c r="K810" s="174" t="n">
        <x:v>5</x:v>
      </x:c>
      <x:c r="L810" s="187" t="str">
        <x:v>Proxy multicedente/multissacado — revisar</x:v>
      </x:c>
    </x:row>
    <x:row r="811">
      <x:c r="A811" s="177" t="str">
        <x:v>56.797.968/0001-45</x:v>
      </x:c>
      <x:c r="B811" s="168" t="str">
        <x:v>PJUS ABETO FIDC DE PRECATÓRIOS FEDERAIS DE RESPONSABILIDADE LIMITADA</x:v>
      </x:c>
      <x:c r="C811" s="190" t="n">
        <x:v>158483535.54999998</x:v>
      </x:c>
      <x:c r="D811" s="168" t="str">
        <x:v>BRL TRUST DTVM</x:v>
      </x:c>
      <x:c r="E811" s="168" t="str">
        <x:f>IFERROR(INDEX('Classif Gestoras'!$H$6:$H$462,MATCH(D811,'Classif Gestoras'!$A$6:$A$462,0)),"Não classificada")</x:f>
        <x:v>Independente</x:v>
      </x:c>
      <x:c r="F811" s="168" t="str">
        <x:v>BRL TRUST DTVM</x:v>
      </x:c>
      <x:c r="G811" s="168" t="str">
        <x:v>BRL TRUST DISTRIBUIDORA DE TITULOS E VALORES MOBILIARIOS S.A.</x:v>
      </x:c>
      <x:c r="H811" s="168" t="str">
        <x:v>Outros</x:v>
      </x:c>
      <x:c r="I811" s="168" t="str">
        <x:v>Multicarteira Outros</x:v>
      </x:c>
      <x:c r="J811" s="168" t="str">
        <x:v>CI</x:v>
      </x:c>
      <x:c r="K811" s="174" t="n">
        <x:v>39</x:v>
      </x:c>
      <x:c r="L811" s="187" t="str">
        <x:v>Proxy multicedente/multissacado — revisar</x:v>
      </x:c>
    </x:row>
    <x:row r="812">
      <x:c r="A812" s="177" t="str">
        <x:v>62.696.791/0001-93</x:v>
      </x:c>
      <x:c r="B812" s="168" t="str">
        <x:v>CNPJ 62696791000193</x:v>
      </x:c>
      <x:c r="C812" s="190" t="n">
        <x:v>157515146.78000003</x:v>
      </x:c>
      <x:c r="D812" s="168" t="str">
        <x:v>BTG Pactual Asset</x:v>
      </x:c>
      <x:c r="E812" s="168" t="str">
        <x:f>IFERROR(INDEX('Classif Gestoras'!$H$6:$H$462,MATCH(D812,'Classif Gestoras'!$A$6:$A$462,0)),"Não classificada")</x:f>
        <x:v>Ligada a banco</x:v>
      </x:c>
      <x:c r="F812" s="168" t="str">
        <x:v>BTG Pactual Servicos Financeiros S/A DTVM</x:v>
      </x:c>
      <x:c r="G812" s="168" t="str">
        <x:v>Não identificado</x:v>
      </x:c>
      <x:c r="H812" s="168" t="str">
        <x:v>Outros</x:v>
      </x:c>
      <x:c r="I812" s="168" t="str">
        <x:v>Multicarteira Outros</x:v>
      </x:c>
      <x:c r="J812" s="168" t="str">
        <x:v>CI</x:v>
      </x:c>
      <x:c r="K812" s="174"/>
      <x:c r="L812" s="187" t="str">
        <x:v>Proxy multicedente/multissacado — revisar</x:v>
      </x:c>
    </x:row>
    <x:row r="813">
      <x:c r="A813" s="177" t="str">
        <x:v>13.767.420/0001-40</x:v>
      </x:c>
      <x:c r="B813" s="168" t="str">
        <x:v>FUNDO DE INVESTIMENTO EM DIREITOS CREDI VAREJO BR</x:v>
      </x:c>
      <x:c r="C813" s="190" t="n">
        <x:v>157491543.19</x:v>
      </x:c>
      <x:c r="D813" s="168" t="str">
        <x:v>TERCON ASSET MANAGEMENT</x:v>
      </x:c>
      <x:c r="E813" s="168" t="str">
        <x:f>IFERROR(INDEX('Classif Gestoras'!$H$6:$H$462,MATCH(D813,'Classif Gestoras'!$A$6:$A$462,0)),"Não classificada")</x:f>
        <x:v>Independente</x:v>
      </x:c>
      <x:c r="F813" s="168" t="str">
        <x:v>Singulare</x:v>
      </x:c>
      <x:c r="G813" s="168" t="str">
        <x:v>QI CORRETORA DE TÍTULOS E VALORES MOBILIÁRIOS S.A.</x:v>
      </x:c>
      <x:c r="H813" s="168" t="str">
        <x:v>Fomento Mercantil</x:v>
      </x:c>
      <x:c r="I813" s="168" t="str">
        <x:v>Fomento Mercantil</x:v>
      </x:c>
      <x:c r="J813" s="168" t="str">
        <x:v>CI</x:v>
      </x:c>
      <x:c r="K813" s="174" t="n">
        <x:v>3</x:v>
      </x:c>
      <x:c r="L813" s="187" t="str">
        <x:v>Não classificado</x:v>
      </x:c>
    </x:row>
    <x:row r="814">
      <x:c r="A814" s="177" t="str">
        <x:v>29.187.006/0001-00</x:v>
      </x:c>
      <x:c r="B814" s="168" t="str">
        <x:v>CONTATO FUNDO DE INVESTIMENTO EM DIREITOS CREDITORIOS MULTISSETORIAL</x:v>
      </x:c>
      <x:c r="C814" s="190" t="n">
        <x:v>157410342.79000002</x:v>
      </x:c>
      <x:c r="D814" s="168" t="str">
        <x:v>Solis</x:v>
      </x:c>
      <x:c r="E814" s="168" t="str">
        <x:f>IFERROR(INDEX('Classif Gestoras'!$H$6:$H$462,MATCH(D814,'Classif Gestoras'!$A$6:$A$462,0)),"Não classificada")</x:f>
        <x:v>Independente</x:v>
      </x:c>
      <x:c r="F814" s="168" t="str">
        <x:v>HEMERA DTVM</x:v>
      </x:c>
      <x:c r="G814" s="168" t="str">
        <x:v>HEMERA DISTRIBUIDORA DE TITULOS E VALORES MOBILIARIOS LTDA</x:v>
      </x:c>
      <x:c r="H814" s="168" t="str">
        <x:v>Fomento Mercantil</x:v>
      </x:c>
      <x:c r="I814" s="168" t="str">
        <x:v>Fomento Mercantil</x:v>
      </x:c>
      <x:c r="J814" s="168" t="str">
        <x:v>CI</x:v>
      </x:c>
      <x:c r="K814" s="174" t="n">
        <x:v>54</x:v>
      </x:c>
      <x:c r="L814" s="187" t="str">
        <x:v>Não classificado</x:v>
      </x:c>
    </x:row>
    <x:row r="815">
      <x:c r="A815" s="177" t="str">
        <x:v>12.093.804/0001-61</x:v>
      </x:c>
      <x:c r="B815" s="168" t="str">
        <x:v>CAPITAL ANNEX FUNDO DE INVESTIMENTO EM DIREITOS CREDITÓRIOS MULTISSETORIAL</x:v>
      </x:c>
      <x:c r="C815" s="190" t="n">
        <x:v>157120642.23</x:v>
      </x:c>
      <x:c r="D815" s="168" t="str">
        <x:v>TERCON ASSET MANAGEMENT</x:v>
      </x:c>
      <x:c r="E815" s="168" t="str">
        <x:f>IFERROR(INDEX('Classif Gestoras'!$H$6:$H$462,MATCH(D815,'Classif Gestoras'!$A$6:$A$462,0)),"Não classificada")</x:f>
        <x:v>Independente</x:v>
      </x:c>
      <x:c r="F815" s="168" t="str">
        <x:v>Singulare</x:v>
      </x:c>
      <x:c r="G815" s="168" t="str">
        <x:v>QI CORRETORA DE TÍTULOS E VALORES MOBILIÁRIOS S.A.</x:v>
      </x:c>
      <x:c r="H815" s="168" t="str">
        <x:v>Fomento Mercantil</x:v>
      </x:c>
      <x:c r="I815" s="168" t="str">
        <x:v>Fomento Mercantil</x:v>
      </x:c>
      <x:c r="J815" s="168" t="str">
        <x:v>CI</x:v>
      </x:c>
      <x:c r="K815" s="174" t="n">
        <x:v>7</x:v>
      </x:c>
      <x:c r="L815" s="187" t="str">
        <x:v>Não classificado</x:v>
      </x:c>
    </x:row>
    <x:row r="816">
      <x:c r="A816" s="177" t="str">
        <x:v>50.739.342/0001-04</x:v>
      </x:c>
      <x:c r="B816" s="168" t="str">
        <x:v>RIGEL FUNDO DE INVESTIMENTO EM DIREITOS CREDITÓRIOS NÃO-PADRONIZADOS</x:v>
      </x:c>
      <x:c r="C816" s="190" t="n">
        <x:v>156559100.84</x:v>
      </x:c>
      <x:c r="D816" s="168" t="str">
        <x:v>MAV CAPITAL GESTORA DE RECURSOS SS LTDA</x:v>
      </x:c>
      <x:c r="E816" s="168" t="str">
        <x:f>IFERROR(INDEX('Classif Gestoras'!$H$6:$H$462,MATCH(D816,'Classif Gestoras'!$A$6:$A$462,0)),"Não classificada")</x:f>
        <x:v>Independente</x:v>
      </x:c>
      <x:c r="F816" s="168" t="str">
        <x:v>Singulare</x:v>
      </x:c>
      <x:c r="G816" s="168" t="str">
        <x:v>QI CORRETORA DE TÍTULOS E VALORES MOBILIÁRIOS S.A.</x:v>
      </x:c>
      <x:c r="H816" s="168" t="str">
        <x:v>Outros</x:v>
      </x:c>
      <x:c r="I816" s="168" t="str">
        <x:v>Poder Público</x:v>
      </x:c>
      <x:c r="J816" s="168" t="str">
        <x:v>CI</x:v>
      </x:c>
      <x:c r="K816" s="174" t="n">
        <x:v>3</x:v>
      </x:c>
      <x:c r="L816" s="187" t="str">
        <x:v>Não classificado</x:v>
      </x:c>
    </x:row>
    <x:row r="817">
      <x:c r="A817" s="177" t="str">
        <x:v>47.463.381/0001-09</x:v>
      </x:c>
      <x:c r="B817" s="168" t="str">
        <x:v>PCS II PRINCIPAL FUNDO DE INVESTIMENTO EM DIREITOS CREDITÓRIOS - NÃO PADRONIZADOS</x:v>
      </x:c>
      <x:c r="C817" s="190" t="n">
        <x:v>156463846.07999998</x:v>
      </x:c>
      <x:c r="D817" s="168" t="str">
        <x:v>Prisma Capital Ltda.</x:v>
      </x:c>
      <x:c r="E817" s="168" t="str">
        <x:f>IFERROR(INDEX('Classif Gestoras'!$H$6:$H$462,MATCH(D817,'Classif Gestoras'!$A$6:$A$462,0)),"Não classificada")</x:f>
        <x:v>Independente</x:v>
      </x:c>
      <x:c r="F817" s="168" t="str">
        <x:v>Singulare</x:v>
      </x:c>
      <x:c r="G817" s="168" t="str">
        <x:v>FIDD DISTRIBUIDORA DE TITULOS E VALORES MOBILIARIOS LTDA.</x:v>
      </x:c>
      <x:c r="H817" s="168" t="str">
        <x:v>Outros</x:v>
      </x:c>
      <x:c r="I817" s="168" t="str">
        <x:v>Multicarteira Outros</x:v>
      </x:c>
      <x:c r="J817" s="168" t="str">
        <x:v>CI</x:v>
      </x:c>
      <x:c r="K817" s="174" t="n">
        <x:v>2</x:v>
      </x:c>
      <x:c r="L817" s="187" t="str">
        <x:v>Proxy multicedente/multissacado — revisar</x:v>
      </x:c>
    </x:row>
    <x:row r="818">
      <x:c r="A818" s="177" t="str">
        <x:v>58.377.616/0001-66</x:v>
      </x:c>
      <x:c r="B818" s="168" t="str">
        <x:v>CNPJ 58377616000166</x:v>
      </x:c>
      <x:c r="C818" s="190" t="n">
        <x:v>156365687.05</x:v>
      </x:c>
      <x:c r="D818" s="168" t="str">
        <x:v>Artesanal Investimentos</x:v>
      </x:c>
      <x:c r="E818" s="168" t="str">
        <x:f>IFERROR(INDEX('Classif Gestoras'!$H$6:$H$462,MATCH(D818,'Classif Gestoras'!$A$6:$A$462,0)),"Não classificada")</x:f>
        <x:v>Independente</x:v>
      </x:c>
      <x:c r="F818" s="168" t="str">
        <x:v>Genial Investimentos Corretora de Valores Mobiliários S.A.</x:v>
      </x:c>
      <x:c r="G818" s="168" t="str">
        <x:v>Não identificado</x:v>
      </x:c>
      <x:c r="H818" s="168" t="str">
        <x:v>Outros</x:v>
      </x:c>
      <x:c r="I818" s="168" t="str">
        <x:v>Multicarteira Outros</x:v>
      </x:c>
      <x:c r="J818" s="168" t="str">
        <x:v>CI</x:v>
      </x:c>
      <x:c r="K818" s="174"/>
      <x:c r="L818" s="187" t="str">
        <x:v>Proxy multicedente/multissacado — revisar</x:v>
      </x:c>
    </x:row>
    <x:row r="819">
      <x:c r="A819" s="177" t="str">
        <x:v>65.494.608/0001-65</x:v>
      </x:c>
      <x:c r="B819" s="168" t="str">
        <x:v>MKL LEGAL CLAIMS I FUNDO DE INVESTIMENTO EM DIREITOS CREDITÓRIOS</x:v>
      </x:c>
      <x:c r="C819" s="190" t="n">
        <x:v>156334223.33</x:v>
      </x:c>
      <x:c r="D819" s="168" t="str">
        <x:v>MAKALU</x:v>
      </x:c>
      <x:c r="E819" s="168" t="str">
        <x:f>IFERROR(INDEX('Classif Gestoras'!$H$6:$H$462,MATCH(D819,'Classif Gestoras'!$A$6:$A$462,0)),"Não classificada")</x:f>
        <x:v>Independente</x:v>
      </x:c>
      <x:c r="F819" s="168" t="str">
        <x:v>Singulare</x:v>
      </x:c>
      <x:c r="G819" s="168" t="str">
        <x:v>QI CORRETORA DE TÍTULOS E VALORES MOBILIÁRIOS S.A.</x:v>
      </x:c>
      <x:c r="H819" s="168" t="str">
        <x:v>Outros</x:v>
      </x:c>
      <x:c r="I819" s="168" t="str">
        <x:v>Poder Público</x:v>
      </x:c>
      <x:c r="J819" s="168" t="str">
        <x:v>CI</x:v>
      </x:c>
      <x:c r="K819" s="174" t="n">
        <x:v>8</x:v>
      </x:c>
      <x:c r="L819" s="187" t="str">
        <x:v>Não classificado</x:v>
      </x:c>
    </x:row>
    <x:row r="820">
      <x:c r="A820" s="177" t="str">
        <x:v>63.384.189/0001-83</x:v>
      </x:c>
      <x:c r="B820" s="168" t="str">
        <x:v>NINFEIA FUNDO DE INVESTIMENTO EM DIREITOS CREDITÓRIOS</x:v>
      </x:c>
      <x:c r="C820" s="190" t="n">
        <x:v>156207986.77999997</x:v>
      </x:c>
      <x:c r="D820" s="168" t="str">
        <x:v>Global Gestão e Investimentos</x:v>
      </x:c>
      <x:c r="E820" s="168" t="str">
        <x:f>IFERROR(INDEX('Classif Gestoras'!$H$6:$H$462,MATCH(D820,'Classif Gestoras'!$A$6:$A$462,0)),"Não classificada")</x:f>
        <x:v>Independente</x:v>
      </x:c>
      <x:c r="F820" s="168" t="str">
        <x:v>BTG Pactual Servicos Financeiros S/A DTVM</x:v>
      </x:c>
      <x:c r="G820" s="168" t="str">
        <x:v>BANCO BTG PACTUAL S/A</x:v>
      </x:c>
      <x:c r="H820" s="168" t="str">
        <x:v>Outros</x:v>
      </x:c>
      <x:c r="I820" s="168" t="str">
        <x:v>Poder Público</x:v>
      </x:c>
      <x:c r="J820" s="168" t="str">
        <x:v>CI</x:v>
      </x:c>
      <x:c r="K820" s="174" t="n">
        <x:v>6</x:v>
      </x:c>
      <x:c r="L820" s="187" t="str">
        <x:v>Não classificado</x:v>
      </x:c>
    </x:row>
    <x:row r="821">
      <x:c r="A821" s="177" t="str">
        <x:v>62.359.143/0001-41</x:v>
      </x:c>
      <x:c r="B821" s="168" t="str">
        <x:v>XP VINTAGE I FUNDO DE INVESTIMENTO EM DIREITOS CREDITÓRIOS MULTICARTEIRA OUTROS RL</x:v>
      </x:c>
      <x:c r="C821" s="190" t="n">
        <x:v>155991373.51</x:v>
      </x:c>
      <x:c r="D821" s="168" t="str">
        <x:v>XP Allocation</x:v>
      </x:c>
      <x:c r="E821" s="168" t="str">
        <x:f>IFERROR(INDEX('Classif Gestoras'!$H$6:$H$462,MATCH(D821,'Classif Gestoras'!$A$6:$A$462,0)),"Não classificada")</x:f>
        <x:v>Ligada a banco</x:v>
      </x:c>
      <x:c r="F821" s="168" t="str">
        <x:v>XPI CCTVM S/A</x:v>
      </x:c>
      <x:c r="G821" s="168" t="str">
        <x:v>OLIVEIRA TRUST DTVM S.A.</x:v>
      </x:c>
      <x:c r="H821" s="168" t="str">
        <x:v>Fomento Mercantil</x:v>
      </x:c>
      <x:c r="I821" s="168" t="str">
        <x:v>Fomento Mercantil</x:v>
      </x:c>
      <x:c r="J821" s="168" t="str">
        <x:v>CI</x:v>
      </x:c>
      <x:c r="K821" s="174" t="n">
        <x:v>98</x:v>
      </x:c>
      <x:c r="L821" s="187" t="str">
        <x:v>Não classificado</x:v>
      </x:c>
    </x:row>
    <x:row r="822">
      <x:c r="A822" s="177" t="str">
        <x:v>66.127.332/0001-40</x:v>
      </x:c>
      <x:c r="B822" s="168" t="str">
        <x:v>LCM OSÍRIS FUNDO DE INVESTIMENTO EM DIREITOS CREDITÓRIOS</x:v>
      </x:c>
      <x:c r="C822" s="190" t="n">
        <x:v>155953511.86</x:v>
      </x:c>
      <x:c r="D822" s="168" t="str">
        <x:v>Lumina</x:v>
      </x:c>
      <x:c r="E822" s="168" t="str">
        <x:f>IFERROR(INDEX('Classif Gestoras'!$H$6:$H$462,MATCH(D822,'Classif Gestoras'!$A$6:$A$462,0)),"Não classificada")</x:f>
        <x:v>Independente</x:v>
      </x:c>
      <x:c r="F822" s="168" t="str">
        <x:v>BTG Pactual Servicos Financeiros S/A DTVM</x:v>
      </x:c>
      <x:c r="G822" s="168" t="str">
        <x:v>BANCO BTG PACTUAL S/A</x:v>
      </x:c>
      <x:c r="H822" s="168" t="str">
        <x:v>Outros</x:v>
      </x:c>
      <x:c r="I822" s="168" t="str">
        <x:v>Multicarteira Outros</x:v>
      </x:c>
      <x:c r="J822" s="168" t="str">
        <x:v>CI</x:v>
      </x:c>
      <x:c r="K822" s="174" t="n">
        <x:v>3</x:v>
      </x:c>
      <x:c r="L822" s="187" t="str">
        <x:v>Proxy multicedente/multissacado — revisar</x:v>
      </x:c>
    </x:row>
    <x:row r="823">
      <x:c r="A823" s="177" t="str">
        <x:v>52.148.267/0001-24</x:v>
      </x:c>
      <x:c r="B823" s="168" t="str">
        <x:v>AZ-ATHON FUNDO DE INVESTIMENTO EM DIREITOS CREDITÓRIOS DE RESPONSABILIDADE ILIMITADA</x:v>
      </x:c>
      <x:c r="C823" s="190" t="n">
        <x:v>155906021.29999998</x:v>
      </x:c>
      <x:c r="D823" s="168" t="str">
        <x:v>AZ QUEST</x:v>
      </x:c>
      <x:c r="E823" s="168" t="str">
        <x:f>IFERROR(INDEX('Classif Gestoras'!$H$6:$H$462,MATCH(D823,'Classif Gestoras'!$A$6:$A$462,0)),"Não classificada")</x:f>
        <x:v>Independente</x:v>
      </x:c>
      <x:c r="F823" s="168" t="str">
        <x:v>BANCO DAYCOVAL S/A</x:v>
      </x:c>
      <x:c r="G823" s="168" t="str">
        <x:v>BANCO DAYCOVAL S.A.</x:v>
      </x:c>
      <x:c r="H823" s="168" t="str">
        <x:v>Financeiro</x:v>
      </x:c>
      <x:c r="I823" s="168" t="str">
        <x:v>Multicarteira Financeiro</x:v>
      </x:c>
      <x:c r="J823" s="168" t="str">
        <x:v>CI</x:v>
      </x:c>
      <x:c r="K823" s="174" t="n">
        <x:v>31</x:v>
      </x:c>
      <x:c r="L823" s="187" t="str">
        <x:v>Proxy multicedente/multissacado — revisar</x:v>
      </x:c>
    </x:row>
    <x:row r="824">
      <x:c r="A824" s="177" t="str">
        <x:v>49.920.525/0001-34</x:v>
      </x:c>
      <x:c r="B824" s="168" t="str">
        <x:v>IS GREEN SOLFÁCIL III FUNDO DE INVESTIMENTO EM DIREITOS CREDITÓRIOS RESPONSABILIDADE LIMITADA</x:v>
      </x:c>
      <x:c r="C824" s="190" t="n">
        <x:v>155163394.42000002</x:v>
      </x:c>
      <x:c r="D824" s="168" t="str">
        <x:v>Régia Capital Ltda</x:v>
      </x:c>
      <x:c r="E824" s="168" t="str">
        <x:f>IFERROR(INDEX('Classif Gestoras'!$H$6:$H$462,MATCH(D824,'Classif Gestoras'!$A$6:$A$462,0)),"Não classificada")</x:f>
        <x:v>Independente</x:v>
      </x:c>
      <x:c r="F824" s="168" t="str">
        <x:v>BANCO DAYCOVAL S/A</x:v>
      </x:c>
      <x:c r="G824" s="168" t="str">
        <x:v>BANCO DAYCOVAL S.A.</x:v>
      </x:c>
      <x:c r="H824" s="168" t="str">
        <x:v>Financeiro</x:v>
      </x:c>
      <x:c r="I824" s="168" t="str">
        <x:v>Crédito Pessoal</x:v>
      </x:c>
      <x:c r="J824" s="168" t="str">
        <x:v>CI</x:v>
      </x:c>
      <x:c r="K824" s="174" t="n">
        <x:v>134</x:v>
      </x:c>
      <x:c r="L824" s="187" t="str">
        <x:v>Não classificado</x:v>
      </x:c>
    </x:row>
    <x:row r="825">
      <x:c r="A825" s="177" t="str">
        <x:v>52.667.588/0001-35</x:v>
      </x:c>
      <x:c r="B825" s="168" t="str">
        <x:v>GRUPO CASAS BAHIA FUNDO DE INVESTIMENTO EM DIREITOS CREDITÓRIOS</x:v>
      </x:c>
      <x:c r="C825" s="190" t="n">
        <x:v>154599278.41</x:v>
      </x:c>
      <x:c r="D825" s="168" t="str">
        <x:v>POLÍGONO CAPITAL LTDA.</x:v>
      </x:c>
      <x:c r="E825" s="168" t="str">
        <x:f>IFERROR(INDEX('Classif Gestoras'!$H$6:$H$462,MATCH(D825,'Classif Gestoras'!$A$6:$A$462,0)),"Não classificada")</x:f>
        <x:v>Independente</x:v>
      </x:c>
      <x:c r="F825" s="168" t="str">
        <x:v>BTG Pactual Servicos Financeiros S/A DTVM</x:v>
      </x:c>
      <x:c r="G825" s="168" t="str">
        <x:v>BANCO BTG PACTUAL S/A</x:v>
      </x:c>
      <x:c r="H825" s="168" t="str">
        <x:v>Financeiro</x:v>
      </x:c>
      <x:c r="I825" s="168" t="str">
        <x:v>Crédito Pessoal</x:v>
      </x:c>
      <x:c r="J825" s="168" t="str">
        <x:v>CI</x:v>
      </x:c>
      <x:c r="K825" s="174" t="n">
        <x:v>2</x:v>
      </x:c>
      <x:c r="L825" s="187" t="str">
        <x:v>Não classificado</x:v>
      </x:c>
    </x:row>
    <x:row r="826">
      <x:c r="A826" s="177" t="str">
        <x:v>32.771.763/0001-22</x:v>
      </x:c>
      <x:c r="B826" s="168" t="str">
        <x:v>SÃO MARTINHO FUNDO DE INVESTIMENTO EM DIREITOS CREDITÓRIOS MULTISSETORIAL</x:v>
      </x:c>
      <x:c r="C826" s="190" t="n">
        <x:v>154517074.28</x:v>
      </x:c>
      <x:c r="D826" s="168" t="str">
        <x:v>Global Gestão e Investimentos</x:v>
      </x:c>
      <x:c r="E826" s="168" t="str">
        <x:f>IFERROR(INDEX('Classif Gestoras'!$H$6:$H$462,MATCH(D826,'Classif Gestoras'!$A$6:$A$462,0)),"Não classificada")</x:f>
        <x:v>Independente</x:v>
      </x:c>
      <x:c r="F826" s="168" t="str">
        <x:v>Singulare</x:v>
      </x:c>
      <x:c r="G826" s="168" t="str">
        <x:v>QI CORRETORA DE TÍTULOS E VALORES MOBILIÁRIOS S.A.</x:v>
      </x:c>
      <x:c r="H826" s="168" t="str">
        <x:v>Fomento Mercantil</x:v>
      </x:c>
      <x:c r="I826" s="168" t="str">
        <x:v>Fomento Mercantil</x:v>
      </x:c>
      <x:c r="J826" s="168" t="str">
        <x:v>CI</x:v>
      </x:c>
      <x:c r="K826" s="174" t="n">
        <x:v>24</x:v>
      </x:c>
      <x:c r="L826" s="187" t="str">
        <x:v>Não classificado</x:v>
      </x:c>
    </x:row>
    <x:row r="827">
      <x:c r="A827" s="177" t="str">
        <x:v>55.633.169/0001-70</x:v>
      </x:c>
      <x:c r="B827" s="168" t="str">
        <x:v>FUNDO DE INVESTIMENTO EM DIREITOS CREDITÓRIOS AMETISTA II - RESPONSABILIDADE LIMITADA</x:v>
      </x:c>
      <x:c r="C827" s="190" t="n">
        <x:v>154319282.65</x:v>
      </x:c>
      <x:c r="D827" s="168" t="str">
        <x:v>Solis</x:v>
      </x:c>
      <x:c r="E827" s="168" t="str">
        <x:f>IFERROR(INDEX('Classif Gestoras'!$H$6:$H$462,MATCH(D827,'Classif Gestoras'!$A$6:$A$462,0)),"Não classificada")</x:f>
        <x:v>Independente</x:v>
      </x:c>
      <x:c r="F827" s="168" t="str">
        <x:v>VÓRTX DTVM</x:v>
      </x:c>
      <x:c r="G827" s="168" t="str">
        <x:v>VORTX DISTRIBUIDORA DE TITULOS E VALORES MOBILIARIOS LTDA.</x:v>
      </x:c>
      <x:c r="H827" s="168" t="str">
        <x:v>Outros</x:v>
      </x:c>
      <x:c r="I827" s="168" t="str">
        <x:v>Multicarteira Outros</x:v>
      </x:c>
      <x:c r="J827" s="168" t="str">
        <x:v>CI</x:v>
      </x:c>
      <x:c r="K827" s="174" t="n">
        <x:v>31</x:v>
      </x:c>
      <x:c r="L827" s="187" t="str">
        <x:v>Proxy multicedente/multissacado — revisar</x:v>
      </x:c>
    </x:row>
    <x:row r="828">
      <x:c r="A828" s="177" t="str">
        <x:v>53.179.862/0001-90</x:v>
      </x:c>
      <x:c r="B828" s="168" t="str">
        <x:v>FUNDO DE INVESTIMENTO EM DIREITOS CREDITÓRIOS DE RESPONSABILIDADE LIMITADA FGTS MT II</x:v>
      </x:c>
      <x:c r="C828" s="190" t="n">
        <x:v>154141195.29000002</x:v>
      </x:c>
      <x:c r="D828" s="168" t="str">
        <x:v>VALORA RENDA FIXA ESTRUTURADOS LTDA.</x:v>
      </x:c>
      <x:c r="E828" s="168" t="str">
        <x:f>IFERROR(INDEX('Classif Gestoras'!$H$6:$H$462,MATCH(D828,'Classif Gestoras'!$A$6:$A$462,0)),"Não classificada")</x:f>
        <x:v>Independente</x:v>
      </x:c>
      <x:c r="F828" s="168" t="str">
        <x:v>BANCO DAYCOVAL S/A</x:v>
      </x:c>
      <x:c r="G828" s="168" t="str">
        <x:v>BANCO DAYCOVAL S.A.</x:v>
      </x:c>
      <x:c r="H828" s="168" t="str">
        <x:v>Financeiro</x:v>
      </x:c>
      <x:c r="I828" s="168" t="str">
        <x:v>Multicarteira Financeiro</x:v>
      </x:c>
      <x:c r="J828" s="168" t="str">
        <x:v>CI</x:v>
      </x:c>
      <x:c r="K828" s="174" t="n">
        <x:v>71</x:v>
      </x:c>
      <x:c r="L828" s="187" t="str">
        <x:v>Proxy multicedente/multissacado — revisar</x:v>
      </x:c>
    </x:row>
    <x:row r="829">
      <x:c r="A829" s="177" t="str">
        <x:v>35.448.908/0001-47</x:v>
      </x:c>
      <x:c r="B829" s="168" t="str">
        <x:v>EXES CRÉDITO DIRETO - FUNDO DE INVESTIMENTO EM DIREITOS CREDITÓRIOS RESPONSABILIDADE LIMITADA</x:v>
      </x:c>
      <x:c r="C829" s="190" t="n">
        <x:v>153620749.38</x:v>
      </x:c>
      <x:c r="D829" s="168" t="str">
        <x:v>Éxes</x:v>
      </x:c>
      <x:c r="E829" s="168" t="str">
        <x:f>IFERROR(INDEX('Classif Gestoras'!$H$6:$H$462,MATCH(D829,'Classif Gestoras'!$A$6:$A$462,0)),"Não classificada")</x:f>
        <x:v>Independente</x:v>
      </x:c>
      <x:c r="F829" s="168" t="str">
        <x:v>BANCO DAYCOVAL S/A</x:v>
      </x:c>
      <x:c r="G829" s="168" t="str">
        <x:v>BANCO DAYCOVAL S.A.</x:v>
      </x:c>
      <x:c r="H829" s="168" t="str">
        <x:v>Outros</x:v>
      </x:c>
      <x:c r="I829" s="168" t="str">
        <x:v>Multicarteira Outros</x:v>
      </x:c>
      <x:c r="J829" s="168" t="str">
        <x:v>CI</x:v>
      </x:c>
      <x:c r="K829" s="174" t="n">
        <x:v>7</x:v>
      </x:c>
      <x:c r="L829" s="187" t="str">
        <x:v>Proxy multicedente/multissacado — revisar</x:v>
      </x:c>
    </x:row>
    <x:row r="830">
      <x:c r="A830" s="177" t="str">
        <x:v>56.992.610/0001-73</x:v>
      </x:c>
      <x:c r="B830" s="168" t="str">
        <x:v>VINCI CRÉDITO PORTFÓLIO CDI+ FUNDO DE INVESTIMENTO EM DIREITOS CREDITÓRIOS</x:v>
      </x:c>
      <x:c r="C830" s="190" t="n">
        <x:v>153575145.23999998</x:v>
      </x:c>
      <x:c r="D830" s="168" t="str">
        <x:v>Vinci Gestora de Recursos LTDA</x:v>
      </x:c>
      <x:c r="E830" s="168" t="str">
        <x:f>IFERROR(INDEX('Classif Gestoras'!$H$6:$H$462,MATCH(D830,'Classif Gestoras'!$A$6:$A$462,0)),"Não classificada")</x:f>
        <x:v>Independente</x:v>
      </x:c>
      <x:c r="F830" s="168" t="str">
        <x:v>XPI CCTVM S/A</x:v>
      </x:c>
      <x:c r="G830" s="168" t="str">
        <x:v>OLIVEIRA TRUST DTVM S.A.</x:v>
      </x:c>
      <x:c r="H830" s="168" t="str">
        <x:v>Outros</x:v>
      </x:c>
      <x:c r="I830" s="168" t="str">
        <x:v>Multicarteira Outros</x:v>
      </x:c>
      <x:c r="J830" s="168" t="str">
        <x:v>CI</x:v>
      </x:c>
      <x:c r="K830" s="174" t="n">
        <x:v>2207</x:v>
      </x:c>
      <x:c r="L830" s="187" t="str">
        <x:v>Proxy multicedente/multissacado — revisar</x:v>
      </x:c>
    </x:row>
    <x:row r="831">
      <x:c r="A831" s="177" t="str">
        <x:v>23.104.468/0001-21</x:v>
      </x:c>
      <x:c r="B831" s="168" t="str">
        <x:v>SELECTOR FUNDO DE INVESTIMENTO EM DIREITOS CREDITÓRIOS NÃO-PADRONIZADOS</x:v>
      </x:c>
      <x:c r="C831" s="190" t="n">
        <x:v>153129140.26000002</x:v>
      </x:c>
      <x:c r="D831" s="168" t="str">
        <x:v>REAG PORTFOLIO SOLUTIONS</x:v>
      </x:c>
      <x:c r="E831" s="168" t="str">
        <x:f>IFERROR(INDEX('Classif Gestoras'!$H$6:$H$462,MATCH(D831,'Classif Gestoras'!$A$6:$A$462,0)),"Não classificada")</x:f>
        <x:v>Independente</x:v>
      </x:c>
      <x:c r="F831" s="168" t="str">
        <x:v>REAG DTVM</x:v>
      </x:c>
      <x:c r="G831" s="168" t="str">
        <x:v>FINVEST DISTRIBUIDORA DE TÍTULOS E VALORES MOBILIÁRIOS LTDA.</x:v>
      </x:c>
      <x:c r="H831" s="168" t="str">
        <x:v>Fomento Mercantil</x:v>
      </x:c>
      <x:c r="I831" s="168" t="str">
        <x:v>Fomento Mercantil</x:v>
      </x:c>
      <x:c r="J831" s="168" t="str">
        <x:v>CI</x:v>
      </x:c>
      <x:c r="K831" s="174" t="n">
        <x:v>1</x:v>
      </x:c>
      <x:c r="L831" s="187" t="str">
        <x:v>Não classificado</x:v>
      </x:c>
    </x:row>
    <x:row r="832">
      <x:c r="A832" s="177" t="str">
        <x:v>38.065.069/0001-76</x:v>
      </x:c>
      <x:c r="B832" s="168" t="str">
        <x:v>ÉXES D90 FUNDO DE INVESTIMENTO EM DIREITOS CREDITÓRIOS</x:v>
      </x:c>
      <x:c r="C832" s="190" t="n">
        <x:v>153128102.0273</x:v>
      </x:c>
      <x:c r="D832" s="168" t="str">
        <x:v>Éxes</x:v>
      </x:c>
      <x:c r="E832" s="168" t="str">
        <x:f>IFERROR(INDEX('Classif Gestoras'!$H$6:$H$462,MATCH(D832,'Classif Gestoras'!$A$6:$A$462,0)),"Não classificada")</x:f>
        <x:v>Independente</x:v>
      </x:c>
      <x:c r="F832" s="168" t="str">
        <x:v>BTG Pactual Servicos Financeiros S/A DTVM</x:v>
      </x:c>
      <x:c r="G832" s="168" t="str">
        <x:v>BANCO BTG PACTUAL S/A</x:v>
      </x:c>
      <x:c r="H832" s="168" t="str">
        <x:v>Outros</x:v>
      </x:c>
      <x:c r="I832" s="168" t="str">
        <x:v>Multicarteira Outros</x:v>
      </x:c>
      <x:c r="J832" s="168" t="str">
        <x:v>CI</x:v>
      </x:c>
      <x:c r="K832" s="174" t="n">
        <x:v>898</x:v>
      </x:c>
      <x:c r="L832" s="187" t="str">
        <x:v>Proxy multicedente/multissacado — revisar</x:v>
      </x:c>
    </x:row>
    <x:row r="833">
      <x:c r="A833" s="177" t="str">
        <x:v>45.019.334/0001-45</x:v>
      </x:c>
      <x:c r="B833" s="168" t="str">
        <x:v>IUGU I UR - FIDC - UNIDADE DE RECEBÍVEIS RESPONSABILIDADE LIMITADA</x:v>
      </x:c>
      <x:c r="C833" s="190" t="n">
        <x:v>153072414.26</x:v>
      </x:c>
      <x:c r="D833" s="168" t="str">
        <x:v>H2 CAPITAL</x:v>
      </x:c>
      <x:c r="E833" s="168" t="str">
        <x:f>IFERROR(INDEX('Classif Gestoras'!$H$6:$H$462,MATCH(D833,'Classif Gestoras'!$A$6:$A$462,0)),"Não classificada")</x:f>
        <x:v>Independente</x:v>
      </x:c>
      <x:c r="F833" s="168" t="str">
        <x:v>BEM - DIST. DE TÍTUL</x:v>
      </x:c>
      <x:c r="G833" s="168" t="str">
        <x:v>BANCO BRADESCO S.A.</x:v>
      </x:c>
      <x:c r="H833" s="168" t="str">
        <x:v>Financeiro</x:v>
      </x:c>
      <x:c r="I833" s="168" t="str">
        <x:v>Multicarteira Financeiro</x:v>
      </x:c>
      <x:c r="J833" s="168" t="str">
        <x:v>CI</x:v>
      </x:c>
      <x:c r="K833" s="174" t="n">
        <x:v>6</x:v>
      </x:c>
      <x:c r="L833" s="187" t="str">
        <x:v>Proxy multicedente/multissacado — revisar</x:v>
      </x:c>
    </x:row>
    <x:row r="834">
      <x:c r="A834" s="177" t="str">
        <x:v>54.028.640/0001-39</x:v>
      </x:c>
      <x:c r="B834" s="168" t="str">
        <x:v>SUPER BOX FUNDO DE INVESTIMENTO EM DIREITOS CREDITÓRIOS</x:v>
      </x:c>
      <x:c r="C834" s="190" t="n">
        <x:v>152899021.44</x:v>
      </x:c>
      <x:c r="D834" s="168" t="str">
        <x:v>M8 Partners</x:v>
      </x:c>
      <x:c r="E834" s="168" t="str">
        <x:f>IFERROR(INDEX('Classif Gestoras'!$H$6:$H$462,MATCH(D834,'Classif Gestoras'!$A$6:$A$462,0)),"Não classificada")</x:f>
        <x:v>Independente</x:v>
      </x:c>
      <x:c r="F834" s="168" t="str">
        <x:v>Singulare</x:v>
      </x:c>
      <x:c r="G834" s="168" t="str">
        <x:v>QI CORRETORA DE TÍTULOS E VALORES MOBILIÁRIOS S.A.</x:v>
      </x:c>
      <x:c r="H834" s="168" t="str">
        <x:v>Fomento Mercantil</x:v>
      </x:c>
      <x:c r="I834" s="168" t="str">
        <x:v>Fomento Mercantil</x:v>
      </x:c>
      <x:c r="J834" s="168" t="str">
        <x:v>CI</x:v>
      </x:c>
      <x:c r="K834" s="174" t="n">
        <x:v>43</x:v>
      </x:c>
      <x:c r="L834" s="187" t="str">
        <x:v>Não classificado</x:v>
      </x:c>
    </x:row>
    <x:row r="835">
      <x:c r="A835" s="177" t="str">
        <x:v>50.198.834/0001-21</x:v>
      </x:c>
      <x:c r="B835" s="168" t="str">
        <x:v>JGP ESTRUTURADOS III FUNDO DE INVESTIMENTO EM DIREITOS CREDITÓRIOS - RESPONSABILIDADE LIMITADA</x:v>
      </x:c>
      <x:c r="C835" s="190" t="n">
        <x:v>152529867.13000005</x:v>
      </x:c>
      <x:c r="D835" s="168" t="str">
        <x:v>JGP Gestão de Crédito LTDA.</x:v>
      </x:c>
      <x:c r="E835" s="168" t="str">
        <x:f>IFERROR(INDEX('Classif Gestoras'!$H$6:$H$462,MATCH(D835,'Classif Gestoras'!$A$6:$A$462,0)),"Não classificada")</x:f>
        <x:v>Independente</x:v>
      </x:c>
      <x:c r="F835" s="168" t="str">
        <x:v>BNY MELLON SERVICOS</x:v>
      </x:c>
      <x:c r="G835" s="168" t="str">
        <x:v>BNY MELLON BANCO S.A.</x:v>
      </x:c>
      <x:c r="H835" s="168" t="str">
        <x:v>Outros</x:v>
      </x:c>
      <x:c r="I835" s="168" t="str">
        <x:v>Multicarteira Outros</x:v>
      </x:c>
      <x:c r="J835" s="168" t="str">
        <x:v>CI</x:v>
      </x:c>
      <x:c r="K835" s="174" t="n">
        <x:v>54</x:v>
      </x:c>
      <x:c r="L835" s="187" t="str">
        <x:v>Proxy multicedente/multissacado — revisar</x:v>
      </x:c>
    </x:row>
    <x:row r="836">
      <x:c r="A836" s="177" t="str">
        <x:v>43.863.266/0001-70</x:v>
      </x:c>
      <x:c r="B836" s="168" t="str">
        <x:v>LC SFH I FUNDO DE INVESTIMENTO EM DIREITOS CREDITÓRIOS DE RESPONSABILIDADE LIMITADA</x:v>
      </x:c>
      <x:c r="C836" s="190" t="n">
        <x:v>152249543.32</x:v>
      </x:c>
      <x:c r="D836" s="168" t="str">
        <x:v>TAG Investimentos</x:v>
      </x:c>
      <x:c r="E836" s="168" t="str">
        <x:f>IFERROR(INDEX('Classif Gestoras'!$H$6:$H$462,MATCH(D836,'Classif Gestoras'!$A$6:$A$462,0)),"Não classificada")</x:f>
        <x:v>Independente</x:v>
      </x:c>
      <x:c r="F836" s="168" t="str">
        <x:v>VÓRTX DTVM</x:v>
      </x:c>
      <x:c r="G836" s="168" t="str">
        <x:v>VORTX DISTRIBUIDORA DE TITULOS E VALORES MOBILIARIOS LTDA.</x:v>
      </x:c>
      <x:c r="H836" s="168" t="str">
        <x:v>Outros</x:v>
      </x:c>
      <x:c r="I836" s="168" t="str">
        <x:v>Poder Público</x:v>
      </x:c>
      <x:c r="J836" s="168" t="str">
        <x:v>CI</x:v>
      </x:c>
      <x:c r="K836" s="174" t="n">
        <x:v>22</x:v>
      </x:c>
      <x:c r="L836" s="187" t="str">
        <x:v>Não classificado</x:v>
      </x:c>
    </x:row>
    <x:row r="837">
      <x:c r="A837" s="177" t="str">
        <x:v>59.599.914/0001-63</x:v>
      </x:c>
      <x:c r="B837" s="168" t="str">
        <x:v>FUNDO DE INVESTIMENTO EM DIREITOS CREDITÓRIOS FUTURO PREVIDENCIA CONSIGNADO PUBLICO IV RESP LTDA</x:v>
      </x:c>
      <x:c r="C837" s="190" t="n">
        <x:v>152179458.93</x:v>
      </x:c>
      <x:c r="D837" s="168" t="str">
        <x:v>Brave Asset</x:v>
      </x:c>
      <x:c r="E837" s="168" t="str">
        <x:f>IFERROR(INDEX('Classif Gestoras'!$H$6:$H$462,MATCH(D837,'Classif Gestoras'!$A$6:$A$462,0)),"Não classificada")</x:f>
        <x:v>Independente</x:v>
      </x:c>
      <x:c r="F837" s="168" t="str">
        <x:v>Oliveira Trust DTVM</x:v>
      </x:c>
      <x:c r="G837" s="168" t="str">
        <x:v>OLIVEIRA TRUST DTVM S.A.</x:v>
      </x:c>
      <x:c r="H837" s="168" t="str">
        <x:v>Financeiro</x:v>
      </x:c>
      <x:c r="I837" s="168" t="str">
        <x:v>Crédito Consignado</x:v>
      </x:c>
      <x:c r="J837" s="168" t="str">
        <x:v>CI</x:v>
      </x:c>
      <x:c r="K837" s="174" t="n">
        <x:v>30</x:v>
      </x:c>
      <x:c r="L837" s="187" t="str">
        <x:v>Não classificado</x:v>
      </x:c>
    </x:row>
    <x:row r="838">
      <x:c r="A838" s="177" t="str">
        <x:v>55.198.653/0001-19</x:v>
      </x:c>
      <x:c r="B838" s="168" t="str">
        <x:v>PBG FUNDO DE INVESTIMENTO EM DIREITOS CREDITÓRIOS DE RESPONSABILIDADE LIMITADA</x:v>
      </x:c>
      <x:c r="C838" s="190" t="n">
        <x:v>152043445.39</x:v>
      </x:c>
      <x:c r="D838" s="168" t="str">
        <x:v>ANGÁ ASSET MANAGEMENT</x:v>
      </x:c>
      <x:c r="E838" s="168" t="str">
        <x:f>IFERROR(INDEX('Classif Gestoras'!$H$6:$H$462,MATCH(D838,'Classif Gestoras'!$A$6:$A$462,0)),"Não classificada")</x:f>
        <x:v>Independente</x:v>
      </x:c>
      <x:c r="F838" s="168" t="str">
        <x:v>BANCO DAYCOVAL S/A</x:v>
      </x:c>
      <x:c r="G838" s="168" t="str">
        <x:v>BANCO DAYCOVAL S.A.</x:v>
      </x:c>
      <x:c r="H838" s="168" t="str">
        <x:v>Agro, Indústria e Comércio</x:v>
      </x:c>
      <x:c r="I838" s="168" t="str">
        <x:v>Recebíveis Comerciais</x:v>
      </x:c>
      <x:c r="J838" s="168" t="str">
        <x:v>CI</x:v>
      </x:c>
      <x:c r="K838" s="174" t="n">
        <x:v>3</x:v>
      </x:c>
      <x:c r="L838" s="187" t="str">
        <x:v>Não classificado</x:v>
      </x:c>
    </x:row>
    <x:row r="839">
      <x:c r="A839" s="177" t="str">
        <x:v>61.290.215/0001-89</x:v>
      </x:c>
      <x:c r="B839" s="168" t="str">
        <x:v>POLÍGONO MASTER PROF FUNDO DE INVESTIMENTO EM DIREITOS CREDITÓRIOS</x:v>
      </x:c>
      <x:c r="C839" s="190" t="n">
        <x:v>151934700.89000002</x:v>
      </x:c>
      <x:c r="D839" s="168" t="str">
        <x:v>POLÍGONO CAPITAL LTDA.</x:v>
      </x:c>
      <x:c r="E839" s="168" t="str">
        <x:f>IFERROR(INDEX('Classif Gestoras'!$H$6:$H$462,MATCH(D839,'Classif Gestoras'!$A$6:$A$462,0)),"Não classificada")</x:f>
        <x:v>Independente</x:v>
      </x:c>
      <x:c r="F839" s="168" t="str">
        <x:v>FIDD DISTRIBUIDORA DE TITULOS E VALORES MOBILIARIOS LTD</x:v>
      </x:c>
      <x:c r="G839" s="168" t="str">
        <x:v>FIDD DISTRIBUIDORA DE TITULOS E VALORES MOBILIARIOS LTDA.</x:v>
      </x:c>
      <x:c r="H839" s="168" t="str">
        <x:v>Outros</x:v>
      </x:c>
      <x:c r="I839" s="168" t="str">
        <x:v>Multicarteira Outros</x:v>
      </x:c>
      <x:c r="J839" s="168" t="str">
        <x:v>CI</x:v>
      </x:c>
      <x:c r="K839" s="174" t="n">
        <x:v>5</x:v>
      </x:c>
      <x:c r="L839" s="187" t="str">
        <x:v>Proxy multicedente/multissacado — revisar</x:v>
      </x:c>
    </x:row>
    <x:row r="840">
      <x:c r="A840" s="177" t="str">
        <x:v>54.219.179/0001-00</x:v>
      </x:c>
      <x:c r="B840" s="168" t="str">
        <x:v>CLOUDWALK BIG PICTURE III FUNDO DE INVESTIMENTO EM DIREITOS CREDITÓRIOS SEGMENTO MEIOS DE PAGAMENTO</x:v>
      </x:c>
      <x:c r="C840" s="190" t="n">
        <x:v>151918115.03</x:v>
      </x:c>
      <x:c r="D840" s="168" t="str">
        <x:v>GENIAL GESTÃO LTDA.</x:v>
      </x:c>
      <x:c r="E840" s="168" t="str">
        <x:f>IFERROR(INDEX('Classif Gestoras'!$H$6:$H$462,MATCH(D840,'Classif Gestoras'!$A$6:$A$462,0)),"Não classificada")</x:f>
        <x:v>Ligada a banco</x:v>
      </x:c>
      <x:c r="F840" s="168" t="str">
        <x:v>Banco Genial S.A.</x:v>
      </x:c>
      <x:c r="G840" s="168" t="str">
        <x:v>BANCO GENIAL S.A.</x:v>
      </x:c>
      <x:c r="H840" s="168" t="str">
        <x:v>Agro, Indústria e Comércio</x:v>
      </x:c>
      <x:c r="I840" s="168" t="str">
        <x:v>Recebíveis Comerciais</x:v>
      </x:c>
      <x:c r="J840" s="168" t="str">
        <x:v>CI</x:v>
      </x:c>
      <x:c r="K840" s="174" t="n">
        <x:v>77</x:v>
      </x:c>
      <x:c r="L840" s="187" t="str">
        <x:v>Não classificado</x:v>
      </x:c>
    </x:row>
    <x:row r="841">
      <x:c r="A841" s="177" t="str">
        <x:v>30.127.068/0001-05</x:v>
      </x:c>
      <x:c r="B841" s="168" t="str">
        <x:v>ELDORADO FUNDO DE INVESTIMENTO EM DIREITOS CREDITÓRIOS NÃO-PADRONIZADOS</x:v>
      </x:c>
      <x:c r="C841" s="190" t="n">
        <x:v>151889818.69</x:v>
      </x:c>
      <x:c r="D841" s="168" t="str">
        <x:v>SOMMA Investimentos</x:v>
      </x:c>
      <x:c r="E841" s="168" t="str">
        <x:f>IFERROR(INDEX('Classif Gestoras'!$H$6:$H$462,MATCH(D841,'Classif Gestoras'!$A$6:$A$462,0)),"Não classificada")</x:f>
        <x:v>Independente</x:v>
      </x:c>
      <x:c r="F841" s="168" t="str">
        <x:v>Singulare</x:v>
      </x:c>
      <x:c r="G841" s="168" t="str">
        <x:v>QI CORRETORA DE TÍTULOS E VALORES MOBILIÁRIOS S.A.</x:v>
      </x:c>
      <x:c r="H841" s="168" t="str">
        <x:v>Financeiro</x:v>
      </x:c>
      <x:c r="I841" s="168" t="str">
        <x:v>Crédito Pessoal</x:v>
      </x:c>
      <x:c r="J841" s="168" t="str">
        <x:v>CI</x:v>
      </x:c>
      <x:c r="K841" s="174" t="n">
        <x:v>4</x:v>
      </x:c>
      <x:c r="L841" s="187" t="str">
        <x:v>Não classificado</x:v>
      </x:c>
    </x:row>
    <x:row r="842">
      <x:c r="A842" s="177" t="str">
        <x:v>31.570.816/0001-84</x:v>
      </x:c>
      <x:c r="B842" s="168" t="str">
        <x:v>FUNDO DE INVESTIMENTO EM DIREITOS CREDITÓRIOS ANGÁ MULTIESTRATÉGIA II DE RESPONSABILIDADE LIMITADA</x:v>
      </x:c>
      <x:c r="C842" s="190" t="n">
        <x:v>151553137.59000003</x:v>
      </x:c>
      <x:c r="D842" s="168" t="str">
        <x:v>ANGÁ ASSET MANAGEMENT</x:v>
      </x:c>
      <x:c r="E842" s="168" t="str">
        <x:f>IFERROR(INDEX('Classif Gestoras'!$H$6:$H$462,MATCH(D842,'Classif Gestoras'!$A$6:$A$462,0)),"Não classificada")</x:f>
        <x:v>Independente</x:v>
      </x:c>
      <x:c r="F842" s="168" t="str">
        <x:v>BANCO DAYCOVAL S/A</x:v>
      </x:c>
      <x:c r="G842" s="168" t="str">
        <x:v>BANCO DAYCOVAL S.A.</x:v>
      </x:c>
      <x:c r="H842" s="168" t="str">
        <x:v>Outros</x:v>
      </x:c>
      <x:c r="I842" s="168" t="str">
        <x:v>Multicarteira Outros</x:v>
      </x:c>
      <x:c r="J842" s="168" t="str">
        <x:v>CI</x:v>
      </x:c>
      <x:c r="K842" s="174" t="n">
        <x:v>12</x:v>
      </x:c>
      <x:c r="L842" s="187" t="str">
        <x:v>Proxy multicedente/multissacado — revisar</x:v>
      </x:c>
    </x:row>
    <x:row r="843">
      <x:c r="A843" s="177" t="str">
        <x:v>33.499.726/0001-70</x:v>
      </x:c>
      <x:c r="B843" s="168" t="str">
        <x:v>BRISTOL FUNDO DE INVESTIMENTO EM DIREITOS CREDITÓRIOS MULTISSETORIAL</x:v>
      </x:c>
      <x:c r="C843" s="190" t="n">
        <x:v>151165280.89000002</x:v>
      </x:c>
      <x:c r="D843" s="168" t="str">
        <x:v>Apuama Capital</x:v>
      </x:c>
      <x:c r="E843" s="168" t="str">
        <x:f>IFERROR(INDEX('Classif Gestoras'!$H$6:$H$462,MATCH(D843,'Classif Gestoras'!$A$6:$A$462,0)),"Não classificada")</x:f>
        <x:v>Independente</x:v>
      </x:c>
      <x:c r="F843" s="168" t="str">
        <x:v>Singulare</x:v>
      </x:c>
      <x:c r="G843" s="168" t="str">
        <x:v>QI CORRETORA DE TÍTULOS E VALORES MOBILIÁRIOS S.A.</x:v>
      </x:c>
      <x:c r="H843" s="168" t="str">
        <x:v>Fomento Mercantil</x:v>
      </x:c>
      <x:c r="I843" s="168" t="str">
        <x:v>Fomento Mercantil</x:v>
      </x:c>
      <x:c r="J843" s="168" t="str">
        <x:v>CI</x:v>
      </x:c>
      <x:c r="K843" s="174" t="n">
        <x:v>11</x:v>
      </x:c>
      <x:c r="L843" s="187" t="str">
        <x:v>Não classificado</x:v>
      </x:c>
    </x:row>
    <x:row r="844">
      <x:c r="A844" s="177" t="str">
        <x:v>60.485.375/0001-10</x:v>
      </x:c>
      <x:c r="B844" s="168" t="str">
        <x:v>BTG DESENVOLVE SP FUNDO DE INVESTIMENTO EM DIREITOS CREDITORIOS</x:v>
      </x:c>
      <x:c r="C844" s="190" t="n">
        <x:v>150851458.28</x:v>
      </x:c>
      <x:c r="D844" s="168" t="str">
        <x:v>BTG Pactual Asset</x:v>
      </x:c>
      <x:c r="E844" s="168" t="str">
        <x:f>IFERROR(INDEX('Classif Gestoras'!$H$6:$H$462,MATCH(D844,'Classif Gestoras'!$A$6:$A$462,0)),"Não classificada")</x:f>
        <x:v>Ligada a banco</x:v>
      </x:c>
      <x:c r="F844" s="168" t="str">
        <x:v>BTG Pactual Servicos Financeiros S/A DTVM</x:v>
      </x:c>
      <x:c r="G844" s="168" t="str">
        <x:v>BANCO BTG PACTUAL S/A</x:v>
      </x:c>
      <x:c r="H844" s="168" t="str">
        <x:v>Agro, Indústria e Comércio</x:v>
      </x:c>
      <x:c r="I844" s="168" t="str">
        <x:v>Agronegócio</x:v>
      </x:c>
      <x:c r="J844" s="168" t="str">
        <x:v>CI</x:v>
      </x:c>
      <x:c r="K844" s="174" t="n">
        <x:v>4</x:v>
      </x:c>
      <x:c r="L844" s="187" t="str">
        <x:v>Não classificado</x:v>
      </x:c>
    </x:row>
    <x:row r="845">
      <x:c r="A845" s="177" t="str">
        <x:v>44.302.001/0001-66</x:v>
      </x:c>
      <x:c r="B845" s="168" t="str">
        <x:v>CNPJ 44302001000166</x:v>
      </x:c>
      <x:c r="C845" s="190" t="n">
        <x:v>150774719.86999995</x:v>
      </x:c>
      <x:c r="D845" s="168" t="str">
        <x:v>Milênio Capital</x:v>
      </x:c>
      <x:c r="E845" s="168" t="str">
        <x:f>IFERROR(INDEX('Classif Gestoras'!$H$6:$H$462,MATCH(D845,'Classif Gestoras'!$A$6:$A$462,0)),"Não classificada")</x:f>
        <x:v>Independente</x:v>
      </x:c>
      <x:c r="F845" s="168" t="str">
        <x:v>VÓRTX DTVM</x:v>
      </x:c>
      <x:c r="G845" s="168" t="str">
        <x:v>Não identificado</x:v>
      </x:c>
      <x:c r="H845" s="168" t="str">
        <x:v>Agro, Indústria e Comércio</x:v>
      </x:c>
      <x:c r="I845" s="168" t="str">
        <x:v>Multicarteira Agro, Indústria e Comércio</x:v>
      </x:c>
      <x:c r="J845" s="168" t="str">
        <x:v>CI</x:v>
      </x:c>
      <x:c r="K845" s="174"/>
      <x:c r="L845" s="187" t="str">
        <x:v>Proxy multicedente/multissacado — revisar</x:v>
      </x:c>
    </x:row>
    <x:row r="846">
      <x:c r="A846" s="177" t="str">
        <x:v>60.741.672/0001-80</x:v>
      </x:c>
      <x:c r="B846" s="168" t="str">
        <x:v>DLAW FUNDO DE INVESTIMENTO EM DIREITOS CREDITÓRIOS</x:v>
      </x:c>
      <x:c r="C846" s="190" t="n">
        <x:v>150684791.83</x:v>
      </x:c>
      <x:c r="D846" s="168" t="str">
        <x:v>Prisma Claims Ltda.</x:v>
      </x:c>
      <x:c r="E846" s="168" t="str">
        <x:f>IFERROR(INDEX('Classif Gestoras'!$H$6:$H$462,MATCH(D846,'Classif Gestoras'!$A$6:$A$462,0)),"Não classificada")</x:f>
        <x:v>Independente</x:v>
      </x:c>
      <x:c r="F846" s="168" t="str">
        <x:v>FIDD DISTRIBUIDORA DE TITULOS E VALORES MOBILIARIOS LTD</x:v>
      </x:c>
      <x:c r="G846" s="168" t="str">
        <x:v>FIDD DISTRIBUIDORA DE TITULOS E VALORES MOBILIARIOS LTDA.</x:v>
      </x:c>
      <x:c r="H846" s="168" t="str">
        <x:v>Agro, Indústria e Comércio</x:v>
      </x:c>
      <x:c r="I846" s="168" t="str">
        <x:v>Crédito Corporativo</x:v>
      </x:c>
      <x:c r="J846" s="168" t="str">
        <x:v>CI</x:v>
      </x:c>
      <x:c r="K846" s="174" t="n">
        <x:v>36</x:v>
      </x:c>
      <x:c r="L846" s="187" t="str">
        <x:v>Não classificado</x:v>
      </x:c>
    </x:row>
    <x:row r="847">
      <x:c r="A847" s="177" t="str">
        <x:v>37.651.102/0001-87</x:v>
      </x:c>
      <x:c r="B847" s="168" t="str">
        <x:v>BARCELONA FUNDO DE INVESTIMENTO EM DIREITOS CREDITÓRIOS RESPONSABILIDADE LIMITADA</x:v>
      </x:c>
      <x:c r="C847" s="190" t="n">
        <x:v>150375402.15</x:v>
      </x:c>
      <x:c r="D847" s="168" t="str">
        <x:v>Tyr Gestao de Recursos Ltda</x:v>
      </x:c>
      <x:c r="E847" s="168" t="str">
        <x:f>IFERROR(INDEX('Classif Gestoras'!$H$6:$H$462,MATCH(D847,'Classif Gestoras'!$A$6:$A$462,0)),"Não classificada")</x:f>
        <x:v>Independente</x:v>
      </x:c>
      <x:c r="F847" s="168" t="str">
        <x:v>ID Corretora de Títulos e Valores Mobiliários S.A.</x:v>
      </x:c>
      <x:c r="G847" s="168" t="str">
        <x:v>ID CORRETORA DE TITULOS E VALORES MOBILIARIOS S.A.</x:v>
      </x:c>
      <x:c r="H847" s="168" t="str">
        <x:v>Agro, Indústria e Comércio</x:v>
      </x:c>
      <x:c r="I847" s="168" t="str">
        <x:v>Multicarteira Agro, Indústria e Comércio</x:v>
      </x:c>
      <x:c r="J847" s="168" t="str">
        <x:v>CI</x:v>
      </x:c>
      <x:c r="K847" s="174" t="n">
        <x:v>59</x:v>
      </x:c>
      <x:c r="L847" s="187" t="str">
        <x:v>Proxy multicedente/multissacado — revisar</x:v>
      </x:c>
    </x:row>
    <x:row r="848">
      <x:c r="A848" s="177" t="str">
        <x:v>60.882.563/0001-82</x:v>
      </x:c>
      <x:c r="B848" s="168" t="str">
        <x:v>ST 1019.A FIDC RESPONSABILIDADE LIMITADA</x:v>
      </x:c>
      <x:c r="C848" s="190" t="n">
        <x:v>150374733.45</x:v>
      </x:c>
      <x:c r="D848" s="168" t="str">
        <x:v>Strata Capital</x:v>
      </x:c>
      <x:c r="E848" s="168" t="str">
        <x:f>IFERROR(INDEX('Classif Gestoras'!$H$6:$H$462,MATCH(D848,'Classif Gestoras'!$A$6:$A$462,0)),"Não classificada")</x:f>
        <x:v>Independente</x:v>
      </x:c>
      <x:c r="F848" s="168" t="str">
        <x:v>BANCO DAYCOVAL S/A</x:v>
      </x:c>
      <x:c r="G848" s="168" t="str">
        <x:v>BANCO DAYCOVAL S.A.</x:v>
      </x:c>
      <x:c r="H848" s="168" t="str">
        <x:v>Outros</x:v>
      </x:c>
      <x:c r="I848" s="168" t="str">
        <x:v>Multicarteira Outros</x:v>
      </x:c>
      <x:c r="J848" s="168" t="str">
        <x:v>CI</x:v>
      </x:c>
      <x:c r="K848" s="174" t="n">
        <x:v>2</x:v>
      </x:c>
      <x:c r="L848" s="187" t="str">
        <x:v>Proxy multicedente/multissacado — revisar</x:v>
      </x:c>
    </x:row>
    <x:row r="849">
      <x:c r="A849" s="177" t="str">
        <x:v>53.109.903/0001-71</x:v>
      </x:c>
      <x:c r="B849" s="168" t="str">
        <x:v>UP.P II FUNDO DE INVESTIMENTO EM DIREITOS CREDITÓRIOS - RESPONSABILIDADE LIMITADA</x:v>
      </x:c>
      <x:c r="C849" s="190" t="n">
        <x:v>150198376.39000002</x:v>
      </x:c>
      <x:c r="D849" s="168" t="str">
        <x:v>ANGÁ ASSET MANAGEMENT</x:v>
      </x:c>
      <x:c r="E849" s="168" t="str">
        <x:f>IFERROR(INDEX('Classif Gestoras'!$H$6:$H$462,MATCH(D849,'Classif Gestoras'!$A$6:$A$462,0)),"Não classificada")</x:f>
        <x:v>Independente</x:v>
      </x:c>
      <x:c r="F849" s="168" t="str">
        <x:v>BANCO DAYCOVAL S/A</x:v>
      </x:c>
      <x:c r="G849" s="168" t="str">
        <x:v>BANCO DAYCOVAL S.A.</x:v>
      </x:c>
      <x:c r="H849" s="168" t="str">
        <x:v>Financeiro</x:v>
      </x:c>
      <x:c r="I849" s="168" t="str">
        <x:v>Crédito Pessoal</x:v>
      </x:c>
      <x:c r="J849" s="168" t="str">
        <x:v>CI</x:v>
      </x:c>
      <x:c r="K849" s="174" t="n">
        <x:v>69</x:v>
      </x:c>
      <x:c r="L849" s="187" t="str">
        <x:v>Não classificado</x:v>
      </x:c>
    </x:row>
    <x:row r="850">
      <x:c r="A850" s="177" t="str">
        <x:v>41.184.857/0001-96</x:v>
      </x:c>
      <x:c r="B850" s="168" t="str">
        <x:v>SALEM III CRÉDITOS JUDICIAIS FUNDO DE INVESTIMENTO EM DIREITOS CREDITÓRIOS</x:v>
      </x:c>
      <x:c r="C850" s="190" t="n">
        <x:v>150076558.26</x:v>
      </x:c>
      <x:c r="D850" s="168" t="str">
        <x:v>LASS CAPITAL</x:v>
      </x:c>
      <x:c r="E850" s="168" t="str">
        <x:f>IFERROR(INDEX('Classif Gestoras'!$H$6:$H$462,MATCH(D850,'Classif Gestoras'!$A$6:$A$462,0)),"Não classificada")</x:f>
        <x:v>Independente</x:v>
      </x:c>
      <x:c r="F850" s="168" t="str">
        <x:v>BTG Pactual Servicos Financeiros S/A DTVM</x:v>
      </x:c>
      <x:c r="G850" s="168" t="str">
        <x:v>BANCO BTG PACTUAL S/A</x:v>
      </x:c>
      <x:c r="H850" s="168" t="str">
        <x:v>Outros</x:v>
      </x:c>
      <x:c r="I850" s="168" t="str">
        <x:v>Multicarteira Outros</x:v>
      </x:c>
      <x:c r="J850" s="168" t="str">
        <x:v>CI</x:v>
      </x:c>
      <x:c r="K850" s="174" t="n">
        <x:v>3</x:v>
      </x:c>
      <x:c r="L850" s="187" t="str">
        <x:v>Proxy multicedente/multissacado — revisar</x:v>
      </x:c>
    </x:row>
    <x:row r="851">
      <x:c r="A851" s="177" t="str">
        <x:v>37.388.031/0001-71</x:v>
      </x:c>
      <x:c r="B851" s="168" t="str">
        <x:v>HC HIDROCARBON FUNDO DE INVESTIMENTO EM DIREITOS CREDITÓRIOS NÃO-PADRONIZADOS</x:v>
      </x:c>
      <x:c r="C851" s="190" t="n">
        <x:v>149931702.16</x:v>
      </x:c>
      <x:c r="D851" s="168" t="str">
        <x:v>Fram Capital Gestão de Ativos Ltda</x:v>
      </x:c>
      <x:c r="E851" s="168" t="str">
        <x:f>IFERROR(INDEX('Classif Gestoras'!$H$6:$H$462,MATCH(D851,'Classif Gestoras'!$A$6:$A$462,0)),"Não classificada")</x:f>
        <x:v>Independente</x:v>
      </x:c>
      <x:c r="F851" s="168" t="str">
        <x:v>OSLO DTVM S. A.</x:v>
      </x:c>
      <x:c r="G851" s="168" t="str">
        <x:v>OSLO CAPITAL DISTRIBUIDORA DE TITULOS E VALORES MOBILIARIOS S.A.</x:v>
      </x:c>
      <x:c r="H851" s="168" t="str">
        <x:v>Outros</x:v>
      </x:c>
      <x:c r="I851" s="168" t="str">
        <x:v>Poder Público</x:v>
      </x:c>
      <x:c r="J851" s="168" t="str">
        <x:v>CI</x:v>
      </x:c>
      <x:c r="K851" s="174" t="n">
        <x:v>4</x:v>
      </x:c>
      <x:c r="L851" s="187" t="str">
        <x:v>Não classificado</x:v>
      </x:c>
    </x:row>
    <x:row r="852">
      <x:c r="A852" s="177" t="str">
        <x:v>63.618.462/0001-97</x:v>
      </x:c>
      <x:c r="B852" s="168" t="str">
        <x:v>EVOLUX CAPITAL FUNDO DE INVESTIMENTO EM DIREITOS CREDITÓRIOS DE RESPONSABILIDADE LIMITADA</x:v>
      </x:c>
      <x:c r="C852" s="190" t="n">
        <x:v>149857805.28</x:v>
      </x:c>
      <x:c r="D852" s="168" t="str">
        <x:v>Catálise Investimentos</x:v>
      </x:c>
      <x:c r="E852" s="168" t="str">
        <x:f>IFERROR(INDEX('Classif Gestoras'!$H$6:$H$462,MATCH(D852,'Classif Gestoras'!$A$6:$A$462,0)),"Não classificada")</x:f>
        <x:v>Independente</x:v>
      </x:c>
      <x:c r="F852" s="168" t="str">
        <x:v>CATÁLISE DTVM</x:v>
      </x:c>
      <x:c r="G852" s="168" t="str">
        <x:v>BANCO DAYCOVAL S.A.</x:v>
      </x:c>
      <x:c r="H852" s="168" t="str">
        <x:v>Agro, Indústria e Comércio</x:v>
      </x:c>
      <x:c r="I852" s="168" t="str">
        <x:v>Multicarteira Agro, Indústria e Comércio</x:v>
      </x:c>
      <x:c r="J852" s="168" t="str">
        <x:v>CI</x:v>
      </x:c>
      <x:c r="K852" s="174" t="n">
        <x:v>1</x:v>
      </x:c>
      <x:c r="L852" s="187" t="str">
        <x:v>Proxy multicedente/multissacado — revisar</x:v>
      </x:c>
    </x:row>
    <x:row r="853">
      <x:c r="A853" s="177" t="str">
        <x:v>52.304.780/0001-67</x:v>
      </x:c>
      <x:c r="B853" s="168" t="str">
        <x:v>STARS BANK I FUNDO DE INVESTIMENTO EM DIREITOS CREDITÓRIOS - RESPONSABILIDADE LIMITADA</x:v>
      </x:c>
      <x:c r="C853" s="190" t="n">
        <x:v>149785955.65</x:v>
      </x:c>
      <x:c r="D853" s="168" t="str">
        <x:v>Solis</x:v>
      </x:c>
      <x:c r="E853" s="168" t="str">
        <x:f>IFERROR(INDEX('Classif Gestoras'!$H$6:$H$462,MATCH(D853,'Classif Gestoras'!$A$6:$A$462,0)),"Não classificada")</x:f>
        <x:v>Independente</x:v>
      </x:c>
      <x:c r="F853" s="168" t="str">
        <x:v>Singulare</x:v>
      </x:c>
      <x:c r="G853" s="168" t="str">
        <x:v>QI CORRETORA DE TÍTULOS E VALORES MOBILIÁRIOS S.A.</x:v>
      </x:c>
      <x:c r="H853" s="168" t="str">
        <x:v>Fomento Mercantil</x:v>
      </x:c>
      <x:c r="I853" s="168" t="str">
        <x:v>Fomento Mercantil</x:v>
      </x:c>
      <x:c r="J853" s="168" t="str">
        <x:v>CI</x:v>
      </x:c>
      <x:c r="K853" s="174" t="n">
        <x:v>21</x:v>
      </x:c>
      <x:c r="L853" s="187" t="str">
        <x:v>Não classificado</x:v>
      </x:c>
    </x:row>
    <x:row r="854">
      <x:c r="A854" s="177" t="str">
        <x:v>32.388.184/0001-03</x:v>
      </x:c>
      <x:c r="B854" s="168" t="str">
        <x:v>PSS PRINCIPAL FUNDO DE INVESTIMENTO EM DIREITOS CREDITÓRIOS - NÃO PADRONIZADOS</x:v>
      </x:c>
      <x:c r="C854" s="190" t="n">
        <x:v>149276278.82</x:v>
      </x:c>
      <x:c r="D854" s="168" t="str">
        <x:v>Prisma Capital Ltda.</x:v>
      </x:c>
      <x:c r="E854" s="168" t="str">
        <x:f>IFERROR(INDEX('Classif Gestoras'!$H$6:$H$462,MATCH(D854,'Classif Gestoras'!$A$6:$A$462,0)),"Não classificada")</x:f>
        <x:v>Independente</x:v>
      </x:c>
      <x:c r="F854" s="168" t="str">
        <x:v>Singulare</x:v>
      </x:c>
      <x:c r="G854" s="168" t="str">
        <x:v>QI CORRETORA DE TÍTULOS E VALORES MOBILIÁRIOS S.A.</x:v>
      </x:c>
      <x:c r="H854" s="168" t="str">
        <x:v>Outros</x:v>
      </x:c>
      <x:c r="I854" s="168" t="str">
        <x:v>Multicarteira Outros</x:v>
      </x:c>
      <x:c r="J854" s="168" t="str">
        <x:v>CIPC</x:v>
      </x:c>
      <x:c r="K854" s="174" t="n">
        <x:v>2</x:v>
      </x:c>
      <x:c r="L854" s="187" t="str">
        <x:v>Proxy multicedente/multissacado — revisar</x:v>
      </x:c>
    </x:row>
    <x:row r="855">
      <x:c r="A855" s="177" t="str">
        <x:v>56.780.135/0001-71</x:v>
      </x:c>
      <x:c r="B855" s="168" t="str">
        <x:v>FUNDO DE INVESTIMENTO EM DIREITOS CREDITÓRIOS PRATA DIGITAL IV</x:v>
      </x:c>
      <x:c r="C855" s="190" t="n">
        <x:v>148443404.15</x:v>
      </x:c>
      <x:c r="D855" s="168" t="str">
        <x:v>ANGÁ ASSET MANAGEMENT</x:v>
      </x:c>
      <x:c r="E855" s="168" t="str">
        <x:f>IFERROR(INDEX('Classif Gestoras'!$H$6:$H$462,MATCH(D855,'Classif Gestoras'!$A$6:$A$462,0)),"Não classificada")</x:f>
        <x:v>Independente</x:v>
      </x:c>
      <x:c r="F855" s="168" t="str">
        <x:v>BANCO DAYCOVAL S/A</x:v>
      </x:c>
      <x:c r="G855" s="168" t="str">
        <x:v>BANCO DAYCOVAL S.A.</x:v>
      </x:c>
      <x:c r="H855" s="168" t="str">
        <x:v>Financeiro</x:v>
      </x:c>
      <x:c r="I855" s="168" t="str">
        <x:v>Crédito Pessoal</x:v>
      </x:c>
      <x:c r="J855" s="168" t="str">
        <x:v>CI</x:v>
      </x:c>
      <x:c r="K855" s="174" t="n">
        <x:v>55</x:v>
      </x:c>
      <x:c r="L855" s="187" t="str">
        <x:v>Não classificado</x:v>
      </x:c>
    </x:row>
    <x:row r="856">
      <x:c r="A856" s="177" t="str">
        <x:v>52.351.675/0001-89</x:v>
      </x:c>
      <x:c r="B856" s="168" t="str">
        <x:v>ASA SPECIAL SITUATIONS FUNDO DE INVESTIMENTO EM DIREITOS CREDITÓRIOS RESPONSABILIDADE LIMITADA</x:v>
      </x:c>
      <x:c r="C856" s="190" t="n">
        <x:v>147533280.21413</x:v>
      </x:c>
      <x:c r="D856" s="168" t="str">
        <x:v>ASA Investments</x:v>
      </x:c>
      <x:c r="E856" s="168" t="str">
        <x:f>IFERROR(INDEX('Classif Gestoras'!$H$6:$H$462,MATCH(D856,'Classif Gestoras'!$A$6:$A$462,0)),"Não classificada")</x:f>
        <x:v>Independente</x:v>
      </x:c>
      <x:c r="F856" s="168" t="str">
        <x:v>Singulare</x:v>
      </x:c>
      <x:c r="G856" s="168" t="str">
        <x:v>QI CORRETORA DE TÍTULOS E VALORES MOBILIÁRIOS S.A.</x:v>
      </x:c>
      <x:c r="H856" s="168" t="str">
        <x:v>Outros</x:v>
      </x:c>
      <x:c r="I856" s="168" t="str">
        <x:v>Multicarteira Outros</x:v>
      </x:c>
      <x:c r="J856" s="168" t="str">
        <x:v>CI</x:v>
      </x:c>
      <x:c r="K856" s="174" t="n">
        <x:v>116</x:v>
      </x:c>
      <x:c r="L856" s="187" t="str">
        <x:v>Proxy multicedente/multissacado — revisar</x:v>
      </x:c>
    </x:row>
    <x:row r="857">
      <x:c r="A857" s="177" t="str">
        <x:v>54.114.034/0001-36</x:v>
      </x:c>
      <x:c r="B857" s="168" t="str">
        <x:v>BRAVANO FUNDO DE INVESTIMENTO EM DIREITOS CREDITÓRIOS</x:v>
      </x:c>
      <x:c r="C857" s="190" t="n">
        <x:v>147285195.12</x:v>
      </x:c>
      <x:c r="D857" s="168" t="str">
        <x:v>Artesanal Agro</x:v>
      </x:c>
      <x:c r="E857" s="168" t="str">
        <x:f>IFERROR(INDEX('Classif Gestoras'!$H$6:$H$462,MATCH(D857,'Classif Gestoras'!$A$6:$A$462,0)),"Não classificada")</x:f>
        <x:v>Independente</x:v>
      </x:c>
      <x:c r="F857" s="168" t="str">
        <x:v>Singulare</x:v>
      </x:c>
      <x:c r="G857" s="168" t="str">
        <x:v>QI CORRETORA DE TÍTULOS E VALORES MOBILIÁRIOS S.A.</x:v>
      </x:c>
      <x:c r="H857" s="168" t="str">
        <x:v>Agro, Indústria e Comércio</x:v>
      </x:c>
      <x:c r="I857" s="168" t="str">
        <x:v>Agronegócio</x:v>
      </x:c>
      <x:c r="J857" s="168" t="str">
        <x:v>CI</x:v>
      </x:c>
      <x:c r="K857" s="174" t="n">
        <x:v>13</x:v>
      </x:c>
      <x:c r="L857" s="187" t="str">
        <x:v>Não classificado</x:v>
      </x:c>
    </x:row>
    <x:row r="858">
      <x:c r="A858" s="177" t="str">
        <x:v>51.030.944/0001-42</x:v>
      </x:c>
      <x:c r="B858" s="168" t="str">
        <x:v>DIRETA CAPITAL FUNDO DE INVESTIMENTO EM DIREITOS CREDITÓRIOS MULTISETORIAL DE CLASSE ÚNICA FECHADA</x:v>
      </x:c>
      <x:c r="C858" s="190" t="n">
        <x:v>147235710.51</x:v>
      </x:c>
      <x:c r="D858" s="168" t="str">
        <x:v>DIRETA Capital</x:v>
      </x:c>
      <x:c r="E858" s="168" t="str">
        <x:f>IFERROR(INDEX('Classif Gestoras'!$H$6:$H$462,MATCH(D858,'Classif Gestoras'!$A$6:$A$462,0)),"Não classificada")</x:f>
        <x:v>Independente</x:v>
      </x:c>
      <x:c r="F858" s="168" t="str">
        <x:v>Singulare</x:v>
      </x:c>
      <x:c r="G858" s="168" t="str">
        <x:v>QI CORRETORA DE TÍTULOS E VALORES MOBILIÁRIOS S.A.</x:v>
      </x:c>
      <x:c r="H858" s="168" t="str">
        <x:v>Fomento Mercantil</x:v>
      </x:c>
      <x:c r="I858" s="168" t="str">
        <x:v>Fomento Mercantil</x:v>
      </x:c>
      <x:c r="J858" s="168" t="str">
        <x:v>CI</x:v>
      </x:c>
      <x:c r="K858" s="174" t="n">
        <x:v>34</x:v>
      </x:c>
      <x:c r="L858" s="187" t="str">
        <x:v>Não classificado</x:v>
      </x:c>
    </x:row>
    <x:row r="859">
      <x:c r="A859" s="177" t="str">
        <x:v>63.931.003/0001-69</x:v>
      </x:c>
      <x:c r="B859" s="168" t="str">
        <x:v>FUNDO DE INVESTIMENTO EM DIREITOS CREDITÓRIOS COBUCCIO INSS</x:v>
      </x:c>
      <x:c r="C859" s="190" t="n">
        <x:v>146842224.98</x:v>
      </x:c>
      <x:c r="D859" s="168" t="str">
        <x:v>ANGÁ ASSET MANAGEMENT</x:v>
      </x:c>
      <x:c r="E859" s="168" t="str">
        <x:f>IFERROR(INDEX('Classif Gestoras'!$H$6:$H$462,MATCH(D859,'Classif Gestoras'!$A$6:$A$462,0)),"Não classificada")</x:f>
        <x:v>Independente</x:v>
      </x:c>
      <x:c r="F859" s="168" t="str">
        <x:v>BANCO DAYCOVAL S/A</x:v>
      </x:c>
      <x:c r="G859" s="168" t="str">
        <x:v>BANCO DAYCOVAL S.A.</x:v>
      </x:c>
      <x:c r="H859" s="168" t="str">
        <x:v>Financeiro</x:v>
      </x:c>
      <x:c r="I859" s="168" t="str">
        <x:v>Crédito Consignado</x:v>
      </x:c>
      <x:c r="J859" s="168" t="str">
        <x:v>CI</x:v>
      </x:c>
      <x:c r="K859" s="174" t="n">
        <x:v>51</x:v>
      </x:c>
      <x:c r="L859" s="187" t="str">
        <x:v>Não classificado</x:v>
      </x:c>
    </x:row>
    <x:row r="860">
      <x:c r="A860" s="177" t="str">
        <x:v>35.688.101/0001-81</x:v>
      </x:c>
      <x:c r="B860" s="168" t="str">
        <x:v>FUNDO DE INVESTIMENTO EM DIREITOS CREDITÓRIOS CLAIMS S1</x:v>
      </x:c>
      <x:c r="C860" s="190" t="n">
        <x:v>146649961.74</x:v>
      </x:c>
      <x:c r="D860" s="168" t="str">
        <x:v>Vista Real Estate</x:v>
      </x:c>
      <x:c r="E860" s="168" t="str">
        <x:f>IFERROR(INDEX('Classif Gestoras'!$H$6:$H$462,MATCH(D860,'Classif Gestoras'!$A$6:$A$462,0)),"Não classificada")</x:f>
        <x:v>Independente</x:v>
      </x:c>
      <x:c r="F860" s="168" t="str">
        <x:v>BRL TRUST DTVM</x:v>
      </x:c>
      <x:c r="G860" s="168" t="str">
        <x:v>BRL TRUST DISTRIBUIDORA DE TITULOS E VALORES MOBILIARIOS S.A.</x:v>
      </x:c>
      <x:c r="H860" s="168" t="str">
        <x:v>Outros</x:v>
      </x:c>
      <x:c r="I860" s="168" t="str">
        <x:v>Poder Público</x:v>
      </x:c>
      <x:c r="J860" s="168" t="str">
        <x:v>CI</x:v>
      </x:c>
      <x:c r="K860" s="174" t="n">
        <x:v>1</x:v>
      </x:c>
      <x:c r="L860" s="187" t="str">
        <x:v>Não classificado</x:v>
      </x:c>
    </x:row>
    <x:row r="861">
      <x:c r="A861" s="177" t="str">
        <x:v>42.462.074/0001-90</x:v>
      </x:c>
      <x:c r="B861" s="168" t="str">
        <x:v>HERA FUNDO DE INVESTIMENTO EM DIREITOS CREDITÓRIOS NÃO-PADRONIZADOS</x:v>
      </x:c>
      <x:c r="C861" s="190" t="n">
        <x:v>146591345.73</x:v>
      </x:c>
      <x:c r="D861" s="168" t="str">
        <x:v>Jus Capital Gestão de Recursos LTDA</x:v>
      </x:c>
      <x:c r="E861" s="168" t="str">
        <x:f>IFERROR(INDEX('Classif Gestoras'!$H$6:$H$462,MATCH(D861,'Classif Gestoras'!$A$6:$A$462,0)),"Não classificada")</x:f>
        <x:v>Independente</x:v>
      </x:c>
      <x:c r="F861" s="168" t="str">
        <x:v>Singulare</x:v>
      </x:c>
      <x:c r="G861" s="168" t="str">
        <x:v>QI CORRETORA DE TÍTULOS E VALORES MOBILIÁRIOS S.A.</x:v>
      </x:c>
      <x:c r="H861" s="168" t="str">
        <x:v>Outros</x:v>
      </x:c>
      <x:c r="I861" s="168" t="str">
        <x:v>Poder Público</x:v>
      </x:c>
      <x:c r="J861" s="168" t="str">
        <x:v>CI</x:v>
      </x:c>
      <x:c r="K861" s="174" t="n">
        <x:v>1</x:v>
      </x:c>
      <x:c r="L861" s="187" t="str">
        <x:v>Não classificado</x:v>
      </x:c>
    </x:row>
    <x:row r="862">
      <x:c r="A862" s="177" t="str">
        <x:v>63.728.565/0001-00</x:v>
      </x:c>
      <x:c r="B862" s="168" t="str">
        <x:v>ALDEBARAN IV FUNDO DE INVESTIMENTO EM DIREITOS CREDITÓRIOS - RESPONSABILIDADE LIMITADA</x:v>
      </x:c>
      <x:c r="C862" s="190" t="n">
        <x:v>146547563.05</x:v>
      </x:c>
      <x:c r="D862" s="168" t="str">
        <x:v>Emerald Gestão de Investimento</x:v>
      </x:c>
      <x:c r="E862" s="168" t="str">
        <x:f>IFERROR(INDEX('Classif Gestoras'!$H$6:$H$462,MATCH(D862,'Classif Gestoras'!$A$6:$A$462,0)),"Não classificada")</x:f>
        <x:v>Independente</x:v>
      </x:c>
      <x:c r="F862" s="168" t="str">
        <x:v>BANCO J. SAFRA S/A</x:v>
      </x:c>
      <x:c r="G862" s="168" t="str">
        <x:v>OLIVEIRA TRUST DTVM S.A.</x:v>
      </x:c>
      <x:c r="H862" s="168" t="str">
        <x:v>Fomento Mercantil</x:v>
      </x:c>
      <x:c r="I862" s="168" t="str">
        <x:v>Multicarteira Outros</x:v>
      </x:c>
      <x:c r="J862" s="168" t="str">
        <x:v>CI</x:v>
      </x:c>
      <x:c r="K862" s="174" t="n">
        <x:v>3</x:v>
      </x:c>
      <x:c r="L862" s="187" t="str">
        <x:v>Proxy multicedente/multissacado — revisar</x:v>
      </x:c>
    </x:row>
    <x:row r="863">
      <x:c r="A863" s="177" t="str">
        <x:v>54.792.266/0001-43</x:v>
      </x:c>
      <x:c r="B863" s="168" t="str">
        <x:v>NORTH FUNDO DE INVESTIMENTO EM DIREITOS CREDITÓRIOS RESPONSABILIDADE LIMITADA</x:v>
      </x:c>
      <x:c r="C863" s="190" t="n">
        <x:v>146439370.62</x:v>
      </x:c>
      <x:c r="D863" s="168" t="str">
        <x:v>BTG PACTUAL GESTAO E CONSULTORIA DE INVESTIMENTOS</x:v>
      </x:c>
      <x:c r="E863" s="168" t="str">
        <x:f>IFERROR(INDEX('Classif Gestoras'!$H$6:$H$462,MATCH(D863,'Classif Gestoras'!$A$6:$A$462,0)),"Não classificada")</x:f>
        <x:v>Ligada a banco</x:v>
      </x:c>
      <x:c r="F863" s="168" t="str">
        <x:v>BTG Pactual Servicos Financeiros S/A DTVM</x:v>
      </x:c>
      <x:c r="G863" s="168" t="str">
        <x:v>Não identificado</x:v>
      </x:c>
      <x:c r="H863" s="168" t="str">
        <x:v>Outros</x:v>
      </x:c>
      <x:c r="I863" s="168" t="str">
        <x:v>Multicarteira Outros</x:v>
      </x:c>
      <x:c r="J863" s="168" t="str">
        <x:v>CI</x:v>
      </x:c>
      <x:c r="K863" s="174" t="n">
        <x:v>1</x:v>
      </x:c>
      <x:c r="L863" s="187" t="str">
        <x:v>Proxy multicedente/multissacado — revisar</x:v>
      </x:c>
    </x:row>
    <x:row r="864">
      <x:c r="A864" s="177" t="str">
        <x:v>61.631.300/0001-63</x:v>
      </x:c>
      <x:c r="B864" s="168" t="str">
        <x:v>ORIZ JUS V FUNDO DE INVESTIMENTO EM DIREITOS CREDITÓRIOS - RESPONSABILIDADE LIMITADA</x:v>
      </x:c>
      <x:c r="C864" s="190" t="n">
        <x:v>146165336.85</x:v>
      </x:c>
      <x:c r="D864" s="168" t="str">
        <x:v>ORIZ ASSET MANAGEMENT LTDA.</x:v>
      </x:c>
      <x:c r="E864" s="168" t="str">
        <x:f>IFERROR(INDEX('Classif Gestoras'!$H$6:$H$462,MATCH(D864,'Classif Gestoras'!$A$6:$A$462,0)),"Não classificada")</x:f>
        <x:v>Independente</x:v>
      </x:c>
      <x:c r="F864" s="168" t="str">
        <x:v>Limine Trust Distribuidora de Titulos e Valores Mobiliá</x:v>
      </x:c>
      <x:c r="G864" s="168" t="str">
        <x:v>LIMINE TRUST DISTRIBUIDORA DE TITULOS E VALORES MOBILIARIOS LTDA.</x:v>
      </x:c>
      <x:c r="H864" s="168" t="str">
        <x:v>Outros</x:v>
      </x:c>
      <x:c r="I864" s="168" t="str">
        <x:v>Multicarteira Outros</x:v>
      </x:c>
      <x:c r="J864" s="168" t="str">
        <x:v>CI</x:v>
      </x:c>
      <x:c r="K864" s="174" t="n">
        <x:v>12</x:v>
      </x:c>
      <x:c r="L864" s="187" t="str">
        <x:v>Proxy multicedente/multissacado — revisar</x:v>
      </x:c>
    </x:row>
    <x:row r="865">
      <x:c r="A865" s="177" t="str">
        <x:v>59.843.866/0001-07</x:v>
      </x:c>
      <x:c r="B865" s="168" t="str">
        <x:v>LEGAL ONE FUNDO DE INVESTIMENTO EM DIREITOS CREDITÓRIOS - RESPONSABILIDADE LIMITADA</x:v>
      </x:c>
      <x:c r="C865" s="190" t="n">
        <x:v>145803147.89788</x:v>
      </x:c>
      <x:c r="D865" s="168" t="str">
        <x:v>HCAM LTDA.</x:v>
      </x:c>
      <x:c r="E865" s="168" t="str">
        <x:f>IFERROR(INDEX('Classif Gestoras'!$H$6:$H$462,MATCH(D865,'Classif Gestoras'!$A$6:$A$462,0)),"Não classificada")</x:f>
        <x:v>Independente</x:v>
      </x:c>
      <x:c r="F865" s="168" t="str">
        <x:v>Singulare</x:v>
      </x:c>
      <x:c r="G865" s="168" t="str">
        <x:v>QI CORRETORA DE TÍTULOS E VALORES MOBILIÁRIOS S.A.</x:v>
      </x:c>
      <x:c r="H865" s="168" t="str">
        <x:v>Outros</x:v>
      </x:c>
      <x:c r="I865" s="168" t="str">
        <x:v>Multicarteira Outros</x:v>
      </x:c>
      <x:c r="J865" s="168" t="str">
        <x:v>CI</x:v>
      </x:c>
      <x:c r="K865" s="174" t="n">
        <x:v>20</x:v>
      </x:c>
      <x:c r="L865" s="187" t="str">
        <x:v>Proxy multicedente/multissacado — revisar</x:v>
      </x:c>
    </x:row>
    <x:row r="866">
      <x:c r="A866" s="177" t="str">
        <x:v>45.207.507/0001-59</x:v>
      </x:c>
      <x:c r="B866" s="168" t="str">
        <x:v>NOVO HORIZONTE FUNDO DE INVESTIMENTO EM DIREITOS CREDITÓRIOS</x:v>
      </x:c>
      <x:c r="C866" s="190" t="n">
        <x:v>145585076.13</x:v>
      </x:c>
      <x:c r="D866" s="168" t="str">
        <x:v>BTG Pactual Asset</x:v>
      </x:c>
      <x:c r="E866" s="168" t="str">
        <x:f>IFERROR(INDEX('Classif Gestoras'!$H$6:$H$462,MATCH(D866,'Classif Gestoras'!$A$6:$A$462,0)),"Não classificada")</x:f>
        <x:v>Ligada a banco</x:v>
      </x:c>
      <x:c r="F866" s="168" t="str">
        <x:v>BTG Pactual Servicos Financeiros S/A DTVM</x:v>
      </x:c>
      <x:c r="G866" s="168" t="str">
        <x:v>BANCO BTG PACTUAL S/A</x:v>
      </x:c>
      <x:c r="H866" s="168" t="str">
        <x:v>Agro, Indústria e Comércio</x:v>
      </x:c>
      <x:c r="I866" s="168" t="str">
        <x:v>Recebíveis Comerciais</x:v>
      </x:c>
      <x:c r="J866" s="168" t="str">
        <x:v>CI</x:v>
      </x:c>
      <x:c r="K866" s="174" t="n">
        <x:v>1</x:v>
      </x:c>
      <x:c r="L866" s="187" t="str">
        <x:v>Não classificado</x:v>
      </x:c>
    </x:row>
    <x:row r="867">
      <x:c r="A867" s="177" t="str">
        <x:v>57.107.628/0001-08</x:v>
      </x:c>
      <x:c r="B867" s="168" t="str">
        <x:v>GTCS FUNDO DE INVESTIMENTO EM DIREITOS CREDITÓRIOS</x:v>
      </x:c>
      <x:c r="C867" s="190" t="n">
        <x:v>145443757.10999995</x:v>
      </x:c>
      <x:c r="D867" s="168" t="str">
        <x:v>H2 CAPITAL</x:v>
      </x:c>
      <x:c r="E867" s="168" t="str">
        <x:f>IFERROR(INDEX('Classif Gestoras'!$H$6:$H$462,MATCH(D867,'Classif Gestoras'!$A$6:$A$462,0)),"Não classificada")</x:f>
        <x:v>Independente</x:v>
      </x:c>
      <x:c r="F867" s="168" t="str">
        <x:v>Singulare</x:v>
      </x:c>
      <x:c r="G867" s="168" t="str">
        <x:v>QI CORRETORA DE TÍTULOS E VALORES MOBILIÁRIOS S.A.</x:v>
      </x:c>
      <x:c r="H867" s="168" t="str">
        <x:v>Financeiro</x:v>
      </x:c>
      <x:c r="I867" s="168" t="str">
        <x:v>Crédito Pessoal</x:v>
      </x:c>
      <x:c r="J867" s="168" t="str">
        <x:v>CI</x:v>
      </x:c>
      <x:c r="K867" s="174" t="n">
        <x:v>10</x:v>
      </x:c>
      <x:c r="L867" s="187" t="str">
        <x:v>Não classificado</x:v>
      </x:c>
    </x:row>
    <x:row r="868">
      <x:c r="A868" s="177" t="str">
        <x:v>14.606.072/0001-91</x:v>
      </x:c>
      <x:c r="B868" s="168" t="str">
        <x:v>MILLE - FUNDO DE INVESTIMENTO EM DIREITOS CREDITÓRIOS MULTISSEGMENTOS</x:v>
      </x:c>
      <x:c r="C868" s="190" t="n">
        <x:v>145360760.4</x:v>
      </x:c>
      <x:c r="D868" s="168" t="str">
        <x:v>Petra Capital</x:v>
      </x:c>
      <x:c r="E868" s="168" t="str">
        <x:f>IFERROR(INDEX('Classif Gestoras'!$H$6:$H$462,MATCH(D868,'Classif Gestoras'!$A$6:$A$462,0)),"Não classificada")</x:f>
        <x:v>Independente</x:v>
      </x:c>
      <x:c r="F868" s="168" t="str">
        <x:v>Banco Finaxis S.A.</x:v>
      </x:c>
      <x:c r="G868" s="168" t="str">
        <x:v>BANCO FINAXIS S.A.</x:v>
      </x:c>
      <x:c r="H868" s="168" t="str">
        <x:v>Fomento Mercantil</x:v>
      </x:c>
      <x:c r="I868" s="168" t="str">
        <x:v>Fomento Mercantil</x:v>
      </x:c>
      <x:c r="J868" s="168" t="str">
        <x:v>CI</x:v>
      </x:c>
      <x:c r="K868" s="174" t="n">
        <x:v>2</x:v>
      </x:c>
      <x:c r="L868" s="187" t="str">
        <x:v>Não classificado</x:v>
      </x:c>
    </x:row>
    <x:row r="869">
      <x:c r="A869" s="177" t="str">
        <x:v>26.489.103/0001-50</x:v>
      </x:c>
      <x:c r="B869" s="168" t="str">
        <x:v>INVISTA III FUNDO DE INVESTIMENTO EM DIREITOS CREDITÓRIOS - RESPONSABILIDADE LIMITADA</x:v>
      </x:c>
      <x:c r="C869" s="190" t="n">
        <x:v>145350738.71</x:v>
      </x:c>
      <x:c r="D869" s="168" t="str">
        <x:v>Solis</x:v>
      </x:c>
      <x:c r="E869" s="168" t="str">
        <x:f>IFERROR(INDEX('Classif Gestoras'!$H$6:$H$462,MATCH(D869,'Classif Gestoras'!$A$6:$A$462,0)),"Não classificada")</x:f>
        <x:v>Independente</x:v>
      </x:c>
      <x:c r="F869" s="168" t="str">
        <x:v>HEMERA DTVM</x:v>
      </x:c>
      <x:c r="G869" s="168" t="str">
        <x:v>HEMERA DISTRIBUIDORA DE TITULOS E VALORES MOBILIARIOS LTDA</x:v>
      </x:c>
      <x:c r="H869" s="168" t="str">
        <x:v>Fomento Mercantil</x:v>
      </x:c>
      <x:c r="I869" s="168" t="str">
        <x:v>Fomento Mercantil</x:v>
      </x:c>
      <x:c r="J869" s="168" t="str">
        <x:v>CI</x:v>
      </x:c>
      <x:c r="K869" s="174" t="n">
        <x:v>1</x:v>
      </x:c>
      <x:c r="L869" s="187" t="str">
        <x:v>Não classificado</x:v>
      </x:c>
    </x:row>
    <x:row r="870">
      <x:c r="A870" s="177" t="str">
        <x:v>22.175.405/0001-01</x:v>
      </x:c>
      <x:c r="B870" s="168" t="str">
        <x:v>MR FUNDO DE INVESTIMENTO EM DIREITOS CREDITÓRIOS</x:v>
      </x:c>
      <x:c r="C870" s="190" t="n">
        <x:v>145214430.67</x:v>
      </x:c>
      <x:c r="D870" s="168" t="str">
        <x:v>TERCON ASSET MANAGEMENT</x:v>
      </x:c>
      <x:c r="E870" s="168" t="str">
        <x:f>IFERROR(INDEX('Classif Gestoras'!$H$6:$H$462,MATCH(D870,'Classif Gestoras'!$A$6:$A$462,0)),"Não classificada")</x:f>
        <x:v>Independente</x:v>
      </x:c>
      <x:c r="F870" s="168" t="str">
        <x:v>Singulare</x:v>
      </x:c>
      <x:c r="G870" s="168" t="str">
        <x:v>QI CORRETORA DE TÍTULOS E VALORES MOBILIÁRIOS S.A.</x:v>
      </x:c>
      <x:c r="H870" s="168" t="str">
        <x:v>Fomento Mercantil</x:v>
      </x:c>
      <x:c r="I870" s="168" t="str">
        <x:v>Fomento Mercantil</x:v>
      </x:c>
      <x:c r="J870" s="168" t="str">
        <x:v>CI</x:v>
      </x:c>
      <x:c r="K870" s="174" t="n">
        <x:v>31</x:v>
      </x:c>
      <x:c r="L870" s="187" t="str">
        <x:v>Não classificado</x:v>
      </x:c>
    </x:row>
    <x:row r="871">
      <x:c r="A871" s="177" t="str">
        <x:v>60.759.253/0001-75</x:v>
      </x:c>
      <x:c r="B871" s="168" t="str">
        <x:v>BRADESCO ATHOS FUNDO DE INVESTIMENTO EM DIREITOS CREDITÓRIOS - RESPONSABILIDADE LIMITADA</x:v>
      </x:c>
      <x:c r="C871" s="190" t="n">
        <x:v>145212080.53</x:v>
      </x:c>
      <x:c r="D871" s="168" t="str">
        <x:v>Banco Bradesco S/A</x:v>
      </x:c>
      <x:c r="E871" s="168" t="str">
        <x:f>IFERROR(INDEX('Classif Gestoras'!$H$6:$H$462,MATCH(D871,'Classif Gestoras'!$A$6:$A$462,0)),"Não classificada")</x:f>
        <x:v>Ligada a banco</x:v>
      </x:c>
      <x:c r="F871" s="168" t="str">
        <x:v>BEM - DIST. DE TÍTUL</x:v>
      </x:c>
      <x:c r="G871" s="168" t="str">
        <x:v>BANCO BRADESCO S.A.</x:v>
      </x:c>
      <x:c r="H871" s="168" t="str">
        <x:v>Outros</x:v>
      </x:c>
      <x:c r="I871" s="168" t="str">
        <x:v>Multicarteira Outros</x:v>
      </x:c>
      <x:c r="J871" s="168" t="str">
        <x:v>CI</x:v>
      </x:c>
      <x:c r="K871" s="174" t="n">
        <x:v>19</x:v>
      </x:c>
      <x:c r="L871" s="187" t="str">
        <x:v>Proxy multicedente/multissacado — revisar</x:v>
      </x:c>
    </x:row>
    <x:row r="872">
      <x:c r="A872" s="177" t="str">
        <x:v>58.038.938/0001-80</x:v>
      </x:c>
      <x:c r="B872" s="168" t="str">
        <x:v>TIVIO ALT CREDITO HIGH YIELD 180 FI EM DIREITOS CREDITÓRIOS - RESPONSABILIDADE LIMITADA</x:v>
      </x:c>
      <x:c r="C872" s="190" t="n">
        <x:v>144602815.32999998</x:v>
      </x:c>
      <x:c r="D872" s="168" t="str">
        <x:v>Tivio Capital</x:v>
      </x:c>
      <x:c r="E872" s="168" t="str">
        <x:f>IFERROR(INDEX('Classif Gestoras'!$H$6:$H$462,MATCH(D872,'Classif Gestoras'!$A$6:$A$462,0)),"Não classificada")</x:f>
        <x:v>Independente</x:v>
      </x:c>
      <x:c r="F872" s="168" t="str">
        <x:v>BNY MELLON SERVICOS</x:v>
      </x:c>
      <x:c r="G872" s="168" t="str">
        <x:v>BNY MELLON BANCO S.A.</x:v>
      </x:c>
      <x:c r="H872" s="168" t="str">
        <x:v>Outros</x:v>
      </x:c>
      <x:c r="I872" s="168" t="str">
        <x:v>Multicarteira Outros</x:v>
      </x:c>
      <x:c r="J872" s="168" t="str">
        <x:v>CI</x:v>
      </x:c>
      <x:c r="K872" s="174" t="n">
        <x:v>705</x:v>
      </x:c>
      <x:c r="L872" s="187" t="str">
        <x:v>Proxy multicedente/multissacado — revisar</x:v>
      </x:c>
    </x:row>
    <x:row r="873">
      <x:c r="A873" s="177" t="str">
        <x:v>46.390.186/0001-33</x:v>
      </x:c>
      <x:c r="B873" s="168" t="str">
        <x:v>SEED FUNDO DE INVESTIMENTO EM DIREITOS CREDITÓRIOS NÃO PADRONIZADOS</x:v>
      </x:c>
      <x:c r="C873" s="190" t="n">
        <x:v>144231525.29</x:v>
      </x:c>
      <x:c r="D873" s="168" t="str">
        <x:v>REAG BERKANA</x:v>
      </x:c>
      <x:c r="E873" s="168" t="str">
        <x:f>IFERROR(INDEX('Classif Gestoras'!$H$6:$H$462,MATCH(D873,'Classif Gestoras'!$A$6:$A$462,0)),"Não classificada")</x:f>
        <x:v>Independente</x:v>
      </x:c>
      <x:c r="F873" s="168" t="str">
        <x:v>Singulare</x:v>
      </x:c>
      <x:c r="G873" s="168" t="str">
        <x:v>QI CORRETORA DE TÍTULOS E VALORES MOBILIÁRIOS S.A.</x:v>
      </x:c>
      <x:c r="H873" s="168" t="str">
        <x:v>Agro, Indústria e Comércio</x:v>
      </x:c>
      <x:c r="I873" s="168" t="str">
        <x:v>Agronegócio</x:v>
      </x:c>
      <x:c r="J873" s="168" t="str">
        <x:v>CI</x:v>
      </x:c>
      <x:c r="K873" s="174" t="n">
        <x:v>1</x:v>
      </x:c>
      <x:c r="L873" s="187" t="str">
        <x:v>Não classificado</x:v>
      </x:c>
    </x:row>
    <x:row r="874">
      <x:c r="A874" s="177" t="str">
        <x:v>51.555.510/0001-66</x:v>
      </x:c>
      <x:c r="B874" s="168" t="str">
        <x:v>BANCOR FUNDO DE INVESTIMENTO EM DIREITOS CREDITÓRIOS</x:v>
      </x:c>
      <x:c r="C874" s="190" t="n">
        <x:v>144215652.53</x:v>
      </x:c>
      <x:c r="D874" s="168" t="str">
        <x:v>TERCON ASSET MANAGEMENT</x:v>
      </x:c>
      <x:c r="E874" s="168" t="str">
        <x:f>IFERROR(INDEX('Classif Gestoras'!$H$6:$H$462,MATCH(D874,'Classif Gestoras'!$A$6:$A$462,0)),"Não classificada")</x:f>
        <x:v>Independente</x:v>
      </x:c>
      <x:c r="F874" s="168" t="str">
        <x:v>Limine Trust Distribuidora de Titulos e Valores Mobiliá</x:v>
      </x:c>
      <x:c r="G874" s="168" t="str">
        <x:v>LIMINE TRUST DISTRIBUIDORA DE TITULOS E VALORES MOBILIARIOS LTDA.</x:v>
      </x:c>
      <x:c r="H874" s="168" t="str">
        <x:v>Fomento Mercantil</x:v>
      </x:c>
      <x:c r="I874" s="168" t="str">
        <x:v>Fomento Mercantil</x:v>
      </x:c>
      <x:c r="J874" s="168" t="str">
        <x:v>CI</x:v>
      </x:c>
      <x:c r="K874" s="174" t="n">
        <x:v>2</x:v>
      </x:c>
      <x:c r="L874" s="187" t="str">
        <x:v>Não classificado</x:v>
      </x:c>
    </x:row>
    <x:row r="875">
      <x:c r="A875" s="177" t="str">
        <x:v>52.049.112/0001-30</x:v>
      </x:c>
      <x:c r="B875" s="168" t="str">
        <x:v>KATETO INVESTIMENTO PRECATÓRIOS FUNDO DE INVESTIMENTO EM DIREITOS CREDITÓRIOS</x:v>
      </x:c>
      <x:c r="C875" s="190" t="n">
        <x:v>144170984.23000002</x:v>
      </x:c>
      <x:c r="D875" s="168" t="str">
        <x:v>Banco BTG Pactual</x:v>
      </x:c>
      <x:c r="E875" s="168" t="str">
        <x:f>IFERROR(INDEX('Classif Gestoras'!$H$6:$H$462,MATCH(D875,'Classif Gestoras'!$A$6:$A$462,0)),"Não classificada")</x:f>
        <x:v>Ligada a banco</x:v>
      </x:c>
      <x:c r="F875" s="168" t="str">
        <x:v>BTG Pactual Servicos Financeiros S/A DTVM</x:v>
      </x:c>
      <x:c r="G875" s="168" t="str">
        <x:v>BANCO BTG PACTUAL S/A</x:v>
      </x:c>
      <x:c r="H875" s="168" t="str">
        <x:v>Outros</x:v>
      </x:c>
      <x:c r="I875" s="168" t="str">
        <x:v>Poder Público</x:v>
      </x:c>
      <x:c r="J875" s="168" t="str">
        <x:v>CI</x:v>
      </x:c>
      <x:c r="K875" s="174" t="n">
        <x:v>1</x:v>
      </x:c>
      <x:c r="L875" s="187" t="str">
        <x:v>Não classificado</x:v>
      </x:c>
    </x:row>
    <x:row r="876">
      <x:c r="A876" s="177" t="str">
        <x:v>48.946.018/0001-07</x:v>
      </x:c>
      <x:c r="B876" s="168" t="str">
        <x:v>MAUÁ SANEAMENTO III FUNDO DE INVESTIMENTO EM DIREITOS CREDITÓRIOS - RESPONSABILIDADE LIMITADA</x:v>
      </x:c>
      <x:c r="C876" s="190" t="n">
        <x:v>143573357.20000002</x:v>
      </x:c>
      <x:c r="D876" s="168" t="str">
        <x:v>Mauá Capital Investimentos Alternativos Ltda.</x:v>
      </x:c>
      <x:c r="E876" s="168" t="str">
        <x:f>IFERROR(INDEX('Classif Gestoras'!$H$6:$H$462,MATCH(D876,'Classif Gestoras'!$A$6:$A$462,0)),"Não classificada")</x:f>
        <x:v>Independente</x:v>
      </x:c>
      <x:c r="F876" s="168" t="str">
        <x:v>MAF Distribuidora de Títulos e Valores Mobiliários S.A.</x:v>
      </x:c>
      <x:c r="G876" s="168" t="str">
        <x:v>MAF DISTRIBUIDORA DE TITULOS E VALORES MOBILIARIOS S.A.</x:v>
      </x:c>
      <x:c r="H876" s="168" t="str">
        <x:v>Agro, Indústria e Comércio</x:v>
      </x:c>
      <x:c r="I876" s="168" t="str">
        <x:v>Infraestrutura</x:v>
      </x:c>
      <x:c r="J876" s="168" t="str">
        <x:v>CI</x:v>
      </x:c>
      <x:c r="K876" s="174" t="n">
        <x:v>8</x:v>
      </x:c>
      <x:c r="L876" s="187" t="str">
        <x:v>Não classificado</x:v>
      </x:c>
    </x:row>
    <x:row r="877">
      <x:c r="A877" s="177" t="str">
        <x:v>55.175.561/0001-13</x:v>
      </x:c>
      <x:c r="B877" s="168" t="str">
        <x:v>FUNDO DE INVESTIMENTO EM DIREITOS CREDITÓRIOS PRATA DIGITAL III FGTS RESPONSABILIDADE LIMITADA</x:v>
      </x:c>
      <x:c r="C877" s="190" t="n">
        <x:v>142431174.18998998</x:v>
      </x:c>
      <x:c r="D877" s="168" t="str">
        <x:v>VERT Gestora de Recursos Financeiros Ltda.</x:v>
      </x:c>
      <x:c r="E877" s="168" t="str">
        <x:f>IFERROR(INDEX('Classif Gestoras'!$H$6:$H$462,MATCH(D877,'Classif Gestoras'!$A$6:$A$462,0)),"Não classificada")</x:f>
        <x:v>Independente</x:v>
      </x:c>
      <x:c r="F877" s="168" t="str">
        <x:v>QI DISTRIBUIDORA DE TITULOS E VALORES MOBILIARIOS LTDA</x:v>
      </x:c>
      <x:c r="G877" s="168" t="str">
        <x:v>QI CORRETORA DE TÍTULOS E VALORES MOBILIÁRIOS S.A.</x:v>
      </x:c>
      <x:c r="H877" s="168" t="str">
        <x:v>Financeiro</x:v>
      </x:c>
      <x:c r="I877" s="168" t="str">
        <x:v>Crédito Pessoal</x:v>
      </x:c>
      <x:c r="J877" s="168" t="str">
        <x:v>CI</x:v>
      </x:c>
      <x:c r="K877" s="174" t="n">
        <x:v>74</x:v>
      </x:c>
      <x:c r="L877" s="187" t="str">
        <x:v>Não classificado</x:v>
      </x:c>
    </x:row>
    <x:row r="878">
      <x:c r="A878" s="177" t="str">
        <x:v>61.973.031/0001-13</x:v>
      </x:c>
      <x:c r="B878" s="168" t="str">
        <x:v>MCPG FUNDO DE INVESTIMENTO EM DIREITOS CREDITÓRIOS - RESPONSABILIDADE LIMITADA</x:v>
      </x:c>
      <x:c r="C878" s="190" t="n">
        <x:v>142288848.56</x:v>
      </x:c>
      <x:c r="D878" s="168" t="str">
        <x:v>Plural Investimentos Gestão de Recursos Ltda.</x:v>
      </x:c>
      <x:c r="E878" s="168" t="str">
        <x:f>IFERROR(INDEX('Classif Gestoras'!$H$6:$H$462,MATCH(D878,'Classif Gestoras'!$A$6:$A$462,0)),"Não classificada")</x:f>
        <x:v>Ligada a banco</x:v>
      </x:c>
      <x:c r="F878" s="168" t="str">
        <x:v>Genial Investimentos Corretora de Valores Mobiliários S.A.</x:v>
      </x:c>
      <x:c r="G878" s="168" t="str">
        <x:v>BANCO GENIAL S.A.</x:v>
      </x:c>
      <x:c r="H878" s="168" t="str">
        <x:v>Outros</x:v>
      </x:c>
      <x:c r="I878" s="168" t="str">
        <x:v>Poder Público</x:v>
      </x:c>
      <x:c r="J878" s="168" t="str">
        <x:v>CI</x:v>
      </x:c>
      <x:c r="K878" s="174" t="n">
        <x:v>1</x:v>
      </x:c>
      <x:c r="L878" s="187" t="str">
        <x:v>Não classificado</x:v>
      </x:c>
    </x:row>
    <x:row r="879">
      <x:c r="A879" s="177" t="str">
        <x:v>60.647.052/0001-86</x:v>
      </x:c>
      <x:c r="B879" s="168" t="str">
        <x:v>NEW TRADE CAPITAL FUNDO DE INVESTIMENTO EM DIREITOS CREDITÓRIOS - RESPONSABILIDADE LIMITADA</x:v>
      </x:c>
      <x:c r="C879" s="190" t="n">
        <x:v>142045825.88</x:v>
      </x:c>
      <x:c r="D879" s="168" t="str">
        <x:v>TERCON ASSET MANAGEMENT</x:v>
      </x:c>
      <x:c r="E879" s="168" t="str">
        <x:f>IFERROR(INDEX('Classif Gestoras'!$H$6:$H$462,MATCH(D879,'Classif Gestoras'!$A$6:$A$462,0)),"Não classificada")</x:f>
        <x:v>Independente</x:v>
      </x:c>
      <x:c r="F879" s="168" t="str">
        <x:v>Singulare</x:v>
      </x:c>
      <x:c r="G879" s="168" t="str">
        <x:v>QI CORRETORA DE TÍTULOS E VALORES MOBILIÁRIOS S.A.</x:v>
      </x:c>
      <x:c r="H879" s="168" t="str">
        <x:v>Fomento Mercantil</x:v>
      </x:c>
      <x:c r="I879" s="168" t="str">
        <x:v>Fomento Mercantil</x:v>
      </x:c>
      <x:c r="J879" s="168" t="str">
        <x:v>CI</x:v>
      </x:c>
      <x:c r="K879" s="174" t="n">
        <x:v>51</x:v>
      </x:c>
      <x:c r="L879" s="187" t="str">
        <x:v>Não classificado</x:v>
      </x:c>
    </x:row>
    <x:row r="880">
      <x:c r="A880" s="177" t="str">
        <x:v>53.979.245/0001-79</x:v>
      </x:c>
      <x:c r="B880" s="168" t="str">
        <x:v>GS3 I FUNDO DE INVESTIMENTO EM DIREITOS CREDITÓRIOS</x:v>
      </x:c>
      <x:c r="C880" s="190" t="n">
        <x:v>142004106.16</x:v>
      </x:c>
      <x:c r="D880" s="168" t="str">
        <x:v>ORRAM GESTÃO DE RECURSOS LTDA.</x:v>
      </x:c>
      <x:c r="E880" s="168" t="str">
        <x:f>IFERROR(INDEX('Classif Gestoras'!$H$6:$H$462,MATCH(D880,'Classif Gestoras'!$A$6:$A$462,0)),"Não classificada")</x:f>
        <x:v>Independente</x:v>
      </x:c>
      <x:c r="F880" s="168" t="str">
        <x:v>FIDD DISTRIBUIDORA DE TITULOS E VALORES MOBILIARIOS LTD</x:v>
      </x:c>
      <x:c r="G880" s="168" t="str">
        <x:v>FIDD DISTRIBUIDORA DE TITULOS E VALORES MOBILIARIOS LTDA.</x:v>
      </x:c>
      <x:c r="H880" s="168" t="str">
        <x:v>Outros</x:v>
      </x:c>
      <x:c r="I880" s="168" t="str">
        <x:v>Multicarteira Outros</x:v>
      </x:c>
      <x:c r="J880" s="168" t="str">
        <x:v>CI</x:v>
      </x:c>
      <x:c r="K880" s="174" t="n">
        <x:v>12</x:v>
      </x:c>
      <x:c r="L880" s="187" t="str">
        <x:v>Proxy multicedente/multissacado — revisar</x:v>
      </x:c>
    </x:row>
    <x:row r="881">
      <x:c r="A881" s="177" t="str">
        <x:v>17.474.548/0001-76</x:v>
      </x:c>
      <x:c r="B881" s="168" t="str">
        <x:v>FUNDO DE INVESTIMENTO EM DIREITOS CREDITÓRIOS LF I - SEGMENTO FINANCEIRO - RESPONSABILIDADE LIMITADA</x:v>
      </x:c>
      <x:c r="C881" s="190" t="n">
        <x:v>141354687.94</x:v>
      </x:c>
      <x:c r="D881" s="168" t="str">
        <x:v>Petra Capital</x:v>
      </x:c>
      <x:c r="E881" s="168" t="str">
        <x:f>IFERROR(INDEX('Classif Gestoras'!$H$6:$H$462,MATCH(D881,'Classif Gestoras'!$A$6:$A$462,0)),"Não classificada")</x:f>
        <x:v>Independente</x:v>
      </x:c>
      <x:c r="F881" s="168" t="str">
        <x:v>Finaxis Corretora de Títulos e Valores Mobiliários S.A.</x:v>
      </x:c>
      <x:c r="G881" s="168" t="str">
        <x:v>BANCO FINAXIS S.A.</x:v>
      </x:c>
      <x:c r="H881" s="168" t="str">
        <x:v>Outros</x:v>
      </x:c>
      <x:c r="I881" s="168" t="str">
        <x:v>Multicarteira Outros</x:v>
      </x:c>
      <x:c r="J881" s="168" t="str">
        <x:v>CI</x:v>
      </x:c>
      <x:c r="K881" s="174" t="n">
        <x:v>45</x:v>
      </x:c>
      <x:c r="L881" s="187" t="str">
        <x:v>Proxy multicedente/multissacado — revisar</x:v>
      </x:c>
    </x:row>
    <x:row r="882">
      <x:c r="A882" s="177" t="str">
        <x:v>48.968.438/0001-94</x:v>
      </x:c>
      <x:c r="B882" s="168" t="str">
        <x:v>LIFT IV FUNDO DE INVESTIMENTO EM DIREITOS CREDITÓRIOS</x:v>
      </x:c>
      <x:c r="C882" s="190" t="n">
        <x:v>141220577.73</x:v>
      </x:c>
      <x:c r="D882" s="168" t="str">
        <x:v>Namari Capital Gestão de Recursos Ltda.</x:v>
      </x:c>
      <x:c r="E882" s="168" t="str">
        <x:f>IFERROR(INDEX('Classif Gestoras'!$H$6:$H$462,MATCH(D882,'Classif Gestoras'!$A$6:$A$462,0)),"Não classificada")</x:f>
        <x:v>Independente</x:v>
      </x:c>
      <x:c r="F882" s="168" t="str">
        <x:v>MAF Distribuidora de Títulos e Valores Mobiliários S.A.</x:v>
      </x:c>
      <x:c r="G882" s="168" t="str">
        <x:v>MAF DISTRIBUIDORA DE TITULOS E VALORES MOBILIARIOS S.A.</x:v>
      </x:c>
      <x:c r="H882" s="168" t="str">
        <x:v>Outros</x:v>
      </x:c>
      <x:c r="I882" s="168" t="str">
        <x:v>Multicarteira Outros</x:v>
      </x:c>
      <x:c r="J882" s="168" t="str">
        <x:v>CI</x:v>
      </x:c>
      <x:c r="K882" s="174" t="n">
        <x:v>1</x:v>
      </x:c>
      <x:c r="L882" s="187" t="str">
        <x:v>Proxy multicedente/multissacado — revisar</x:v>
      </x:c>
    </x:row>
    <x:row r="883">
      <x:c r="A883" s="177" t="str">
        <x:v>57.284.265/0001-86</x:v>
      </x:c>
      <x:c r="B883" s="168" t="str">
        <x:v>METROPOL FUNDO DE INVESTIMENTO EM DIREITOS CREDITÓRIOS</x:v>
      </x:c>
      <x:c r="C883" s="190" t="n">
        <x:v>140940873.82000002</x:v>
      </x:c>
      <x:c r="D883" s="168" t="str">
        <x:v>CERES ASSET</x:v>
      </x:c>
      <x:c r="E883" s="168" t="str">
        <x:f>IFERROR(INDEX('Classif Gestoras'!$H$6:$H$462,MATCH(D883,'Classif Gestoras'!$A$6:$A$462,0)),"Não classificada")</x:f>
        <x:v>Independente</x:v>
      </x:c>
      <x:c r="F883" s="168" t="str">
        <x:v>Singulare</x:v>
      </x:c>
      <x:c r="G883" s="168" t="str">
        <x:v>QI CORRETORA DE TÍTULOS E VALORES MOBILIÁRIOS S.A.</x:v>
      </x:c>
      <x:c r="H883" s="168" t="str">
        <x:v>Agro, Indústria e Comércio</x:v>
      </x:c>
      <x:c r="I883" s="168" t="str">
        <x:v>Multicarteira Agro, Indústria e Comércio</x:v>
      </x:c>
      <x:c r="J883" s="168" t="str">
        <x:v>CI</x:v>
      </x:c>
      <x:c r="K883" s="174" t="n">
        <x:v>12</x:v>
      </x:c>
      <x:c r="L883" s="187" t="str">
        <x:v>Proxy multicedente/multissacado — revisar</x:v>
      </x:c>
    </x:row>
    <x:row r="884">
      <x:c r="A884" s="177" t="str">
        <x:v>32.274.874/0001-23</x:v>
      </x:c>
      <x:c r="B884" s="168" t="str">
        <x:v>CREDIT PARTNERS FUNDO DE INVESTIMENTO EM DIREITO CREDITÓRIOS</x:v>
      </x:c>
      <x:c r="C884" s="190" t="n">
        <x:v>140714837.47</x:v>
      </x:c>
      <x:c r="D884" s="168" t="str">
        <x:v>TERCON ASSET MANAGEMENT</x:v>
      </x:c>
      <x:c r="E884" s="168" t="str">
        <x:f>IFERROR(INDEX('Classif Gestoras'!$H$6:$H$462,MATCH(D884,'Classif Gestoras'!$A$6:$A$462,0)),"Não classificada")</x:f>
        <x:v>Independente</x:v>
      </x:c>
      <x:c r="F884" s="168" t="str">
        <x:v>Limine Trust Distribuidora de Titulos e Valores Mobiliá</x:v>
      </x:c>
      <x:c r="G884" s="168" t="str">
        <x:v>LIMINE TRUST DISTRIBUIDORA DE TITULOS E VALORES MOBILIARIOS LTDA.</x:v>
      </x:c>
      <x:c r="H884" s="168" t="str">
        <x:v>Outros</x:v>
      </x:c>
      <x:c r="I884" s="168" t="str">
        <x:v>Multicarteira Outros</x:v>
      </x:c>
      <x:c r="J884" s="168" t="str">
        <x:v>CI</x:v>
      </x:c>
      <x:c r="K884" s="174" t="n">
        <x:v>15</x:v>
      </x:c>
      <x:c r="L884" s="187" t="str">
        <x:v>Proxy multicedente/multissacado — revisar</x:v>
      </x:c>
    </x:row>
    <x:row r="885">
      <x:c r="A885" s="177" t="str">
        <x:v>13.974.813/0001-24</x:v>
      </x:c>
      <x:c r="B885" s="168" t="str">
        <x:v>G5 BRJUS FUNDO DE INVESTIMENTO EM DIREITOS CREDITÓRIOS NÃO PADRONIZADOS</x:v>
      </x:c>
      <x:c r="C885" s="190" t="n">
        <x:v>140112915.44</x:v>
      </x:c>
      <x:c r="D885" s="168" t="str">
        <x:v>G5 Adm. de Recursos</x:v>
      </x:c>
      <x:c r="E885" s="168" t="str">
        <x:f>IFERROR(INDEX('Classif Gestoras'!$H$6:$H$462,MATCH(D885,'Classif Gestoras'!$A$6:$A$462,0)),"Não classificada")</x:f>
        <x:v>Independente</x:v>
      </x:c>
      <x:c r="F885" s="168" t="str">
        <x:v>Singulare</x:v>
      </x:c>
      <x:c r="G885" s="168" t="str">
        <x:v>QI CORRETORA DE TÍTULOS E VALORES MOBILIÁRIOS S.A.</x:v>
      </x:c>
      <x:c r="H885" s="168" t="str">
        <x:v>Fomento Mercantil</x:v>
      </x:c>
      <x:c r="I885" s="168" t="str">
        <x:v>Fomento Mercantil</x:v>
      </x:c>
      <x:c r="J885" s="168" t="str">
        <x:v>CI</x:v>
      </x:c>
      <x:c r="K885" s="174" t="n">
        <x:v>9</x:v>
      </x:c>
      <x:c r="L885" s="187" t="str">
        <x:v>Não classificado</x:v>
      </x:c>
    </x:row>
    <x:row r="886">
      <x:c r="A886" s="177" t="str">
        <x:v>37.564.538/0001-39</x:v>
      </x:c>
      <x:c r="B886" s="168" t="str">
        <x:v>FUNDO DE INVESTIMENTO EM DIREITOS CREDITÓRIOS CLAIMS</x:v>
      </x:c>
      <x:c r="C886" s="190" t="n">
        <x:v>139670677.6</x:v>
      </x:c>
      <x:c r="D886" s="168" t="str">
        <x:v>Vista Real Estate</x:v>
      </x:c>
      <x:c r="E886" s="168" t="str">
        <x:f>IFERROR(INDEX('Classif Gestoras'!$H$6:$H$462,MATCH(D886,'Classif Gestoras'!$A$6:$A$462,0)),"Não classificada")</x:f>
        <x:v>Independente</x:v>
      </x:c>
      <x:c r="F886" s="168" t="str">
        <x:v>BRL TRUST DTVM</x:v>
      </x:c>
      <x:c r="G886" s="168" t="str">
        <x:v>BRL TRUST DISTRIBUIDORA DE TITULOS E VALORES MOBILIARIOS S.A.</x:v>
      </x:c>
      <x:c r="H886" s="168" t="str">
        <x:v>Outros</x:v>
      </x:c>
      <x:c r="I886" s="168" t="str">
        <x:v>Poder Público</x:v>
      </x:c>
      <x:c r="J886" s="168" t="str">
        <x:v>CI</x:v>
      </x:c>
      <x:c r="K886" s="174" t="n">
        <x:v>2</x:v>
      </x:c>
      <x:c r="L886" s="187" t="str">
        <x:v>Não classificado</x:v>
      </x:c>
    </x:row>
    <x:row r="887">
      <x:c r="A887" s="177" t="str">
        <x:v>63.679.792/0001-92</x:v>
      </x:c>
      <x:c r="B887" s="168" t="str">
        <x:v>BLUE HEALTH FIDC RECEBÍVEIS COMERCIAIS DE RESPONSABILIDADE LIMITADA</x:v>
      </x:c>
      <x:c r="C887" s="190" t="n">
        <x:v>139232738.26999998</x:v>
      </x:c>
      <x:c r="D887" s="168" t="str">
        <x:v>JGP Gestão de Crédito LTDA.</x:v>
      </x:c>
      <x:c r="E887" s="168" t="str">
        <x:f>IFERROR(INDEX('Classif Gestoras'!$H$6:$H$462,MATCH(D887,'Classif Gestoras'!$A$6:$A$462,0)),"Não classificada")</x:f>
        <x:v>Independente</x:v>
      </x:c>
      <x:c r="F887" s="168" t="str">
        <x:v>Oliveira Trust DTVM</x:v>
      </x:c>
      <x:c r="G887" s="168" t="str">
        <x:v>OLIVEIRA TRUST DTVM S.A.</x:v>
      </x:c>
      <x:c r="H887" s="168" t="str">
        <x:v>Agro, Indústria e Comércio</x:v>
      </x:c>
      <x:c r="I887" s="168" t="str">
        <x:v>Recebíveis Comerciais</x:v>
      </x:c>
      <x:c r="J887" s="168" t="str">
        <x:v>CI</x:v>
      </x:c>
      <x:c r="K887" s="174" t="n">
        <x:v>12</x:v>
      </x:c>
      <x:c r="L887" s="187" t="str">
        <x:v>Não classificado</x:v>
      </x:c>
    </x:row>
    <x:row r="888">
      <x:c r="A888" s="177" t="str">
        <x:v>34.408.539/0001-04</x:v>
      </x:c>
      <x:c r="B888" s="168" t="str">
        <x:v>PRAVALER CREDITO UNIVERSITARIO III FUNDO DE INVESTIMENTO EM DIREITOS CREDITÓRIOS - RESP LIMITADA</x:v>
      </x:c>
      <x:c r="C888" s="190" t="n">
        <x:v>138214733.32</x:v>
      </x:c>
      <x:c r="D888" s="168" t="str">
        <x:v>PRAVALER S/A</x:v>
      </x:c>
      <x:c r="E888" s="168" t="str">
        <x:f>IFERROR(INDEX('Classif Gestoras'!$H$6:$H$462,MATCH(D888,'Classif Gestoras'!$A$6:$A$462,0)),"Não classificada")</x:f>
        <x:v>Independente</x:v>
      </x:c>
      <x:c r="F888" s="168" t="str">
        <x:v>Oliveira Trust DTVM</x:v>
      </x:c>
      <x:c r="G888" s="168" t="str">
        <x:v>OLIVEIRA TRUST DTVM S.A.</x:v>
      </x:c>
      <x:c r="H888" s="168" t="str">
        <x:v>Financeiro</x:v>
      </x:c>
      <x:c r="I888" s="168" t="str">
        <x:v>Crédito Pessoal</x:v>
      </x:c>
      <x:c r="J888" s="168" t="str">
        <x:v>CI</x:v>
      </x:c>
      <x:c r="K888" s="174" t="n">
        <x:v>3</x:v>
      </x:c>
      <x:c r="L888" s="187" t="str">
        <x:v>Não classificado</x:v>
      </x:c>
    </x:row>
    <x:row r="889">
      <x:c r="A889" s="177" t="str">
        <x:v>47.758.232/0001-77</x:v>
      </x:c>
      <x:c r="B889" s="168" t="str">
        <x:v>SIMPALA FUNDO DE INVESTIMENTO EM DIREITOS CREDITÓRIOS</x:v>
      </x:c>
      <x:c r="C889" s="190" t="n">
        <x:v>137827813.8</x:v>
      </x:c>
      <x:c r="D889" s="168" t="str">
        <x:v>TERCON ASSET MANAGEMENT</x:v>
      </x:c>
      <x:c r="E889" s="168" t="str">
        <x:f>IFERROR(INDEX('Classif Gestoras'!$H$6:$H$462,MATCH(D889,'Classif Gestoras'!$A$6:$A$462,0)),"Não classificada")</x:f>
        <x:v>Independente</x:v>
      </x:c>
      <x:c r="F889" s="168" t="str">
        <x:v>Singulare</x:v>
      </x:c>
      <x:c r="G889" s="168" t="str">
        <x:v>QI CORRETORA DE TÍTULOS E VALORES MOBILIÁRIOS S.A.</x:v>
      </x:c>
      <x:c r="H889" s="168" t="str">
        <x:v>Fomento Mercantil</x:v>
      </x:c>
      <x:c r="I889" s="168" t="str">
        <x:v>Fomento Mercantil</x:v>
      </x:c>
      <x:c r="J889" s="168" t="str">
        <x:v>CI</x:v>
      </x:c>
      <x:c r="K889" s="174" t="n">
        <x:v>71</x:v>
      </x:c>
      <x:c r="L889" s="187" t="str">
        <x:v>Não classificado</x:v>
      </x:c>
    </x:row>
    <x:row r="890">
      <x:c r="A890" s="177" t="str">
        <x:v>52.273.542/0001-31</x:v>
      </x:c>
      <x:c r="B890" s="168" t="str">
        <x:v>FÊNIX FUNDO DE INVESTIMENTO EM DIREITOS CREDITÓRIOS</x:v>
      </x:c>
      <x:c r="C890" s="190" t="n">
        <x:v>137572861.58999997</x:v>
      </x:c>
      <x:c r="D890" s="168" t="str">
        <x:v>F3 ROCK</x:v>
      </x:c>
      <x:c r="E890" s="168" t="str">
        <x:f>IFERROR(INDEX('Classif Gestoras'!$H$6:$H$462,MATCH(D890,'Classif Gestoras'!$A$6:$A$462,0)),"Não classificada")</x:f>
        <x:v>Independente</x:v>
      </x:c>
      <x:c r="F890" s="168" t="str">
        <x:v>VÓRTX DTVM</x:v>
      </x:c>
      <x:c r="G890" s="168" t="str">
        <x:v>VORTX DISTRIBUIDORA DE TITULOS E VALORES MOBILIARIOS LTDA.</x:v>
      </x:c>
      <x:c r="H890" s="168" t="str">
        <x:v>Financeiro</x:v>
      </x:c>
      <x:c r="I890" s="168" t="str">
        <x:v>Multicarteira Financeiro</x:v>
      </x:c>
      <x:c r="J890" s="168" t="str">
        <x:v>CI</x:v>
      </x:c>
      <x:c r="K890" s="174" t="n">
        <x:v>26</x:v>
      </x:c>
      <x:c r="L890" s="187" t="str">
        <x:v>Proxy multicedente/multissacado — revisar</x:v>
      </x:c>
    </x:row>
    <x:row r="891">
      <x:c r="A891" s="177" t="str">
        <x:v>32.155.992/0001-12</x:v>
      </x:c>
      <x:c r="B891" s="168" t="str">
        <x:v>GOLDEN BIRD FUNDO DE INVESTIMENTO EM DIREITOS CREDITÓRIOS</x:v>
      </x:c>
      <x:c r="C891" s="190" t="n">
        <x:v>137493741.39</x:v>
      </x:c>
      <x:c r="D891" s="168" t="str">
        <x:v>Acura Gestora de Recursos LTDA.</x:v>
      </x:c>
      <x:c r="E891" s="168" t="str">
        <x:f>IFERROR(INDEX('Classif Gestoras'!$H$6:$H$462,MATCH(D891,'Classif Gestoras'!$A$6:$A$462,0)),"Não classificada")</x:f>
        <x:v>Independente</x:v>
      </x:c>
      <x:c r="F891" s="168" t="str">
        <x:v>SEFER DTVM</x:v>
      </x:c>
      <x:c r="G891" s="168" t="str">
        <x:v>PLANNER CORRETORA DE VALORES S.A.</x:v>
      </x:c>
      <x:c r="H891" s="168" t="str">
        <x:v>Outros</x:v>
      </x:c>
      <x:c r="I891" s="168" t="str">
        <x:v>Multicarteira Outros</x:v>
      </x:c>
      <x:c r="J891" s="168" t="str">
        <x:v>CI</x:v>
      </x:c>
      <x:c r="K891" s="174" t="n">
        <x:v>2</x:v>
      </x:c>
      <x:c r="L891" s="187" t="str">
        <x:v>Proxy multicedente/multissacado — revisar</x:v>
      </x:c>
    </x:row>
    <x:row r="892">
      <x:c r="A892" s="177" t="str">
        <x:v>63.672.540/0001-31</x:v>
      </x:c>
      <x:c r="B892" s="168" t="str">
        <x:v>DIRETTO FGTS FUNDO DE INVESTIMENTO EM DIREITOS CREDITÓRIOS RESPONSABILIDADE LIMITADA</x:v>
      </x:c>
      <x:c r="C892" s="190" t="n">
        <x:v>137384789.19</x:v>
      </x:c>
      <x:c r="D892" s="168" t="str">
        <x:v>DAYCOVAL ASSET MANAG</x:v>
      </x:c>
      <x:c r="E892" s="168" t="str">
        <x:f>IFERROR(INDEX('Classif Gestoras'!$H$6:$H$462,MATCH(D892,'Classif Gestoras'!$A$6:$A$462,0)),"Não classificada")</x:f>
        <x:v>Ligada a banco</x:v>
      </x:c>
      <x:c r="F892" s="168" t="str">
        <x:v>BANCO DAYCOVAL S/A</x:v>
      </x:c>
      <x:c r="G892" s="168" t="str">
        <x:v>BANCO DAYCOVAL S.A.</x:v>
      </x:c>
      <x:c r="H892" s="168" t="str">
        <x:v>Financeiro</x:v>
      </x:c>
      <x:c r="I892" s="168" t="str">
        <x:v>Crédito Pessoal</x:v>
      </x:c>
      <x:c r="J892" s="168" t="str">
        <x:v>CI</x:v>
      </x:c>
      <x:c r="K892" s="174" t="n">
        <x:v>4</x:v>
      </x:c>
      <x:c r="L892" s="187" t="str">
        <x:v>Não classificado</x:v>
      </x:c>
    </x:row>
    <x:row r="893">
      <x:c r="A893" s="177" t="str">
        <x:v>31.611.449/0001-10</x:v>
      </x:c>
      <x:c r="B893" s="168" t="str">
        <x:v>TERA YIELD FUNDO DE INVESTIMENTO EM DIREITOS CREDITÓRIOS</x:v>
      </x:c>
      <x:c r="C893" s="190" t="n">
        <x:v>137159403.2029</x:v>
      </x:c>
      <x:c r="D893" s="168" t="str">
        <x:v>TERA CAPITAL</x:v>
      </x:c>
      <x:c r="E893" s="168" t="str">
        <x:f>IFERROR(INDEX('Classif Gestoras'!$H$6:$H$462,MATCH(D893,'Classif Gestoras'!$A$6:$A$462,0)),"Não classificada")</x:f>
        <x:v>Independente</x:v>
      </x:c>
      <x:c r="F893" s="168" t="str">
        <x:v>BTG Pactual Servicos Financeiros S/A DTVM</x:v>
      </x:c>
      <x:c r="G893" s="168" t="str">
        <x:v>BANCO BTG PACTUAL S/A</x:v>
      </x:c>
      <x:c r="H893" s="168" t="str">
        <x:v>Outros</x:v>
      </x:c>
      <x:c r="I893" s="168" t="str">
        <x:v>Multicarteira Outros</x:v>
      </x:c>
      <x:c r="J893" s="168" t="str">
        <x:v>CI</x:v>
      </x:c>
      <x:c r="K893" s="174" t="n">
        <x:v>13</x:v>
      </x:c>
      <x:c r="L893" s="187" t="str">
        <x:v>Proxy multicedente/multissacado — revisar</x:v>
      </x:c>
    </x:row>
    <x:row r="894">
      <x:c r="A894" s="177" t="str">
        <x:v>49.250.454/0001-00</x:v>
      </x:c>
      <x:c r="B894" s="168" t="str">
        <x:v>NINE CAPITAL FUNDO DE INVESTIMENTO EM DIREITOS CREDITÓRIOS</x:v>
      </x:c>
      <x:c r="C894" s="190" t="n">
        <x:v>137143435.98000002</x:v>
      </x:c>
      <x:c r="D894" s="168" t="str">
        <x:v>Catálise Investimentos</x:v>
      </x:c>
      <x:c r="E894" s="168" t="str">
        <x:f>IFERROR(INDEX('Classif Gestoras'!$H$6:$H$462,MATCH(D894,'Classif Gestoras'!$A$6:$A$462,0)),"Não classificada")</x:f>
        <x:v>Independente</x:v>
      </x:c>
      <x:c r="F894" s="168" t="str">
        <x:v>CATÁLISE DTVM</x:v>
      </x:c>
      <x:c r="G894" s="168" t="str">
        <x:v>BANCO DAYCOVAL S.A.</x:v>
      </x:c>
      <x:c r="H894" s="168" t="str">
        <x:v>Agro, Indústria e Comércio</x:v>
      </x:c>
      <x:c r="I894" s="168" t="str">
        <x:v>Recebíveis Comerciais</x:v>
      </x:c>
      <x:c r="J894" s="168" t="str">
        <x:v>CI</x:v>
      </x:c>
      <x:c r="K894" s="174" t="n">
        <x:v>1</x:v>
      </x:c>
      <x:c r="L894" s="187" t="str">
        <x:v>Não classificado</x:v>
      </x:c>
    </x:row>
    <x:row r="895">
      <x:c r="A895" s="177" t="str">
        <x:v>53.451.757/0001-68</x:v>
      </x:c>
      <x:c r="B895" s="168" t="str">
        <x:v>CASHEW II FUNDO DE INVESTIMENTO EM DIREITOS CREDITÓRIOS</x:v>
      </x:c>
      <x:c r="C895" s="190" t="n">
        <x:v>136963120.70000002</x:v>
      </x:c>
      <x:c r="D895" s="168" t="str">
        <x:v>Siguler Guff Gestora de Investimentos (Asset Management</x:v>
      </x:c>
      <x:c r="E895" s="168" t="str">
        <x:f>IFERROR(INDEX('Classif Gestoras'!$H$6:$H$462,MATCH(D895,'Classif Gestoras'!$A$6:$A$462,0)),"Não classificada")</x:f>
        <x:v>Independente</x:v>
      </x:c>
      <x:c r="F895" s="168" t="str">
        <x:v>BTG Pactual Servicos Financeiros S/A DTVM</x:v>
      </x:c>
      <x:c r="G895" s="168" t="str">
        <x:v>BANCO BTG PACTUAL S/A</x:v>
      </x:c>
      <x:c r="H895" s="168" t="str">
        <x:v>Outros</x:v>
      </x:c>
      <x:c r="I895" s="168" t="str">
        <x:v>Multicarteira Outros</x:v>
      </x:c>
      <x:c r="J895" s="168" t="str">
        <x:v>CI</x:v>
      </x:c>
      <x:c r="K895" s="174" t="n">
        <x:v>1</x:v>
      </x:c>
      <x:c r="L895" s="187" t="str">
        <x:v>Proxy multicedente/multissacado — revisar</x:v>
      </x:c>
    </x:row>
    <x:row r="896">
      <x:c r="A896" s="177" t="str">
        <x:v>10.237.131/0001-40</x:v>
      </x:c>
      <x:c r="B896" s="168" t="str">
        <x:v>IAA FUNDO DE INVESTIMENTO EM DIREITOS CREDITÓRIOS NÃO PADRONIZADOS</x:v>
      </x:c>
      <x:c r="C896" s="190" t="n">
        <x:v>136833102.39999998</x:v>
      </x:c>
      <x:c r="D896" s="168" t="str">
        <x:v>Carpa Family Office</x:v>
      </x:c>
      <x:c r="E896" s="168" t="str">
        <x:f>IFERROR(INDEX('Classif Gestoras'!$H$6:$H$462,MATCH(D896,'Classif Gestoras'!$A$6:$A$462,0)),"Não classificada")</x:f>
        <x:v>Independente</x:v>
      </x:c>
      <x:c r="F896" s="168" t="str">
        <x:v>Singulare</x:v>
      </x:c>
      <x:c r="G896" s="168" t="str">
        <x:v>QI CORRETORA DE TÍTULOS E VALORES MOBILIÁRIOS S.A.</x:v>
      </x:c>
      <x:c r="H896" s="168" t="str">
        <x:v>Outros</x:v>
      </x:c>
      <x:c r="I896" s="168" t="str">
        <x:v>Poder Público</x:v>
      </x:c>
      <x:c r="J896" s="168" t="str">
        <x:v>CI</x:v>
      </x:c>
      <x:c r="K896" s="174" t="n">
        <x:v>14</x:v>
      </x:c>
      <x:c r="L896" s="187" t="str">
        <x:v>Não classificado</x:v>
      </x:c>
    </x:row>
    <x:row r="897">
      <x:c r="A897" s="177" t="str">
        <x:v>33.475.501/0001-83</x:v>
      </x:c>
      <x:c r="B897" s="168" t="str">
        <x:v>XPJUS FUNDO DE INVESTIMENTO EM DIREITOS CREDITÓRIOS</x:v>
      </x:c>
      <x:c r="C897" s="190" t="n">
        <x:v>136303724.14</x:v>
      </x:c>
      <x:c r="D897" s="168" t="str">
        <x:v>Vista Real Estate</x:v>
      </x:c>
      <x:c r="E897" s="168" t="str">
        <x:f>IFERROR(INDEX('Classif Gestoras'!$H$6:$H$462,MATCH(D897,'Classif Gestoras'!$A$6:$A$462,0)),"Não classificada")</x:f>
        <x:v>Independente</x:v>
      </x:c>
      <x:c r="F897" s="168" t="str">
        <x:v>BRL TRUST DTVM</x:v>
      </x:c>
      <x:c r="G897" s="168" t="str">
        <x:v>BRL TRUST DISTRIBUIDORA DE TITULOS E VALORES MOBILIARIOS S.A.</x:v>
      </x:c>
      <x:c r="H897" s="168" t="str">
        <x:v>Outros</x:v>
      </x:c>
      <x:c r="I897" s="168" t="str">
        <x:v>Poder Público</x:v>
      </x:c>
      <x:c r="J897" s="168" t="str">
        <x:v>CI</x:v>
      </x:c>
      <x:c r="K897" s="174" t="n">
        <x:v>21</x:v>
      </x:c>
      <x:c r="L897" s="187" t="str">
        <x:v>Não classificado</x:v>
      </x:c>
    </x:row>
    <x:row r="898">
      <x:c r="A898" s="177" t="str">
        <x:v>36.335.689/0001-52</x:v>
      </x:c>
      <x:c r="B898" s="168" t="str">
        <x:v>FUNDO DE INVESTIMENTO EM DIREITOS CREDITÓRIOS SETOR PÚBLICO</x:v>
      </x:c>
      <x:c r="C898" s="190" t="n">
        <x:v>136232960.98</x:v>
      </x:c>
      <x:c r="D898" s="168" t="str">
        <x:v>BRL TRUST DTVM</x:v>
      </x:c>
      <x:c r="E898" s="168" t="str">
        <x:f>IFERROR(INDEX('Classif Gestoras'!$H$6:$H$462,MATCH(D898,'Classif Gestoras'!$A$6:$A$462,0)),"Não classificada")</x:f>
        <x:v>Independente</x:v>
      </x:c>
      <x:c r="F898" s="168" t="str">
        <x:v>BRL TRUST DTVM</x:v>
      </x:c>
      <x:c r="G898" s="168" t="str">
        <x:v>BRL TRUST DISTRIBUIDORA DE TITULOS E VALORES MOBILIARIOS S.A.</x:v>
      </x:c>
      <x:c r="H898" s="168" t="str">
        <x:v>Outros</x:v>
      </x:c>
      <x:c r="I898" s="168" t="str">
        <x:v>Poder Público</x:v>
      </x:c>
      <x:c r="J898" s="168" t="str">
        <x:v>CI</x:v>
      </x:c>
      <x:c r="K898" s="174" t="n">
        <x:v>1</x:v>
      </x:c>
      <x:c r="L898" s="187" t="str">
        <x:v>Não classificado</x:v>
      </x:c>
    </x:row>
    <x:row r="899">
      <x:c r="A899" s="177" t="str">
        <x:v>29.242.926/0001-75</x:v>
      </x:c>
      <x:c r="B899" s="168" t="str">
        <x:v>CONSIGA FUNDO DE INVESTIMENTO EM DIREITOS CREDITÓRIOS - RESPONSABILIDADE LIMITADA</x:v>
      </x:c>
      <x:c r="C899" s="190" t="n">
        <x:v>135867247.79</x:v>
      </x:c>
      <x:c r="D899" s="168" t="str">
        <x:v>ARTESANAL FINANCEIRO</x:v>
      </x:c>
      <x:c r="E899" s="168" t="str">
        <x:f>IFERROR(INDEX('Classif Gestoras'!$H$6:$H$462,MATCH(D899,'Classif Gestoras'!$A$6:$A$462,0)),"Não classificada")</x:f>
        <x:v>Independente</x:v>
      </x:c>
      <x:c r="F899" s="168" t="str">
        <x:v>Singulare</x:v>
      </x:c>
      <x:c r="G899" s="168" t="str">
        <x:v>QI CORRETORA DE TÍTULOS E VALORES MOBILIÁRIOS S.A.</x:v>
      </x:c>
      <x:c r="H899" s="168" t="str">
        <x:v>Outros</x:v>
      </x:c>
      <x:c r="I899" s="168" t="str">
        <x:v>Multicarteira Outros</x:v>
      </x:c>
      <x:c r="J899" s="168" t="str">
        <x:v>CI</x:v>
      </x:c>
      <x:c r="K899" s="174" t="n">
        <x:v>25</x:v>
      </x:c>
      <x:c r="L899" s="187" t="str">
        <x:v>Proxy multicedente/multissacado — revisar</x:v>
      </x:c>
    </x:row>
    <x:row r="900">
      <x:c r="A900" s="177" t="str">
        <x:v>45.963.700/0001-10</x:v>
      </x:c>
      <x:c r="B900" s="168" t="str">
        <x:v>TECNOMYL II FUNDO DE INVESTIMENTO EM DIREITOS CREDITÓRIOS AGRONEGÓCIO</x:v>
      </x:c>
      <x:c r="C900" s="190" t="n">
        <x:v>135744556.44</x:v>
      </x:c>
      <x:c r="D900" s="168" t="str">
        <x:v>ORRAM GESTÃO DE RECURSOS LTDA.</x:v>
      </x:c>
      <x:c r="E900" s="168" t="str">
        <x:f>IFERROR(INDEX('Classif Gestoras'!$H$6:$H$462,MATCH(D900,'Classif Gestoras'!$A$6:$A$462,0)),"Não classificada")</x:f>
        <x:v>Independente</x:v>
      </x:c>
      <x:c r="F900" s="168" t="str">
        <x:v>Banco Genial S.A.</x:v>
      </x:c>
      <x:c r="G900" s="168" t="str">
        <x:v>BANCO GENIAL S.A.</x:v>
      </x:c>
      <x:c r="H900" s="168" t="str">
        <x:v>Agro, Indústria e Comércio</x:v>
      </x:c>
      <x:c r="I900" s="168" t="str">
        <x:v>Recebíveis Comerciais</x:v>
      </x:c>
      <x:c r="J900" s="168" t="str">
        <x:v>CI</x:v>
      </x:c>
      <x:c r="K900" s="174" t="n">
        <x:v>7</x:v>
      </x:c>
      <x:c r="L900" s="187" t="str">
        <x:v>Não classificado</x:v>
      </x:c>
    </x:row>
    <x:row r="901">
      <x:c r="A901" s="177" t="str">
        <x:v>47.466.676/0001-39</x:v>
      </x:c>
      <x:c r="B901" s="168" t="str">
        <x:v>ARTESANAL CDC FUNDO DE INVESTIMENTO EM DIREITOS CREDITÓRIOS - RESPONSABILIDADE LIMITADA</x:v>
      </x:c>
      <x:c r="C901" s="190" t="n">
        <x:v>135481661.44</x:v>
      </x:c>
      <x:c r="D901" s="168" t="str">
        <x:v>ARTESANAL FINANCEIRO</x:v>
      </x:c>
      <x:c r="E901" s="168" t="str">
        <x:f>IFERROR(INDEX('Classif Gestoras'!$H$6:$H$462,MATCH(D901,'Classif Gestoras'!$A$6:$A$462,0)),"Não classificada")</x:f>
        <x:v>Independente</x:v>
      </x:c>
      <x:c r="F901" s="168" t="str">
        <x:v>Singulare</x:v>
      </x:c>
      <x:c r="G901" s="168" t="str">
        <x:v>QI CORRETORA DE TÍTULOS E VALORES MOBILIÁRIOS S.A.</x:v>
      </x:c>
      <x:c r="H901" s="168" t="str">
        <x:v>Outros</x:v>
      </x:c>
      <x:c r="I901" s="168" t="str">
        <x:v>Multicarteira Outros</x:v>
      </x:c>
      <x:c r="J901" s="168" t="str">
        <x:v>CI</x:v>
      </x:c>
      <x:c r="K901" s="174" t="n">
        <x:v>6</x:v>
      </x:c>
      <x:c r="L901" s="187" t="str">
        <x:v>Proxy multicedente/multissacado — revisar</x:v>
      </x:c>
    </x:row>
    <x:row r="902">
      <x:c r="A902" s="177" t="str">
        <x:v>51.401.568/0001-55</x:v>
      </x:c>
      <x:c r="B902" s="168" t="str">
        <x:v>BLUEFIN FUNDO DE INVESTIMENTO EM DIREITOS CREDITÓRIOS</x:v>
      </x:c>
      <x:c r="C902" s="190" t="n">
        <x:v>135468117.40000004</x:v>
      </x:c>
      <x:c r="D902" s="168" t="str">
        <x:v>Redwood Asset Management</x:v>
      </x:c>
      <x:c r="E902" s="168" t="str">
        <x:f>IFERROR(INDEX('Classif Gestoras'!$H$6:$H$462,MATCH(D902,'Classif Gestoras'!$A$6:$A$462,0)),"Não classificada")</x:f>
        <x:v>Independente</x:v>
      </x:c>
      <x:c r="F902" s="168" t="str">
        <x:v>PLANNER CV</x:v>
      </x:c>
      <x:c r="G902" s="168" t="str">
        <x:v>PLANNER CORRETORA DE VALORES S.A.</x:v>
      </x:c>
      <x:c r="H902" s="168" t="str">
        <x:v>Outros</x:v>
      </x:c>
      <x:c r="I902" s="168" t="str">
        <x:v>Multicarteira Outros</x:v>
      </x:c>
      <x:c r="J902" s="168" t="str">
        <x:v>CI</x:v>
      </x:c>
      <x:c r="K902" s="174" t="n">
        <x:v>8</x:v>
      </x:c>
      <x:c r="L902" s="187" t="str">
        <x:v>Proxy multicedente/multissacado — revisar</x:v>
      </x:c>
    </x:row>
    <x:row r="903">
      <x:c r="A903" s="177" t="str">
        <x:v>38.314.663/0001-53</x:v>
      </x:c>
      <x:c r="B903" s="168" t="str">
        <x:v>EMUNAH FUNDO DE INVESTIMENTO EM DIREITOS CREDITÓRIOS</x:v>
      </x:c>
      <x:c r="C903" s="190" t="n">
        <x:v>135364813.33999997</x:v>
      </x:c>
      <x:c r="D903" s="168" t="str">
        <x:v>M8 Partners</x:v>
      </x:c>
      <x:c r="E903" s="168" t="str">
        <x:f>IFERROR(INDEX('Classif Gestoras'!$H$6:$H$462,MATCH(D903,'Classif Gestoras'!$A$6:$A$462,0)),"Não classificada")</x:f>
        <x:v>Independente</x:v>
      </x:c>
      <x:c r="F903" s="168" t="str">
        <x:v>Singulare</x:v>
      </x:c>
      <x:c r="G903" s="168" t="str">
        <x:v>QI CORRETORA DE TÍTULOS E VALORES MOBILIÁRIOS S.A.</x:v>
      </x:c>
      <x:c r="H903" s="168" t="str">
        <x:v>Fomento Mercantil</x:v>
      </x:c>
      <x:c r="I903" s="168" t="str">
        <x:v>Fomento Mercantil</x:v>
      </x:c>
      <x:c r="J903" s="168" t="str">
        <x:v>CI</x:v>
      </x:c>
      <x:c r="K903" s="174" t="n">
        <x:v>43</x:v>
      </x:c>
      <x:c r="L903" s="187" t="str">
        <x:v>Não classificado</x:v>
      </x:c>
    </x:row>
    <x:row r="904">
      <x:c r="A904" s="177" t="str">
        <x:v>47.862.139/0001-08</x:v>
      </x:c>
      <x:c r="B904" s="168" t="str">
        <x:v>BLUE ROCKET FUNDO DE INVESTIMENTO EM DIREITOS CREDITÓRIOS</x:v>
      </x:c>
      <x:c r="C904" s="190" t="n">
        <x:v>135267353.99</x:v>
      </x:c>
      <x:c r="D904" s="168" t="str">
        <x:v>Catálise Investimentos</x:v>
      </x:c>
      <x:c r="E904" s="168" t="str">
        <x:f>IFERROR(INDEX('Classif Gestoras'!$H$6:$H$462,MATCH(D904,'Classif Gestoras'!$A$6:$A$462,0)),"Não classificada")</x:f>
        <x:v>Independente</x:v>
      </x:c>
      <x:c r="F904" s="168" t="str">
        <x:v>CATÁLISE DTVM</x:v>
      </x:c>
      <x:c r="G904" s="168" t="str">
        <x:v>BANCO DAYCOVAL S.A.</x:v>
      </x:c>
      <x:c r="H904" s="168" t="str">
        <x:v>Agro, Indústria e Comércio</x:v>
      </x:c>
      <x:c r="I904" s="168" t="str">
        <x:v>Multicarteira Agro, Indústria e Comércio</x:v>
      </x:c>
      <x:c r="J904" s="168" t="str">
        <x:v>CI</x:v>
      </x:c>
      <x:c r="K904" s="174" t="n">
        <x:v>2</x:v>
      </x:c>
      <x:c r="L904" s="187" t="str">
        <x:v>Proxy multicedente/multissacado — revisar</x:v>
      </x:c>
    </x:row>
    <x:row r="905">
      <x:c r="A905" s="177" t="str">
        <x:v>58.598.420/0001-00</x:v>
      </x:c>
      <x:c r="B905" s="168" t="str">
        <x:v>FUNDO DE INVESTIMENTO EM DIREITOS CREDITÓRIOS BZR IV</x:v>
      </x:c>
      <x:c r="C905" s="190" t="n">
        <x:v>134293033.57</x:v>
      </x:c>
      <x:c r="D905" s="168" t="str">
        <x:v>Vinci SPS Gestão de Recursos Ltda.</x:v>
      </x:c>
      <x:c r="E905" s="168" t="str">
        <x:f>IFERROR(INDEX('Classif Gestoras'!$H$6:$H$462,MATCH(D905,'Classif Gestoras'!$A$6:$A$462,0)),"Não classificada")</x:f>
        <x:v>Independente</x:v>
      </x:c>
      <x:c r="F905" s="168" t="str">
        <x:v>BANCO DAYCOVAL S/A</x:v>
      </x:c>
      <x:c r="G905" s="168" t="str">
        <x:v>BANCO DAYCOVAL S.A.</x:v>
      </x:c>
      <x:c r="H905" s="168" t="str">
        <x:v>Outros</x:v>
      </x:c>
      <x:c r="I905" s="168" t="str">
        <x:v>Multicarteira Outros</x:v>
      </x:c>
      <x:c r="J905" s="168" t="str">
        <x:v>CI</x:v>
      </x:c>
      <x:c r="K905" s="174" t="n">
        <x:v>2</x:v>
      </x:c>
      <x:c r="L905" s="187" t="str">
        <x:v>Proxy multicedente/multissacado — revisar</x:v>
      </x:c>
    </x:row>
    <x:row r="906">
      <x:c r="A906" s="177" t="str">
        <x:v>51.869.340/0001-94</x:v>
      </x:c>
      <x:c r="B906" s="168" t="str">
        <x:v>VFA CONSIGNADO FUNDO DE INVESTIMENTO EM DIREITOS CREDITÓRIOS</x:v>
      </x:c>
      <x:c r="C906" s="190" t="n">
        <x:v>133580548.03</x:v>
      </x:c>
      <x:c r="D906" s="168" t="str">
        <x:v>Vinci Gestora de Recursos LTDA</x:v>
      </x:c>
      <x:c r="E906" s="168" t="str">
        <x:f>IFERROR(INDEX('Classif Gestoras'!$H$6:$H$462,MATCH(D906,'Classif Gestoras'!$A$6:$A$462,0)),"Não classificada")</x:f>
        <x:v>Independente</x:v>
      </x:c>
      <x:c r="F906" s="168" t="str">
        <x:v>VÓRTX DTVM</x:v>
      </x:c>
      <x:c r="G906" s="168" t="str">
        <x:v>VORTX DISTRIBUIDORA DE TITULOS E VALORES MOBILIARIOS LTDA.</x:v>
      </x:c>
      <x:c r="H906" s="168" t="str">
        <x:v>Financeiro</x:v>
      </x:c>
      <x:c r="I906" s="168" t="str">
        <x:v>Crédito Consignado</x:v>
      </x:c>
      <x:c r="J906" s="168" t="str">
        <x:v>CI</x:v>
      </x:c>
      <x:c r="K906" s="174" t="n">
        <x:v>52</x:v>
      </x:c>
      <x:c r="L906" s="187" t="str">
        <x:v>Não classificado</x:v>
      </x:c>
    </x:row>
    <x:row r="907">
      <x:c r="A907" s="177" t="str">
        <x:v>34.736.673/0001-26</x:v>
      </x:c>
      <x:c r="B907" s="168" t="str">
        <x:v>BW GSS FUNDO DE INVESTIMENTO EM DIREITOS CREDITÓRIOS RESPONSABILIDADE LIMITADA</x:v>
      </x:c>
      <x:c r="C907" s="190" t="n">
        <x:v>133561119.55</x:v>
      </x:c>
      <x:c r="D907" s="168" t="str">
        <x:v>BW Gestão de Investimentos Ltd</x:v>
      </x:c>
      <x:c r="E907" s="168" t="str">
        <x:f>IFERROR(INDEX('Classif Gestoras'!$H$6:$H$462,MATCH(D907,'Classif Gestoras'!$A$6:$A$462,0)),"Não classificada")</x:f>
        <x:v>Independente</x:v>
      </x:c>
      <x:c r="F907" s="168" t="str">
        <x:v>LIONS DTVM</x:v>
      </x:c>
      <x:c r="G907" s="168" t="str">
        <x:v>LIONS TRUST DISTRIBUIDORA DE TÍTULOS E VALORES MOBILIÁRIOS LTDA.</x:v>
      </x:c>
      <x:c r="H907" s="168" t="str">
        <x:v>Outros</x:v>
      </x:c>
      <x:c r="I907" s="168" t="str">
        <x:v>Multicarteira Outros</x:v>
      </x:c>
      <x:c r="J907" s="168" t="str">
        <x:v>CI</x:v>
      </x:c>
      <x:c r="K907" s="174" t="n">
        <x:v>1</x:v>
      </x:c>
      <x:c r="L907" s="187" t="str">
        <x:v>Proxy multicedente/multissacado — revisar</x:v>
      </x:c>
    </x:row>
    <x:row r="908">
      <x:c r="A908" s="177" t="str">
        <x:v>61.709.339/0001-56</x:v>
      </x:c>
      <x:c r="B908" s="168" t="str">
        <x:v>FIDC MDR II HIGH GRADE RECEBÍVEIS DE CREDENCIADORAS RESPONSABILIDADE LIMITADA</x:v>
      </x:c>
      <x:c r="C908" s="190" t="n">
        <x:v>133412452.56</x:v>
      </x:c>
      <x:c r="D908" s="168" t="str">
        <x:v>ORIZ ASSET MANAGEMENT LTDA.</x:v>
      </x:c>
      <x:c r="E908" s="168" t="str">
        <x:f>IFERROR(INDEX('Classif Gestoras'!$H$6:$H$462,MATCH(D908,'Classif Gestoras'!$A$6:$A$462,0)),"Não classificada")</x:f>
        <x:v>Independente</x:v>
      </x:c>
      <x:c r="F908" s="168" t="str">
        <x:v>INTRAG DIST. DE TÍTU</x:v>
      </x:c>
      <x:c r="G908" s="168" t="str">
        <x:v>LIMINE TRUST DISTRIBUIDORA DE TITULOS E VALORES MOBILIARIOS LTDA.</x:v>
      </x:c>
      <x:c r="H908" s="168" t="str">
        <x:v>Agro, Indústria e Comércio</x:v>
      </x:c>
      <x:c r="I908" s="168" t="str">
        <x:v>Recebíveis Comerciais</x:v>
      </x:c>
      <x:c r="J908" s="168" t="str">
        <x:v>CI</x:v>
      </x:c>
      <x:c r="K908" s="174" t="n">
        <x:v>9</x:v>
      </x:c>
      <x:c r="L908" s="187" t="str">
        <x:v>Não classificado</x:v>
      </x:c>
    </x:row>
    <x:row r="909">
      <x:c r="A909" s="177" t="str">
        <x:v>56.745.955/0001-22</x:v>
      </x:c>
      <x:c r="B909" s="168" t="str">
        <x:v>SYNERGIE HRV FIDC DE RESPONSABILIDADE LIMITADA DOS SEGMENTOS COMERCIAL, FINANCEIRO E INDUSTRIAL</x:v>
      </x:c>
      <x:c r="C909" s="190" t="n">
        <x:v>132374443.32</x:v>
      </x:c>
      <x:c r="D909" s="168" t="str">
        <x:v>Plural Investimentos Gestão de Recursos Ltda.</x:v>
      </x:c>
      <x:c r="E909" s="168" t="str">
        <x:f>IFERROR(INDEX('Classif Gestoras'!$H$6:$H$462,MATCH(D909,'Classif Gestoras'!$A$6:$A$462,0)),"Não classificada")</x:f>
        <x:v>Ligada a banco</x:v>
      </x:c>
      <x:c r="F909" s="168" t="str">
        <x:v>Banco Genial S.A.</x:v>
      </x:c>
      <x:c r="G909" s="168" t="str">
        <x:v>BANCO GENIAL S.A.</x:v>
      </x:c>
      <x:c r="H909" s="168" t="str">
        <x:v>Agro, Indústria e Comércio</x:v>
      </x:c>
      <x:c r="I909" s="168" t="str">
        <x:v>Multicarteira Agro, Indústria e Comércio</x:v>
      </x:c>
      <x:c r="J909" s="168" t="str">
        <x:v>CI</x:v>
      </x:c>
      <x:c r="K909" s="174" t="n">
        <x:v>1</x:v>
      </x:c>
      <x:c r="L909" s="187" t="str">
        <x:v>Proxy multicedente/multissacado — revisar</x:v>
      </x:c>
    </x:row>
    <x:row r="910">
      <x:c r="A910" s="177" t="str">
        <x:v>32.388.130/0001-30</x:v>
      </x:c>
      <x:c r="B910" s="168" t="str">
        <x:v>PCS II BT FUNDO DE INVESTIMENTO EM DIREITOS CREDITÓRIOS NÃOPADRONIZADOS</x:v>
      </x:c>
      <x:c r="C910" s="190" t="n">
        <x:v>132324371.62</x:v>
      </x:c>
      <x:c r="D910" s="168" t="str">
        <x:v>Prisma Claims Ltda.</x:v>
      </x:c>
      <x:c r="E910" s="168" t="str">
        <x:f>IFERROR(INDEX('Classif Gestoras'!$H$6:$H$462,MATCH(D910,'Classif Gestoras'!$A$6:$A$462,0)),"Não classificada")</x:f>
        <x:v>Independente</x:v>
      </x:c>
      <x:c r="F910" s="168" t="str">
        <x:v>Singulare</x:v>
      </x:c>
      <x:c r="G910" s="168" t="str">
        <x:v>QI CORRETORA DE TÍTULOS E VALORES MOBILIÁRIOS S.A.</x:v>
      </x:c>
      <x:c r="H910" s="168" t="str">
        <x:v>Outros</x:v>
      </x:c>
      <x:c r="I910" s="168" t="str">
        <x:v>Multicarteira Outros</x:v>
      </x:c>
      <x:c r="J910" s="168" t="str">
        <x:v>CIPC</x:v>
      </x:c>
      <x:c r="K910" s="174" t="n">
        <x:v>2</x:v>
      </x:c>
      <x:c r="L910" s="187" t="str">
        <x:v>Proxy multicedente/multissacado — revisar</x:v>
      </x:c>
    </x:row>
    <x:row r="911">
      <x:c r="A911" s="177" t="str">
        <x:v>44.173.493/0001-37</x:v>
      </x:c>
      <x:c r="B911" s="168" t="str">
        <x:v>EXES SPECIAL OPPORTUNITIES FUNDO DE INVESTIMENTO EM DIREITOS CREDITÓRIOS</x:v>
      </x:c>
      <x:c r="C911" s="190" t="n">
        <x:v>132000271.56</x:v>
      </x:c>
      <x:c r="D911" s="168" t="str">
        <x:v>Éxes</x:v>
      </x:c>
      <x:c r="E911" s="168" t="str">
        <x:f>IFERROR(INDEX('Classif Gestoras'!$H$6:$H$462,MATCH(D911,'Classif Gestoras'!$A$6:$A$462,0)),"Não classificada")</x:f>
        <x:v>Independente</x:v>
      </x:c>
      <x:c r="F911" s="168" t="str">
        <x:v>BTG Pactual Servicos Financeiros S/A DTVM</x:v>
      </x:c>
      <x:c r="G911" s="168" t="str">
        <x:v>BANCO BTG PACTUAL S/A</x:v>
      </x:c>
      <x:c r="H911" s="168" t="str">
        <x:v>Outros</x:v>
      </x:c>
      <x:c r="I911" s="168" t="str">
        <x:v>Multicarteira Outros</x:v>
      </x:c>
      <x:c r="J911" s="168" t="str">
        <x:v>CI</x:v>
      </x:c>
      <x:c r="K911" s="174" t="n">
        <x:v>34</x:v>
      </x:c>
      <x:c r="L911" s="187" t="str">
        <x:v>Proxy multicedente/multissacado — revisar</x:v>
      </x:c>
    </x:row>
    <x:row r="912">
      <x:c r="A912" s="177" t="str">
        <x:v>58.291.962/0001-27</x:v>
      </x:c>
      <x:c r="B912" s="168" t="str">
        <x:v>CNPJ 58291962000127</x:v>
      </x:c>
      <x:c r="C912" s="190" t="n">
        <x:v>131483131.9</x:v>
      </x:c>
      <x:c r="D912" s="168" t="str">
        <x:v>OPEA GESTORA DE RECURSOS</x:v>
      </x:c>
      <x:c r="E912" s="168" t="str">
        <x:f>IFERROR(INDEX('Classif Gestoras'!$H$6:$H$462,MATCH(D912,'Classif Gestoras'!$A$6:$A$462,0)),"Não classificada")</x:f>
        <x:v>Independente</x:v>
      </x:c>
      <x:c r="F912" s="168" t="str">
        <x:v>VÓRTX DTVM</x:v>
      </x:c>
      <x:c r="G912" s="168" t="str">
        <x:v>Não identificado</x:v>
      </x:c>
      <x:c r="H912" s="168" t="str">
        <x:v>Agro, Indústria e Comércio</x:v>
      </x:c>
      <x:c r="I912" s="168" t="str">
        <x:v>Multicarteira Agro, Indústria e Comércio</x:v>
      </x:c>
      <x:c r="J912" s="168" t="str">
        <x:v>CI</x:v>
      </x:c>
      <x:c r="K912" s="174"/>
      <x:c r="L912" s="187" t="str">
        <x:v>Proxy multicedente/multissacado — revisar</x:v>
      </x:c>
    </x:row>
    <x:row r="913">
      <x:c r="A913" s="177" t="str">
        <x:v>54.443.741/0001-76</x:v>
      </x:c>
      <x:c r="B913" s="168" t="str">
        <x:v>GARE FUNDO DE INVESTIMENTO EM DIREITOS CREDITÓRIOS</x:v>
      </x:c>
      <x:c r="C913" s="190" t="n">
        <x:v>131467994.97393</x:v>
      </x:c>
      <x:c r="D913" s="168" t="str">
        <x:v>ORRAM GESTÃO DE RECURSOS LTDA.</x:v>
      </x:c>
      <x:c r="E913" s="168" t="str">
        <x:f>IFERROR(INDEX('Classif Gestoras'!$H$6:$H$462,MATCH(D913,'Classif Gestoras'!$A$6:$A$462,0)),"Não classificada")</x:f>
        <x:v>Independente</x:v>
      </x:c>
      <x:c r="F913" s="168" t="str">
        <x:v>Singulare</x:v>
      </x:c>
      <x:c r="G913" s="168" t="str">
        <x:v>QI CORRETORA DE TÍTULOS E VALORES MOBILIÁRIOS S.A.</x:v>
      </x:c>
      <x:c r="H913" s="168" t="str">
        <x:v>Outros</x:v>
      </x:c>
      <x:c r="I913" s="168" t="str">
        <x:v>Multicarteira Outros</x:v>
      </x:c>
      <x:c r="J913" s="168" t="str">
        <x:v>CI</x:v>
      </x:c>
      <x:c r="K913" s="174" t="n">
        <x:v>9</x:v>
      </x:c>
      <x:c r="L913" s="187" t="str">
        <x:v>Proxy multicedente/multissacado — revisar</x:v>
      </x:c>
    </x:row>
    <x:row r="914">
      <x:c r="A914" s="177" t="str">
        <x:v>59.286.643/0001-96</x:v>
      </x:c>
      <x:c r="B914" s="168" t="str">
        <x:v>G5 FUNDO DE INVESTIMENTO EM DIREITOS CREDITÓRIOS TG</x:v>
      </x:c>
      <x:c r="C914" s="190" t="n">
        <x:v>130862163.06000002</x:v>
      </x:c>
      <x:c r="D914" s="168" t="str">
        <x:v>G5 Adm. de Recursos</x:v>
      </x:c>
      <x:c r="E914" s="168" t="str">
        <x:f>IFERROR(INDEX('Classif Gestoras'!$H$6:$H$462,MATCH(D914,'Classif Gestoras'!$A$6:$A$462,0)),"Não classificada")</x:f>
        <x:v>Independente</x:v>
      </x:c>
      <x:c r="F914" s="168" t="str">
        <x:v>BTG Pactual Servicos Financeiros S/A DTVM</x:v>
      </x:c>
      <x:c r="G914" s="168" t="str">
        <x:v>BANCO BTG PACTUAL S/A</x:v>
      </x:c>
      <x:c r="H914" s="168" t="str">
        <x:v>Outros</x:v>
      </x:c>
      <x:c r="I914" s="168" t="str">
        <x:v>Multicarteira Outros</x:v>
      </x:c>
      <x:c r="J914" s="168" t="str">
        <x:v>CI</x:v>
      </x:c>
      <x:c r="K914" s="174" t="n">
        <x:v>15</x:v>
      </x:c>
      <x:c r="L914" s="187" t="str">
        <x:v>Proxy multicedente/multissacado — revisar</x:v>
      </x:c>
    </x:row>
    <x:row r="915">
      <x:c r="A915" s="177" t="str">
        <x:v>44.395.252/0001-32</x:v>
      </x:c>
      <x:c r="B915" s="168" t="str">
        <x:v>B2CYCLE FUNDO DE INVESTIMENTO EM DIREITOS CREDITÓRIOS RESPONSABILIDADE LIMITADA</x:v>
      </x:c>
      <x:c r="C915" s="190" t="n">
        <x:v>130710920.2</x:v>
      </x:c>
      <x:c r="D915" s="168" t="str">
        <x:v>Itau Unibanco</x:v>
      </x:c>
      <x:c r="E915" s="168" t="str">
        <x:f>IFERROR(INDEX('Classif Gestoras'!$H$6:$H$462,MATCH(D915,'Classif Gestoras'!$A$6:$A$462,0)),"Não classificada")</x:f>
        <x:v>Ligada a banco</x:v>
      </x:c>
      <x:c r="F915" s="168" t="str">
        <x:v>INTRAG DIST. DE TÍTU</x:v>
      </x:c>
      <x:c r="G915" s="168" t="str">
        <x:v>ITAU UNIBANCO S.A.</x:v>
      </x:c>
      <x:c r="H915" s="168" t="str">
        <x:v>Outros</x:v>
      </x:c>
      <x:c r="I915" s="168" t="str">
        <x:v>Multicarteira Outros</x:v>
      </x:c>
      <x:c r="J915" s="168" t="str">
        <x:v>CI</x:v>
      </x:c>
      <x:c r="K915" s="174" t="n">
        <x:v>1</x:v>
      </x:c>
      <x:c r="L915" s="187" t="str">
        <x:v>Proxy multicedente/multissacado — revisar</x:v>
      </x:c>
    </x:row>
    <x:row r="916">
      <x:c r="A916" s="177" t="str">
        <x:v>26.690.689/0001-17</x:v>
      </x:c>
      <x:c r="B916" s="168" t="str">
        <x:v>CONTINENTALBANCO FUNDO DE INVESTIMENTO EM DIREITOS CREDITORIOS</x:v>
      </x:c>
      <x:c r="C916" s="190" t="n">
        <x:v>130613841.95</x:v>
      </x:c>
      <x:c r="D916" s="168" t="str">
        <x:v>MAKENA GESTORA DE RECURSOS LTDA.</x:v>
      </x:c>
      <x:c r="E916" s="168" t="str">
        <x:f>IFERROR(INDEX('Classif Gestoras'!$H$6:$H$462,MATCH(D916,'Classif Gestoras'!$A$6:$A$462,0)),"Não classificada")</x:f>
        <x:v>Independente</x:v>
      </x:c>
      <x:c r="F916" s="168" t="str">
        <x:v>Singulare</x:v>
      </x:c>
      <x:c r="G916" s="168" t="str">
        <x:v>QI CORRETORA DE TÍTULOS E VALORES MOBILIÁRIOS S.A.</x:v>
      </x:c>
      <x:c r="H916" s="168" t="str">
        <x:v>Outros</x:v>
      </x:c>
      <x:c r="I916" s="168" t="str">
        <x:v>Multicarteira Outros</x:v>
      </x:c>
      <x:c r="J916" s="168" t="str">
        <x:v>CI</x:v>
      </x:c>
      <x:c r="K916" s="174" t="n">
        <x:v>2</x:v>
      </x:c>
      <x:c r="L916" s="187" t="str">
        <x:v>Proxy multicedente/multissacado — revisar</x:v>
      </x:c>
    </x:row>
    <x:row r="917">
      <x:c r="A917" s="177" t="str">
        <x:v>54.680.998/0001-41</x:v>
      </x:c>
      <x:c r="B917" s="168" t="str">
        <x:v>MONTESE FUNDO DE INVESTIMENTO EM DIREITOS CREDITÓRIOS</x:v>
      </x:c>
      <x:c r="C917" s="190" t="n">
        <x:v>130598812.67</x:v>
      </x:c>
      <x:c r="D917" s="168" t="str">
        <x:v>MONTE BRAVO FAMILY OFFICE</x:v>
      </x:c>
      <x:c r="E917" s="168" t="str">
        <x:f>IFERROR(INDEX('Classif Gestoras'!$H$6:$H$462,MATCH(D917,'Classif Gestoras'!$A$6:$A$462,0)),"Não classificada")</x:f>
        <x:v>Independente</x:v>
      </x:c>
      <x:c r="F917" s="168" t="str">
        <x:v>BTG Pactual Servicos Financeiros S/A DTVM</x:v>
      </x:c>
      <x:c r="G917" s="168" t="str">
        <x:v>BANCO BTG PACTUAL S/A</x:v>
      </x:c>
      <x:c r="H917" s="168" t="str">
        <x:v>Outros</x:v>
      </x:c>
      <x:c r="I917" s="168" t="str">
        <x:v>Multicarteira Outros</x:v>
      </x:c>
      <x:c r="J917" s="168" t="str">
        <x:v>CI</x:v>
      </x:c>
      <x:c r="K917" s="174" t="n">
        <x:v>1</x:v>
      </x:c>
      <x:c r="L917" s="187" t="str">
        <x:v>Proxy multicedente/multissacado — revisar</x:v>
      </x:c>
    </x:row>
    <x:row r="918">
      <x:c r="A918" s="177" t="str">
        <x:v>59.258.058/0001-82</x:v>
      </x:c>
      <x:c r="B918" s="168" t="str">
        <x:v>AUDAX LION FUNDO DE INVESTIMENTO EM DIREITOS CREDITÓRIOS</x:v>
      </x:c>
      <x:c r="C918" s="190" t="n">
        <x:v>130207464.79000002</x:v>
      </x:c>
      <x:c r="D918" s="168" t="str">
        <x:v>TERCON ASSET MANAGEMENT</x:v>
      </x:c>
      <x:c r="E918" s="168" t="str">
        <x:f>IFERROR(INDEX('Classif Gestoras'!$H$6:$H$462,MATCH(D918,'Classif Gestoras'!$A$6:$A$462,0)),"Não classificada")</x:f>
        <x:v>Independente</x:v>
      </x:c>
      <x:c r="F918" s="168" t="str">
        <x:v>Singulare</x:v>
      </x:c>
      <x:c r="G918" s="168" t="str">
        <x:v>QI CORRETORA DE TÍTULOS E VALORES MOBILIÁRIOS S.A.</x:v>
      </x:c>
      <x:c r="H918" s="168" t="str">
        <x:v>Fomento Mercantil</x:v>
      </x:c>
      <x:c r="I918" s="168" t="str">
        <x:v>Fomento Mercantil</x:v>
      </x:c>
      <x:c r="J918" s="168" t="str">
        <x:v>CI</x:v>
      </x:c>
      <x:c r="K918" s="174" t="n">
        <x:v>63</x:v>
      </x:c>
      <x:c r="L918" s="187" t="str">
        <x:v>Não classificado</x:v>
      </x:c>
    </x:row>
    <x:row r="919">
      <x:c r="A919" s="177" t="str">
        <x:v>29.970.181/0001-60</x:v>
      </x:c>
      <x:c r="B919" s="168" t="str">
        <x:v>LINK BANK FUNDO DE INVESTIMENTO EM DIREITOS CREDITORIOS NÃO PADRONIZADOS</x:v>
      </x:c>
      <x:c r="C919" s="190" t="n">
        <x:v>130069773.73</x:v>
      </x:c>
      <x:c r="D919" s="168" t="str">
        <x:v>TERCON ASSET MANAGEMENT</x:v>
      </x:c>
      <x:c r="E919" s="168" t="str">
        <x:f>IFERROR(INDEX('Classif Gestoras'!$H$6:$H$462,MATCH(D919,'Classif Gestoras'!$A$6:$A$462,0)),"Não classificada")</x:f>
        <x:v>Independente</x:v>
      </x:c>
      <x:c r="F919" s="168" t="str">
        <x:v>Singulare</x:v>
      </x:c>
      <x:c r="G919" s="168" t="str">
        <x:v>QI CORRETORA DE TÍTULOS E VALORES MOBILIÁRIOS S.A.</x:v>
      </x:c>
      <x:c r="H919" s="168" t="str">
        <x:v>Fomento Mercantil</x:v>
      </x:c>
      <x:c r="I919" s="168" t="str">
        <x:v>Fomento Mercantil</x:v>
      </x:c>
      <x:c r="J919" s="168" t="str">
        <x:v>CI</x:v>
      </x:c>
      <x:c r="K919" s="174" t="n">
        <x:v>2</x:v>
      </x:c>
      <x:c r="L919" s="187" t="str">
        <x:v>Não classificado</x:v>
      </x:c>
    </x:row>
    <x:row r="920">
      <x:c r="A920" s="177" t="str">
        <x:v>53.872.780/0001-26</x:v>
      </x:c>
      <x:c r="B920" s="168" t="str">
        <x:v>PENÍNSULA AZUL FUNDO DE INVESTIMENTO EM DIREITOS CREDITÓRIOS</x:v>
      </x:c>
      <x:c r="C920" s="190" t="n">
        <x:v>128857107.81</x:v>
      </x:c>
      <x:c r="D920" s="168" t="str">
        <x:v>Multiplica Capital</x:v>
      </x:c>
      <x:c r="E920" s="168" t="str">
        <x:f>IFERROR(INDEX('Classif Gestoras'!$H$6:$H$462,MATCH(D920,'Classif Gestoras'!$A$6:$A$462,0)),"Não classificada")</x:f>
        <x:v>Independente</x:v>
      </x:c>
      <x:c r="F920" s="168" t="str">
        <x:v>PLANNER CV</x:v>
      </x:c>
      <x:c r="G920" s="168" t="str">
        <x:v>PLANNER CORRETORA DE VALORES S.A.</x:v>
      </x:c>
      <x:c r="H920" s="168" t="str">
        <x:v>Outros</x:v>
      </x:c>
      <x:c r="I920" s="168" t="str">
        <x:v>Multicarteira Outros</x:v>
      </x:c>
      <x:c r="J920" s="168" t="str">
        <x:v>CI</x:v>
      </x:c>
      <x:c r="K920" s="174" t="n">
        <x:v>1</x:v>
      </x:c>
      <x:c r="L920" s="187" t="str">
        <x:v>Proxy multicedente/multissacado — revisar</x:v>
      </x:c>
    </x:row>
    <x:row r="921">
      <x:c r="A921" s="177" t="str">
        <x:v>62.543.465/0001-46</x:v>
      </x:c>
      <x:c r="B921" s="168" t="str">
        <x:v>PERNAMBUCANAS FORNECEDORES FUNDO DE INVESTIMENTO EM DIREITOS CREDITÓRIOS COMERCIAIS DE RESP LIMITADA</x:v>
      </x:c>
      <x:c r="C921" s="190" t="n">
        <x:v>128830010.55</x:v>
      </x:c>
      <x:c r="D921" s="168" t="str">
        <x:v>Catálise Investimentos</x:v>
      </x:c>
      <x:c r="E921" s="168" t="str">
        <x:f>IFERROR(INDEX('Classif Gestoras'!$H$6:$H$462,MATCH(D921,'Classif Gestoras'!$A$6:$A$462,0)),"Não classificada")</x:f>
        <x:v>Independente</x:v>
      </x:c>
      <x:c r="F921" s="168" t="str">
        <x:v>BANCO DAYCOVAL S/A</x:v>
      </x:c>
      <x:c r="G921" s="168" t="str">
        <x:v>BANCO DAYCOVAL S.A.</x:v>
      </x:c>
      <x:c r="H921" s="168" t="str">
        <x:v>Agro, Indústria e Comércio</x:v>
      </x:c>
      <x:c r="I921" s="168" t="str">
        <x:v>Recebíveis Comerciais</x:v>
      </x:c>
      <x:c r="J921" s="168" t="str">
        <x:v>CI</x:v>
      </x:c>
      <x:c r="K921" s="174" t="n">
        <x:v>21</x:v>
      </x:c>
      <x:c r="L921" s="187" t="str">
        <x:v>Não classificado</x:v>
      </x:c>
    </x:row>
    <x:row r="922">
      <x:c r="A922" s="177" t="str">
        <x:v>58.829.200/0001-31</x:v>
      </x:c>
      <x:c r="B922" s="168" t="str">
        <x:v>VOX FUNDO DE INVESTIMENTO EM DIREITOS CREDITÓRIOS - RESPONSABILIDADE LIMITADA</x:v>
      </x:c>
      <x:c r="C922" s="190" t="n">
        <x:v>128219196.84504</x:v>
      </x:c>
      <x:c r="D922" s="168" t="str">
        <x:v>H2 CAPITAL</x:v>
      </x:c>
      <x:c r="E922" s="168" t="str">
        <x:f>IFERROR(INDEX('Classif Gestoras'!$H$6:$H$462,MATCH(D922,'Classif Gestoras'!$A$6:$A$462,0)),"Não classificada")</x:f>
        <x:v>Independente</x:v>
      </x:c>
      <x:c r="F922" s="168" t="str">
        <x:v>Singulare</x:v>
      </x:c>
      <x:c r="G922" s="168" t="str">
        <x:v>QI CORRETORA DE TÍTULOS E VALORES MOBILIÁRIOS S.A.</x:v>
      </x:c>
      <x:c r="H922" s="168" t="str">
        <x:v>Outros</x:v>
      </x:c>
      <x:c r="I922" s="168" t="str">
        <x:v>Multicarteira Outros</x:v>
      </x:c>
      <x:c r="J922" s="168" t="str">
        <x:v>CI</x:v>
      </x:c>
      <x:c r="K922" s="174" t="n">
        <x:v>6</x:v>
      </x:c>
      <x:c r="L922" s="187" t="str">
        <x:v>Proxy multicedente/multissacado — revisar</x:v>
      </x:c>
    </x:row>
    <x:row r="923">
      <x:c r="A923" s="177" t="str">
        <x:v>29.236.426/0001-20</x:v>
      </x:c>
      <x:c r="B923" s="168" t="str">
        <x:v>SIGMA CREDIT FUNDO DE INVESTIMENTO EM DIREITOS CREDITORIOS</x:v>
      </x:c>
      <x:c r="C923" s="190" t="n">
        <x:v>128011672.46000002</x:v>
      </x:c>
      <x:c r="D923" s="168" t="str">
        <x:v>M8 Partners</x:v>
      </x:c>
      <x:c r="E923" s="168" t="str">
        <x:f>IFERROR(INDEX('Classif Gestoras'!$H$6:$H$462,MATCH(D923,'Classif Gestoras'!$A$6:$A$462,0)),"Não classificada")</x:f>
        <x:v>Independente</x:v>
      </x:c>
      <x:c r="F923" s="168" t="str">
        <x:v>Singulare</x:v>
      </x:c>
      <x:c r="G923" s="168" t="str">
        <x:v>QI CORRETORA DE TÍTULOS E VALORES MOBILIÁRIOS S.A.</x:v>
      </x:c>
      <x:c r="H923" s="168" t="str">
        <x:v>Fomento Mercantil</x:v>
      </x:c>
      <x:c r="I923" s="168" t="str">
        <x:v>Fomento Mercantil</x:v>
      </x:c>
      <x:c r="J923" s="168" t="str">
        <x:v>CI</x:v>
      </x:c>
      <x:c r="K923" s="174" t="n">
        <x:v>54</x:v>
      </x:c>
      <x:c r="L923" s="187" t="str">
        <x:v>Não classificado</x:v>
      </x:c>
    </x:row>
    <x:row r="924">
      <x:c r="A924" s="177" t="str">
        <x:v>26.758.072/0001-96</x:v>
      </x:c>
      <x:c r="B924" s="168" t="str">
        <x:v>FUNDO DE INVESTIMENTO EM DIREITOS CREDITÓRIOS EMPÍRICA NOVERDE CRÉDITO PESSOAL</x:v>
      </x:c>
      <x:c r="C924" s="190" t="n">
        <x:v>127900282.9</x:v>
      </x:c>
      <x:c r="D924" s="168" t="str">
        <x:v>REAG GESTÃO DE CRÉDITO</x:v>
      </x:c>
      <x:c r="E924" s="168" t="str">
        <x:f>IFERROR(INDEX('Classif Gestoras'!$H$6:$H$462,MATCH(D924,'Classif Gestoras'!$A$6:$A$462,0)),"Não classificada")</x:f>
        <x:v>Independente</x:v>
      </x:c>
      <x:c r="F924" s="168" t="str">
        <x:v>Banvox DTVM</x:v>
      </x:c>
      <x:c r="G924" s="168" t="str">
        <x:v>BANVOX DISTRIBUIDORA DE TITULOS E VALORES MOBILIARIOS LTDA</x:v>
      </x:c>
      <x:c r="H924" s="168" t="str">
        <x:v>Financeiro</x:v>
      </x:c>
      <x:c r="I924" s="168" t="str">
        <x:v>Crédito Pessoal</x:v>
      </x:c>
      <x:c r="J924" s="168" t="str">
        <x:v>CI</x:v>
      </x:c>
      <x:c r="K924" s="174" t="n">
        <x:v>8</x:v>
      </x:c>
      <x:c r="L924" s="187" t="str">
        <x:v>Não classificado</x:v>
      </x:c>
    </x:row>
    <x:row r="925">
      <x:c r="A925" s="177" t="str">
        <x:v>55.653.447/0001-51</x:v>
      </x:c>
      <x:c r="B925" s="168" t="str">
        <x:v>TUNE FUNDO DE INVESTIMENTO EM DIREITOS CREDITÓRIOS RESPONSABILIDADE LIMITADA</x:v>
      </x:c>
      <x:c r="C925" s="190" t="n">
        <x:v>127607665.77</x:v>
      </x:c>
      <x:c r="D925" s="168" t="str">
        <x:v>FIDD Administração de Recursos Ltda.</x:v>
      </x:c>
      <x:c r="E925" s="168" t="str">
        <x:f>IFERROR(INDEX('Classif Gestoras'!$H$6:$H$462,MATCH(D925,'Classif Gestoras'!$A$6:$A$462,0)),"Não classificada")</x:f>
        <x:v>Independente</x:v>
      </x:c>
      <x:c r="F925" s="168" t="str">
        <x:v>FIDD DISTRIBUIDORA DE TITULOS E VALORES MOBILIARIOS LTD</x:v>
      </x:c>
      <x:c r="G925" s="168" t="str">
        <x:v>FIDD DISTRIBUIDORA DE TITULOS E VALORES MOBILIARIOS LTDA.</x:v>
      </x:c>
      <x:c r="H925" s="168" t="str">
        <x:v>Outros</x:v>
      </x:c>
      <x:c r="I925" s="168" t="str">
        <x:v>Multicarteira Outros</x:v>
      </x:c>
      <x:c r="J925" s="168" t="str">
        <x:v>CI</x:v>
      </x:c>
      <x:c r="K925" s="174" t="n">
        <x:v>1</x:v>
      </x:c>
      <x:c r="L925" s="187" t="str">
        <x:v>Proxy multicedente/multissacado — revisar</x:v>
      </x:c>
    </x:row>
    <x:row r="926">
      <x:c r="A926" s="177" t="str">
        <x:v>50.589.310/0001-61</x:v>
      </x:c>
      <x:c r="B926" s="168" t="str">
        <x:v>SUSTINERI GERMINARE FUNDO DE INVESTIMENTO EM DIREITOS CREDITÓRIOS NÃO-PADRONIZADOS</x:v>
      </x:c>
      <x:c r="C926" s="190" t="n">
        <x:v>127531903.46</x:v>
      </x:c>
      <x:c r="D926" s="168" t="str">
        <x:v>ALTINVEST</x:v>
      </x:c>
      <x:c r="E926" s="168" t="str">
        <x:f>IFERROR(INDEX('Classif Gestoras'!$H$6:$H$462,MATCH(D926,'Classif Gestoras'!$A$6:$A$462,0)),"Não classificada")</x:f>
        <x:v>Independente</x:v>
      </x:c>
      <x:c r="F926" s="168" t="str">
        <x:v>AZUMI DISTRIBUIDORA DE TÍTULOS E VALORES MOBILIÁRIOS LT</x:v>
      </x:c>
      <x:c r="G926" s="168" t="str">
        <x:v>TERRA INVESTIMENTOS DISTRIBUIDORA DE TITULOS E VALORES MOBILIARIOS LTDA</x:v>
      </x:c>
      <x:c r="H926" s="168" t="str">
        <x:v>Outros</x:v>
      </x:c>
      <x:c r="I926" s="168" t="str">
        <x:v>Multicarteira Outros</x:v>
      </x:c>
      <x:c r="J926" s="168" t="str">
        <x:v>CI</x:v>
      </x:c>
      <x:c r="K926" s="174" t="n">
        <x:v>2</x:v>
      </x:c>
      <x:c r="L926" s="187" t="str">
        <x:v>Proxy multicedente/multissacado — revisar</x:v>
      </x:c>
    </x:row>
    <x:row r="927">
      <x:c r="A927" s="177" t="str">
        <x:v>40.226.200/0001-81</x:v>
      </x:c>
      <x:c r="B927" s="168" t="str">
        <x:v>BARU FUNDO DE INVESTIMENTO EM DIREITOS CREDITÓRIOS RESPONSABILIDADE LIMITADA</x:v>
      </x:c>
      <x:c r="C927" s="190" t="n">
        <x:v>127501871.17999998</x:v>
      </x:c>
      <x:c r="D927" s="168" t="str">
        <x:v>Harbour Capital</x:v>
      </x:c>
      <x:c r="E927" s="168" t="str">
        <x:f>IFERROR(INDEX('Classif Gestoras'!$H$6:$H$462,MATCH(D927,'Classif Gestoras'!$A$6:$A$462,0)),"Não classificada")</x:f>
        <x:v>Independente</x:v>
      </x:c>
      <x:c r="F927" s="168" t="str">
        <x:v>Singulare</x:v>
      </x:c>
      <x:c r="G927" s="168" t="str">
        <x:v>QI CORRETORA DE TÍTULOS E VALORES MOBILIÁRIOS S.A.</x:v>
      </x:c>
      <x:c r="H927" s="168" t="str">
        <x:v>Fomento Mercantil</x:v>
      </x:c>
      <x:c r="I927" s="168" t="str">
        <x:v>Fomento Mercantil</x:v>
      </x:c>
      <x:c r="J927" s="168" t="str">
        <x:v>CI</x:v>
      </x:c>
      <x:c r="K927" s="174" t="n">
        <x:v>42</x:v>
      </x:c>
      <x:c r="L927" s="187" t="str">
        <x:v>Não classificado</x:v>
      </x:c>
    </x:row>
    <x:row r="928">
      <x:c r="A928" s="177" t="str">
        <x:v>50.115.378/0001-09</x:v>
      </x:c>
      <x:c r="B928" s="168" t="str">
        <x:v>GUARDIAN MULTI CONSIGNADO II FUNDO DE INVESTIMENTO EM DIREITOS CREDITÓRIOS</x:v>
      </x:c>
      <x:c r="C928" s="190" t="n">
        <x:v>127427830.93</x:v>
      </x:c>
      <x:c r="D928" s="168" t="str">
        <x:v>Guardian Gestora</x:v>
      </x:c>
      <x:c r="E928" s="168" t="str">
        <x:f>IFERROR(INDEX('Classif Gestoras'!$H$6:$H$462,MATCH(D928,'Classif Gestoras'!$A$6:$A$462,0)),"Não classificada")</x:f>
        <x:v>Independente</x:v>
      </x:c>
      <x:c r="F928" s="168" t="str">
        <x:v>Banvox DTVM</x:v>
      </x:c>
      <x:c r="G928" s="168" t="str">
        <x:v>BANVOX DISTRIBUIDORA DE TITULOS E VALORES MOBILIARIOS LTDA</x:v>
      </x:c>
      <x:c r="H928" s="168" t="str">
        <x:v>Financeiro</x:v>
      </x:c>
      <x:c r="I928" s="168" t="str">
        <x:v>Crédito Consignado</x:v>
      </x:c>
      <x:c r="J928" s="168" t="str">
        <x:v>CI</x:v>
      </x:c>
      <x:c r="K928" s="174" t="n">
        <x:v>39</x:v>
      </x:c>
      <x:c r="L928" s="187" t="str">
        <x:v>Não classificado</x:v>
      </x:c>
    </x:row>
    <x:row r="929">
      <x:c r="A929" s="177" t="str">
        <x:v>61.085.925/0001-77</x:v>
      </x:c>
      <x:c r="B929" s="168" t="str">
        <x:v>CHIMERA ALTERNATIVE ASSETS VI.2 FUNDO DE INVESTIMENTO EM DIREITOS CREDITÓRIOS RESPONSABILIDADE LTDA</x:v>
      </x:c>
      <x:c r="C929" s="190" t="n">
        <x:v>127238131.19</x:v>
      </x:c>
      <x:c r="D929" s="168" t="str">
        <x:v>Chimera Capital Asset Management Ltda.</x:v>
      </x:c>
      <x:c r="E929" s="168" t="str">
        <x:f>IFERROR(INDEX('Classif Gestoras'!$H$6:$H$462,MATCH(D929,'Classif Gestoras'!$A$6:$A$462,0)),"Não classificada")</x:f>
        <x:v>Independente</x:v>
      </x:c>
      <x:c r="F929" s="168" t="str">
        <x:v>VÓRTX DTVM</x:v>
      </x:c>
      <x:c r="G929" s="168" t="str">
        <x:v>VORTX DISTRIBUIDORA DE TITULOS E VALORES MOBILIARIOS LTDA.</x:v>
      </x:c>
      <x:c r="H929" s="168" t="str">
        <x:v>Outros</x:v>
      </x:c>
      <x:c r="I929" s="168" t="str">
        <x:v>Multicarteira Outros</x:v>
      </x:c>
      <x:c r="J929" s="168" t="str">
        <x:v>CI</x:v>
      </x:c>
      <x:c r="K929" s="174" t="n">
        <x:v>3</x:v>
      </x:c>
      <x:c r="L929" s="187" t="str">
        <x:v>Proxy multicedente/multissacado — revisar</x:v>
      </x:c>
    </x:row>
    <x:row r="930">
      <x:c r="A930" s="177" t="str">
        <x:v>63.516.387/0001-53</x:v>
      </x:c>
      <x:c r="B930" s="168" t="str">
        <x:v>GV CONSIGNADO PRIVADO I FUNDO DE INVESTIMENTO EM DIREITOS CREDITÓRIOS RESPONSABILIDADE LIMITADA</x:v>
      </x:c>
      <x:c r="C930" s="190" t="n">
        <x:v>127054639.22</x:v>
      </x:c>
      <x:c r="D930" s="168" t="str">
        <x:v>GV ATACAMA CAPITAL LTDA.</x:v>
      </x:c>
      <x:c r="E930" s="168" t="str">
        <x:f>IFERROR(INDEX('Classif Gestoras'!$H$6:$H$462,MATCH(D930,'Classif Gestoras'!$A$6:$A$462,0)),"Não classificada")</x:f>
        <x:v>Independente</x:v>
      </x:c>
      <x:c r="F930" s="168" t="str">
        <x:v>Singulare</x:v>
      </x:c>
      <x:c r="G930" s="168" t="str">
        <x:v>QI CORRETORA DE TÍTULOS E VALORES MOBILIÁRIOS S.A.</x:v>
      </x:c>
      <x:c r="H930" s="168" t="str">
        <x:v>Financeiro</x:v>
      </x:c>
      <x:c r="I930" s="168" t="str">
        <x:v>Crédito Consignado</x:v>
      </x:c>
      <x:c r="J930" s="168" t="str">
        <x:v>CI</x:v>
      </x:c>
      <x:c r="K930" s="174" t="n">
        <x:v>2</x:v>
      </x:c>
      <x:c r="L930" s="187" t="str">
        <x:v>Não classificado</x:v>
      </x:c>
    </x:row>
    <x:row r="931">
      <x:c r="A931" s="177" t="str">
        <x:v>44.372.728/0001-10</x:v>
      </x:c>
      <x:c r="B931" s="168" t="str">
        <x:v>AURORA FUNDO DE INVESTIMENTO EM DIREITOS CREDITÓRIOS NÃO PADRONIZADOS - RESPONSABILIDADE LIMITADA</x:v>
      </x:c>
      <x:c r="C931" s="190" t="n">
        <x:v>126990434.6</x:v>
      </x:c>
      <x:c r="D931" s="168" t="str">
        <x:v>Oliveira Trust Servicer</x:v>
      </x:c>
      <x:c r="E931" s="168" t="str">
        <x:f>IFERROR(INDEX('Classif Gestoras'!$H$6:$H$462,MATCH(D931,'Classif Gestoras'!$A$6:$A$462,0)),"Não classificada")</x:f>
        <x:v>Independente</x:v>
      </x:c>
      <x:c r="F931" s="168" t="str">
        <x:v>Oliveira Trust DTVM</x:v>
      </x:c>
      <x:c r="G931" s="168" t="str">
        <x:v>OLIVEIRA TRUST DTVM S.A.</x:v>
      </x:c>
      <x:c r="H931" s="168" t="str">
        <x:v>Financeiro</x:v>
      </x:c>
      <x:c r="I931" s="168" t="str">
        <x:v>Crédito Pessoal</x:v>
      </x:c>
      <x:c r="J931" s="168" t="str">
        <x:v>CI</x:v>
      </x:c>
      <x:c r="K931" s="174" t="n">
        <x:v>1</x:v>
      </x:c>
      <x:c r="L931" s="187" t="str">
        <x:v>Não classificado</x:v>
      </x:c>
    </x:row>
    <x:row r="932">
      <x:c r="A932" s="177" t="str">
        <x:v>46.323.013/0001-00</x:v>
      </x:c>
      <x:c r="B932" s="168" t="str">
        <x:v>VCE 2 FUNDO DE INVESTIMENTO EM DIREITOS CREDITÓRIOS DE RESPONSABILIDADE LIMITADA</x:v>
      </x:c>
      <x:c r="C932" s="190" t="n">
        <x:v>126810234.78</x:v>
      </x:c>
      <x:c r="D932" s="168" t="str">
        <x:v>VALORA RENDA FIXA LTDA.</x:v>
      </x:c>
      <x:c r="E932" s="168" t="str">
        <x:f>IFERROR(INDEX('Classif Gestoras'!$H$6:$H$462,MATCH(D932,'Classif Gestoras'!$A$6:$A$462,0)),"Não classificada")</x:f>
        <x:v>Independente</x:v>
      </x:c>
      <x:c r="F932" s="168" t="str">
        <x:v>BANCO DAYCOVAL S/A</x:v>
      </x:c>
      <x:c r="G932" s="168" t="str">
        <x:v>BANCO DAYCOVAL S.A.</x:v>
      </x:c>
      <x:c r="H932" s="168" t="str">
        <x:v>Outros</x:v>
      </x:c>
      <x:c r="I932" s="168" t="str">
        <x:v>Multicarteira Outros</x:v>
      </x:c>
      <x:c r="J932" s="168" t="str">
        <x:v>CI</x:v>
      </x:c>
      <x:c r="K932" s="174" t="n">
        <x:v>7</x:v>
      </x:c>
      <x:c r="L932" s="187" t="str">
        <x:v>Proxy multicedente/multissacado — revisar</x:v>
      </x:c>
    </x:row>
    <x:row r="933">
      <x:c r="A933" s="177" t="str">
        <x:v>63.588.528/0001-43</x:v>
      </x:c>
      <x:c r="B933" s="168" t="str">
        <x:v>EUGÊNIA FIDC SEGMENTO INFRAESTRUTURA E AGRONEGÓCIO DE RESPONSABILIDADE LIMITADA</x:v>
      </x:c>
      <x:c r="C933" s="190" t="n">
        <x:v>126662893.99</x:v>
      </x:c>
      <x:c r="D933" s="168" t="str">
        <x:v>GENIAL GESTÃO LTDA.</x:v>
      </x:c>
      <x:c r="E933" s="168" t="str">
        <x:f>IFERROR(INDEX('Classif Gestoras'!$H$6:$H$462,MATCH(D933,'Classif Gestoras'!$A$6:$A$462,0)),"Não classificada")</x:f>
        <x:v>Ligada a banco</x:v>
      </x:c>
      <x:c r="F933" s="168" t="str">
        <x:v>Genial Investimentos Corretora de Valores Mobiliários S.A.</x:v>
      </x:c>
      <x:c r="G933" s="168" t="str">
        <x:v>BANCO GENIAL S.A.</x:v>
      </x:c>
      <x:c r="H933" s="168" t="str">
        <x:v>Agro, Indústria e Comércio</x:v>
      </x:c>
      <x:c r="I933" s="168" t="str">
        <x:v>Infraestrutura</x:v>
      </x:c>
      <x:c r="J933" s="168" t="str">
        <x:v>CI</x:v>
      </x:c>
      <x:c r="K933" s="174" t="n">
        <x:v>251</x:v>
      </x:c>
      <x:c r="L933" s="187" t="str">
        <x:v>Não classificado</x:v>
      </x:c>
    </x:row>
    <x:row r="934">
      <x:c r="A934" s="177" t="str">
        <x:v>49.573.227/0001-15</x:v>
      </x:c>
      <x:c r="B934" s="168" t="str">
        <x:v>SCORE I FUNDO DE INVESTIMENTO EM DIREITOS CREDITÓRIOS</x:v>
      </x:c>
      <x:c r="C934" s="190" t="n">
        <x:v>126334423.33</x:v>
      </x:c>
      <x:c r="D934" s="168" t="str">
        <x:v>Strategic Portfolio Advisors</x:v>
      </x:c>
      <x:c r="E934" s="168" t="str">
        <x:f>IFERROR(INDEX('Classif Gestoras'!$H$6:$H$462,MATCH(D934,'Classif Gestoras'!$A$6:$A$462,0)),"Não classificada")</x:f>
        <x:v>Independente</x:v>
      </x:c>
      <x:c r="F934" s="168" t="str">
        <x:v>BTG Pactual Servicos Financeiros S/A DTVM</x:v>
      </x:c>
      <x:c r="G934" s="168" t="str">
        <x:v>BANCO BTG PACTUAL S/A</x:v>
      </x:c>
      <x:c r="H934" s="168" t="str">
        <x:v>Outros</x:v>
      </x:c>
      <x:c r="I934" s="168" t="str">
        <x:v>Multicarteira Outros</x:v>
      </x:c>
      <x:c r="J934" s="168" t="str">
        <x:v>CI</x:v>
      </x:c>
      <x:c r="K934" s="174" t="n">
        <x:v>1</x:v>
      </x:c>
      <x:c r="L934" s="187" t="str">
        <x:v>Proxy multicedente/multissacado — revisar</x:v>
      </x:c>
    </x:row>
    <x:row r="935">
      <x:c r="A935" s="177" t="str">
        <x:v>54.233.539/0001-10</x:v>
      </x:c>
      <x:c r="B935" s="168" t="str">
        <x:v>GARSON CARD FUNDO DE INVESTIMENTO EM DIREITOS CREDITÓRIOS - RESPONSABILIDADE LIMITADA</x:v>
      </x:c>
      <x:c r="C935" s="190" t="n">
        <x:v>126063584.85</x:v>
      </x:c>
      <x:c r="D935" s="168" t="str">
        <x:v>M8 Partners</x:v>
      </x:c>
      <x:c r="E935" s="168" t="str">
        <x:f>IFERROR(INDEX('Classif Gestoras'!$H$6:$H$462,MATCH(D935,'Classif Gestoras'!$A$6:$A$462,0)),"Não classificada")</x:f>
        <x:v>Independente</x:v>
      </x:c>
      <x:c r="F935" s="168" t="str">
        <x:v>HEMERA DTVM</x:v>
      </x:c>
      <x:c r="G935" s="168" t="str">
        <x:v>HEMERA DISTRIBUIDORA DE TITULOS E VALORES MOBILIARIOS LTDA</x:v>
      </x:c>
      <x:c r="H935" s="168" t="str">
        <x:v>Financeiro</x:v>
      </x:c>
      <x:c r="I935" s="168" t="str">
        <x:v>Multicarteira Financeiro</x:v>
      </x:c>
      <x:c r="J935" s="168" t="str">
        <x:v>CI</x:v>
      </x:c>
      <x:c r="K935" s="174" t="n">
        <x:v>16</x:v>
      </x:c>
      <x:c r="L935" s="187" t="str">
        <x:v>Proxy multicedente/multissacado — revisar</x:v>
      </x:c>
    </x:row>
    <x:row r="936">
      <x:c r="A936" s="177" t="str">
        <x:v>30.659.203/0001-55</x:v>
      </x:c>
      <x:c r="B936" s="168" t="str">
        <x:v>APPALOOSA FUNDO DE INVESTIMENTO EM DIREITOS CREDITÓRIOS</x:v>
      </x:c>
      <x:c r="C936" s="190" t="n">
        <x:v>126054776.96</x:v>
      </x:c>
      <x:c r="D936" s="168" t="str">
        <x:v>OURO PRETO INVESTIMENTOS</x:v>
      </x:c>
      <x:c r="E936" s="168" t="str">
        <x:f>IFERROR(INDEX('Classif Gestoras'!$H$6:$H$462,MATCH(D936,'Classif Gestoras'!$A$6:$A$462,0)),"Não classificada")</x:f>
        <x:v>Independente</x:v>
      </x:c>
      <x:c r="F936" s="168" t="str">
        <x:v>Singulare</x:v>
      </x:c>
      <x:c r="G936" s="168" t="str">
        <x:v>QI CORRETORA DE TÍTULOS E VALORES MOBILIÁRIOS S.A.</x:v>
      </x:c>
      <x:c r="H936" s="168" t="str">
        <x:v>Fomento Mercantil</x:v>
      </x:c>
      <x:c r="I936" s="168" t="str">
        <x:v>Fomento Mercantil</x:v>
      </x:c>
      <x:c r="J936" s="168" t="str">
        <x:v>CI</x:v>
      </x:c>
      <x:c r="K936" s="174" t="n">
        <x:v>44</x:v>
      </x:c>
      <x:c r="L936" s="187" t="str">
        <x:v>Não classificado</x:v>
      </x:c>
    </x:row>
    <x:row r="937">
      <x:c r="A937" s="177" t="str">
        <x:v>52.968.533/0001-65</x:v>
      </x:c>
      <x:c r="B937" s="168" t="str">
        <x:v>MCPO FUNDO DE INVESTIMENTO EM DIREITOS CREDITÓRIOS</x:v>
      </x:c>
      <x:c r="C937" s="190" t="n">
        <x:v>125994769.99</x:v>
      </x:c>
      <x:c r="D937" s="168" t="str">
        <x:v>ANGÁ ASSET MANAGEMENT</x:v>
      </x:c>
      <x:c r="E937" s="168" t="str">
        <x:f>IFERROR(INDEX('Classif Gestoras'!$H$6:$H$462,MATCH(D937,'Classif Gestoras'!$A$6:$A$462,0)),"Não classificada")</x:f>
        <x:v>Independente</x:v>
      </x:c>
      <x:c r="F937" s="168" t="str">
        <x:v>Oliveira Trust DTVM</x:v>
      </x:c>
      <x:c r="G937" s="168" t="str">
        <x:v>OLIVEIRA TRUST DTVM S.A.</x:v>
      </x:c>
      <x:c r="H937" s="168" t="str">
        <x:v>Financeiro</x:v>
      </x:c>
      <x:c r="I937" s="168" t="str">
        <x:v>Multicarteira Financeiro</x:v>
      </x:c>
      <x:c r="J937" s="168" t="str">
        <x:v>CI</x:v>
      </x:c>
      <x:c r="K937" s="174" t="n">
        <x:v>6</x:v>
      </x:c>
      <x:c r="L937" s="187" t="str">
        <x:v>Proxy multicedente/multissacado — revisar</x:v>
      </x:c>
    </x:row>
    <x:row r="938">
      <x:c r="A938" s="177" t="str">
        <x:v>55.331.248/0001-27</x:v>
      </x:c>
      <x:c r="B938" s="168" t="str">
        <x:v>DB DRILLING FUNDO DE INVESTIMENTO EM DIREITOS CREDITÓRIOS NÃO PADRONIZADOS</x:v>
      </x:c>
      <x:c r="C938" s="190" t="n">
        <x:v>125580736.15</x:v>
      </x:c>
      <x:c r="D938" s="168" t="str">
        <x:v>Prisma Claims Ltda.</x:v>
      </x:c>
      <x:c r="E938" s="168" t="str">
        <x:f>IFERROR(INDEX('Classif Gestoras'!$H$6:$H$462,MATCH(D938,'Classif Gestoras'!$A$6:$A$462,0)),"Não classificada")</x:f>
        <x:v>Independente</x:v>
      </x:c>
      <x:c r="F938" s="168" t="str">
        <x:v>Singulare</x:v>
      </x:c>
      <x:c r="G938" s="168" t="str">
        <x:v>QI CORRETORA DE TÍTULOS E VALORES MOBILIÁRIOS S.A.</x:v>
      </x:c>
      <x:c r="H938" s="168" t="str">
        <x:v>Outros</x:v>
      </x:c>
      <x:c r="I938" s="168" t="str">
        <x:v>Multicarteira Outros</x:v>
      </x:c>
      <x:c r="J938" s="168" t="str">
        <x:v>CI</x:v>
      </x:c>
      <x:c r="K938" s="174" t="n">
        <x:v>1</x:v>
      </x:c>
      <x:c r="L938" s="187" t="str">
        <x:v>Proxy multicedente/multissacado — revisar</x:v>
      </x:c>
    </x:row>
    <x:row r="939">
      <x:c r="A939" s="177" t="str">
        <x:v>57.074.997/0001-41</x:v>
      </x:c>
      <x:c r="B939" s="168" t="str">
        <x:v>4 ILHAS CAPITAL FUNDO DE INVESTIMENTO EM DIREITOS CREDITÓRIOS</x:v>
      </x:c>
      <x:c r="C939" s="190" t="n">
        <x:v>125473080.60000002</x:v>
      </x:c>
      <x:c r="D939" s="168" t="str">
        <x:v>SOMMA Investimentos</x:v>
      </x:c>
      <x:c r="E939" s="168" t="str">
        <x:f>IFERROR(INDEX('Classif Gestoras'!$H$6:$H$462,MATCH(D939,'Classif Gestoras'!$A$6:$A$462,0)),"Não classificada")</x:f>
        <x:v>Independente</x:v>
      </x:c>
      <x:c r="F939" s="168" t="str">
        <x:v>Singulare</x:v>
      </x:c>
      <x:c r="G939" s="168" t="str">
        <x:v>QI CORRETORA DE TÍTULOS E VALORES MOBILIÁRIOS S.A.</x:v>
      </x:c>
      <x:c r="H939" s="168" t="str">
        <x:v>Fomento Mercantil</x:v>
      </x:c>
      <x:c r="I939" s="168" t="str">
        <x:v>Fomento Mercantil</x:v>
      </x:c>
      <x:c r="J939" s="168" t="str">
        <x:v>CI</x:v>
      </x:c>
      <x:c r="K939" s="174" t="n">
        <x:v>10</x:v>
      </x:c>
      <x:c r="L939" s="187" t="str">
        <x:v>Não classificado</x:v>
      </x:c>
    </x:row>
    <x:row r="940">
      <x:c r="A940" s="177" t="str">
        <x:v>49.260.024/0001-79</x:v>
      </x:c>
      <x:c r="B940" s="168" t="str">
        <x:v>FATOR FUNDO DE INVESTIMENTO EM DIREITOS CREDITÓRIOS</x:v>
      </x:c>
      <x:c r="C940" s="190" t="n">
        <x:v>125416301.55</x:v>
      </x:c>
      <x:c r="D940" s="168" t="str">
        <x:v>FAR - FATOR ADMINIST</x:v>
      </x:c>
      <x:c r="E940" s="168" t="str">
        <x:f>IFERROR(INDEX('Classif Gestoras'!$H$6:$H$462,MATCH(D940,'Classif Gestoras'!$A$6:$A$462,0)),"Não classificada")</x:f>
        <x:v>Independente</x:v>
      </x:c>
      <x:c r="F940" s="168" t="str">
        <x:v>BANCO DAYCOVAL S/A</x:v>
      </x:c>
      <x:c r="G940" s="168" t="str">
        <x:v>BANCO DAYCOVAL S.A.</x:v>
      </x:c>
      <x:c r="H940" s="168" t="str">
        <x:v>Outros</x:v>
      </x:c>
      <x:c r="I940" s="168" t="str">
        <x:v>Multicarteira Outros</x:v>
      </x:c>
      <x:c r="J940" s="168" t="str">
        <x:v>CI</x:v>
      </x:c>
      <x:c r="K940" s="174" t="n">
        <x:v>1</x:v>
      </x:c>
      <x:c r="L940" s="187" t="str">
        <x:v>Proxy multicedente/multissacado — revisar</x:v>
      </x:c>
    </x:row>
    <x:row r="941">
      <x:c r="A941" s="177" t="str">
        <x:v>62.475.708/0001-56</x:v>
      </x:c>
      <x:c r="B941" s="168" t="str">
        <x:v>VAREJO PLUS FUNDO DE INVESTIMENTO EM DIREITOS CREDITÓRIOS FINANCEIROS DE RESPONSABILIDADE LIMITADA</x:v>
      </x:c>
      <x:c r="C941" s="190" t="n">
        <x:v>125163775.87</x:v>
      </x:c>
      <x:c r="D941" s="168" t="str">
        <x:v>Milênio Capital</x:v>
      </x:c>
      <x:c r="E941" s="168" t="str">
        <x:f>IFERROR(INDEX('Classif Gestoras'!$H$6:$H$462,MATCH(D941,'Classif Gestoras'!$A$6:$A$462,0)),"Não classificada")</x:f>
        <x:v>Independente</x:v>
      </x:c>
      <x:c r="F941" s="168" t="str">
        <x:v>VÓRTX DTVM</x:v>
      </x:c>
      <x:c r="G941" s="168" t="str">
        <x:v>VORTX DISTRIBUIDORA DE TITULOS E VALORES MOBILIARIOS LTDA.</x:v>
      </x:c>
      <x:c r="H941" s="168" t="str">
        <x:v>Financeiro</x:v>
      </x:c>
      <x:c r="I941" s="168" t="str">
        <x:v>Crédito Pessoal</x:v>
      </x:c>
      <x:c r="J941" s="168" t="str">
        <x:v>CI</x:v>
      </x:c>
      <x:c r="K941" s="174" t="n">
        <x:v>31</x:v>
      </x:c>
      <x:c r="L941" s="187" t="str">
        <x:v>Não classificado</x:v>
      </x:c>
    </x:row>
    <x:row r="942">
      <x:c r="A942" s="177" t="str">
        <x:v>39.774.081/0001-12</x:v>
      </x:c>
      <x:c r="B942" s="168" t="str">
        <x:v>FUNDO DE INVESTIMENTO EM DIREITOS CREDITÓRIOS TETRA DE RESPONSABILIDADE LIMITADA</x:v>
      </x:c>
      <x:c r="C942" s="190" t="n">
        <x:v>125063485.16</x:v>
      </x:c>
      <x:c r="D942" s="168" t="str">
        <x:v>DAYCOVAL ASSET MANAG</x:v>
      </x:c>
      <x:c r="E942" s="168" t="str">
        <x:f>IFERROR(INDEX('Classif Gestoras'!$H$6:$H$462,MATCH(D942,'Classif Gestoras'!$A$6:$A$462,0)),"Não classificada")</x:f>
        <x:v>Ligada a banco</x:v>
      </x:c>
      <x:c r="F942" s="168" t="str">
        <x:v>BANCO DAYCOVAL S/A</x:v>
      </x:c>
      <x:c r="G942" s="168" t="str">
        <x:v>BANCO DAYCOVAL S.A.</x:v>
      </x:c>
      <x:c r="H942" s="168" t="str">
        <x:v>Agro, Indústria e Comércio</x:v>
      </x:c>
      <x:c r="I942" s="168" t="str">
        <x:v>Recebíveis Comerciais</x:v>
      </x:c>
      <x:c r="J942" s="168" t="str">
        <x:v>CI</x:v>
      </x:c>
      <x:c r="K942" s="174" t="n">
        <x:v>2</x:v>
      </x:c>
      <x:c r="L942" s="187" t="str">
        <x:v>Não classificado</x:v>
      </x:c>
    </x:row>
    <x:row r="943">
      <x:c r="A943" s="177" t="str">
        <x:v>54.349.764/0001-16</x:v>
      </x:c>
      <x:c r="B943" s="168" t="str">
        <x:v>LOGICAL ADVANCE FUNDO DE INVESTIMENTO EM DIREITOS CREDITÓRIOS</x:v>
      </x:c>
      <x:c r="C943" s="190" t="n">
        <x:v>124854403.09</x:v>
      </x:c>
      <x:c r="D943" s="168" t="str">
        <x:v>NEBRASKA CAPITAL</x:v>
      </x:c>
      <x:c r="E943" s="168" t="str">
        <x:f>IFERROR(INDEX('Classif Gestoras'!$H$6:$H$462,MATCH(D943,'Classif Gestoras'!$A$6:$A$462,0)),"Não classificada")</x:f>
        <x:v>Independente</x:v>
      </x:c>
      <x:c r="F943" s="168" t="str">
        <x:v>BTG Pactual Servicos Financeiros S/A DTVM</x:v>
      </x:c>
      <x:c r="G943" s="168" t="str">
        <x:v>BANCO BTG PACTUAL S/A</x:v>
      </x:c>
      <x:c r="H943" s="168" t="str">
        <x:v>Outros</x:v>
      </x:c>
      <x:c r="I943" s="168" t="str">
        <x:v>Multicarteira Outros</x:v>
      </x:c>
      <x:c r="J943" s="168" t="str">
        <x:v>CI</x:v>
      </x:c>
      <x:c r="K943" s="174" t="n">
        <x:v>3</x:v>
      </x:c>
      <x:c r="L943" s="187" t="str">
        <x:v>Proxy multicedente/multissacado — revisar</x:v>
      </x:c>
    </x:row>
    <x:row r="944">
      <x:c r="A944" s="177" t="str">
        <x:v>26.648.770/0001-39</x:v>
      </x:c>
      <x:c r="B944" s="168" t="str">
        <x:v>G5 SPECIAL FUNDO DE INVESTIMENTO EM DIREITOS CREDITÓRIOS NÃO PADRONIZADOS</x:v>
      </x:c>
      <x:c r="C944" s="190" t="n">
        <x:v>124753939.96</x:v>
      </x:c>
      <x:c r="D944" s="168" t="str">
        <x:v>G5 Adm. de Recursos</x:v>
      </x:c>
      <x:c r="E944" s="168" t="str">
        <x:f>IFERROR(INDEX('Classif Gestoras'!$H$6:$H$462,MATCH(D944,'Classif Gestoras'!$A$6:$A$462,0)),"Não classificada")</x:f>
        <x:v>Independente</x:v>
      </x:c>
      <x:c r="F944" s="168" t="str">
        <x:v>Singulare</x:v>
      </x:c>
      <x:c r="G944" s="168" t="str">
        <x:v>QI CORRETORA DE TÍTULOS E VALORES MOBILIÁRIOS S.A.</x:v>
      </x:c>
      <x:c r="H944" s="168" t="str">
        <x:v>Outros</x:v>
      </x:c>
      <x:c r="I944" s="168" t="str">
        <x:v>Multicarteira Outros</x:v>
      </x:c>
      <x:c r="J944" s="168" t="str">
        <x:v>CI</x:v>
      </x:c>
      <x:c r="K944" s="174" t="n">
        <x:v>1</x:v>
      </x:c>
      <x:c r="L944" s="187" t="str">
        <x:v>Proxy multicedente/multissacado — revisar</x:v>
      </x:c>
    </x:row>
    <x:row r="945">
      <x:c r="A945" s="177" t="str">
        <x:v>52.351.153/0001-87</x:v>
      </x:c>
      <x:c r="B945" s="168" t="str">
        <x:v>FBRAS 3 FUNDO DE INVESTIMENTO EM DIREITOS CREDITÓRIOS - RESPONSABILIDADE LIMITADA</x:v>
      </x:c>
      <x:c r="C945" s="190" t="n">
        <x:v>124652194.71</x:v>
      </x:c>
      <x:c r="D945" s="168" t="str">
        <x:v>POLÍGONO CAPITAL LTDA.</x:v>
      </x:c>
      <x:c r="E945" s="168" t="str">
        <x:f>IFERROR(INDEX('Classif Gestoras'!$H$6:$H$462,MATCH(D945,'Classif Gestoras'!$A$6:$A$462,0)),"Não classificada")</x:f>
        <x:v>Independente</x:v>
      </x:c>
      <x:c r="F945" s="168" t="str">
        <x:v>BTG Pactual Servicos Financeiros S/A DTVM</x:v>
      </x:c>
      <x:c r="G945" s="168" t="str">
        <x:v>BANCO BTG PACTUAL S/A</x:v>
      </x:c>
      <x:c r="H945" s="168" t="str">
        <x:v>Fomento Mercantil</x:v>
      </x:c>
      <x:c r="I945" s="168" t="str">
        <x:v>Fomento Mercantil</x:v>
      </x:c>
      <x:c r="J945" s="168" t="str">
        <x:v>CI</x:v>
      </x:c>
      <x:c r="K945" s="174" t="n">
        <x:v>2</x:v>
      </x:c>
      <x:c r="L945" s="187" t="str">
        <x:v>Não classificado</x:v>
      </x:c>
    </x:row>
    <x:row r="946">
      <x:c r="A946" s="177" t="str">
        <x:v>32.287.737/0001-23</x:v>
      </x:c>
      <x:c r="B946" s="168" t="str">
        <x:v>B4 TRUST FUNDO DE INVESTIMENTO EM DIREITOS CREDITÓRIOS</x:v>
      </x:c>
      <x:c r="C946" s="190" t="n">
        <x:v>124565892.78</x:v>
      </x:c>
      <x:c r="D946" s="168" t="str">
        <x:v>OURO PRETO INVESTIMENTOS</x:v>
      </x:c>
      <x:c r="E946" s="168" t="str">
        <x:f>IFERROR(INDEX('Classif Gestoras'!$H$6:$H$462,MATCH(D946,'Classif Gestoras'!$A$6:$A$462,0)),"Não classificada")</x:f>
        <x:v>Independente</x:v>
      </x:c>
      <x:c r="F946" s="168" t="str">
        <x:v>Limine Trust Distribuidora de Titulos e Valores Mobiliá</x:v>
      </x:c>
      <x:c r="G946" s="168" t="str">
        <x:v>LIMINE TRUST DISTRIBUIDORA DE TITULOS E VALORES MOBILIARIOS LTDA.</x:v>
      </x:c>
      <x:c r="H946" s="168" t="str">
        <x:v>Outros</x:v>
      </x:c>
      <x:c r="I946" s="168" t="str">
        <x:v>Multicarteira Outros</x:v>
      </x:c>
      <x:c r="J946" s="168" t="str">
        <x:v>CI</x:v>
      </x:c>
      <x:c r="K946" s="174" t="n">
        <x:v>10</x:v>
      </x:c>
      <x:c r="L946" s="187" t="str">
        <x:v>Proxy multicedente/multissacado — revisar</x:v>
      </x:c>
    </x:row>
    <x:row r="947">
      <x:c r="A947" s="177" t="str">
        <x:v>34.218.936/0001-05</x:v>
      </x:c>
      <x:c r="B947" s="168" t="str">
        <x:v>EDISON FUNDO DE INVESTIMENTO EM DIREITOS CREDITÓRIOS</x:v>
      </x:c>
      <x:c r="C947" s="190" t="n">
        <x:v>124416103.73</x:v>
      </x:c>
      <x:c r="D947" s="168" t="str">
        <x:v>Milênio Capital</x:v>
      </x:c>
      <x:c r="E947" s="168" t="str">
        <x:f>IFERROR(INDEX('Classif Gestoras'!$H$6:$H$462,MATCH(D947,'Classif Gestoras'!$A$6:$A$462,0)),"Não classificada")</x:f>
        <x:v>Independente</x:v>
      </x:c>
      <x:c r="F947" s="168" t="str">
        <x:v>Banvox DTVM</x:v>
      </x:c>
      <x:c r="G947" s="168" t="str">
        <x:v>VORTX DISTRIBUIDORA DE TITULOS E VALORES MOBILIARIOS LTDA.</x:v>
      </x:c>
      <x:c r="H947" s="168" t="str">
        <x:v>Agro, Indústria e Comércio</x:v>
      </x:c>
      <x:c r="I947" s="168" t="str">
        <x:v>Recebíveis Comerciais</x:v>
      </x:c>
      <x:c r="J947" s="168" t="str">
        <x:v>CI</x:v>
      </x:c>
      <x:c r="K947" s="174" t="n">
        <x:v>35</x:v>
      </x:c>
      <x:c r="L947" s="187" t="str">
        <x:v>Não classificado</x:v>
      </x:c>
    </x:row>
    <x:row r="948">
      <x:c r="A948" s="177" t="str">
        <x:v>34.218.953/0001-42</x:v>
      </x:c>
      <x:c r="B948" s="168" t="str">
        <x:v>FUNDO DE INVESTIMENTO EM DIREITOS CREDITÓRIOS CREDITAS TEMPUS II - RESPONSABILIDADE LIMITADA</x:v>
      </x:c>
      <x:c r="C948" s="190" t="n">
        <x:v>124378659</x:v>
      </x:c>
      <x:c r="D948" s="168" t="str">
        <x:v>Kanastra</x:v>
      </x:c>
      <x:c r="E948" s="168" t="str">
        <x:f>IFERROR(INDEX('Classif Gestoras'!$H$6:$H$462,MATCH(D948,'Classif Gestoras'!$A$6:$A$462,0)),"Não classificada")</x:f>
        <x:v>Independente</x:v>
      </x:c>
      <x:c r="F948" s="168" t="str">
        <x:v>Limine Trust Distribuidora de Titulos e Valores Mobiliá</x:v>
      </x:c>
      <x:c r="G948" s="168" t="str">
        <x:v>LIMINE TRUST DISTRIBUIDORA DE TITULOS E VALORES MOBILIARIOS LTDA.</x:v>
      </x:c>
      <x:c r="H948" s="168" t="str">
        <x:v>Outros</x:v>
      </x:c>
      <x:c r="I948" s="168" t="str">
        <x:v>Multicarteira Outros</x:v>
      </x:c>
      <x:c r="J948" s="168" t="str">
        <x:v>CI</x:v>
      </x:c>
      <x:c r="K948" s="174" t="n">
        <x:v>7</x:v>
      </x:c>
      <x:c r="L948" s="187" t="str">
        <x:v>Proxy multicedente/multissacado — revisar</x:v>
      </x:c>
    </x:row>
    <x:row r="949">
      <x:c r="A949" s="177" t="str">
        <x:v>53.783.414/0001-09</x:v>
      </x:c>
      <x:c r="B949" s="168" t="str">
        <x:v>PRIME AGRO FUNDO DE INVESTIMENTO EM DIREITOS CREDITÓRIOS DE RESPONSABILIDADE LIMITADA</x:v>
      </x:c>
      <x:c r="C949" s="190" t="n">
        <x:v>124236472.99</x:v>
      </x:c>
      <x:c r="D949" s="168" t="str">
        <x:v>Catálise Investimentos</x:v>
      </x:c>
      <x:c r="E949" s="168" t="str">
        <x:f>IFERROR(INDEX('Classif Gestoras'!$H$6:$H$462,MATCH(D949,'Classif Gestoras'!$A$6:$A$462,0)),"Não classificada")</x:f>
        <x:v>Independente</x:v>
      </x:c>
      <x:c r="F949" s="168" t="str">
        <x:v>BANCO DAYCOVAL S/A</x:v>
      </x:c>
      <x:c r="G949" s="168" t="str">
        <x:v>BANCO DAYCOVAL S.A.</x:v>
      </x:c>
      <x:c r="H949" s="168" t="str">
        <x:v>Agro, Indústria e Comércio</x:v>
      </x:c>
      <x:c r="I949" s="168" t="str">
        <x:v>Recebíveis Comerciais</x:v>
      </x:c>
      <x:c r="J949" s="168" t="str">
        <x:v>CI</x:v>
      </x:c>
      <x:c r="K949" s="174" t="n">
        <x:v>7</x:v>
      </x:c>
      <x:c r="L949" s="187" t="str">
        <x:v>Não classificado</x:v>
      </x:c>
    </x:row>
    <x:row r="950">
      <x:c r="A950" s="177" t="str">
        <x:v>58.532.245/0001-40</x:v>
      </x:c>
      <x:c r="B950" s="168" t="str">
        <x:v>PETROBRAS BIOECONOMIA FUNDO DE INVESTIMENTO EM DIREITOS CREDITÓRIOS IS DE RESPONSABILIDADE LIMITADA</x:v>
      </x:c>
      <x:c r="C950" s="190" t="n">
        <x:v>124132626.31</x:v>
      </x:c>
      <x:c r="D950" s="168" t="str">
        <x:v>Régia Capital Ltda</x:v>
      </x:c>
      <x:c r="E950" s="168" t="str">
        <x:f>IFERROR(INDEX('Classif Gestoras'!$H$6:$H$462,MATCH(D950,'Classif Gestoras'!$A$6:$A$462,0)),"Não classificada")</x:f>
        <x:v>Independente</x:v>
      </x:c>
      <x:c r="F950" s="168" t="str">
        <x:v>Oliveira Trust DTVM</x:v>
      </x:c>
      <x:c r="G950" s="168" t="str">
        <x:v>OLIVEIRA TRUST DTVM S.A.</x:v>
      </x:c>
      <x:c r="H950" s="168" t="str">
        <x:v>Agro, Indústria e Comércio</x:v>
      </x:c>
      <x:c r="I950" s="168" t="str">
        <x:v>Multicarteira Agro, Indústria e Comércio</x:v>
      </x:c>
      <x:c r="J950" s="168" t="str">
        <x:v>CI</x:v>
      </x:c>
      <x:c r="K950" s="174" t="n">
        <x:v>4</x:v>
      </x:c>
      <x:c r="L950" s="187" t="str">
        <x:v>Proxy multicedente/multissacado — revisar</x:v>
      </x:c>
    </x:row>
    <x:row r="951">
      <x:c r="A951" s="177" t="str">
        <x:v>33.489.701/0001-95</x:v>
      </x:c>
      <x:c r="B951" s="168" t="str">
        <x:v>EXTRA BALANCE TOP SIERRA FUNDO DE INVESTIMENTO EM DIREITOS CREDITÓRIOS SEGMENTO FINANCEIRO</x:v>
      </x:c>
      <x:c r="C951" s="190" t="n">
        <x:v>123899077.37</x:v>
      </x:c>
      <x:c r="D951" s="168" t="str">
        <x:v>Solis</x:v>
      </x:c>
      <x:c r="E951" s="168" t="str">
        <x:f>IFERROR(INDEX('Classif Gestoras'!$H$6:$H$462,MATCH(D951,'Classif Gestoras'!$A$6:$A$462,0)),"Não classificada")</x:f>
        <x:v>Independente</x:v>
      </x:c>
      <x:c r="F951" s="168" t="str">
        <x:v>HEMERA DTVM</x:v>
      </x:c>
      <x:c r="G951" s="168" t="str">
        <x:v>HEMERA DISTRIBUIDORA DE TITULOS E VALORES MOBILIARIOS LTDA</x:v>
      </x:c>
      <x:c r="H951" s="168" t="str">
        <x:v>Financeiro</x:v>
      </x:c>
      <x:c r="I951" s="168" t="str">
        <x:v>Crédito Pessoal</x:v>
      </x:c>
      <x:c r="J951" s="168" t="str">
        <x:v>CI</x:v>
      </x:c>
      <x:c r="K951" s="174" t="n">
        <x:v>19</x:v>
      </x:c>
      <x:c r="L951" s="187" t="str">
        <x:v>Não classificado</x:v>
      </x:c>
    </x:row>
    <x:row r="952">
      <x:c r="A952" s="177" t="str">
        <x:v>46.744.586/0001-08</x:v>
      </x:c>
      <x:c r="B952" s="168" t="str">
        <x:v>BYRON 61 FUNDO DE INVESTIMENTO EM DIREITOS CREDITÓRIOS NAO PADRONIZADOS</x:v>
      </x:c>
      <x:c r="C952" s="190" t="n">
        <x:v>123699877.1</x:v>
      </x:c>
      <x:c r="D952" s="168" t="str">
        <x:v>ASAROCK ASSET MANAGEMENT</x:v>
      </x:c>
      <x:c r="E952" s="168" t="str">
        <x:f>IFERROR(INDEX('Classif Gestoras'!$H$6:$H$462,MATCH(D952,'Classif Gestoras'!$A$6:$A$462,0)),"Não classificada")</x:f>
        <x:v>Independente</x:v>
      </x:c>
      <x:c r="F952" s="168" t="str">
        <x:v>ID Corretora de Títulos e Valores Mobiliários S.A.</x:v>
      </x:c>
      <x:c r="G952" s="168" t="str">
        <x:v>FINVEST DISTRIBUIDORA DE TÍTULOS E VALORES MOBILIÁRIOS LTDA.</x:v>
      </x:c>
      <x:c r="H952" s="168" t="str">
        <x:v>Outros</x:v>
      </x:c>
      <x:c r="I952" s="168" t="str">
        <x:v>Multicarteira Outros</x:v>
      </x:c>
      <x:c r="J952" s="168" t="str">
        <x:v>CI</x:v>
      </x:c>
      <x:c r="K952" s="174" t="n">
        <x:v>2</x:v>
      </x:c>
      <x:c r="L952" s="187" t="str">
        <x:v>Proxy multicedente/multissacado — revisar</x:v>
      </x:c>
    </x:row>
    <x:row r="953">
      <x:c r="A953" s="177" t="str">
        <x:v>53.908.929/0001-80</x:v>
      </x:c>
      <x:c r="B953" s="168" t="str">
        <x:v>CHIMERA ALTERNATIVE ASSETS V FUNDO DE INVESTIMENTO EM DIREITOS CREDITÓRIOS</x:v>
      </x:c>
      <x:c r="C953" s="190" t="n">
        <x:v>123616212.4</x:v>
      </x:c>
      <x:c r="D953" s="168" t="str">
        <x:v>Chimera Capital Asset Management Ltda.</x:v>
      </x:c>
      <x:c r="E953" s="168" t="str">
        <x:f>IFERROR(INDEX('Classif Gestoras'!$H$6:$H$462,MATCH(D953,'Classif Gestoras'!$A$6:$A$462,0)),"Não classificada")</x:f>
        <x:v>Independente</x:v>
      </x:c>
      <x:c r="F953" s="168" t="str">
        <x:v>VÓRTX DTVM</x:v>
      </x:c>
      <x:c r="G953" s="168" t="str">
        <x:v>Não identificado</x:v>
      </x:c>
      <x:c r="H953" s="168" t="str">
        <x:v>Outros</x:v>
      </x:c>
      <x:c r="I953" s="168" t="str">
        <x:v>Multicarteira Outros</x:v>
      </x:c>
      <x:c r="J953" s="168" t="str">
        <x:v>CI</x:v>
      </x:c>
      <x:c r="K953" s="174" t="n">
        <x:v>37</x:v>
      </x:c>
      <x:c r="L953" s="187" t="str">
        <x:v>Proxy multicedente/multissacado — revisar</x:v>
      </x:c>
    </x:row>
    <x:row r="954">
      <x:c r="A954" s="177" t="str">
        <x:v>49.920.326/0001-26</x:v>
      </x:c>
      <x:c r="B954" s="168" t="str">
        <x:v>BDR KYIV FUNDO DE INVESTIMENTO EM DIREITOS CREDITORIOS - FIDC</x:v>
      </x:c>
      <x:c r="C954" s="190" t="n">
        <x:v>123600445.49</x:v>
      </x:c>
      <x:c r="D954" s="168" t="str">
        <x:v>BDR Asset</x:v>
      </x:c>
      <x:c r="E954" s="168" t="str">
        <x:f>IFERROR(INDEX('Classif Gestoras'!$H$6:$H$462,MATCH(D954,'Classif Gestoras'!$A$6:$A$462,0)),"Não classificada")</x:f>
        <x:v>Independente</x:v>
      </x:c>
      <x:c r="F954" s="168" t="str">
        <x:v>ID Corretora de Títulos e Valores Mobiliários S.A.</x:v>
      </x:c>
      <x:c r="G954" s="168" t="str">
        <x:v>ID CORRETORA DE TITULOS E VALORES MOBILIARIOS S.A.</x:v>
      </x:c>
      <x:c r="H954" s="168" t="str">
        <x:v>Financeiro</x:v>
      </x:c>
      <x:c r="I954" s="168" t="str">
        <x:v>Multicarteira Financeiro</x:v>
      </x:c>
      <x:c r="J954" s="168" t="str">
        <x:v>CI</x:v>
      </x:c>
      <x:c r="K954" s="174" t="n">
        <x:v>7</x:v>
      </x:c>
      <x:c r="L954" s="187" t="str">
        <x:v>Proxy multicedente/multissacado — revisar</x:v>
      </x:c>
    </x:row>
    <x:row r="955">
      <x:c r="A955" s="177" t="str">
        <x:v>17.198.676/0001-34</x:v>
      </x:c>
      <x:c r="B955" s="168" t="str">
        <x:v>AZUL FUNDO DE INVESTIMENTO EM DIREITOS CREDITÓRIOS MULTISSETORIAL - RESPONSABILIDADE LIMITADA</x:v>
      </x:c>
      <x:c r="C955" s="190" t="n">
        <x:v>123513797.01</x:v>
      </x:c>
      <x:c r="D955" s="168" t="str">
        <x:v>Solis</x:v>
      </x:c>
      <x:c r="E955" s="168" t="str">
        <x:f>IFERROR(INDEX('Classif Gestoras'!$H$6:$H$462,MATCH(D955,'Classif Gestoras'!$A$6:$A$462,0)),"Não classificada")</x:f>
        <x:v>Independente</x:v>
      </x:c>
      <x:c r="F955" s="168" t="str">
        <x:v>HEMERA DTVM</x:v>
      </x:c>
      <x:c r="G955" s="168" t="str">
        <x:v>HEMERA DISTRIBUIDORA DE TITULOS E VALORES MOBILIARIOS LTDA</x:v>
      </x:c>
      <x:c r="H955" s="168" t="str">
        <x:v>Outros</x:v>
      </x:c>
      <x:c r="I955" s="168" t="str">
        <x:v>Multicarteira Outros</x:v>
      </x:c>
      <x:c r="J955" s="168" t="str">
        <x:v>CI</x:v>
      </x:c>
      <x:c r="K955" s="174" t="n">
        <x:v>1</x:v>
      </x:c>
      <x:c r="L955" s="187" t="str">
        <x:v>Proxy multicedente/multissacado — revisar</x:v>
      </x:c>
    </x:row>
    <x:row r="956">
      <x:c r="A956" s="177" t="str">
        <x:v>57.407.013/0001-05</x:v>
      </x:c>
      <x:c r="B956" s="168" t="str">
        <x:v>VARYAGI I FUNDO DE INVESTIMENTO EM DIREITOS CREDITÓRIOS CONSIGNADO PÚBLICO RESPONSABILIDADE LIMITADA</x:v>
      </x:c>
      <x:c r="C956" s="190" t="n">
        <x:v>123120443.81</x:v>
      </x:c>
      <x:c r="D956" s="168" t="str">
        <x:v>Brave Asset</x:v>
      </x:c>
      <x:c r="E956" s="168" t="str">
        <x:f>IFERROR(INDEX('Classif Gestoras'!$H$6:$H$462,MATCH(D956,'Classif Gestoras'!$A$6:$A$462,0)),"Não classificada")</x:f>
        <x:v>Independente</x:v>
      </x:c>
      <x:c r="F956" s="168" t="str">
        <x:v>Banvox DTVM</x:v>
      </x:c>
      <x:c r="G956" s="168" t="str">
        <x:v>HEMERA DISTRIBUIDORA DE TITULOS E VALORES MOBILIARIOS LTDA</x:v>
      </x:c>
      <x:c r="H956" s="168" t="str">
        <x:v>Financeiro</x:v>
      </x:c>
      <x:c r="I956" s="168" t="str">
        <x:v>Crédito Consignado</x:v>
      </x:c>
      <x:c r="J956" s="168" t="str">
        <x:v>CI</x:v>
      </x:c>
      <x:c r="K956" s="174" t="n">
        <x:v>43</x:v>
      </x:c>
      <x:c r="L956" s="187" t="str">
        <x:v>Não classificado</x:v>
      </x:c>
    </x:row>
    <x:row r="957">
      <x:c r="A957" s="177" t="str">
        <x:v>36.335.649/0001-00</x:v>
      </x:c>
      <x:c r="B957" s="168" t="str">
        <x:v>FUNDO DE INVESTIMENTO EM DIREITOS CREDITÓRIOS SPECIAL SITUATIONS</x:v>
      </x:c>
      <x:c r="C957" s="190" t="n">
        <x:v>123081496.59</x:v>
      </x:c>
      <x:c r="D957" s="168" t="str">
        <x:v>BRL TRUST DTVM</x:v>
      </x:c>
      <x:c r="E957" s="168" t="str">
        <x:f>IFERROR(INDEX('Classif Gestoras'!$H$6:$H$462,MATCH(D957,'Classif Gestoras'!$A$6:$A$462,0)),"Não classificada")</x:f>
        <x:v>Independente</x:v>
      </x:c>
      <x:c r="F957" s="168" t="str">
        <x:v>BRL TRUST DTVM</x:v>
      </x:c>
      <x:c r="G957" s="168" t="str">
        <x:v>BRL TRUST DISTRIBUIDORA DE TITULOS E VALORES MOBILIARIOS S.A.</x:v>
      </x:c>
      <x:c r="H957" s="168" t="str">
        <x:v>Agro, Indústria e Comércio</x:v>
      </x:c>
      <x:c r="I957" s="168" t="str">
        <x:v>Infraestrutura</x:v>
      </x:c>
      <x:c r="J957" s="168" t="str">
        <x:v>CI</x:v>
      </x:c>
      <x:c r="K957" s="174" t="n">
        <x:v>1</x:v>
      </x:c>
      <x:c r="L957" s="187" t="str">
        <x:v>Não classificado</x:v>
      </x:c>
    </x:row>
    <x:row r="958">
      <x:c r="A958" s="177" t="str">
        <x:v>19.187.295/0001-85</x:v>
      </x:c>
      <x:c r="B958" s="168" t="str">
        <x:v>VECTOR FUNDO DE INVESTIMENTO EM DIREITOS CREDITÓRIOS MULTISSETORIAL</x:v>
      </x:c>
      <x:c r="C958" s="190" t="n">
        <x:v>123032081.47</x:v>
      </x:c>
      <x:c r="D958" s="168" t="str">
        <x:v>TERCON ASSET MANAGEMENT</x:v>
      </x:c>
      <x:c r="E958" s="168" t="str">
        <x:f>IFERROR(INDEX('Classif Gestoras'!$H$6:$H$462,MATCH(D958,'Classif Gestoras'!$A$6:$A$462,0)),"Não classificada")</x:f>
        <x:v>Independente</x:v>
      </x:c>
      <x:c r="F958" s="168" t="str">
        <x:v>HEMERA DTVM</x:v>
      </x:c>
      <x:c r="G958" s="168" t="str">
        <x:v>HEMERA DISTRIBUIDORA DE TITULOS E VALORES MOBILIARIOS LTDA</x:v>
      </x:c>
      <x:c r="H958" s="168" t="str">
        <x:v>Financeiro</x:v>
      </x:c>
      <x:c r="I958" s="168" t="str">
        <x:v>Multicarteira Financeiro</x:v>
      </x:c>
      <x:c r="J958" s="168" t="str">
        <x:v>CI</x:v>
      </x:c>
      <x:c r="K958" s="174" t="n">
        <x:v>18</x:v>
      </x:c>
      <x:c r="L958" s="187" t="str">
        <x:v>Proxy multicedente/multissacado — revisar</x:v>
      </x:c>
    </x:row>
    <x:row r="959">
      <x:c r="A959" s="177" t="str">
        <x:v>63.396.234/0001-10</x:v>
      </x:c>
      <x:c r="B959" s="168" t="str">
        <x:v>NEXA FORTIS FUNDO DE INVESTIMENTO EM DIREITOS CREDITÓRIOS</x:v>
      </x:c>
      <x:c r="C959" s="190" t="n">
        <x:v>122503193.27</x:v>
      </x:c>
      <x:c r="D959" s="168" t="str">
        <x:v>Catálise Investimentos</x:v>
      </x:c>
      <x:c r="E959" s="168" t="str">
        <x:f>IFERROR(INDEX('Classif Gestoras'!$H$6:$H$462,MATCH(D959,'Classif Gestoras'!$A$6:$A$462,0)),"Não classificada")</x:f>
        <x:v>Independente</x:v>
      </x:c>
      <x:c r="F959" s="168" t="str">
        <x:v>CATÁLISE DTVM</x:v>
      </x:c>
      <x:c r="G959" s="168" t="str">
        <x:v>BANCO DAYCOVAL S.A.</x:v>
      </x:c>
      <x:c r="H959" s="168" t="str">
        <x:v>Outros</x:v>
      </x:c>
      <x:c r="I959" s="168" t="str">
        <x:v>Multicarteira Outros</x:v>
      </x:c>
      <x:c r="J959" s="168" t="str">
        <x:v>CI</x:v>
      </x:c>
      <x:c r="K959" s="174" t="n">
        <x:v>1</x:v>
      </x:c>
      <x:c r="L959" s="187" t="str">
        <x:v>Proxy multicedente/multissacado — revisar</x:v>
      </x:c>
    </x:row>
    <x:row r="960">
      <x:c r="A960" s="177" t="str">
        <x:v>47.846.883/0001-19</x:v>
      </x:c>
      <x:c r="B960" s="168" t="str">
        <x:v>FMD FUNDO DE INVESTIMENTO EM DIREITOS CREDITÓRIOS</x:v>
      </x:c>
      <x:c r="C960" s="190" t="n">
        <x:v>122439809.05</x:v>
      </x:c>
      <x:c r="D960" s="168" t="str">
        <x:v>TERCON ASSET MANAGEMENT</x:v>
      </x:c>
      <x:c r="E960" s="168" t="str">
        <x:f>IFERROR(INDEX('Classif Gestoras'!$H$6:$H$462,MATCH(D960,'Classif Gestoras'!$A$6:$A$462,0)),"Não classificada")</x:f>
        <x:v>Independente</x:v>
      </x:c>
      <x:c r="F960" s="168" t="str">
        <x:v>Singulare</x:v>
      </x:c>
      <x:c r="G960" s="168" t="str">
        <x:v>QI CORRETORA DE TÍTULOS E VALORES MOBILIÁRIOS S.A.</x:v>
      </x:c>
      <x:c r="H960" s="168" t="str">
        <x:v>Fomento Mercantil</x:v>
      </x:c>
      <x:c r="I960" s="168" t="str">
        <x:v>Fomento Mercantil</x:v>
      </x:c>
      <x:c r="J960" s="168" t="str">
        <x:v>CI</x:v>
      </x:c>
      <x:c r="K960" s="174" t="n">
        <x:v>38</x:v>
      </x:c>
      <x:c r="L960" s="187" t="str">
        <x:v>Não classificado</x:v>
      </x:c>
    </x:row>
    <x:row r="961">
      <x:c r="A961" s="177" t="str">
        <x:v>33.823.944/0001-18</x:v>
      </x:c>
      <x:c r="B961" s="168" t="str">
        <x:v>EXPLORER FUNDO DE INVESTIMENTO EM DIREITOS CREDITÓRIOS</x:v>
      </x:c>
      <x:c r="C961" s="190" t="n">
        <x:v>122192818.73000002</x:v>
      </x:c>
      <x:c r="D961" s="168" t="str">
        <x:v>Multiplica Capital</x:v>
      </x:c>
      <x:c r="E961" s="168" t="str">
        <x:f>IFERROR(INDEX('Classif Gestoras'!$H$6:$H$462,MATCH(D961,'Classif Gestoras'!$A$6:$A$462,0)),"Não classificada")</x:f>
        <x:v>Independente</x:v>
      </x:c>
      <x:c r="F961" s="168" t="str">
        <x:v>PLANNER CV</x:v>
      </x:c>
      <x:c r="G961" s="168" t="str">
        <x:v>PLANNER CORRETORA DE VALORES S.A.</x:v>
      </x:c>
      <x:c r="H961" s="168" t="str">
        <x:v>Outros</x:v>
      </x:c>
      <x:c r="I961" s="168" t="str">
        <x:v>Multicarteira Outros</x:v>
      </x:c>
      <x:c r="J961" s="168" t="str">
        <x:v>CI</x:v>
      </x:c>
      <x:c r="K961" s="174" t="n">
        <x:v>17</x:v>
      </x:c>
      <x:c r="L961" s="187" t="str">
        <x:v>Proxy multicedente/multissacado — revisar</x:v>
      </x:c>
    </x:row>
    <x:row r="962">
      <x:c r="A962" s="177" t="str">
        <x:v>48.965.359/0001-20</x:v>
      </x:c>
      <x:c r="B962" s="168" t="str">
        <x:v>FATTOR FUNDO DE INVESTIMENTO EM DIREITOS CREDITÓRIOS</x:v>
      </x:c>
      <x:c r="C962" s="190" t="n">
        <x:v>121493253.98</x:v>
      </x:c>
      <x:c r="D962" s="168" t="str">
        <x:v>TERCON ASSET MANAGEMENT</x:v>
      </x:c>
      <x:c r="E962" s="168" t="str">
        <x:f>IFERROR(INDEX('Classif Gestoras'!$H$6:$H$462,MATCH(D962,'Classif Gestoras'!$A$6:$A$462,0)),"Não classificada")</x:f>
        <x:v>Independente</x:v>
      </x:c>
      <x:c r="F962" s="168" t="str">
        <x:v>Singulare</x:v>
      </x:c>
      <x:c r="G962" s="168" t="str">
        <x:v>QI CORRETORA DE TÍTULOS E VALORES MOBILIÁRIOS S.A.</x:v>
      </x:c>
      <x:c r="H962" s="168" t="str">
        <x:v>Fomento Mercantil</x:v>
      </x:c>
      <x:c r="I962" s="168" t="str">
        <x:v>Fomento Mercantil</x:v>
      </x:c>
      <x:c r="J962" s="168" t="str">
        <x:v>CI</x:v>
      </x:c>
      <x:c r="K962" s="174" t="n">
        <x:v>36</x:v>
      </x:c>
      <x:c r="L962" s="187" t="str">
        <x:v>Não classificado</x:v>
      </x:c>
    </x:row>
    <x:row r="963">
      <x:c r="A963" s="177" t="str">
        <x:v>52.808.215/0001-37</x:v>
      </x:c>
      <x:c r="B963" s="168" t="str">
        <x:v>LUMUS FUNDO DE INVESTIMENTO EM DIREITOS CREDITÓRIOS - RESPONSABILIDADE LIMITADA</x:v>
      </x:c>
      <x:c r="C963" s="190" t="n">
        <x:v>121422969.99</x:v>
      </x:c>
      <x:c r="D963" s="168" t="str">
        <x:v>SOSU CAPITAL GESTÃO DE INVESTIMENTOS LTDA.</x:v>
      </x:c>
      <x:c r="E963" s="168" t="str">
        <x:f>IFERROR(INDEX('Classif Gestoras'!$H$6:$H$462,MATCH(D963,'Classif Gestoras'!$A$6:$A$462,0)),"Não classificada")</x:f>
        <x:v>Independente</x:v>
      </x:c>
      <x:c r="F963" s="168" t="str">
        <x:v>BRL TRUST DTVM</x:v>
      </x:c>
      <x:c r="G963" s="168" t="str">
        <x:v>BRL TRUST DISTRIBUIDORA DE TITULOS E VALORES MOBILIARIOS S.A.</x:v>
      </x:c>
      <x:c r="H963" s="168" t="str">
        <x:v>Outros</x:v>
      </x:c>
      <x:c r="I963" s="168" t="str">
        <x:v>Poder Público</x:v>
      </x:c>
      <x:c r="J963" s="168" t="str">
        <x:v>CI</x:v>
      </x:c>
      <x:c r="K963" s="174" t="n">
        <x:v>1</x:v>
      </x:c>
      <x:c r="L963" s="187" t="str">
        <x:v>Não classificado</x:v>
      </x:c>
    </x:row>
    <x:row r="964">
      <x:c r="A964" s="177" t="str">
        <x:v>35.689.357/0001-03</x:v>
      </x:c>
      <x:c r="B964" s="168" t="str">
        <x:v>ÁSTER FUNDO DE INVESTIMENTO EM DIREITOS CREDITÓRIOS NÃO-PADRONIZADOS</x:v>
      </x:c>
      <x:c r="C964" s="190" t="n">
        <x:v>121327508.61</x:v>
      </x:c>
      <x:c r="D964" s="168" t="str">
        <x:v>G5 Adm. de Recursos</x:v>
      </x:c>
      <x:c r="E964" s="168" t="str">
        <x:f>IFERROR(INDEX('Classif Gestoras'!$H$6:$H$462,MATCH(D964,'Classif Gestoras'!$A$6:$A$462,0)),"Não classificada")</x:f>
        <x:v>Independente</x:v>
      </x:c>
      <x:c r="F964" s="168" t="str">
        <x:v>Oliveira Trust DTVM</x:v>
      </x:c>
      <x:c r="G964" s="168" t="str">
        <x:v>OLIVEIRA TRUST DTVM S.A.</x:v>
      </x:c>
      <x:c r="H964" s="168" t="str">
        <x:v>Outros</x:v>
      </x:c>
      <x:c r="I964" s="168" t="str">
        <x:v>Poder Público</x:v>
      </x:c>
      <x:c r="J964" s="168" t="str">
        <x:v>CI</x:v>
      </x:c>
      <x:c r="K964" s="174" t="n">
        <x:v>3</x:v>
      </x:c>
      <x:c r="L964" s="187" t="str">
        <x:v>Não classificado</x:v>
      </x:c>
    </x:row>
    <x:row r="965">
      <x:c r="A965" s="177" t="str">
        <x:v>59.560.195/0001-77</x:v>
      </x:c>
      <x:c r="B965" s="168" t="str">
        <x:v>OCCAM PORTFOLIO CRÉDITO FUNDO DE INVESTIMENTO EM DIREITOS CREDITÓRIOS DE RESPONSABILIDADE LIMITADA</x:v>
      </x:c>
      <x:c r="C965" s="190" t="n">
        <x:v>121320111.37</x:v>
      </x:c>
      <x:c r="D965" s="168" t="str">
        <x:v>NOVA OCCAM BRASIL GESTÃO DE RECURSOS LTDA.</x:v>
      </x:c>
      <x:c r="E965" s="168" t="str">
        <x:f>IFERROR(INDEX('Classif Gestoras'!$H$6:$H$462,MATCH(D965,'Classif Gestoras'!$A$6:$A$462,0)),"Não classificada")</x:f>
        <x:v>Independente</x:v>
      </x:c>
      <x:c r="F965" s="168" t="str">
        <x:v>XPI CCTVM S/A</x:v>
      </x:c>
      <x:c r="G965" s="168" t="str">
        <x:v>OLIVEIRA TRUST DTVM S.A.</x:v>
      </x:c>
      <x:c r="H965" s="168" t="str">
        <x:v>Outros</x:v>
      </x:c>
      <x:c r="I965" s="168" t="str">
        <x:v>Multicarteira Outros</x:v>
      </x:c>
      <x:c r="J965" s="168" t="str">
        <x:v>CI</x:v>
      </x:c>
      <x:c r="K965" s="174" t="n">
        <x:v>1682</x:v>
      </x:c>
      <x:c r="L965" s="187" t="str">
        <x:v>Proxy multicedente/multissacado — revisar</x:v>
      </x:c>
    </x:row>
    <x:row r="966">
      <x:c r="A966" s="177" t="str">
        <x:v>61.942.290/0001-87</x:v>
      </x:c>
      <x:c r="B966" s="168" t="str">
        <x:v>MONT BLANC FEDERAL FUNDO DE INVESTIMENTO EM DIREITOS CREDITÓRIOS - RESPONSABILIDADE LIMITADA</x:v>
      </x:c>
      <x:c r="C966" s="190" t="n">
        <x:v>121089954.18</x:v>
      </x:c>
      <x:c r="D966" s="168" t="str">
        <x:v>SUESTE CAPITAL GESTÃO DE RECURSOS LTDA.</x:v>
      </x:c>
      <x:c r="E966" s="168" t="str">
        <x:f>IFERROR(INDEX('Classif Gestoras'!$H$6:$H$462,MATCH(D966,'Classif Gestoras'!$A$6:$A$462,0)),"Não classificada")</x:f>
        <x:v>Independente</x:v>
      </x:c>
      <x:c r="F966" s="168" t="str">
        <x:v>BANCO DAYCOVAL S/A</x:v>
      </x:c>
      <x:c r="G966" s="168" t="str">
        <x:v>BANCO DAYCOVAL S.A.</x:v>
      </x:c>
      <x:c r="H966" s="168" t="str">
        <x:v>Financeiro</x:v>
      </x:c>
      <x:c r="I966" s="168" t="str">
        <x:v>Crédito Consignado</x:v>
      </x:c>
      <x:c r="J966" s="168" t="str">
        <x:v>CI</x:v>
      </x:c>
      <x:c r="K966" s="174" t="n">
        <x:v>8</x:v>
      </x:c>
      <x:c r="L966" s="187" t="str">
        <x:v>Não classificado</x:v>
      </x:c>
    </x:row>
    <x:row r="967">
      <x:c r="A967" s="177" t="str">
        <x:v>33.490.076/0001-00</x:v>
      </x:c>
      <x:c r="B967" s="168" t="str">
        <x:v>ASSET BANK - II FUNDO DE INVESTIMENTO EM DIREITOS CREDITORIOS</x:v>
      </x:c>
      <x:c r="C967" s="190" t="n">
        <x:v>120977547.95</x:v>
      </x:c>
      <x:c r="D967" s="168" t="str">
        <x:v>ASSET MANAGEMENT</x:v>
      </x:c>
      <x:c r="E967" s="168" t="str">
        <x:f>IFERROR(INDEX('Classif Gestoras'!$H$6:$H$462,MATCH(D967,'Classif Gestoras'!$A$6:$A$462,0)),"Não classificada")</x:f>
        <x:v>Independente</x:v>
      </x:c>
      <x:c r="F967" s="168" t="str">
        <x:v>AZUMI DISTRIBUIDORA DE TÍTULOS E VALORES MOBILIÁRIOS LT</x:v>
      </x:c>
      <x:c r="G967" s="168" t="str">
        <x:v>AZUMI DISTRIBUIDORA DE TÍTULOS E VALORES MOBILIÁRIOS LTDA.</x:v>
      </x:c>
      <x:c r="H967" s="168" t="str">
        <x:v>Fomento Mercantil</x:v>
      </x:c>
      <x:c r="I967" s="168" t="str">
        <x:v>Fomento Mercantil</x:v>
      </x:c>
      <x:c r="J967" s="168" t="str">
        <x:v>CI</x:v>
      </x:c>
      <x:c r="K967" s="174" t="n">
        <x:v>165</x:v>
      </x:c>
      <x:c r="L967" s="187" t="str">
        <x:v>Não classificado</x:v>
      </x:c>
    </x:row>
    <x:row r="968">
      <x:c r="A968" s="177" t="str">
        <x:v>63.350.255/0001-02</x:v>
      </x:c>
      <x:c r="B968" s="168" t="str">
        <x:v>MERCADO CRÉDITO ESTRUTURADO FUNDO DE INVESTIMENTO EM DIREITOS CREDITÓRIOS RESPONSABILIDADE LIMITADA</x:v>
      </x:c>
      <x:c r="C968" s="190" t="n">
        <x:v>120857690.56</x:v>
      </x:c>
      <x:c r="D968" s="168" t="str">
        <x:v>POLÍGONO CAPITAL LTDA.</x:v>
      </x:c>
      <x:c r="E968" s="168" t="str">
        <x:f>IFERROR(INDEX('Classif Gestoras'!$H$6:$H$462,MATCH(D968,'Classif Gestoras'!$A$6:$A$462,0)),"Não classificada")</x:f>
        <x:v>Independente</x:v>
      </x:c>
      <x:c r="F968" s="168" t="str">
        <x:v>BTG Pactual Servicos Financeiros S/A DTVM</x:v>
      </x:c>
      <x:c r="G968" s="168" t="str">
        <x:v>BANCO BTG PACTUAL S/A</x:v>
      </x:c>
      <x:c r="H968" s="168" t="str">
        <x:v>Outros</x:v>
      </x:c>
      <x:c r="I968" s="168" t="str">
        <x:v>Recuperação</x:v>
      </x:c>
      <x:c r="J968" s="168" t="str">
        <x:v>CI</x:v>
      </x:c>
      <x:c r="K968" s="174" t="n">
        <x:v>8</x:v>
      </x:c>
      <x:c r="L968" s="187" t="str">
        <x:v>Não classificado</x:v>
      </x:c>
    </x:row>
    <x:row r="969">
      <x:c r="A969" s="177" t="str">
        <x:v>20.905.778/0001-57</x:v>
      </x:c>
      <x:c r="B969" s="168" t="str">
        <x:v>ACCESS FUNDO DE INVESTIMENTO EM DIREITOS CREDITÓRIOS ABERTO MULTISSETORIAL RESPONSABILIDADE LIMITADA</x:v>
      </x:c>
      <x:c r="C969" s="190" t="n">
        <x:v>120484159.13</x:v>
      </x:c>
      <x:c r="D969" s="168" t="str">
        <x:v>Global Gestão e Investimentos</x:v>
      </x:c>
      <x:c r="E969" s="168" t="str">
        <x:f>IFERROR(INDEX('Classif Gestoras'!$H$6:$H$462,MATCH(D969,'Classif Gestoras'!$A$6:$A$462,0)),"Não classificada")</x:f>
        <x:v>Independente</x:v>
      </x:c>
      <x:c r="F969" s="168" t="str">
        <x:v>Singulare</x:v>
      </x:c>
      <x:c r="G969" s="168" t="str">
        <x:v>QI CORRETORA DE TÍTULOS E VALORES MOBILIÁRIOS S.A.</x:v>
      </x:c>
      <x:c r="H969" s="168" t="str">
        <x:v>Outros</x:v>
      </x:c>
      <x:c r="I969" s="168" t="str">
        <x:v>Multicarteira Outros</x:v>
      </x:c>
      <x:c r="J969" s="168" t="str">
        <x:v>CI</x:v>
      </x:c>
      <x:c r="K969" s="174" t="n">
        <x:v>5</x:v>
      </x:c>
      <x:c r="L969" s="187" t="str">
        <x:v>Proxy multicedente/multissacado — revisar</x:v>
      </x:c>
    </x:row>
    <x:row r="970">
      <x:c r="A970" s="177" t="str">
        <x:v>57.624.136/0001-90</x:v>
      </x:c>
      <x:c r="B970" s="168" t="str">
        <x:v>GUARDIAN MULTI CONSIGNADO XI FUNDO DE INVESTIMENTO EM DIREITOS CREDITÓRIOS RESPONSABILIDADE LIMITADA</x:v>
      </x:c>
      <x:c r="C970" s="190" t="n">
        <x:v>120156345.66</x:v>
      </x:c>
      <x:c r="D970" s="168" t="str">
        <x:v>Guardian Gestora</x:v>
      </x:c>
      <x:c r="E970" s="168" t="str">
        <x:f>IFERROR(INDEX('Classif Gestoras'!$H$6:$H$462,MATCH(D970,'Classif Gestoras'!$A$6:$A$462,0)),"Não classificada")</x:f>
        <x:v>Independente</x:v>
      </x:c>
      <x:c r="F970" s="168" t="str">
        <x:v>BANCO DAYCOVAL S/A</x:v>
      </x:c>
      <x:c r="G970" s="168" t="str">
        <x:v>BANCO DAYCOVAL S.A.</x:v>
      </x:c>
      <x:c r="H970" s="168" t="str">
        <x:v>Financeiro</x:v>
      </x:c>
      <x:c r="I970" s="168" t="str">
        <x:v>Crédito Consignado</x:v>
      </x:c>
      <x:c r="J970" s="168" t="str">
        <x:v>CI</x:v>
      </x:c>
      <x:c r="K970" s="174" t="n">
        <x:v>2</x:v>
      </x:c>
      <x:c r="L970" s="187" t="str">
        <x:v>Não classificado</x:v>
      </x:c>
    </x:row>
    <x:row r="971">
      <x:c r="A971" s="177" t="str">
        <x:v>20.093.934/0001-22</x:v>
      </x:c>
      <x:c r="B971" s="168" t="str">
        <x:v>DBS FUNDO DE INVESTIMENTO EM DIREITOS CREDITORIOS</x:v>
      </x:c>
      <x:c r="C971" s="190" t="n">
        <x:v>119716093.32</x:v>
      </x:c>
      <x:c r="D971" s="168" t="str">
        <x:v>Artesanal Investimentos</x:v>
      </x:c>
      <x:c r="E971" s="168" t="str">
        <x:f>IFERROR(INDEX('Classif Gestoras'!$H$6:$H$462,MATCH(D971,'Classif Gestoras'!$A$6:$A$462,0)),"Não classificada")</x:f>
        <x:v>Independente</x:v>
      </x:c>
      <x:c r="F971" s="168" t="str">
        <x:v>Singulare</x:v>
      </x:c>
      <x:c r="G971" s="168" t="str">
        <x:v>Não identificado</x:v>
      </x:c>
      <x:c r="H971" s="168" t="str">
        <x:v>Outros</x:v>
      </x:c>
      <x:c r="I971" s="168" t="str">
        <x:v>Multicarteira Outros</x:v>
      </x:c>
      <x:c r="J971" s="168" t="str">
        <x:v>CI</x:v>
      </x:c>
      <x:c r="K971" s="174" t="n">
        <x:v>0</x:v>
      </x:c>
      <x:c r="L971" s="187" t="str">
        <x:v>Proxy multicedente/multissacado — revisar</x:v>
      </x:c>
    </x:row>
    <x:row r="972">
      <x:c r="A972" s="177" t="str">
        <x:v>47.117.685/0001-14</x:v>
      </x:c>
      <x:c r="B972" s="168" t="str">
        <x:v>SOLIS KEDU FUNDO DE INVESTIMENTO EM DIREITOS CREDITÓRIOS</x:v>
      </x:c>
      <x:c r="C972" s="190" t="n">
        <x:v>119326566.15</x:v>
      </x:c>
      <x:c r="D972" s="168" t="str">
        <x:v>Solis</x:v>
      </x:c>
      <x:c r="E972" s="168" t="str">
        <x:f>IFERROR(INDEX('Classif Gestoras'!$H$6:$H$462,MATCH(D972,'Classif Gestoras'!$A$6:$A$462,0)),"Não classificada")</x:f>
        <x:v>Independente</x:v>
      </x:c>
      <x:c r="F972" s="168" t="str">
        <x:v>HEMERA DTVM</x:v>
      </x:c>
      <x:c r="G972" s="168" t="str">
        <x:v>HEMERA DISTRIBUIDORA DE TITULOS E VALORES MOBILIARIOS LTDA</x:v>
      </x:c>
      <x:c r="H972" s="168" t="str">
        <x:v>Agro, Indústria e Comércio</x:v>
      </x:c>
      <x:c r="I972" s="168" t="str">
        <x:v>Recebíveis Comerciais</x:v>
      </x:c>
      <x:c r="J972" s="168" t="str">
        <x:v>CI</x:v>
      </x:c>
      <x:c r="K972" s="174" t="n">
        <x:v>22</x:v>
      </x:c>
      <x:c r="L972" s="187" t="str">
        <x:v>Não classificado</x:v>
      </x:c>
    </x:row>
    <x:row r="973">
      <x:c r="A973" s="177" t="str">
        <x:v>34.218.918/0001-23</x:v>
      </x:c>
      <x:c r="B973" s="168" t="str">
        <x:v>LGX FUNDO DE INVESTIMENTO EM DIREITOS CREDITÓRIOS - RESPONSABILIDADE LIMITADA</x:v>
      </x:c>
      <x:c r="C973" s="190" t="n">
        <x:v>119305754.66</x:v>
      </x:c>
      <x:c r="D973" s="168" t="str">
        <x:v>ARTESANAL MCMS</x:v>
      </x:c>
      <x:c r="E973" s="168" t="str">
        <x:f>IFERROR(INDEX('Classif Gestoras'!$H$6:$H$462,MATCH(D973,'Classif Gestoras'!$A$6:$A$462,0)),"Não classificada")</x:f>
        <x:v>Independente</x:v>
      </x:c>
      <x:c r="F973" s="168" t="str">
        <x:v>Singulare</x:v>
      </x:c>
      <x:c r="G973" s="168" t="str">
        <x:v>QI CORRETORA DE TÍTULOS E VALORES MOBILIÁRIOS S.A.</x:v>
      </x:c>
      <x:c r="H973" s="168" t="str">
        <x:v>Fomento Mercantil</x:v>
      </x:c>
      <x:c r="I973" s="168" t="str">
        <x:v>Fomento Mercantil</x:v>
      </x:c>
      <x:c r="J973" s="168" t="str">
        <x:v>CI</x:v>
      </x:c>
      <x:c r="K973" s="174" t="n">
        <x:v>14</x:v>
      </x:c>
      <x:c r="L973" s="187" t="str">
        <x:v>Não classificado</x:v>
      </x:c>
    </x:row>
    <x:row r="974">
      <x:c r="A974" s="177" t="str">
        <x:v>45.019.040/0001-13</x:v>
      </x:c>
      <x:c r="B974" s="168" t="str">
        <x:v>AFL INVEST FUNDO DE INVESTIMENTO EM DIREITOS CREDITÓRIOS NÃO-PADRONIZADOS RESP LIMITADA</x:v>
      </x:c>
      <x:c r="C974" s="190" t="n">
        <x:v>119250481.19</x:v>
      </x:c>
      <x:c r="D974" s="168" t="str">
        <x:v>Bless Capital Gestora de Recursos Ltda.</x:v>
      </x:c>
      <x:c r="E974" s="168" t="str">
        <x:f>IFERROR(INDEX('Classif Gestoras'!$H$6:$H$462,MATCH(D974,'Classif Gestoras'!$A$6:$A$462,0)),"Não classificada")</x:f>
        <x:v>Independente</x:v>
      </x:c>
      <x:c r="F974" s="168" t="str">
        <x:v>ID Corretora de Títulos e Valores Mobiliários S.A.</x:v>
      </x:c>
      <x:c r="G974" s="168" t="str">
        <x:v>ID CORRETORA DE TITULOS E VALORES MOBILIARIOS S.A.</x:v>
      </x:c>
      <x:c r="H974" s="168" t="str">
        <x:v>Outros</x:v>
      </x:c>
      <x:c r="I974" s="168" t="str">
        <x:v>Multicarteira Outros</x:v>
      </x:c>
      <x:c r="J974" s="168" t="str">
        <x:v>CI</x:v>
      </x:c>
      <x:c r="K974" s="174" t="n">
        <x:v>4</x:v>
      </x:c>
      <x:c r="L974" s="187" t="str">
        <x:v>Proxy multicedente/multissacado — revisar</x:v>
      </x:c>
    </x:row>
    <x:row r="975">
      <x:c r="A975" s="177" t="str">
        <x:v>31.771.948/0001-74</x:v>
      </x:c>
      <x:c r="B975" s="168" t="str">
        <x:v>VLA FUNDO DE INVESTIMENTO EM DIREITOS CREDITORIOS - RESPONSABILIDADE LIMITADA</x:v>
      </x:c>
      <x:c r="C975" s="190" t="n">
        <x:v>119130794.8</x:v>
      </x:c>
      <x:c r="D975" s="168" t="str">
        <x:v>G5 Adm. de Recursos</x:v>
      </x:c>
      <x:c r="E975" s="168" t="str">
        <x:f>IFERROR(INDEX('Classif Gestoras'!$H$6:$H$462,MATCH(D975,'Classif Gestoras'!$A$6:$A$462,0)),"Não classificada")</x:f>
        <x:v>Independente</x:v>
      </x:c>
      <x:c r="F975" s="168" t="str">
        <x:v>Singulare</x:v>
      </x:c>
      <x:c r="G975" s="168" t="str">
        <x:v>QI CORRETORA DE TÍTULOS E VALORES MOBILIÁRIOS S.A.</x:v>
      </x:c>
      <x:c r="H975" s="168" t="str">
        <x:v>Agro, Indústria e Comércio</x:v>
      </x:c>
      <x:c r="I975" s="168" t="str">
        <x:v>Agronegócio</x:v>
      </x:c>
      <x:c r="J975" s="168" t="str">
        <x:v>CI</x:v>
      </x:c>
      <x:c r="K975" s="174" t="n">
        <x:v>4</x:v>
      </x:c>
      <x:c r="L975" s="187" t="str">
        <x:v>Não classificado</x:v>
      </x:c>
    </x:row>
    <x:row r="976">
      <x:c r="A976" s="177" t="str">
        <x:v>29.284.754/0001-00</x:v>
      </x:c>
      <x:c r="B976" s="168" t="str">
        <x:v>FUNDO DE INVESTIMENTO EM DIREITOS CREDITÓRIOS RIOJA</x:v>
      </x:c>
      <x:c r="C976" s="190" t="n">
        <x:v>119104081.40999998</x:v>
      </x:c>
      <x:c r="D976" s="168" t="str">
        <x:v>PLANNER CV</x:v>
      </x:c>
      <x:c r="E976" s="168" t="str">
        <x:f>IFERROR(INDEX('Classif Gestoras'!$H$6:$H$462,MATCH(D976,'Classif Gestoras'!$A$6:$A$462,0)),"Não classificada")</x:f>
        <x:v>Independente</x:v>
      </x:c>
      <x:c r="F976" s="168" t="str">
        <x:v>PLANNER CV</x:v>
      </x:c>
      <x:c r="G976" s="168" t="str">
        <x:v>PLANNER CORRETORA DE VALORES S.A.</x:v>
      </x:c>
      <x:c r="H976" s="168" t="str">
        <x:v>Outros</x:v>
      </x:c>
      <x:c r="I976" s="168" t="str">
        <x:v>Multicarteira Outros</x:v>
      </x:c>
      <x:c r="J976" s="168" t="str">
        <x:v>CI</x:v>
      </x:c>
      <x:c r="K976" s="174" t="n">
        <x:v>2</x:v>
      </x:c>
      <x:c r="L976" s="187" t="str">
        <x:v>Proxy multicedente/multissacado — revisar</x:v>
      </x:c>
    </x:row>
    <x:row r="977">
      <x:c r="A977" s="177" t="str">
        <x:v>40.698.790/0001-45</x:v>
      </x:c>
      <x:c r="B977" s="168" t="str">
        <x:v>BBA FINANCE FUNDO DE INVESTIMENTO EM DIREITOS CREDITÓRIOS</x:v>
      </x:c>
      <x:c r="C977" s="190" t="n">
        <x:v>119069986.87</x:v>
      </x:c>
      <x:c r="D977" s="168" t="str">
        <x:v>FigTree Capital</x:v>
      </x:c>
      <x:c r="E977" s="168" t="str">
        <x:f>IFERROR(INDEX('Classif Gestoras'!$H$6:$H$462,MATCH(D977,'Classif Gestoras'!$A$6:$A$462,0)),"Não classificada")</x:f>
        <x:v>Independente</x:v>
      </x:c>
      <x:c r="F977" s="168" t="str">
        <x:v>BRL TRUST DTVM</x:v>
      </x:c>
      <x:c r="G977" s="168" t="str">
        <x:v>BRL TRUST DISTRIBUIDORA DE TITULOS E VALORES MOBILIARIOS S.A.</x:v>
      </x:c>
      <x:c r="H977" s="168" t="str">
        <x:v>Outros</x:v>
      </x:c>
      <x:c r="I977" s="168" t="str">
        <x:v>Recuperação</x:v>
      </x:c>
      <x:c r="J977" s="168" t="str">
        <x:v>CI</x:v>
      </x:c>
      <x:c r="K977" s="174" t="n">
        <x:v>3</x:v>
      </x:c>
      <x:c r="L977" s="187" t="str">
        <x:v>Não classificado</x:v>
      </x:c>
    </x:row>
    <x:row r="978">
      <x:c r="A978" s="177" t="str">
        <x:v>63.615.626/0001-22</x:v>
      </x:c>
      <x:c r="B978" s="168" t="str">
        <x:v>GUARDIAN MULTI CONSIGNADO XV FUNDO DE INVESTIMENTO EM DIREITOS CREDITÓRIOS RESPONSABILIDADE LIMITADA</x:v>
      </x:c>
      <x:c r="C978" s="190" t="n">
        <x:v>119048174.1</x:v>
      </x:c>
      <x:c r="D978" s="168" t="str">
        <x:v>Guardian Crédito</x:v>
      </x:c>
      <x:c r="E978" s="168" t="str">
        <x:f>IFERROR(INDEX('Classif Gestoras'!$H$6:$H$462,MATCH(D978,'Classif Gestoras'!$A$6:$A$462,0)),"Não classificada")</x:f>
        <x:v>Independente</x:v>
      </x:c>
      <x:c r="F978" s="168" t="str">
        <x:v>BANCO DAYCOVAL S/A</x:v>
      </x:c>
      <x:c r="G978" s="168" t="str">
        <x:v>BANCO DAYCOVAL S.A.</x:v>
      </x:c>
      <x:c r="H978" s="168" t="str">
        <x:v>Financeiro</x:v>
      </x:c>
      <x:c r="I978" s="168" t="str">
        <x:v>Crédito Consignado</x:v>
      </x:c>
      <x:c r="J978" s="168" t="str">
        <x:v>CI</x:v>
      </x:c>
      <x:c r="K978" s="174" t="n">
        <x:v>4</x:v>
      </x:c>
      <x:c r="L978" s="187" t="str">
        <x:v>Não classificado</x:v>
      </x:c>
    </x:row>
    <x:row r="979">
      <x:c r="A979" s="177" t="str">
        <x:v>60.777.129/0001-32</x:v>
      </x:c>
      <x:c r="B979" s="168" t="str">
        <x:v>DIRECTCON FUNDO DE INVESTIMENTO DIREITOS CREDITÓRIOS DE RESPONSABILIDADE LIMITADA</x:v>
      </x:c>
      <x:c r="C979" s="190" t="n">
        <x:v>118966288.88</x:v>
      </x:c>
      <x:c r="D979" s="168" t="str">
        <x:v>Catálise Investimentos</x:v>
      </x:c>
      <x:c r="E979" s="168" t="str">
        <x:f>IFERROR(INDEX('Classif Gestoras'!$H$6:$H$462,MATCH(D979,'Classif Gestoras'!$A$6:$A$462,0)),"Não classificada")</x:f>
        <x:v>Independente</x:v>
      </x:c>
      <x:c r="F979" s="168" t="str">
        <x:v>BANCO DAYCOVAL S/A</x:v>
      </x:c>
      <x:c r="G979" s="168" t="str">
        <x:v>BANCO DAYCOVAL S.A.</x:v>
      </x:c>
      <x:c r="H979" s="168" t="str">
        <x:v>Outros</x:v>
      </x:c>
      <x:c r="I979" s="168" t="str">
        <x:v>Multicarteira Outros</x:v>
      </x:c>
      <x:c r="J979" s="168" t="str">
        <x:v>CI</x:v>
      </x:c>
      <x:c r="K979" s="174" t="n">
        <x:v>29</x:v>
      </x:c>
      <x:c r="L979" s="187" t="str">
        <x:v>Proxy multicedente/multissacado — revisar</x:v>
      </x:c>
    </x:row>
    <x:row r="980">
      <x:c r="A980" s="177" t="str">
        <x:v>37.036.039/0001-79</x:v>
      </x:c>
      <x:c r="B980" s="168" t="str">
        <x:v>GREEN LIFE ESG FUNDO DE INVESTIMENTO EM DIREITOS CREDITÓRIOS</x:v>
      </x:c>
      <x:c r="C980" s="190" t="n">
        <x:v>118924632.83</x:v>
      </x:c>
      <x:c r="D980" s="168" t="str">
        <x:v>VALORA RENDA FIXA LTDA.</x:v>
      </x:c>
      <x:c r="E980" s="168" t="str">
        <x:f>IFERROR(INDEX('Classif Gestoras'!$H$6:$H$462,MATCH(D980,'Classif Gestoras'!$A$6:$A$462,0)),"Não classificada")</x:f>
        <x:v>Independente</x:v>
      </x:c>
      <x:c r="F980" s="168" t="str">
        <x:v>Singulare</x:v>
      </x:c>
      <x:c r="G980" s="168" t="str">
        <x:v>QI CORRETORA DE TÍTULOS E VALORES MOBILIÁRIOS S.A.</x:v>
      </x:c>
      <x:c r="H980" s="168" t="str">
        <x:v>Agro, Indústria e Comércio</x:v>
      </x:c>
      <x:c r="I980" s="168" t="str">
        <x:v>Agronegócio</x:v>
      </x:c>
      <x:c r="J980" s="168" t="str">
        <x:v>CI</x:v>
      </x:c>
      <x:c r="K980" s="174" t="n">
        <x:v>1</x:v>
      </x:c>
      <x:c r="L980" s="187" t="str">
        <x:v>Não classificado</x:v>
      </x:c>
    </x:row>
    <x:row r="981">
      <x:c r="A981" s="177" t="str">
        <x:v>12.579.631/0001-96</x:v>
      </x:c>
      <x:c r="B981" s="168" t="str">
        <x:v>VINCI CRÉDITO E DESENVOLVIMENTO I - FI EM DIREITOS CREDITÓRIOS RESPONSABILIDADE LIMITADA</x:v>
      </x:c>
      <x:c r="C981" s="190" t="n">
        <x:v>118905866.97</x:v>
      </x:c>
      <x:c r="D981" s="168" t="str">
        <x:v>Vinci Capital</x:v>
      </x:c>
      <x:c r="E981" s="168" t="str">
        <x:f>IFERROR(INDEX('Classif Gestoras'!$H$6:$H$462,MATCH(D981,'Classif Gestoras'!$A$6:$A$462,0)),"Não classificada")</x:f>
        <x:v>Independente</x:v>
      </x:c>
      <x:c r="F981" s="168" t="str">
        <x:v>BTG Pactual Servicos Financeiros S/A DTVM</x:v>
      </x:c>
      <x:c r="G981" s="168" t="str">
        <x:v>BANCO BTG PACTUAL S/A</x:v>
      </x:c>
      <x:c r="H981" s="168" t="str">
        <x:v>Agro, Indústria e Comércio</x:v>
      </x:c>
      <x:c r="I981" s="168" t="str">
        <x:v>Infraestrutura</x:v>
      </x:c>
      <x:c r="J981" s="168" t="str">
        <x:v>CI</x:v>
      </x:c>
      <x:c r="K981" s="174" t="n">
        <x:v>77</x:v>
      </x:c>
      <x:c r="L981" s="187" t="str">
        <x:v>Não classificado</x:v>
      </x:c>
    </x:row>
    <x:row r="982">
      <x:c r="A982" s="177" t="str">
        <x:v>39.663.988/0001-04</x:v>
      </x:c>
      <x:c r="B982" s="168" t="str">
        <x:v>SPARK FUNDO DE INVESTIMENTO EM DIREITOS CREDITÓRIOS DE RESPONSABILIDADE LIMITADA</x:v>
      </x:c>
      <x:c r="C982" s="190" t="n">
        <x:v>118652477.41999996</x:v>
      </x:c>
      <x:c r="D982" s="168" t="str">
        <x:v>Milênio Capital</x:v>
      </x:c>
      <x:c r="E982" s="168" t="str">
        <x:f>IFERROR(INDEX('Classif Gestoras'!$H$6:$H$462,MATCH(D982,'Classif Gestoras'!$A$6:$A$462,0)),"Não classificada")</x:f>
        <x:v>Independente</x:v>
      </x:c>
      <x:c r="F982" s="168" t="str">
        <x:v>Singulare</x:v>
      </x:c>
      <x:c r="G982" s="168" t="str">
        <x:v>QI CORRETORA DE TÍTULOS E VALORES MOBILIÁRIOS S.A.</x:v>
      </x:c>
      <x:c r="H982" s="168" t="str">
        <x:v>Financeiro</x:v>
      </x:c>
      <x:c r="I982" s="168" t="str">
        <x:v>Crédito Consignado</x:v>
      </x:c>
      <x:c r="J982" s="168" t="str">
        <x:v>CI</x:v>
      </x:c>
      <x:c r="K982" s="174" t="n">
        <x:v>26</x:v>
      </x:c>
      <x:c r="L982" s="187" t="str">
        <x:v>Não classificado</x:v>
      </x:c>
    </x:row>
    <x:row r="983">
      <x:c r="A983" s="177" t="str">
        <x:v>46.191.210/0001-05</x:v>
      </x:c>
      <x:c r="B983" s="168" t="str">
        <x:v>SQUARE FUNDO DE INVESTIMENTO EM DIREITOS CREDITÓRIOS</x:v>
      </x:c>
      <x:c r="C983" s="190" t="n">
        <x:v>118481543.1</x:v>
      </x:c>
      <x:c r="D983" s="168" t="str">
        <x:v>TERCON ASSET MANAGEMENT</x:v>
      </x:c>
      <x:c r="E983" s="168" t="str">
        <x:f>IFERROR(INDEX('Classif Gestoras'!$H$6:$H$462,MATCH(D983,'Classif Gestoras'!$A$6:$A$462,0)),"Não classificada")</x:f>
        <x:v>Independente</x:v>
      </x:c>
      <x:c r="F983" s="168" t="str">
        <x:v>Limine Trust Distribuidora de Titulos e Valores Mobiliá</x:v>
      </x:c>
      <x:c r="G983" s="168" t="str">
        <x:v>LIMINE TRUST DISTRIBUIDORA DE TITULOS E VALORES MOBILIARIOS LTDA.</x:v>
      </x:c>
      <x:c r="H983" s="168" t="str">
        <x:v>Outros</x:v>
      </x:c>
      <x:c r="I983" s="168" t="str">
        <x:v>Multicarteira Outros</x:v>
      </x:c>
      <x:c r="J983" s="168" t="str">
        <x:v>CI</x:v>
      </x:c>
      <x:c r="K983" s="174" t="n">
        <x:v>7</x:v>
      </x:c>
      <x:c r="L983" s="187" t="str">
        <x:v>Proxy multicedente/multissacado — revisar</x:v>
      </x:c>
    </x:row>
    <x:row r="984">
      <x:c r="A984" s="177" t="str">
        <x:v>26.405.908/0001-79</x:v>
      </x:c>
      <x:c r="B984" s="168" t="str">
        <x:v>ZONDA - VX FUNDO DE INVESTIMENTO EM DIREITOS CREDITÓRIOS LP</x:v>
      </x:c>
      <x:c r="C984" s="190" t="n">
        <x:v>118442015.1</x:v>
      </x:c>
      <x:c r="D984" s="168" t="str">
        <x:v>AUGME CAPITAL GESTÃO DE RECURSOS LTDA.</x:v>
      </x:c>
      <x:c r="E984" s="168" t="str">
        <x:f>IFERROR(INDEX('Classif Gestoras'!$H$6:$H$462,MATCH(D984,'Classif Gestoras'!$A$6:$A$462,0)),"Não classificada")</x:f>
        <x:v>Independente</x:v>
      </x:c>
      <x:c r="F984" s="168" t="str">
        <x:v>BANCO DAYCOVAL S/A</x:v>
      </x:c>
      <x:c r="G984" s="168" t="str">
        <x:v>BANCO DAYCOVAL S.A.</x:v>
      </x:c>
      <x:c r="H984" s="168" t="str">
        <x:v>Outros</x:v>
      </x:c>
      <x:c r="I984" s="168" t="str">
        <x:v>Multicarteira Outros</x:v>
      </x:c>
      <x:c r="J984" s="168" t="str">
        <x:v>CI</x:v>
      </x:c>
      <x:c r="K984" s="174" t="n">
        <x:v>16</x:v>
      </x:c>
      <x:c r="L984" s="187" t="str">
        <x:v>Proxy multicedente/multissacado — revisar</x:v>
      </x:c>
    </x:row>
    <x:row r="985">
      <x:c r="A985" s="177" t="str">
        <x:v>26.756.123/0001-40</x:v>
      </x:c>
      <x:c r="B985" s="168" t="str">
        <x:v>BERGAMO FUNDO DE INVESTIMENTO EM DIREITOS CREDITÓRIOS</x:v>
      </x:c>
      <x:c r="C985" s="190" t="n">
        <x:v>118106475.73</x:v>
      </x:c>
      <x:c r="D985" s="168" t="str">
        <x:v>G5 Adm. de Recursos</x:v>
      </x:c>
      <x:c r="E985" s="168" t="str">
        <x:f>IFERROR(INDEX('Classif Gestoras'!$H$6:$H$462,MATCH(D985,'Classif Gestoras'!$A$6:$A$462,0)),"Não classificada")</x:f>
        <x:v>Independente</x:v>
      </x:c>
      <x:c r="F985" s="168" t="str">
        <x:v>Singulare</x:v>
      </x:c>
      <x:c r="G985" s="168" t="str">
        <x:v>QI CORRETORA DE TÍTULOS E VALORES MOBILIÁRIOS S.A.</x:v>
      </x:c>
      <x:c r="H985" s="168" t="str">
        <x:v>Fomento Mercantil</x:v>
      </x:c>
      <x:c r="I985" s="168" t="str">
        <x:v>Fomento Mercantil</x:v>
      </x:c>
      <x:c r="J985" s="168" t="str">
        <x:v>CI</x:v>
      </x:c>
      <x:c r="K985" s="174" t="n">
        <x:v>1</x:v>
      </x:c>
      <x:c r="L985" s="187" t="str">
        <x:v>Não classificado</x:v>
      </x:c>
    </x:row>
    <x:row r="986">
      <x:c r="A986" s="177" t="str">
        <x:v>40.366.022/0001-94</x:v>
      </x:c>
      <x:c r="B986" s="168" t="str">
        <x:v>MILLENNIUM FUNDO DE INVESTIMENTO EM DIREITOS CREDITÓRIOS RESPONSABILIDADE LIMITADA</x:v>
      </x:c>
      <x:c r="C986" s="190" t="n">
        <x:v>117926520.93</x:v>
      </x:c>
      <x:c r="D986" s="168" t="str">
        <x:v>BTG Pactual Asset</x:v>
      </x:c>
      <x:c r="E986" s="168" t="str">
        <x:f>IFERROR(INDEX('Classif Gestoras'!$H$6:$H$462,MATCH(D986,'Classif Gestoras'!$A$6:$A$462,0)),"Não classificada")</x:f>
        <x:v>Ligada a banco</x:v>
      </x:c>
      <x:c r="F986" s="168" t="str">
        <x:v>BTG Pactual Servicos Financeiros S/A DTVM</x:v>
      </x:c>
      <x:c r="G986" s="168" t="str">
        <x:v>BANCO BTG PACTUAL S/A</x:v>
      </x:c>
      <x:c r="H986" s="168" t="str">
        <x:v>Agro, Indústria e Comércio</x:v>
      </x:c>
      <x:c r="I986" s="168" t="str">
        <x:v>Recebíveis Comerciais</x:v>
      </x:c>
      <x:c r="J986" s="168" t="str">
        <x:v>CI</x:v>
      </x:c>
      <x:c r="K986" s="174" t="n">
        <x:v>1</x:v>
      </x:c>
      <x:c r="L986" s="187" t="str">
        <x:v>Não classificado</x:v>
      </x:c>
    </x:row>
    <x:row r="987">
      <x:c r="A987" s="177" t="str">
        <x:v>41.287.621/0001-85</x:v>
      </x:c>
      <x:c r="B987" s="168" t="str">
        <x:v>TRIPOLI NPL FUNDO DE INVESTIMENTO EM DIREITOS CREDITÓRIOS</x:v>
      </x:c>
      <x:c r="C987" s="190" t="n">
        <x:v>117588825.97</x:v>
      </x:c>
      <x:c r="D987" s="168" t="str">
        <x:v>F3 ROCK</x:v>
      </x:c>
      <x:c r="E987" s="168" t="str">
        <x:f>IFERROR(INDEX('Classif Gestoras'!$H$6:$H$462,MATCH(D987,'Classif Gestoras'!$A$6:$A$462,0)),"Não classificada")</x:f>
        <x:v>Independente</x:v>
      </x:c>
      <x:c r="F987" s="168" t="str">
        <x:v>VÓRTX DTVM</x:v>
      </x:c>
      <x:c r="G987" s="168" t="str">
        <x:v>VORTX DISTRIBUIDORA DE TITULOS E VALORES MOBILIARIOS LTDA.</x:v>
      </x:c>
      <x:c r="H987" s="168" t="str">
        <x:v>Financeiro</x:v>
      </x:c>
      <x:c r="I987" s="168" t="str">
        <x:v>Multicarteira Financeiro</x:v>
      </x:c>
      <x:c r="J987" s="168" t="str">
        <x:v>CI</x:v>
      </x:c>
      <x:c r="K987" s="174" t="n">
        <x:v>13</x:v>
      </x:c>
      <x:c r="L987" s="187" t="str">
        <x:v>Proxy multicedente/multissacado — revisar</x:v>
      </x:c>
    </x:row>
    <x:row r="988">
      <x:c r="A988" s="177" t="str">
        <x:v>26.545.451/0001-06</x:v>
      </x:c>
      <x:c r="B988" s="168" t="str">
        <x:v>FORNECEDORES BRASIL FUNDO DE INVESTIMENTO EM DIREITOS CREDITÓRIOS NÃO PADRONIZADO</x:v>
      </x:c>
      <x:c r="C988" s="190" t="n">
        <x:v>116909152.76</x:v>
      </x:c>
      <x:c r="D988" s="168" t="str">
        <x:v>Rio das Pedras Investimentos</x:v>
      </x:c>
      <x:c r="E988" s="168" t="str">
        <x:f>IFERROR(INDEX('Classif Gestoras'!$H$6:$H$462,MATCH(D988,'Classif Gestoras'!$A$6:$A$462,0)),"Não classificada")</x:f>
        <x:v>Independente</x:v>
      </x:c>
      <x:c r="F988" s="168" t="str">
        <x:v>Singulare</x:v>
      </x:c>
      <x:c r="G988" s="168" t="str">
        <x:v>QI CORRETORA DE TÍTULOS E VALORES MOBILIÁRIOS S.A.</x:v>
      </x:c>
      <x:c r="H988" s="168" t="str">
        <x:v>Fomento Mercantil</x:v>
      </x:c>
      <x:c r="I988" s="168" t="str">
        <x:v>Fomento Mercantil</x:v>
      </x:c>
      <x:c r="J988" s="168" t="str">
        <x:v>CI</x:v>
      </x:c>
      <x:c r="K988" s="174" t="n">
        <x:v>4</x:v>
      </x:c>
      <x:c r="L988" s="187" t="str">
        <x:v>Não classificado</x:v>
      </x:c>
    </x:row>
    <x:row r="989">
      <x:c r="A989" s="177" t="str">
        <x:v>57.400.405/0001-34</x:v>
      </x:c>
      <x:c r="B989" s="168" t="str">
        <x:v>SPECIAL SITUATIONS IV FUNDO DE INVESTIMENTO EM DIREITOS CREDITÓRIOS - RESPONSABILIDADE LIMITADA</x:v>
      </x:c>
      <x:c r="C989" s="190" t="n">
        <x:v>116575886.02117002</x:v>
      </x:c>
      <x:c r="D989" s="168" t="str">
        <x:v>ROOT CAPITAL</x:v>
      </x:c>
      <x:c r="E989" s="168" t="str">
        <x:f>IFERROR(INDEX('Classif Gestoras'!$H$6:$H$462,MATCH(D989,'Classif Gestoras'!$A$6:$A$462,0)),"Não classificada")</x:f>
        <x:v>Independente</x:v>
      </x:c>
      <x:c r="F989" s="168" t="str">
        <x:v>BNY MELLON SERVICOS</x:v>
      </x:c>
      <x:c r="G989" s="168" t="str">
        <x:v>Não identificado</x:v>
      </x:c>
      <x:c r="H989" s="168" t="str">
        <x:v>Outros</x:v>
      </x:c>
      <x:c r="I989" s="168" t="str">
        <x:v>Multicarteira Outros</x:v>
      </x:c>
      <x:c r="J989" s="168" t="str">
        <x:v>CI</x:v>
      </x:c>
      <x:c r="K989" s="174" t="n">
        <x:v>165</x:v>
      </x:c>
      <x:c r="L989" s="187" t="str">
        <x:v>Proxy multicedente/multissacado — revisar</x:v>
      </x:c>
    </x:row>
    <x:row r="990">
      <x:c r="A990" s="177" t="str">
        <x:v>09.137.729/0001-89</x:v>
      </x:c>
      <x:c r="B990" s="168" t="str">
        <x:v>MULTI RECEBÍVEIS II FUNDO DE INVESTIMENTO EM DIREITOS CREDITÓRIOS MULTISEGMENTOS</x:v>
      </x:c>
      <x:c r="C990" s="190" t="n">
        <x:v>116540338.95</x:v>
      </x:c>
      <x:c r="D990" s="168" t="str">
        <x:v>Petra Capital</x:v>
      </x:c>
      <x:c r="E990" s="168" t="str">
        <x:f>IFERROR(INDEX('Classif Gestoras'!$H$6:$H$462,MATCH(D990,'Classif Gestoras'!$A$6:$A$462,0)),"Não classificada")</x:f>
        <x:v>Independente</x:v>
      </x:c>
      <x:c r="F990" s="168" t="str">
        <x:v>Finaxis Corretora de Títulos e Valores Mobiliários S.A.</x:v>
      </x:c>
      <x:c r="G990" s="168" t="str">
        <x:v>BANCO FINAXIS S.A.</x:v>
      </x:c>
      <x:c r="H990" s="168" t="str">
        <x:v>Fomento Mercantil</x:v>
      </x:c>
      <x:c r="I990" s="168" t="str">
        <x:v>Fomento Mercantil</x:v>
      </x:c>
      <x:c r="J990" s="168" t="str">
        <x:v>CI</x:v>
      </x:c>
      <x:c r="K990" s="174" t="n">
        <x:v>78</x:v>
      </x:c>
      <x:c r="L990" s="187" t="str">
        <x:v>Não classificado</x:v>
      </x:c>
    </x:row>
    <x:row r="991">
      <x:c r="A991" s="177" t="str">
        <x:v>50.653.601/0001-71</x:v>
      </x:c>
      <x:c r="B991" s="168" t="str">
        <x:v>CNPJ 50653601000171</x:v>
      </x:c>
      <x:c r="C991" s="190" t="n">
        <x:v>116440068.45</x:v>
      </x:c>
      <x:c r="D991" s="168" t="str">
        <x:v>Eco Gestão de Ativos LTDA.</x:v>
      </x:c>
      <x:c r="E991" s="168" t="str">
        <x:f>IFERROR(INDEX('Classif Gestoras'!$H$6:$H$462,MATCH(D991,'Classif Gestoras'!$A$6:$A$462,0)),"Não classificada")</x:f>
        <x:v>Independente</x:v>
      </x:c>
      <x:c r="F991" s="168" t="str">
        <x:v>BANCO DAYCOVAL S/A</x:v>
      </x:c>
      <x:c r="G991" s="168" t="str">
        <x:v>Não identificado</x:v>
      </x:c>
      <x:c r="H991" s="168" t="str">
        <x:v>Agro, Indústria e Comércio</x:v>
      </x:c>
      <x:c r="I991" s="168" t="str">
        <x:v>Multicarteira Agro, Indústria e Comércio</x:v>
      </x:c>
      <x:c r="J991" s="168" t="str">
        <x:v>CI</x:v>
      </x:c>
      <x:c r="K991" s="174"/>
      <x:c r="L991" s="187" t="str">
        <x:v>Proxy multicedente/multissacado — revisar</x:v>
      </x:c>
    </x:row>
    <x:row r="992">
      <x:c r="A992" s="177" t="str">
        <x:v>20.764.347/0001-18</x:v>
      </x:c>
      <x:c r="B992" s="168" t="str">
        <x:v>FUNDO DE INVESTIMENTO EM DIREITOS CREDITÓRIOS NÃO PADRONIZADOS CERES</x:v>
      </x:c>
      <x:c r="C992" s="190" t="n">
        <x:v>116297247.07</x:v>
      </x:c>
      <x:c r="D992" s="168" t="str">
        <x:v>Veritas Capital Management</x:v>
      </x:c>
      <x:c r="E992" s="168" t="str">
        <x:f>IFERROR(INDEX('Classif Gestoras'!$H$6:$H$462,MATCH(D992,'Classif Gestoras'!$A$6:$A$462,0)),"Não classificada")</x:f>
        <x:v>Independente</x:v>
      </x:c>
      <x:c r="F992" s="168" t="str">
        <x:v>PLANNER CV</x:v>
      </x:c>
      <x:c r="G992" s="168" t="str">
        <x:v>PLANNER CORRETORA DE VALORES S.A.</x:v>
      </x:c>
      <x:c r="H992" s="168" t="str">
        <x:v>Outros</x:v>
      </x:c>
      <x:c r="I992" s="168" t="str">
        <x:v>Multicarteira Outros</x:v>
      </x:c>
      <x:c r="J992" s="168" t="str">
        <x:v>CI</x:v>
      </x:c>
      <x:c r="K992" s="174" t="n">
        <x:v>1</x:v>
      </x:c>
      <x:c r="L992" s="187" t="str">
        <x:v>Proxy multicedente/multissacado — revisar</x:v>
      </x:c>
    </x:row>
    <x:row r="993">
      <x:c r="A993" s="177" t="str">
        <x:v>40.054.854/0001-75</x:v>
      </x:c>
      <x:c r="B993" s="168" t="str">
        <x:v>SALEM II CRÉDITOS JUDICIAIS FUNDO DE INVESTIMENTO EM DIREITOS CREDITÓRIOS</x:v>
      </x:c>
      <x:c r="C993" s="190" t="n">
        <x:v>116261864.14480002</x:v>
      </x:c>
      <x:c r="D993" s="168" t="str">
        <x:v>LASS CAPITAL</x:v>
      </x:c>
      <x:c r="E993" s="168" t="str">
        <x:f>IFERROR(INDEX('Classif Gestoras'!$H$6:$H$462,MATCH(D993,'Classif Gestoras'!$A$6:$A$462,0)),"Não classificada")</x:f>
        <x:v>Independente</x:v>
      </x:c>
      <x:c r="F993" s="168" t="str">
        <x:v>BTG Pactual Servicos Financeiros S/A DTVM</x:v>
      </x:c>
      <x:c r="G993" s="168" t="str">
        <x:v>BANCO BTG PACTUAL S/A</x:v>
      </x:c>
      <x:c r="H993" s="168" t="str">
        <x:v>Outros</x:v>
      </x:c>
      <x:c r="I993" s="168" t="str">
        <x:v>Multicarteira Outros</x:v>
      </x:c>
      <x:c r="J993" s="168" t="str">
        <x:v>CI</x:v>
      </x:c>
      <x:c r="K993" s="174" t="n">
        <x:v>4</x:v>
      </x:c>
      <x:c r="L993" s="187" t="str">
        <x:v>Proxy multicedente/multissacado — revisar</x:v>
      </x:c>
    </x:row>
    <x:row r="994">
      <x:c r="A994" s="177" t="str">
        <x:v>41.755.684/0001-19</x:v>
      </x:c>
      <x:c r="B994" s="168" t="str">
        <x:v>TRAÇADO FUNDO DE INVESTIMENTO EM DIREITOS CREDITÓRIOS RESPONSABILIDADE LIMITADA</x:v>
      </x:c>
      <x:c r="C994" s="190" t="n">
        <x:v>116052442.65</x:v>
      </x:c>
      <x:c r="D994" s="168" t="str">
        <x:v>KP GESTÃO DE RECURSOS LTDA.</x:v>
      </x:c>
      <x:c r="E994" s="168" t="str">
        <x:f>IFERROR(INDEX('Classif Gestoras'!$H$6:$H$462,MATCH(D994,'Classif Gestoras'!$A$6:$A$462,0)),"Não classificada")</x:f>
        <x:v>Independente</x:v>
      </x:c>
      <x:c r="F994" s="168" t="str">
        <x:v>PLANNER CV</x:v>
      </x:c>
      <x:c r="G994" s="168" t="str">
        <x:v>PLANNER CORRETORA DE VALORES S.A.</x:v>
      </x:c>
      <x:c r="H994" s="168" t="str">
        <x:v>Outros</x:v>
      </x:c>
      <x:c r="I994" s="168" t="str">
        <x:v>Multicarteira Outros</x:v>
      </x:c>
      <x:c r="J994" s="168" t="str">
        <x:v>CI</x:v>
      </x:c>
      <x:c r="K994" s="174" t="n">
        <x:v>7</x:v>
      </x:c>
      <x:c r="L994" s="187" t="str">
        <x:v>Proxy multicedente/multissacado — revisar</x:v>
      </x:c>
    </x:row>
    <x:row r="995">
      <x:c r="A995" s="177" t="str">
        <x:v>56.006.031/0001-04</x:v>
      </x:c>
      <x:c r="B995" s="168" t="str">
        <x:v>HOME EQUITY MULTI FUNDO DE INVESTIMENTO EM DIREITOS CREDITÓRIOS RESPONSABILIDADE LIMITADA</x:v>
      </x:c>
      <x:c r="C995" s="190" t="n">
        <x:v>115974957.46</x:v>
      </x:c>
      <x:c r="D995" s="168" t="str">
        <x:v>HSI Gestora de Ativos Financeiros Ltda.</x:v>
      </x:c>
      <x:c r="E995" s="168" t="str">
        <x:f>IFERROR(INDEX('Classif Gestoras'!$H$6:$H$462,MATCH(D995,'Classif Gestoras'!$A$6:$A$462,0)),"Não classificada")</x:f>
        <x:v>Independente</x:v>
      </x:c>
      <x:c r="F995" s="168" t="str">
        <x:v>Oliveira Trust DTVM</x:v>
      </x:c>
      <x:c r="G995" s="168" t="str">
        <x:v>OLIVEIRA TRUST DTVM S.A.</x:v>
      </x:c>
      <x:c r="H995" s="168" t="str">
        <x:v>Financeiro</x:v>
      </x:c>
      <x:c r="I995" s="168" t="str">
        <x:v>Crédito Imobiliário</x:v>
      </x:c>
      <x:c r="J995" s="168" t="str">
        <x:v>CI</x:v>
      </x:c>
      <x:c r="K995" s="174" t="n">
        <x:v>1</x:v>
      </x:c>
      <x:c r="L995" s="187" t="str">
        <x:v>Não classificado</x:v>
      </x:c>
    </x:row>
    <x:row r="996">
      <x:c r="A996" s="177" t="str">
        <x:v>59.309.090/0001-40</x:v>
      </x:c>
      <x:c r="B996" s="168" t="str">
        <x:v>FIDC MULTISEGMENTOS NPL IPANEMA X RESP LIMITADA</x:v>
      </x:c>
      <x:c r="C996" s="190" t="n">
        <x:v>115840668.44</x:v>
      </x:c>
      <x:c r="D996" s="168" t="str">
        <x:v>BRL TRUST DTVM</x:v>
      </x:c>
      <x:c r="E996" s="168" t="str">
        <x:f>IFERROR(INDEX('Classif Gestoras'!$H$6:$H$462,MATCH(D996,'Classif Gestoras'!$A$6:$A$462,0)),"Não classificada")</x:f>
        <x:v>Independente</x:v>
      </x:c>
      <x:c r="F996" s="168" t="str">
        <x:v>BRL TRUST DTVM</x:v>
      </x:c>
      <x:c r="G996" s="168" t="str">
        <x:v>BRL TRUST DISTRIBUIDORA DE TITULOS E VALORES MOBILIARIOS S.A.</x:v>
      </x:c>
      <x:c r="H996" s="168" t="str">
        <x:v>Outros</x:v>
      </x:c>
      <x:c r="I996" s="168" t="str">
        <x:v>Multicarteira Outros</x:v>
      </x:c>
      <x:c r="J996" s="168" t="str">
        <x:v>CI</x:v>
      </x:c>
      <x:c r="K996" s="174" t="n">
        <x:v>2</x:v>
      </x:c>
      <x:c r="L996" s="187" t="str">
        <x:v>Proxy multicedente/multissacado — revisar</x:v>
      </x:c>
    </x:row>
    <x:row r="997">
      <x:c r="A997" s="177" t="str">
        <x:v>56.028.964/0001-00</x:v>
      </x:c>
      <x:c r="B997" s="168" t="str">
        <x:v>AURÃ FUNDO DE INVESTIMENTO EM DIREITOS CREDITÓRIOS</x:v>
      </x:c>
      <x:c r="C997" s="190" t="n">
        <x:v>115383567.81</x:v>
      </x:c>
      <x:c r="D997" s="168" t="str">
        <x:v>SECURITY ADMINISTRAD</x:v>
      </x:c>
      <x:c r="E997" s="168" t="str">
        <x:f>IFERROR(INDEX('Classif Gestoras'!$H$6:$H$462,MATCH(D997,'Classif Gestoras'!$A$6:$A$462,0)),"Não classificada")</x:f>
        <x:v>Independente</x:v>
      </x:c>
      <x:c r="F997" s="168" t="str">
        <x:v>PLANNER CV</x:v>
      </x:c>
      <x:c r="G997" s="168" t="str">
        <x:v>PLANNER CORRETORA DE VALORES S.A.</x:v>
      </x:c>
      <x:c r="H997" s="168" t="str">
        <x:v>Outros</x:v>
      </x:c>
      <x:c r="I997" s="168" t="str">
        <x:v>Multicarteira Outros</x:v>
      </x:c>
      <x:c r="J997" s="168" t="str">
        <x:v>CI</x:v>
      </x:c>
      <x:c r="K997" s="174" t="n">
        <x:v>1</x:v>
      </x:c>
      <x:c r="L997" s="187" t="str">
        <x:v>Proxy multicedente/multissacado — revisar</x:v>
      </x:c>
    </x:row>
    <x:row r="998">
      <x:c r="A998" s="177" t="str">
        <x:v>53.908.944/0001-28</x:v>
      </x:c>
      <x:c r="B998" s="168" t="str">
        <x:v>CHIMERA ALTERNATIVE ASSETS VI FUNDO DE INVESTIMENTO EM DIREITOS CREDITÓRIOS</x:v>
      </x:c>
      <x:c r="C998" s="190" t="n">
        <x:v>115332444.04</x:v>
      </x:c>
      <x:c r="D998" s="168" t="str">
        <x:v>Chimera Capital Asset Management Ltda.</x:v>
      </x:c>
      <x:c r="E998" s="168" t="str">
        <x:f>IFERROR(INDEX('Classif Gestoras'!$H$6:$H$462,MATCH(D998,'Classif Gestoras'!$A$6:$A$462,0)),"Não classificada")</x:f>
        <x:v>Independente</x:v>
      </x:c>
      <x:c r="F998" s="168" t="str">
        <x:v>VÓRTX DTVM</x:v>
      </x:c>
      <x:c r="G998" s="168" t="str">
        <x:v>VORTX DISTRIBUIDORA DE TITULOS E VALORES MOBILIARIOS LTDA.</x:v>
      </x:c>
      <x:c r="H998" s="168" t="str">
        <x:v>Outros</x:v>
      </x:c>
      <x:c r="I998" s="168" t="str">
        <x:v>Multicarteira Outros</x:v>
      </x:c>
      <x:c r="J998" s="168" t="str">
        <x:v>CI</x:v>
      </x:c>
      <x:c r="K998" s="174" t="n">
        <x:v>70</x:v>
      </x:c>
      <x:c r="L998" s="187" t="str">
        <x:v>Proxy multicedente/multissacado — revisar</x:v>
      </x:c>
    </x:row>
    <x:row r="999">
      <x:c r="A999" s="177" t="str">
        <x:v>43.181.488/0001-03</x:v>
      </x:c>
      <x:c r="B999" s="168" t="str">
        <x:v>TOPCRED FUNDO DE INVESTIMENTO EM DIREITOS CREDITÓRIOS RESPONSABILIDADE LIMITADA</x:v>
      </x:c>
      <x:c r="C999" s="190" t="n">
        <x:v>115142106.85</x:v>
      </x:c>
      <x:c r="D999" s="168" t="str">
        <x:v>Catálise Investimentos</x:v>
      </x:c>
      <x:c r="E999" s="168" t="str">
        <x:f>IFERROR(INDEX('Classif Gestoras'!$H$6:$H$462,MATCH(D999,'Classif Gestoras'!$A$6:$A$462,0)),"Não classificada")</x:f>
        <x:v>Independente</x:v>
      </x:c>
      <x:c r="F999" s="168" t="str">
        <x:v>BANCO DAYCOVAL S/A</x:v>
      </x:c>
      <x:c r="G999" s="168" t="str">
        <x:v>BANCO DAYCOVAL S.A.</x:v>
      </x:c>
      <x:c r="H999" s="168" t="str">
        <x:v>Outros</x:v>
      </x:c>
      <x:c r="I999" s="168" t="str">
        <x:v>Multicarteira Outros</x:v>
      </x:c>
      <x:c r="J999" s="168" t="str">
        <x:v>CI</x:v>
      </x:c>
      <x:c r="K999" s="174" t="n">
        <x:v>40</x:v>
      </x:c>
      <x:c r="L999" s="187" t="str">
        <x:v>Proxy multicedente/multissacado — revisar</x:v>
      </x:c>
    </x:row>
    <x:row r="1000">
      <x:c r="A1000" s="177" t="str">
        <x:v>59.682.007/0001-83</x:v>
      </x:c>
      <x:c r="B1000" s="168" t="str">
        <x:v>HB FUNDO DE INVESTIMENTO EM DIREITOS CREDITÓRIOS DE RESPONSABILIDADE LIMITADA</x:v>
      </x:c>
      <x:c r="C1000" s="190" t="n">
        <x:v>115059990.10999998</x:v>
      </x:c>
      <x:c r="D1000" s="168" t="str">
        <x:v>Catálise Investimentos</x:v>
      </x:c>
      <x:c r="E1000" s="168" t="str">
        <x:f>IFERROR(INDEX('Classif Gestoras'!$H$6:$H$462,MATCH(D1000,'Classif Gestoras'!$A$6:$A$462,0)),"Não classificada")</x:f>
        <x:v>Independente</x:v>
      </x:c>
      <x:c r="F1000" s="168" t="str">
        <x:v>CATÁLISE DTVM</x:v>
      </x:c>
      <x:c r="G1000" s="168" t="str">
        <x:v>BANCO DAYCOVAL S.A.</x:v>
      </x:c>
      <x:c r="H1000" s="168" t="str">
        <x:v>Agro, Indústria e Comércio</x:v>
      </x:c>
      <x:c r="I1000" s="168" t="str">
        <x:v>Multicarteira Agro, Indústria e Comércio</x:v>
      </x:c>
      <x:c r="J1000" s="168" t="str">
        <x:v>CI</x:v>
      </x:c>
      <x:c r="K1000" s="174" t="n">
        <x:v>1</x:v>
      </x:c>
      <x:c r="L1000" s="187" t="str">
        <x:v>Proxy multicedente/multissacado — revisar</x:v>
      </x:c>
    </x:row>
    <x:row r="1001">
      <x:c r="A1001" s="177" t="str">
        <x:v>07.383.363/0001-00</x:v>
      </x:c>
      <x:c r="B1001" s="168" t="str">
        <x:v>RIVO FUNDO DE INVESTIMENTO EM DIREITOS CREDITÓRIOS</x:v>
      </x:c>
      <x:c r="C1001" s="190" t="n">
        <x:v>114994159.63</x:v>
      </x:c>
      <x:c r="D1001" s="168" t="str">
        <x:v>ANTHARUS GESTORA DE RECURSOS LTDA</x:v>
      </x:c>
      <x:c r="E1001" s="168" t="str">
        <x:f>IFERROR(INDEX('Classif Gestoras'!$H$6:$H$462,MATCH(D1001,'Classif Gestoras'!$A$6:$A$462,0)),"Não classificada")</x:f>
        <x:v>Independente</x:v>
      </x:c>
      <x:c r="F1001" s="168" t="str">
        <x:v>HEMERA DTVM</x:v>
      </x:c>
      <x:c r="G1001" s="168" t="str">
        <x:v>HEMERA DISTRIBUIDORA DE TITULOS E VALORES MOBILIARIOS LTDA</x:v>
      </x:c>
      <x:c r="H1001" s="168" t="str">
        <x:v>Outros</x:v>
      </x:c>
      <x:c r="I1001" s="168" t="str">
        <x:v>Multicarteira Outros</x:v>
      </x:c>
      <x:c r="J1001" s="168" t="str">
        <x:v>CI</x:v>
      </x:c>
      <x:c r="K1001" s="174" t="n">
        <x:v>158</x:v>
      </x:c>
      <x:c r="L1001" s="187" t="str">
        <x:v>Proxy multicedente/multissacado — revisar</x:v>
      </x:c>
    </x:row>
    <x:row r="1002">
      <x:c r="A1002" s="177" t="str">
        <x:v>60.006.903/0001-01</x:v>
      </x:c>
      <x:c r="B1002" s="168" t="str">
        <x:v>AGROJIVE I FUNDO DE INVESTIMENTO EM DIREITOS CREDITÓRIOS SEGMENTO AGRONEGÓCIO - RESP LIMITADA</x:v>
      </x:c>
      <x:c r="C1002" s="190" t="n">
        <x:v>114580369.76999998</x:v>
      </x:c>
      <x:c r="D1002" s="168" t="str">
        <x:v>JIVE INVESTMENTS</x:v>
      </x:c>
      <x:c r="E1002" s="168" t="str">
        <x:f>IFERROR(INDEX('Classif Gestoras'!$H$6:$H$462,MATCH(D1002,'Classif Gestoras'!$A$6:$A$462,0)),"Não classificada")</x:f>
        <x:v>Independente</x:v>
      </x:c>
      <x:c r="F1002" s="168" t="str">
        <x:v>BRL TRUST DTVM</x:v>
      </x:c>
      <x:c r="G1002" s="168" t="str">
        <x:v>BRL TRUST DISTRIBUIDORA DE TITULOS E VALORES MOBILIARIOS S.A.</x:v>
      </x:c>
      <x:c r="H1002" s="168" t="str">
        <x:v>Agro, Indústria e Comércio</x:v>
      </x:c>
      <x:c r="I1002" s="168" t="str">
        <x:v>Agronegócio</x:v>
      </x:c>
      <x:c r="J1002" s="168" t="str">
        <x:v>CI</x:v>
      </x:c>
      <x:c r="K1002" s="174" t="n">
        <x:v>346</x:v>
      </x:c>
      <x:c r="L1002" s="187" t="str">
        <x:v>Não classificado</x:v>
      </x:c>
    </x:row>
    <x:row r="1003">
      <x:c r="A1003" s="177" t="str">
        <x:v>46.231.905/0001-73</x:v>
      </x:c>
      <x:c r="B1003" s="168" t="str">
        <x:v>VAIL II PRECATÓRIO FUNDO DE INVESTIMENTO EM DIREITOS CREDITÓRIOS NÃO PADRONIZADO</x:v>
      </x:c>
      <x:c r="C1003" s="190" t="n">
        <x:v>114367794.35</x:v>
      </x:c>
      <x:c r="D1003" s="168" t="str">
        <x:v>Patrimonial Gestão</x:v>
      </x:c>
      <x:c r="E1003" s="168" t="str">
        <x:f>IFERROR(INDEX('Classif Gestoras'!$H$6:$H$462,MATCH(D1003,'Classif Gestoras'!$A$6:$A$462,0)),"Não classificada")</x:f>
        <x:v>Independente</x:v>
      </x:c>
      <x:c r="F1003" s="168" t="str">
        <x:v>Singulare</x:v>
      </x:c>
      <x:c r="G1003" s="168" t="str">
        <x:v>QI CORRETORA DE TÍTULOS E VALORES MOBILIÁRIOS S.A.</x:v>
      </x:c>
      <x:c r="H1003" s="168" t="str">
        <x:v>Outros</x:v>
      </x:c>
      <x:c r="I1003" s="168" t="str">
        <x:v>Poder Público</x:v>
      </x:c>
      <x:c r="J1003" s="168" t="str">
        <x:v>CI</x:v>
      </x:c>
      <x:c r="K1003" s="174" t="n">
        <x:v>97</x:v>
      </x:c>
      <x:c r="L1003" s="187" t="str">
        <x:v>Não classificado</x:v>
      </x:c>
    </x:row>
    <x:row r="1004">
      <x:c r="A1004" s="177" t="str">
        <x:v>36.643.621/0001-30</x:v>
      </x:c>
      <x:c r="B1004" s="168" t="str">
        <x:v>FUNDO DE INVESTIMENTO EM DIREITOS CREDITÓRIOS TRINDADE - RESPONSABILIDADE LIMITADA</x:v>
      </x:c>
      <x:c r="C1004" s="190" t="n">
        <x:v>114291072.93</x:v>
      </x:c>
      <x:c r="D1004" s="168" t="str">
        <x:v>Phronesis Invest.</x:v>
      </x:c>
      <x:c r="E1004" s="168" t="str">
        <x:f>IFERROR(INDEX('Classif Gestoras'!$H$6:$H$462,MATCH(D1004,'Classif Gestoras'!$A$6:$A$462,0)),"Não classificada")</x:f>
        <x:v>Independente</x:v>
      </x:c>
      <x:c r="F1004" s="168" t="str">
        <x:v>BRL TRUST DTVM</x:v>
      </x:c>
      <x:c r="G1004" s="168" t="str">
        <x:v>BRL TRUST DISTRIBUIDORA DE TITULOS E VALORES MOBILIARIOS S.A.</x:v>
      </x:c>
      <x:c r="H1004" s="168" t="str">
        <x:v>Outros</x:v>
      </x:c>
      <x:c r="I1004" s="168" t="str">
        <x:v>Multicarteira Outros</x:v>
      </x:c>
      <x:c r="J1004" s="168" t="str">
        <x:v>CI</x:v>
      </x:c>
      <x:c r="K1004" s="174" t="n">
        <x:v>1</x:v>
      </x:c>
      <x:c r="L1004" s="187" t="str">
        <x:v>Proxy multicedente/multissacado — revisar</x:v>
      </x:c>
    </x:row>
    <x:row r="1005">
      <x:c r="A1005" s="177" t="str">
        <x:v>57.283.589/0001-08</x:v>
      </x:c>
      <x:c r="B1005" s="168" t="str">
        <x:v>AXIOS NPL FUNDO DE INVESTIMENTO EM DIREITOS CREDITÓRIOS RESPONSABILIDADE LIMITADA</x:v>
      </x:c>
      <x:c r="C1005" s="190" t="n">
        <x:v>113986383.5</x:v>
      </x:c>
      <x:c r="D1005" s="168" t="str">
        <x:v>Iron Capital</x:v>
      </x:c>
      <x:c r="E1005" s="168" t="str">
        <x:f>IFERROR(INDEX('Classif Gestoras'!$H$6:$H$462,MATCH(D1005,'Classif Gestoras'!$A$6:$A$462,0)),"Não classificada")</x:f>
        <x:v>Independente</x:v>
      </x:c>
      <x:c r="F1005" s="168" t="str">
        <x:v>VÓRTX DTVM</x:v>
      </x:c>
      <x:c r="G1005" s="168" t="str">
        <x:v>VORTX DISTRIBUIDORA DE TITULOS E VALORES MOBILIARIOS LTDA.</x:v>
      </x:c>
      <x:c r="H1005" s="168" t="str">
        <x:v>Outros</x:v>
      </x:c>
      <x:c r="I1005" s="168" t="str">
        <x:v>Multicarteira Outros</x:v>
      </x:c>
      <x:c r="J1005" s="168" t="str">
        <x:v>CI</x:v>
      </x:c>
      <x:c r="K1005" s="174" t="n">
        <x:v>103</x:v>
      </x:c>
      <x:c r="L1005" s="187" t="str">
        <x:v>Proxy multicedente/multissacado — revisar</x:v>
      </x:c>
    </x:row>
    <x:row r="1006">
      <x:c r="A1006" s="177" t="str">
        <x:v>61.292.200/0001-50</x:v>
      </x:c>
      <x:c r="B1006" s="168" t="str">
        <x:v>FUNDO DE INVESTIMENTO EM DIREITOS CREDITÓRIOS ASAAS III - RESPONSABILIDADE LIMITADA</x:v>
      </x:c>
      <x:c r="C1006" s="190" t="n">
        <x:v>113915167.19</x:v>
      </x:c>
      <x:c r="D1006" s="168" t="str">
        <x:v>Kanastra</x:v>
      </x:c>
      <x:c r="E1006" s="168" t="str">
        <x:f>IFERROR(INDEX('Classif Gestoras'!$H$6:$H$462,MATCH(D1006,'Classif Gestoras'!$A$6:$A$462,0)),"Não classificada")</x:f>
        <x:v>Independente</x:v>
      </x:c>
      <x:c r="F1006" s="168" t="str">
        <x:v>Limine Trust Distribuidora de Titulos e Valores Mobiliá</x:v>
      </x:c>
      <x:c r="G1006" s="168" t="str">
        <x:v>LIMINE TRUST DISTRIBUIDORA DE TITULOS E VALORES MOBILIARIOS LTDA.</x:v>
      </x:c>
      <x:c r="H1006" s="168" t="str">
        <x:v>Agro, Indústria e Comércio</x:v>
      </x:c>
      <x:c r="I1006" s="168" t="str">
        <x:v>Recebíveis Comerciais</x:v>
      </x:c>
      <x:c r="J1006" s="168" t="str">
        <x:v>CI</x:v>
      </x:c>
      <x:c r="K1006" s="174" t="n">
        <x:v>27</x:v>
      </x:c>
      <x:c r="L1006" s="187" t="str">
        <x:v>Não classificado</x:v>
      </x:c>
    </x:row>
    <x:row r="1007">
      <x:c r="A1007" s="177" t="str">
        <x:v>31.216.568/0001-78</x:v>
      </x:c>
      <x:c r="B1007" s="168" t="str">
        <x:v>FUNDO DE INVESTIMENTO EM DIREITOS CREDITÓRIOS XPCE SECURITIZAÇÃO</x:v>
      </x:c>
      <x:c r="C1007" s="190" t="n">
        <x:v>113577531.35</x:v>
      </x:c>
      <x:c r="D1007" s="168" t="str">
        <x:v>Vista Real Estate</x:v>
      </x:c>
      <x:c r="E1007" s="168" t="str">
        <x:f>IFERROR(INDEX('Classif Gestoras'!$H$6:$H$462,MATCH(D1007,'Classif Gestoras'!$A$6:$A$462,0)),"Não classificada")</x:f>
        <x:v>Independente</x:v>
      </x:c>
      <x:c r="F1007" s="168" t="str">
        <x:v>XPI CCTVM S/A</x:v>
      </x:c>
      <x:c r="G1007" s="168" t="str">
        <x:v>OLIVEIRA TRUST DTVM S.A.</x:v>
      </x:c>
      <x:c r="H1007" s="168" t="str">
        <x:v>Outros</x:v>
      </x:c>
      <x:c r="I1007" s="168" t="str">
        <x:v>Multicarteira Outros</x:v>
      </x:c>
      <x:c r="J1007" s="168" t="str">
        <x:v>CI</x:v>
      </x:c>
      <x:c r="K1007" s="174" t="n">
        <x:v>3</x:v>
      </x:c>
      <x:c r="L1007" s="187" t="str">
        <x:v>Proxy multicedente/multissacado — revisar</x:v>
      </x:c>
    </x:row>
    <x:row r="1008">
      <x:c r="A1008" s="177" t="str">
        <x:v>36.553.528/0001-35</x:v>
      </x:c>
      <x:c r="B1008" s="168" t="str">
        <x:v>BANCRED FUNDO DE INVESTIMENTO EM DIREITOS CREDITÓRIOS NÃO PADRONIZADOS</x:v>
      </x:c>
      <x:c r="C1008" s="190" t="n">
        <x:v>113575422.23</x:v>
      </x:c>
      <x:c r="D1008" s="168" t="str">
        <x:v>TERCON ASSET MANAGEMENT</x:v>
      </x:c>
      <x:c r="E1008" s="168" t="str">
        <x:f>IFERROR(INDEX('Classif Gestoras'!$H$6:$H$462,MATCH(D1008,'Classif Gestoras'!$A$6:$A$462,0)),"Não classificada")</x:f>
        <x:v>Independente</x:v>
      </x:c>
      <x:c r="F1008" s="168" t="str">
        <x:v>Singulare</x:v>
      </x:c>
      <x:c r="G1008" s="168" t="str">
        <x:v>QI CORRETORA DE TÍTULOS E VALORES MOBILIÁRIOS S.A.</x:v>
      </x:c>
      <x:c r="H1008" s="168" t="str">
        <x:v>Fomento Mercantil</x:v>
      </x:c>
      <x:c r="I1008" s="168" t="str">
        <x:v>Fomento Mercantil</x:v>
      </x:c>
      <x:c r="J1008" s="168" t="str">
        <x:v>CI</x:v>
      </x:c>
      <x:c r="K1008" s="174" t="n">
        <x:v>12</x:v>
      </x:c>
      <x:c r="L1008" s="187" t="str">
        <x:v>Não classificado</x:v>
      </x:c>
    </x:row>
    <x:row r="1009">
      <x:c r="A1009" s="177" t="str">
        <x:v>21.888.857/0001-60</x:v>
      </x:c>
      <x:c r="B1009" s="168" t="str">
        <x:v>OS FUNDO DE INVESTIMENTO EM DIREITOS CREDITÓRIOS MULTISETORIAL - RESPONSABILIDADE LIMITADA</x:v>
      </x:c>
      <x:c r="C1009" s="190" t="n">
        <x:v>113545287.63</x:v>
      </x:c>
      <x:c r="D1009" s="168" t="str">
        <x:v>Solis</x:v>
      </x:c>
      <x:c r="E1009" s="168" t="str">
        <x:f>IFERROR(INDEX('Classif Gestoras'!$H$6:$H$462,MATCH(D1009,'Classif Gestoras'!$A$6:$A$462,0)),"Não classificada")</x:f>
        <x:v>Independente</x:v>
      </x:c>
      <x:c r="F1009" s="168" t="str">
        <x:v>HEMERA DTVM</x:v>
      </x:c>
      <x:c r="G1009" s="168" t="str">
        <x:v>HEMERA DISTRIBUIDORA DE TITULOS E VALORES MOBILIARIOS LTDA</x:v>
      </x:c>
      <x:c r="H1009" s="168" t="str">
        <x:v>Outros</x:v>
      </x:c>
      <x:c r="I1009" s="168" t="str">
        <x:v>Multicarteira Outros</x:v>
      </x:c>
      <x:c r="J1009" s="168" t="str">
        <x:v>CI</x:v>
      </x:c>
      <x:c r="K1009" s="174" t="n">
        <x:v>25</x:v>
      </x:c>
      <x:c r="L1009" s="187" t="str">
        <x:v>Proxy multicedente/multissacado — revisar</x:v>
      </x:c>
    </x:row>
    <x:row r="1010">
      <x:c r="A1010" s="177" t="str">
        <x:v>33.475.421/0001-28</x:v>
      </x:c>
      <x:c r="B1010" s="168" t="str">
        <x:v>FUNDO DE INVESTIMENTO EM DIREITOS CREDITÓRIOS AZQ ALL CREDIT HY DE RESPONSABILIDADE ILIMITADA</x:v>
      </x:c>
      <x:c r="C1010" s="190" t="n">
        <x:v>113541021.37</x:v>
      </x:c>
      <x:c r="D1010" s="168" t="str">
        <x:v>AZ Quest MZK Investimentos Macro e Crédito Ltda.</x:v>
      </x:c>
      <x:c r="E1010" s="168" t="str">
        <x:f>IFERROR(INDEX('Classif Gestoras'!$H$6:$H$462,MATCH(D1010,'Classif Gestoras'!$A$6:$A$462,0)),"Não classificada")</x:f>
        <x:v>Independente</x:v>
      </x:c>
      <x:c r="F1010" s="168" t="str">
        <x:v>BANCO DAYCOVAL S/A</x:v>
      </x:c>
      <x:c r="G1010" s="168" t="str">
        <x:v>BANCO DAYCOVAL S.A.</x:v>
      </x:c>
      <x:c r="H1010" s="168" t="str">
        <x:v>Financeiro</x:v>
      </x:c>
      <x:c r="I1010" s="168" t="str">
        <x:v>Multicarteira Financeiro</x:v>
      </x:c>
      <x:c r="J1010" s="168" t="str">
        <x:v>CI</x:v>
      </x:c>
      <x:c r="K1010" s="174" t="n">
        <x:v>8</x:v>
      </x:c>
      <x:c r="L1010" s="187" t="str">
        <x:v>Proxy multicedente/multissacado — revisar</x:v>
      </x:c>
    </x:row>
    <x:row r="1011">
      <x:c r="A1011" s="177" t="str">
        <x:v>46.230.862/0001-01</x:v>
      </x:c>
      <x:c r="B1011" s="168" t="str">
        <x:v>BIO-STARS FUNDO DE INVESTIMENTO EM DIREITOS CREDITÓRIOS NÃO PADRONIZADO</x:v>
      </x:c>
      <x:c r="C1011" s="190" t="n">
        <x:v>113503650.58</x:v>
      </x:c>
      <x:c r="D1011" s="168" t="str">
        <x:v>Solis</x:v>
      </x:c>
      <x:c r="E1011" s="168" t="str">
        <x:f>IFERROR(INDEX('Classif Gestoras'!$H$6:$H$462,MATCH(D1011,'Classif Gestoras'!$A$6:$A$462,0)),"Não classificada")</x:f>
        <x:v>Independente</x:v>
      </x:c>
      <x:c r="F1011" s="168" t="str">
        <x:v>Singulare</x:v>
      </x:c>
      <x:c r="G1011" s="168" t="str">
        <x:v>QI CORRETORA DE TÍTULOS E VALORES MOBILIÁRIOS S.A.</x:v>
      </x:c>
      <x:c r="H1011" s="168" t="str">
        <x:v>Fomento Mercantil</x:v>
      </x:c>
      <x:c r="I1011" s="168" t="str">
        <x:v>Fomento Mercantil</x:v>
      </x:c>
      <x:c r="J1011" s="168" t="str">
        <x:v>CI</x:v>
      </x:c>
      <x:c r="K1011" s="174" t="n">
        <x:v>1</x:v>
      </x:c>
      <x:c r="L1011" s="187" t="str">
        <x:v>Não classificado</x:v>
      </x:c>
    </x:row>
    <x:row r="1012">
      <x:c r="A1012" s="177" t="str">
        <x:v>41.195.764/0001-67</x:v>
      </x:c>
      <x:c r="B1012" s="168" t="str">
        <x:v>PRISMA INFRATELCO VD FUNDO DE INVESTIMENTO EM DIREITOS CREDITÓRIOS</x:v>
      </x:c>
      <x:c r="C1012" s="190" t="n">
        <x:v>113433085.17</x:v>
      </x:c>
      <x:c r="D1012" s="168" t="str">
        <x:v>PRISMA PRIVATE CREDIT</x:v>
      </x:c>
      <x:c r="E1012" s="168" t="str">
        <x:f>IFERROR(INDEX('Classif Gestoras'!$H$6:$H$462,MATCH(D1012,'Classif Gestoras'!$A$6:$A$462,0)),"Não classificada")</x:f>
        <x:v>Independente</x:v>
      </x:c>
      <x:c r="F1012" s="168" t="str">
        <x:v>Singulare</x:v>
      </x:c>
      <x:c r="G1012" s="168" t="str">
        <x:v>QI CORRETORA DE TÍTULOS E VALORES MOBILIÁRIOS S.A.</x:v>
      </x:c>
      <x:c r="H1012" s="168" t="str">
        <x:v>Outros</x:v>
      </x:c>
      <x:c r="I1012" s="168" t="str">
        <x:v>Multicarteira Outros</x:v>
      </x:c>
      <x:c r="J1012" s="168" t="str">
        <x:v>CI</x:v>
      </x:c>
      <x:c r="K1012" s="174" t="n">
        <x:v>20</x:v>
      </x:c>
      <x:c r="L1012" s="187" t="str">
        <x:v>Proxy multicedente/multissacado — revisar</x:v>
      </x:c>
    </x:row>
    <x:row r="1013">
      <x:c r="A1013" s="177" t="str">
        <x:v>55.728.426/0001-58</x:v>
      </x:c>
      <x:c r="B1013" s="168" t="str">
        <x:v>ISAAC CREDITO FUNDO DE INVESTIMENTO EM DIREITOS CREDITORIOS FINANCEIROS DE RESPONSABILIDADE LIMITADA</x:v>
      </x:c>
      <x:c r="C1013" s="190" t="n">
        <x:v>113394649.89</x:v>
      </x:c>
      <x:c r="D1013" s="168" t="str">
        <x:v>AUGME CAPITAL GESTÃO DE RECURSOS LTDA.</x:v>
      </x:c>
      <x:c r="E1013" s="168" t="str">
        <x:f>IFERROR(INDEX('Classif Gestoras'!$H$6:$H$462,MATCH(D1013,'Classif Gestoras'!$A$6:$A$462,0)),"Não classificada")</x:f>
        <x:v>Independente</x:v>
      </x:c>
      <x:c r="F1013" s="168" t="str">
        <x:v>Genial Investimentos Corretora de Valores Mobiliários S.A.</x:v>
      </x:c>
      <x:c r="G1013" s="168" t="str">
        <x:v>BANCO GENIAL S.A.</x:v>
      </x:c>
      <x:c r="H1013" s="168" t="str">
        <x:v>Outros</x:v>
      </x:c>
      <x:c r="I1013" s="168" t="str">
        <x:v>Multicarteira Outros</x:v>
      </x:c>
      <x:c r="J1013" s="168" t="str">
        <x:v>CI</x:v>
      </x:c>
      <x:c r="K1013" s="174" t="n">
        <x:v>15</x:v>
      </x:c>
      <x:c r="L1013" s="187" t="str">
        <x:v>Proxy multicedente/multissacado — revisar</x:v>
      </x:c>
    </x:row>
    <x:row r="1014">
      <x:c r="A1014" s="177" t="str">
        <x:v>47.410.102/0001-49</x:v>
      </x:c>
      <x:c r="B1014" s="168" t="str">
        <x:v>MÖBIUS TOTAL RETURN 1 - FUNDO DE INVESTIMENTO EM DIREITOS CREDITÓRIOS RESPONSABILIDADE LIMITADA</x:v>
      </x:c>
      <x:c r="C1014" s="190" t="n">
        <x:v>113292827.16</x:v>
      </x:c>
      <x:c r="D1014" s="168" t="str">
        <x:v>Möbius Capital</x:v>
      </x:c>
      <x:c r="E1014" s="168" t="str">
        <x:f>IFERROR(INDEX('Classif Gestoras'!$H$6:$H$462,MATCH(D1014,'Classif Gestoras'!$A$6:$A$462,0)),"Não classificada")</x:f>
        <x:v>Independente</x:v>
      </x:c>
      <x:c r="F1014" s="168" t="str">
        <x:v>BANCO DAYCOVAL S/A</x:v>
      </x:c>
      <x:c r="G1014" s="168" t="str">
        <x:v>BANCO DAYCOVAL S.A.</x:v>
      </x:c>
      <x:c r="H1014" s="168" t="str">
        <x:v>Outros</x:v>
      </x:c>
      <x:c r="I1014" s="168" t="str">
        <x:v>Multicarteira Outros</x:v>
      </x:c>
      <x:c r="J1014" s="168" t="str">
        <x:v>CI</x:v>
      </x:c>
      <x:c r="K1014" s="174" t="n">
        <x:v>1</x:v>
      </x:c>
      <x:c r="L1014" s="187" t="str">
        <x:v>Proxy multicedente/multissacado — revisar</x:v>
      </x:c>
    </x:row>
    <x:row r="1015">
      <x:c r="A1015" s="177" t="str">
        <x:v>34.218.960/0001-44</x:v>
      </x:c>
      <x:c r="B1015" s="168" t="str">
        <x:v>FUNDO DE INVESTIMENTO EM DIREITOS CREDITÓRIOS ALION CONSIGNADOS</x:v>
      </x:c>
      <x:c r="C1015" s="190" t="n">
        <x:v>113134374.06</x:v>
      </x:c>
      <x:c r="D1015" s="168" t="str">
        <x:v>VALORA RENDA FIXA ESTRUTURADOS LTDA.</x:v>
      </x:c>
      <x:c r="E1015" s="168" t="str">
        <x:f>IFERROR(INDEX('Classif Gestoras'!$H$6:$H$462,MATCH(D1015,'Classif Gestoras'!$A$6:$A$462,0)),"Não classificada")</x:f>
        <x:v>Independente</x:v>
      </x:c>
      <x:c r="F1015" s="168" t="str">
        <x:v>Singulare</x:v>
      </x:c>
      <x:c r="G1015" s="168" t="str">
        <x:v>QI CORRETORA DE TÍTULOS E VALORES MOBILIÁRIOS S.A.</x:v>
      </x:c>
      <x:c r="H1015" s="168" t="str">
        <x:v>Financeiro</x:v>
      </x:c>
      <x:c r="I1015" s="168" t="str">
        <x:v>Crédito Consignado</x:v>
      </x:c>
      <x:c r="J1015" s="168" t="str">
        <x:v>CI</x:v>
      </x:c>
      <x:c r="K1015" s="174" t="n">
        <x:v>34</x:v>
      </x:c>
      <x:c r="L1015" s="187" t="str">
        <x:v>Não classificado</x:v>
      </x:c>
    </x:row>
    <x:row r="1016">
      <x:c r="A1016" s="177" t="str">
        <x:v>52.984.899/0001-28</x:v>
      </x:c>
      <x:c r="B1016" s="168" t="str">
        <x:v>BANCOR FIDC DE RESPONSABILIDADE LIMITADA RECEBÍVEIS COMERCIAIS</x:v>
      </x:c>
      <x:c r="C1016" s="190" t="n">
        <x:v>113001877.94</x:v>
      </x:c>
      <x:c r="D1016" s="168" t="str">
        <x:v>Kanastra</x:v>
      </x:c>
      <x:c r="E1016" s="168" t="str">
        <x:f>IFERROR(INDEX('Classif Gestoras'!$H$6:$H$462,MATCH(D1016,'Classif Gestoras'!$A$6:$A$462,0)),"Não classificada")</x:f>
        <x:v>Independente</x:v>
      </x:c>
      <x:c r="F1016" s="168" t="str">
        <x:v>Banco Genial S.A.</x:v>
      </x:c>
      <x:c r="G1016" s="168" t="str">
        <x:v>Não identificado</x:v>
      </x:c>
      <x:c r="H1016" s="168" t="str">
        <x:v>Agro, Indústria e Comércio</x:v>
      </x:c>
      <x:c r="I1016" s="168" t="str">
        <x:v>Recebíveis Comerciais</x:v>
      </x:c>
      <x:c r="J1016" s="168" t="str">
        <x:v>CI</x:v>
      </x:c>
      <x:c r="K1016" s="174" t="n">
        <x:v>3</x:v>
      </x:c>
      <x:c r="L1016" s="187" t="str">
        <x:v>Não classificado</x:v>
      </x:c>
    </x:row>
    <x:row r="1017">
      <x:c r="A1017" s="177" t="str">
        <x:v>51.864.349/0001-02</x:v>
      </x:c>
      <x:c r="B1017" s="168" t="str">
        <x:v>CVPAR EDUC FUNDO DE INVESTIMENTO EM DIREITOS CREDITÓRIOS</x:v>
      </x:c>
      <x:c r="C1017" s="190" t="n">
        <x:v>112987395.68</x:v>
      </x:c>
      <x:c r="D1017" s="168" t="str">
        <x:v>CVPAR Investimentos ltda</x:v>
      </x:c>
      <x:c r="E1017" s="168" t="str">
        <x:f>IFERROR(INDEX('Classif Gestoras'!$H$6:$H$462,MATCH(D1017,'Classif Gestoras'!$A$6:$A$462,0)),"Não classificada")</x:f>
        <x:v>Independente</x:v>
      </x:c>
      <x:c r="F1017" s="168" t="str">
        <x:v>Singulare</x:v>
      </x:c>
      <x:c r="G1017" s="168" t="str">
        <x:v>QI CORRETORA DE TÍTULOS E VALORES MOBILIÁRIOS S.A.</x:v>
      </x:c>
      <x:c r="H1017" s="168" t="str">
        <x:v>Outros</x:v>
      </x:c>
      <x:c r="I1017" s="168" t="str">
        <x:v>Multicarteira Outros</x:v>
      </x:c>
      <x:c r="J1017" s="168" t="str">
        <x:v>CI</x:v>
      </x:c>
      <x:c r="K1017" s="174" t="n">
        <x:v>6</x:v>
      </x:c>
      <x:c r="L1017" s="187" t="str">
        <x:v>Proxy multicedente/multissacado — revisar</x:v>
      </x:c>
    </x:row>
    <x:row r="1018">
      <x:c r="A1018" s="177" t="str">
        <x:v>29.665.263/0001-00</x:v>
      </x:c>
      <x:c r="B1018" s="168" t="str">
        <x:v>FUNDO DE INVESTIMENTO EM DIREITOS CREDITÓRIOS COMERCIAIS DE RESPONSABILIDADE LIMITADA FORTBRASIL</x:v>
      </x:c>
      <x:c r="C1018" s="190" t="n">
        <x:v>112830086.18</x:v>
      </x:c>
      <x:c r="D1018" s="168" t="str">
        <x:v>Vista Real Estate</x:v>
      </x:c>
      <x:c r="E1018" s="168" t="str">
        <x:f>IFERROR(INDEX('Classif Gestoras'!$H$6:$H$462,MATCH(D1018,'Classif Gestoras'!$A$6:$A$462,0)),"Não classificada")</x:f>
        <x:v>Independente</x:v>
      </x:c>
      <x:c r="F1018" s="168" t="str">
        <x:v>Oliveira Trust DTVM</x:v>
      </x:c>
      <x:c r="G1018" s="168" t="str">
        <x:v>OLIVEIRA TRUST DTVM S.A.</x:v>
      </x:c>
      <x:c r="H1018" s="168" t="str">
        <x:v>Agro, Indústria e Comércio</x:v>
      </x:c>
      <x:c r="I1018" s="168" t="str">
        <x:v>Recebíveis Comerciais</x:v>
      </x:c>
      <x:c r="J1018" s="168" t="str">
        <x:v>CI</x:v>
      </x:c>
      <x:c r="K1018" s="174" t="n">
        <x:v>60</x:v>
      </x:c>
      <x:c r="L1018" s="187" t="str">
        <x:v>Não classificado</x:v>
      </x:c>
    </x:row>
    <x:row r="1019">
      <x:c r="A1019" s="177" t="str">
        <x:v>58.033.772/0001-00</x:v>
      </x:c>
      <x:c r="B1019" s="168" t="str">
        <x:v>AGROFORTE FUNDO DE INVESTIMENTO EM DIREITOS CREDITÓRIOS</x:v>
      </x:c>
      <x:c r="C1019" s="190" t="n">
        <x:v>112782217.08</x:v>
      </x:c>
      <x:c r="D1019" s="168" t="str">
        <x:v>VALORA RENDA FIXA ESTRUTURADOS LTDA.</x:v>
      </x:c>
      <x:c r="E1019" s="168" t="str">
        <x:f>IFERROR(INDEX('Classif Gestoras'!$H$6:$H$462,MATCH(D1019,'Classif Gestoras'!$A$6:$A$462,0)),"Não classificada")</x:f>
        <x:v>Independente</x:v>
      </x:c>
      <x:c r="F1019" s="168" t="str">
        <x:v>BANCO DAYCOVAL S/A</x:v>
      </x:c>
      <x:c r="G1019" s="168" t="str">
        <x:v>BANCO DAYCOVAL S.A.</x:v>
      </x:c>
      <x:c r="H1019" s="168" t="str">
        <x:v>Agro, Indústria e Comércio</x:v>
      </x:c>
      <x:c r="I1019" s="168" t="str">
        <x:v>Agronegócio</x:v>
      </x:c>
      <x:c r="J1019" s="168" t="str">
        <x:v>CI</x:v>
      </x:c>
      <x:c r="K1019" s="174" t="n">
        <x:v>17</x:v>
      </x:c>
      <x:c r="L1019" s="187" t="str">
        <x:v>Não classificado</x:v>
      </x:c>
    </x:row>
    <x:row r="1020">
      <x:c r="A1020" s="177" t="str">
        <x:v>12.764.295/0001-51</x:v>
      </x:c>
      <x:c r="B1020" s="168" t="str">
        <x:v>FUNDO DE INVESTIMENTO EM DIREITOS CREDITÓRIOS ARM</x:v>
      </x:c>
      <x:c r="C1020" s="190" t="n">
        <x:v>112693293.85</x:v>
      </x:c>
      <x:c r="D1020" s="168" t="str">
        <x:v>TERCON ASSET MANAGEMENT</x:v>
      </x:c>
      <x:c r="E1020" s="168" t="str">
        <x:f>IFERROR(INDEX('Classif Gestoras'!$H$6:$H$462,MATCH(D1020,'Classif Gestoras'!$A$6:$A$462,0)),"Não classificada")</x:f>
        <x:v>Independente</x:v>
      </x:c>
      <x:c r="F1020" s="168" t="str">
        <x:v>HEMERA DTVM</x:v>
      </x:c>
      <x:c r="G1020" s="168" t="str">
        <x:v>HEMERA DISTRIBUIDORA DE TITULOS E VALORES MOBILIARIOS LTDA</x:v>
      </x:c>
      <x:c r="H1020" s="168" t="str">
        <x:v>Fomento Mercantil</x:v>
      </x:c>
      <x:c r="I1020" s="168" t="str">
        <x:v>Fomento Mercantil</x:v>
      </x:c>
      <x:c r="J1020" s="168" t="str">
        <x:v>CI</x:v>
      </x:c>
      <x:c r="K1020" s="174" t="n">
        <x:v>1</x:v>
      </x:c>
      <x:c r="L1020" s="187" t="str">
        <x:v>Não classificado</x:v>
      </x:c>
    </x:row>
    <x:row r="1021">
      <x:c r="A1021" s="177" t="str">
        <x:v>59.914.252/0001-79</x:v>
      </x:c>
      <x:c r="B1021" s="168" t="str">
        <x:v>RIZA IMOBILIÁRIO FUNDO DE INVESTIMENTO EM DIREITOS CREDITÓRIOS</x:v>
      </x:c>
      <x:c r="C1021" s="190" t="n">
        <x:v>112658942.68</x:v>
      </x:c>
      <x:c r="D1021" s="168" t="str">
        <x:v>Riza Securitização e Carteiras</x:v>
      </x:c>
      <x:c r="E1021" s="168" t="str">
        <x:f>IFERROR(INDEX('Classif Gestoras'!$H$6:$H$462,MATCH(D1021,'Classif Gestoras'!$A$6:$A$462,0)),"Não classificada")</x:f>
        <x:v>Independente</x:v>
      </x:c>
      <x:c r="F1021" s="168" t="str">
        <x:v>BTG Pactual Servicos Financeiros S/A DTVM</x:v>
      </x:c>
      <x:c r="G1021" s="168" t="str">
        <x:v>BANCO BTG PACTUAL S/A</x:v>
      </x:c>
      <x:c r="H1021" s="168" t="str">
        <x:v>Outros</x:v>
      </x:c>
      <x:c r="I1021" s="168" t="str">
        <x:v>Multicarteira Outros</x:v>
      </x:c>
      <x:c r="J1021" s="168" t="str">
        <x:v>CI</x:v>
      </x:c>
      <x:c r="K1021" s="174" t="n">
        <x:v>4</x:v>
      </x:c>
      <x:c r="L1021" s="187" t="str">
        <x:v>Proxy multicedente/multissacado — revisar</x:v>
      </x:c>
    </x:row>
    <x:row r="1022">
      <x:c r="A1022" s="177" t="str">
        <x:v>57.354.123/0001-48</x:v>
      </x:c>
      <x:c r="B1022" s="168" t="str">
        <x:v>BLIPAY FUNDO DE INVESTIMENTO EM DIREITOS CREDITÓRIOS FINANCEIRO - RESPONSABILIDADE LIMITADA</x:v>
      </x:c>
      <x:c r="C1022" s="190" t="n">
        <x:v>112081223.01000002</x:v>
      </x:c>
      <x:c r="D1022" s="168" t="str">
        <x:v>NOVA S R M</x:v>
      </x:c>
      <x:c r="E1022" s="168" t="str">
        <x:f>IFERROR(INDEX('Classif Gestoras'!$H$6:$H$462,MATCH(D1022,'Classif Gestoras'!$A$6:$A$462,0)),"Não classificada")</x:f>
        <x:v>Independente</x:v>
      </x:c>
      <x:c r="F1022" s="168" t="str">
        <x:v>Singulare</x:v>
      </x:c>
      <x:c r="G1022" s="168" t="str">
        <x:v>QI CORRETORA DE TÍTULOS E VALORES MOBILIÁRIOS S.A.</x:v>
      </x:c>
      <x:c r="H1022" s="168" t="str">
        <x:v>Financeiro</x:v>
      </x:c>
      <x:c r="I1022" s="168" t="str">
        <x:v>Crédito Pessoal</x:v>
      </x:c>
      <x:c r="J1022" s="168" t="str">
        <x:v>CI</x:v>
      </x:c>
      <x:c r="K1022" s="174" t="n">
        <x:v>16</x:v>
      </x:c>
      <x:c r="L1022" s="187" t="str">
        <x:v>Não classificado</x:v>
      </x:c>
    </x:row>
    <x:row r="1023">
      <x:c r="A1023" s="177" t="str">
        <x:v>58.561.243/0001-89</x:v>
      </x:c>
      <x:c r="B1023" s="168" t="str">
        <x:v>F3 FALCON FUNDO DE INVESTIMENTO EM DIREITOS CREDITÓRIOS RESPONSABILIDADE LIMITADA</x:v>
      </x:c>
      <x:c r="C1023" s="190" t="n">
        <x:v>111957619.58</x:v>
      </x:c>
      <x:c r="D1023" s="168" t="str">
        <x:v>F3 ROCK</x:v>
      </x:c>
      <x:c r="E1023" s="168" t="str">
        <x:f>IFERROR(INDEX('Classif Gestoras'!$H$6:$H$462,MATCH(D1023,'Classif Gestoras'!$A$6:$A$462,0)),"Não classificada")</x:f>
        <x:v>Independente</x:v>
      </x:c>
      <x:c r="F1023" s="168" t="str">
        <x:v>VÓRTX DTVM</x:v>
      </x:c>
      <x:c r="G1023" s="168" t="str">
        <x:v>VORTX DISTRIBUIDORA DE TITULOS E VALORES MOBILIARIOS LTDA.</x:v>
      </x:c>
      <x:c r="H1023" s="168" t="str">
        <x:v>Financeiro</x:v>
      </x:c>
      <x:c r="I1023" s="168" t="str">
        <x:v>Crédito Consignado</x:v>
      </x:c>
      <x:c r="J1023" s="168" t="str">
        <x:v>CI</x:v>
      </x:c>
      <x:c r="K1023" s="174" t="n">
        <x:v>31</x:v>
      </x:c>
      <x:c r="L1023" s="187" t="str">
        <x:v>Não classificado</x:v>
      </x:c>
    </x:row>
    <x:row r="1024">
      <x:c r="A1024" s="177" t="str">
        <x:v>33.512.746/0001-33</x:v>
      </x:c>
      <x:c r="B1024" s="168" t="str">
        <x:v>FUNDO DE INVESTIMENTO EM DIREITOS CREDITÓRIOS BRZ CAPITAL CONSIG I RESPONSABILIDADE LIMITADA</x:v>
      </x:c>
      <x:c r="C1024" s="190" t="n">
        <x:v>111832076.79</x:v>
      </x:c>
      <x:c r="D1024" s="168" t="str">
        <x:v>BRZ Investimentos</x:v>
      </x:c>
      <x:c r="E1024" s="168" t="str">
        <x:f>IFERROR(INDEX('Classif Gestoras'!$H$6:$H$462,MATCH(D1024,'Classif Gestoras'!$A$6:$A$462,0)),"Não classificada")</x:f>
        <x:v>Independente</x:v>
      </x:c>
      <x:c r="F1024" s="168" t="str">
        <x:v>Banvox DTVM</x:v>
      </x:c>
      <x:c r="G1024" s="168" t="str">
        <x:v>BANVOX DISTRIBUIDORA DE TITULOS E VALORES MOBILIARIOS LTDA</x:v>
      </x:c>
      <x:c r="H1024" s="168" t="str">
        <x:v>Financeiro</x:v>
      </x:c>
      <x:c r="I1024" s="168" t="str">
        <x:v>Crédito Consignado</x:v>
      </x:c>
      <x:c r="J1024" s="168" t="str">
        <x:v>CI</x:v>
      </x:c>
      <x:c r="K1024" s="174" t="n">
        <x:v>76</x:v>
      </x:c>
      <x:c r="L1024" s="187" t="str">
        <x:v>Não classificado</x:v>
      </x:c>
    </x:row>
    <x:row r="1025">
      <x:c r="A1025" s="177" t="str">
        <x:v>42.888.478/0001-40</x:v>
      </x:c>
      <x:c r="B1025" s="168" t="str">
        <x:v>FUNDO DE INVESTIMENTO EM DIREITOS CREDITÓRIOS JUVO - RESPONSABILIDADE LIMITADA</x:v>
      </x:c>
      <x:c r="C1025" s="190" t="n">
        <x:v>111434117.29999998</x:v>
      </x:c>
      <x:c r="D1025" s="168" t="str">
        <x:v>NOVA S R M</x:v>
      </x:c>
      <x:c r="E1025" s="168" t="str">
        <x:f>IFERROR(INDEX('Classif Gestoras'!$H$6:$H$462,MATCH(D1025,'Classif Gestoras'!$A$6:$A$462,0)),"Não classificada")</x:f>
        <x:v>Independente</x:v>
      </x:c>
      <x:c r="F1025" s="168" t="str">
        <x:v>Singulare</x:v>
      </x:c>
      <x:c r="G1025" s="168" t="str">
        <x:v>QI CORRETORA DE TÍTULOS E VALORES MOBILIÁRIOS S.A.</x:v>
      </x:c>
      <x:c r="H1025" s="168" t="str">
        <x:v>Financeiro</x:v>
      </x:c>
      <x:c r="I1025" s="168" t="str">
        <x:v>Crédito Pessoal</x:v>
      </x:c>
      <x:c r="J1025" s="168" t="str">
        <x:v>CI</x:v>
      </x:c>
      <x:c r="K1025" s="174" t="n">
        <x:v>68</x:v>
      </x:c>
      <x:c r="L1025" s="187" t="str">
        <x:v>Não classificado</x:v>
      </x:c>
    </x:row>
    <x:row r="1026">
      <x:c r="A1026" s="177" t="str">
        <x:v>58.845.757/0001-66</x:v>
      </x:c>
      <x:c r="B1026" s="168" t="str">
        <x:v>051 CRÉDITO 180 FUNDO DE EM DIREITOS CREDITÓRIOS RESPONSABILIDADE LIMITADA</x:v>
      </x:c>
      <x:c r="C1026" s="190" t="n">
        <x:v>111418125.4</x:v>
      </x:c>
      <x:c r="D1026" s="168" t="str">
        <x:v>051 Capital</x:v>
      </x:c>
      <x:c r="E1026" s="168" t="str">
        <x:f>IFERROR(INDEX('Classif Gestoras'!$H$6:$H$462,MATCH(D1026,'Classif Gestoras'!$A$6:$A$462,0)),"Não classificada")</x:f>
        <x:v>Independente</x:v>
      </x:c>
      <x:c r="F1026" s="168" t="str">
        <x:v>BTG Pactual Servicos Financeiros S/A DTVM</x:v>
      </x:c>
      <x:c r="G1026" s="168" t="str">
        <x:v>BANCO BTG PACTUAL S/A</x:v>
      </x:c>
      <x:c r="H1026" s="168" t="str">
        <x:v>Outros</x:v>
      </x:c>
      <x:c r="I1026" s="168" t="str">
        <x:v>Multicarteira Outros</x:v>
      </x:c>
      <x:c r="J1026" s="168" t="str">
        <x:v>CI</x:v>
      </x:c>
      <x:c r="K1026" s="174" t="n">
        <x:v>1</x:v>
      </x:c>
      <x:c r="L1026" s="187" t="str">
        <x:v>Proxy multicedente/multissacado — revisar</x:v>
      </x:c>
    </x:row>
    <x:row r="1027">
      <x:c r="A1027" s="177" t="str">
        <x:v>54.955.983/0001-49</x:v>
      </x:c>
      <x:c r="B1027" s="168" t="str">
        <x:v>VK MASTER FUNDO DE INVESTIMENTO EM DIREITOS CREDITÓRIOS RESPONSABILIDADE LIMITADA</x:v>
      </x:c>
      <x:c r="C1027" s="190" t="n">
        <x:v>111363879.39</x:v>
      </x:c>
      <x:c r="D1027" s="168" t="str">
        <x:v>VINLAND CAPITAL MANAGEMENT CREDITO PRIVADO GESTORA DE R</x:v>
      </x:c>
      <x:c r="E1027" s="168" t="str">
        <x:f>IFERROR(INDEX('Classif Gestoras'!$H$6:$H$462,MATCH(D1027,'Classif Gestoras'!$A$6:$A$462,0)),"Não classificada")</x:f>
        <x:v>Independente</x:v>
      </x:c>
      <x:c r="F1027" s="168" t="str">
        <x:v>BTG Pactual Servicos Financeiros S/A DTVM</x:v>
      </x:c>
      <x:c r="G1027" s="168" t="str">
        <x:v>BANCO BTG PACTUAL S/A</x:v>
      </x:c>
      <x:c r="H1027" s="168" t="str">
        <x:v>Outros</x:v>
      </x:c>
      <x:c r="I1027" s="168" t="str">
        <x:v>Multicarteira Outros</x:v>
      </x:c>
      <x:c r="J1027" s="168" t="str">
        <x:v>CI</x:v>
      </x:c>
      <x:c r="K1027" s="174" t="n">
        <x:v>1</x:v>
      </x:c>
      <x:c r="L1027" s="187" t="str">
        <x:v>Proxy multicedente/multissacado — revisar</x:v>
      </x:c>
    </x:row>
    <x:row r="1028">
      <x:c r="A1028" s="177" t="str">
        <x:v>61.194.816/0001-98</x:v>
      </x:c>
      <x:c r="B1028" s="168" t="str">
        <x:v>B100 FUNDO DE INVESTIMENTO EM DIREITOS CREDITÓRIOS</x:v>
      </x:c>
      <x:c r="C1028" s="190" t="n">
        <x:v>111173705.8</x:v>
      </x:c>
      <x:c r="D1028" s="168" t="str">
        <x:v>Redwood Asset Management</x:v>
      </x:c>
      <x:c r="E1028" s="168" t="str">
        <x:f>IFERROR(INDEX('Classif Gestoras'!$H$6:$H$462,MATCH(D1028,'Classif Gestoras'!$A$6:$A$462,0)),"Não classificada")</x:f>
        <x:v>Independente</x:v>
      </x:c>
      <x:c r="F1028" s="168" t="str">
        <x:v>PLANNER CV</x:v>
      </x:c>
      <x:c r="G1028" s="168" t="str">
        <x:v>PLANNER CORRETORA DE VALORES S.A.</x:v>
      </x:c>
      <x:c r="H1028" s="168" t="str">
        <x:v>Outros</x:v>
      </x:c>
      <x:c r="I1028" s="168" t="str">
        <x:v>Multicarteira Outros</x:v>
      </x:c>
      <x:c r="J1028" s="168" t="str">
        <x:v>CI</x:v>
      </x:c>
      <x:c r="K1028" s="174" t="n">
        <x:v>2</x:v>
      </x:c>
      <x:c r="L1028" s="187" t="str">
        <x:v>Proxy multicedente/multissacado — revisar</x:v>
      </x:c>
    </x:row>
    <x:row r="1029">
      <x:c r="A1029" s="177" t="str">
        <x:v>53.962.432/0001-40</x:v>
      </x:c>
      <x:c r="B1029" s="168" t="str">
        <x:v>BASÃ FUNDO DE INVESTIMENTO EM DIREITOS CREDITÓRIOS DE RESPONSABILIDADE LIMITADA</x:v>
      </x:c>
      <x:c r="C1029" s="190" t="n">
        <x:v>111100500.73</x:v>
      </x:c>
      <x:c r="D1029" s="168" t="str">
        <x:v>Catálise Investimentos</x:v>
      </x:c>
      <x:c r="E1029" s="168" t="str">
        <x:f>IFERROR(INDEX('Classif Gestoras'!$H$6:$H$462,MATCH(D1029,'Classif Gestoras'!$A$6:$A$462,0)),"Não classificada")</x:f>
        <x:v>Independente</x:v>
      </x:c>
      <x:c r="F1029" s="168" t="str">
        <x:v>CATÁLISE DTVM</x:v>
      </x:c>
      <x:c r="G1029" s="168" t="str">
        <x:v>BANCO DAYCOVAL S.A.</x:v>
      </x:c>
      <x:c r="H1029" s="168" t="str">
        <x:v>Agro, Indústria e Comércio</x:v>
      </x:c>
      <x:c r="I1029" s="168" t="str">
        <x:v>Multicarteira Agro, Indústria e Comércio</x:v>
      </x:c>
      <x:c r="J1029" s="168" t="str">
        <x:v>CI</x:v>
      </x:c>
      <x:c r="K1029" s="174" t="n">
        <x:v>1</x:v>
      </x:c>
      <x:c r="L1029" s="187" t="str">
        <x:v>Proxy multicedente/multissacado — revisar</x:v>
      </x:c>
    </x:row>
    <x:row r="1030">
      <x:c r="A1030" s="177" t="str">
        <x:v>29.970.251/0001-80</x:v>
      </x:c>
      <x:c r="B1030" s="168" t="str">
        <x:v>SOLAR FUNDO DE INVESTIMENTO EM DIREITOS CREDITÓRIOS MULTISSETORIAL</x:v>
      </x:c>
      <x:c r="C1030" s="190" t="n">
        <x:v>111100385.51000002</x:v>
      </x:c>
      <x:c r="D1030" s="168" t="str">
        <x:v>Iggy Investimentos</x:v>
      </x:c>
      <x:c r="E1030" s="168" t="str">
        <x:f>IFERROR(INDEX('Classif Gestoras'!$H$6:$H$462,MATCH(D1030,'Classif Gestoras'!$A$6:$A$462,0)),"Não classificada")</x:f>
        <x:v>Independente</x:v>
      </x:c>
      <x:c r="F1030" s="168" t="str">
        <x:v>Singulare</x:v>
      </x:c>
      <x:c r="G1030" s="168" t="str">
        <x:v>QI CORRETORA DE TÍTULOS E VALORES MOBILIÁRIOS S.A.</x:v>
      </x:c>
      <x:c r="H1030" s="168" t="str">
        <x:v>Fomento Mercantil</x:v>
      </x:c>
      <x:c r="I1030" s="168" t="str">
        <x:v>Fomento Mercantil</x:v>
      </x:c>
      <x:c r="J1030" s="168" t="str">
        <x:v>CI</x:v>
      </x:c>
      <x:c r="K1030" s="174" t="n">
        <x:v>32</x:v>
      </x:c>
      <x:c r="L1030" s="187" t="str">
        <x:v>Não classificado</x:v>
      </x:c>
    </x:row>
    <x:row r="1031">
      <x:c r="A1031" s="177" t="str">
        <x:v>27.974.792/0001-51</x:v>
      </x:c>
      <x:c r="B1031" s="168" t="str">
        <x:v>ÓREAS FUNDO DE INVESTIMENTO EM DIREITOS CREDITÓRIOS NÃO-PADRONIZADO</x:v>
      </x:c>
      <x:c r="C1031" s="190" t="n">
        <x:v>111095756.59000002</x:v>
      </x:c>
      <x:c r="D1031" s="168" t="str">
        <x:v>Jus Capital Gestão de Recursos LTDA</x:v>
      </x:c>
      <x:c r="E1031" s="168" t="str">
        <x:f>IFERROR(INDEX('Classif Gestoras'!$H$6:$H$462,MATCH(D1031,'Classif Gestoras'!$A$6:$A$462,0)),"Não classificada")</x:f>
        <x:v>Independente</x:v>
      </x:c>
      <x:c r="F1031" s="168" t="str">
        <x:v>Singulare</x:v>
      </x:c>
      <x:c r="G1031" s="168" t="str">
        <x:v>QI CORRETORA DE TÍTULOS E VALORES MOBILIÁRIOS S.A.</x:v>
      </x:c>
      <x:c r="H1031" s="168" t="str">
        <x:v>Outros</x:v>
      </x:c>
      <x:c r="I1031" s="168" t="str">
        <x:v>Poder Público</x:v>
      </x:c>
      <x:c r="J1031" s="168" t="str">
        <x:v>CI</x:v>
      </x:c>
      <x:c r="K1031" s="174" t="n">
        <x:v>2</x:v>
      </x:c>
      <x:c r="L1031" s="187" t="str">
        <x:v>Não classificado</x:v>
      </x:c>
    </x:row>
    <x:row r="1032">
      <x:c r="A1032" s="177" t="str">
        <x:v>23.773.276/0001-08</x:v>
      </x:c>
      <x:c r="B1032" s="168" t="str">
        <x:v>URBANO FUNDO DE INVESTIMENTO EM DIREITOS CREDITÓRIOS MULTISETORIAL</x:v>
      </x:c>
      <x:c r="C1032" s="190" t="n">
        <x:v>110906490.53</x:v>
      </x:c>
      <x:c r="D1032" s="168" t="str">
        <x:v>URBANO ADMINISTRAÇÃO DE RECURSOS LTDA</x:v>
      </x:c>
      <x:c r="E1032" s="168" t="str">
        <x:f>IFERROR(INDEX('Classif Gestoras'!$H$6:$H$462,MATCH(D1032,'Classif Gestoras'!$A$6:$A$462,0)),"Não classificada")</x:f>
        <x:v>Independente</x:v>
      </x:c>
      <x:c r="F1032" s="168" t="str">
        <x:v>Limine Trust Distribuidora de Titulos e Valores Mobiliá</x:v>
      </x:c>
      <x:c r="G1032" s="168" t="str">
        <x:v>LIMINE TRUST DISTRIBUIDORA DE TITULOS E VALORES MOBILIARIOS LTDA.</x:v>
      </x:c>
      <x:c r="H1032" s="168" t="str">
        <x:v>Outros</x:v>
      </x:c>
      <x:c r="I1032" s="168" t="str">
        <x:v>Multicarteira Outros</x:v>
      </x:c>
      <x:c r="J1032" s="168" t="str">
        <x:v>CI</x:v>
      </x:c>
      <x:c r="K1032" s="174" t="n">
        <x:v>18</x:v>
      </x:c>
      <x:c r="L1032" s="187" t="str">
        <x:v>Proxy multicedente/multissacado — revisar</x:v>
      </x:c>
    </x:row>
    <x:row r="1033">
      <x:c r="A1033" s="177" t="str">
        <x:v>12.778.706/0001-68</x:v>
      </x:c>
      <x:c r="B1033" s="168" t="str">
        <x:v>FUNDO DE INVESTIMENTO EM DIREITOS CREDITÓRIOS - BRASILFACTORS CRÉDITO CORPORATIVO</x:v>
      </x:c>
      <x:c r="C1033" s="190" t="n">
        <x:v>110900869.19</x:v>
      </x:c>
      <x:c r="D1033" s="168" t="str">
        <x:v>Petra Capital</x:v>
      </x:c>
      <x:c r="E1033" s="168" t="str">
        <x:f>IFERROR(INDEX('Classif Gestoras'!$H$6:$H$462,MATCH(D1033,'Classif Gestoras'!$A$6:$A$462,0)),"Não classificada")</x:f>
        <x:v>Independente</x:v>
      </x:c>
      <x:c r="F1033" s="168" t="str">
        <x:v>Banco Finaxis S.A.</x:v>
      </x:c>
      <x:c r="G1033" s="168" t="str">
        <x:v>BANCO FINAXIS S.A.</x:v>
      </x:c>
      <x:c r="H1033" s="168" t="str">
        <x:v>Fomento Mercantil</x:v>
      </x:c>
      <x:c r="I1033" s="168" t="str">
        <x:v>Fomento Mercantil</x:v>
      </x:c>
      <x:c r="J1033" s="168" t="str">
        <x:v>CI</x:v>
      </x:c>
      <x:c r="K1033" s="174" t="n">
        <x:v>3</x:v>
      </x:c>
      <x:c r="L1033" s="187" t="str">
        <x:v>Não classificado</x:v>
      </x:c>
    </x:row>
    <x:row r="1034">
      <x:c r="A1034" s="177" t="str">
        <x:v>62.082.503/0001-00</x:v>
      </x:c>
      <x:c r="B1034" s="168" t="str">
        <x:v>AUGME 360 FUNDO DE INVESTIMENTO EM DIREITOS CREDITÓRIOS - RESP LIMITADA</x:v>
      </x:c>
      <x:c r="C1034" s="190" t="n">
        <x:v>110857383.12</x:v>
      </x:c>
      <x:c r="D1034" s="168" t="str">
        <x:v>AUGME CAPITAL GESTÃO DE RECURSOS LTDA.</x:v>
      </x:c>
      <x:c r="E1034" s="168" t="str">
        <x:f>IFERROR(INDEX('Classif Gestoras'!$H$6:$H$462,MATCH(D1034,'Classif Gestoras'!$A$6:$A$462,0)),"Não classificada")</x:f>
        <x:v>Independente</x:v>
      </x:c>
      <x:c r="F1034" s="168" t="str">
        <x:v>BTG Pactual Servicos Financeiros S/A DTVM</x:v>
      </x:c>
      <x:c r="G1034" s="168" t="str">
        <x:v>BANCO BTG PACTUAL S/A</x:v>
      </x:c>
      <x:c r="H1034" s="168" t="str">
        <x:v>Outros</x:v>
      </x:c>
      <x:c r="I1034" s="168" t="str">
        <x:v>Multicarteira Outros</x:v>
      </x:c>
      <x:c r="J1034" s="168" t="str">
        <x:v>CI</x:v>
      </x:c>
      <x:c r="K1034" s="174" t="n">
        <x:v>6</x:v>
      </x:c>
      <x:c r="L1034" s="187" t="str">
        <x:v>Proxy multicedente/multissacado — revisar</x:v>
      </x:c>
    </x:row>
    <x:row r="1035">
      <x:c r="A1035" s="177" t="str">
        <x:v>41.755.934/0001-10</x:v>
      </x:c>
      <x:c r="B1035" s="168" t="str">
        <x:v>FIDEM BANK FUNDO DE INVESTIMENTO EM DIREITOS CREDITÓRIOS</x:v>
      </x:c>
      <x:c r="C1035" s="190" t="n">
        <x:v>110784749.21</x:v>
      </x:c>
      <x:c r="D1035" s="168" t="str">
        <x:v>TERCON ASSET MANAGEMENT</x:v>
      </x:c>
      <x:c r="E1035" s="168" t="str">
        <x:f>IFERROR(INDEX('Classif Gestoras'!$H$6:$H$462,MATCH(D1035,'Classif Gestoras'!$A$6:$A$462,0)),"Não classificada")</x:f>
        <x:v>Independente</x:v>
      </x:c>
      <x:c r="F1035" s="168" t="str">
        <x:v>Singulare</x:v>
      </x:c>
      <x:c r="G1035" s="168" t="str">
        <x:v>QI CORRETORA DE TÍTULOS E VALORES MOBILIÁRIOS S.A.</x:v>
      </x:c>
      <x:c r="H1035" s="168" t="str">
        <x:v>Fomento Mercantil</x:v>
      </x:c>
      <x:c r="I1035" s="168" t="str">
        <x:v>Fomento Mercantil</x:v>
      </x:c>
      <x:c r="J1035" s="168" t="str">
        <x:v>CI</x:v>
      </x:c>
      <x:c r="K1035" s="174" t="n">
        <x:v>44</x:v>
      </x:c>
      <x:c r="L1035" s="187" t="str">
        <x:v>Não classificado</x:v>
      </x:c>
    </x:row>
    <x:row r="1036">
      <x:c r="A1036" s="177" t="str">
        <x:v>46.442.274/0001-31</x:v>
      </x:c>
      <x:c r="B1036" s="168" t="str">
        <x:v>FARM III FUNDO DE INVESTIMENTO EM DIREITOS CREDITÓRIOS RESPONSABILIDADE LIMITADA</x:v>
      </x:c>
      <x:c r="C1036" s="190" t="n">
        <x:v>110621524.2</x:v>
      </x:c>
      <x:c r="D1036" s="168" t="str">
        <x:v>Farmtech Gestão de Recursos Ltda.</x:v>
      </x:c>
      <x:c r="E1036" s="168" t="str">
        <x:f>IFERROR(INDEX('Classif Gestoras'!$H$6:$H$462,MATCH(D1036,'Classif Gestoras'!$A$6:$A$462,0)),"Não classificada")</x:f>
        <x:v>Independente</x:v>
      </x:c>
      <x:c r="F1036" s="168" t="str">
        <x:v>BTG Pactual Servicos Financeiros S/A DTVM</x:v>
      </x:c>
      <x:c r="G1036" s="168" t="str">
        <x:v>BANCO BTG PACTUAL S/A</x:v>
      </x:c>
      <x:c r="H1036" s="168" t="str">
        <x:v>Agro, Indústria e Comércio</x:v>
      </x:c>
      <x:c r="I1036" s="168" t="str">
        <x:v>Agronegócio</x:v>
      </x:c>
      <x:c r="J1036" s="168" t="str">
        <x:v>CI</x:v>
      </x:c>
      <x:c r="K1036" s="174" t="n">
        <x:v>107</x:v>
      </x:c>
      <x:c r="L1036" s="187" t="str">
        <x:v>Não classificado</x:v>
      </x:c>
    </x:row>
    <x:row r="1037">
      <x:c r="A1037" s="177" t="str">
        <x:v>50.118.274/0001-58</x:v>
      </x:c>
      <x:c r="B1037" s="168" t="str">
        <x:v>ATIVA FUNDO DE INVESTIMENTO EM DIREITOS CREDITÓRIOS NÃO PADRONIZADO</x:v>
      </x:c>
      <x:c r="C1037" s="190" t="n">
        <x:v>110336059.27</x:v>
      </x:c>
      <x:c r="D1037" s="168" t="str">
        <x:v>TERCON ASSET MANAGEMENT</x:v>
      </x:c>
      <x:c r="E1037" s="168" t="str">
        <x:f>IFERROR(INDEX('Classif Gestoras'!$H$6:$H$462,MATCH(D1037,'Classif Gestoras'!$A$6:$A$462,0)),"Não classificada")</x:f>
        <x:v>Independente</x:v>
      </x:c>
      <x:c r="F1037" s="168" t="str">
        <x:v>Limine Trust Distribuidora de Titulos e Valores Mobiliá</x:v>
      </x:c>
      <x:c r="G1037" s="168" t="str">
        <x:v>LIMINE TRUST DISTRIBUIDORA DE TITULOS E VALORES MOBILIARIOS LTDA.</x:v>
      </x:c>
      <x:c r="H1037" s="168" t="str">
        <x:v>Outros</x:v>
      </x:c>
      <x:c r="I1037" s="168" t="str">
        <x:v>Multicarteira Outros</x:v>
      </x:c>
      <x:c r="J1037" s="168" t="str">
        <x:v>CI</x:v>
      </x:c>
      <x:c r="K1037" s="174" t="n">
        <x:v>1</x:v>
      </x:c>
      <x:c r="L1037" s="187" t="str">
        <x:v>Proxy multicedente/multissacado — revisar</x:v>
      </x:c>
    </x:row>
    <x:row r="1038">
      <x:c r="A1038" s="177" t="str">
        <x:v>58.594.205/0001-22</x:v>
      </x:c>
      <x:c r="B1038" s="168" t="str">
        <x:v>EXA AGCN USD FUNDO DE INVESTIMENTO EM DIREITOS CREDITÓRIOS RESPONSABILIDADE LIMITADA</x:v>
      </x:c>
      <x:c r="C1038" s="190" t="n">
        <x:v>110240272.76</x:v>
      </x:c>
      <x:c r="D1038" s="168" t="str">
        <x:v>EXA CAPITAL ASSET</x:v>
      </x:c>
      <x:c r="E1038" s="168" t="str">
        <x:f>IFERROR(INDEX('Classif Gestoras'!$H$6:$H$462,MATCH(D1038,'Classif Gestoras'!$A$6:$A$462,0)),"Não classificada")</x:f>
        <x:v>Independente</x:v>
      </x:c>
      <x:c r="F1038" s="168" t="str">
        <x:v>BANCO DAYCOVAL S/A</x:v>
      </x:c>
      <x:c r="G1038" s="168" t="str">
        <x:v>BANCO DAYCOVAL S.A.</x:v>
      </x:c>
      <x:c r="H1038" s="168" t="str">
        <x:v>Agro, Indústria e Comércio</x:v>
      </x:c>
      <x:c r="I1038" s="168" t="str">
        <x:v>Multicarteira Agro, Indústria e Comércio</x:v>
      </x:c>
      <x:c r="J1038" s="168" t="str">
        <x:v>CI</x:v>
      </x:c>
      <x:c r="K1038" s="174" t="n">
        <x:v>7</x:v>
      </x:c>
      <x:c r="L1038" s="187" t="str">
        <x:v>Proxy multicedente/multissacado — revisar</x:v>
      </x:c>
    </x:row>
    <x:row r="1039">
      <x:c r="A1039" s="177" t="str">
        <x:v>51.628.065/0001-17</x:v>
      </x:c>
      <x:c r="B1039" s="168" t="str">
        <x:v>KYOMI RENDA FUNDO DE INVESTIMENTO EM DIREITOS CREDITÓRIOS</x:v>
      </x:c>
      <x:c r="C1039" s="190" t="n">
        <x:v>110218923.93999998</x:v>
      </x:c>
      <x:c r="D1039" s="168" t="str">
        <x:v>SUESTE CAPITAL GESTÃO DE RECURSOS LTDA.</x:v>
      </x:c>
      <x:c r="E1039" s="168" t="str">
        <x:f>IFERROR(INDEX('Classif Gestoras'!$H$6:$H$462,MATCH(D1039,'Classif Gestoras'!$A$6:$A$462,0)),"Não classificada")</x:f>
        <x:v>Independente</x:v>
      </x:c>
      <x:c r="F1039" s="168" t="str">
        <x:v>BANCO DAYCOVAL S/A</x:v>
      </x:c>
      <x:c r="G1039" s="168" t="str">
        <x:v>BANCO DAYCOVAL S.A.</x:v>
      </x:c>
      <x:c r="H1039" s="168" t="str">
        <x:v>Outros</x:v>
      </x:c>
      <x:c r="I1039" s="168" t="str">
        <x:v>Multicarteira Outros</x:v>
      </x:c>
      <x:c r="J1039" s="168" t="str">
        <x:v>CI</x:v>
      </x:c>
      <x:c r="K1039" s="174" t="n">
        <x:v>34</x:v>
      </x:c>
      <x:c r="L1039" s="187" t="str">
        <x:v>Proxy multicedente/multissacado — revisar</x:v>
      </x:c>
    </x:row>
    <x:row r="1040">
      <x:c r="A1040" s="177" t="str">
        <x:v>62.488.983/0001-04</x:v>
      </x:c>
      <x:c r="B1040" s="168" t="str">
        <x:v>CNPJ 62488983000104</x:v>
      </x:c>
      <x:c r="C1040" s="190" t="n">
        <x:v>110160636.84</x:v>
      </x:c>
      <x:c r="D1040" s="168" t="str">
        <x:v>4i Capital Ltda</x:v>
      </x:c>
      <x:c r="E1040" s="168" t="str">
        <x:f>IFERROR(INDEX('Classif Gestoras'!$H$6:$H$462,MATCH(D1040,'Classif Gestoras'!$A$6:$A$462,0)),"Não classificada")</x:f>
        <x:v>Independente</x:v>
      </x:c>
      <x:c r="F1040" s="168" t="str">
        <x:v>PLANNER CV</x:v>
      </x:c>
      <x:c r="G1040" s="168" t="str">
        <x:v>Não identificado</x:v>
      </x:c>
      <x:c r="H1040" s="168" t="str">
        <x:v>Outros</x:v>
      </x:c>
      <x:c r="I1040" s="168" t="str">
        <x:v>Multicarteira Outros</x:v>
      </x:c>
      <x:c r="J1040" s="168" t="str">
        <x:v>CI</x:v>
      </x:c>
      <x:c r="K1040" s="174"/>
      <x:c r="L1040" s="187" t="str">
        <x:v>Proxy multicedente/multissacado — revisar</x:v>
      </x:c>
    </x:row>
    <x:row r="1041">
      <x:c r="A1041" s="177" t="str">
        <x:v>55.013.574/0001-96</x:v>
      </x:c>
      <x:c r="B1041" s="168" t="str">
        <x:v>FUNDO DE INVESTIMENTO EM DIREITOS CREDITÓRIOS DE CONSÓRCIOS YELLOWSTONE - RESPONSABILIDADE LIMITADA</x:v>
      </x:c>
      <x:c r="C1041" s="190" t="n">
        <x:v>110076204.39</x:v>
      </x:c>
      <x:c r="D1041" s="168" t="str">
        <x:v>TERA CAPITAL</x:v>
      </x:c>
      <x:c r="E1041" s="168" t="str">
        <x:f>IFERROR(INDEX('Classif Gestoras'!$H$6:$H$462,MATCH(D1041,'Classif Gestoras'!$A$6:$A$462,0)),"Não classificada")</x:f>
        <x:v>Independente</x:v>
      </x:c>
      <x:c r="F1041" s="168" t="str">
        <x:v>BANCO DAYCOVAL S/A</x:v>
      </x:c>
      <x:c r="G1041" s="168" t="str">
        <x:v>BANCO DAYCOVAL S.A.</x:v>
      </x:c>
      <x:c r="H1041" s="168" t="str">
        <x:v>Financeiro</x:v>
      </x:c>
      <x:c r="I1041" s="168" t="str">
        <x:v>Multicarteira Financeiro</x:v>
      </x:c>
      <x:c r="J1041" s="168" t="str">
        <x:v>CI</x:v>
      </x:c>
      <x:c r="K1041" s="174" t="n">
        <x:v>13</x:v>
      </x:c>
      <x:c r="L1041" s="187" t="str">
        <x:v>Proxy multicedente/multissacado — revisar</x:v>
      </x:c>
    </x:row>
    <x:row r="1042">
      <x:c r="A1042" s="177" t="str">
        <x:v>17.013.985/0001-92</x:v>
      </x:c>
      <x:c r="B1042" s="168" t="str">
        <x:v>CNPJ 17013985000192</x:v>
      </x:c>
      <x:c r="C1042" s="190" t="n">
        <x:v>109898422.5</x:v>
      </x:c>
      <x:c r="D1042" s="168" t="str">
        <x:v>GRAPHEN INVESTIMENTOS</x:v>
      </x:c>
      <x:c r="E1042" s="168" t="str">
        <x:f>IFERROR(INDEX('Classif Gestoras'!$H$6:$H$462,MATCH(D1042,'Classif Gestoras'!$A$6:$A$462,0)),"Não classificada")</x:f>
        <x:v>Independente</x:v>
      </x:c>
      <x:c r="F1042" s="168" t="str">
        <x:v>Banvox DTVM</x:v>
      </x:c>
      <x:c r="G1042" s="168" t="str">
        <x:v>Não identificado</x:v>
      </x:c>
      <x:c r="H1042" s="168" t="str">
        <x:v>Outros</x:v>
      </x:c>
      <x:c r="I1042" s="168" t="str">
        <x:v>Multicarteira Outros</x:v>
      </x:c>
      <x:c r="J1042" s="168" t="str">
        <x:v>CI</x:v>
      </x:c>
      <x:c r="K1042" s="174"/>
      <x:c r="L1042" s="187" t="str">
        <x:v>Proxy multicedente/multissacado — revisar</x:v>
      </x:c>
    </x:row>
    <x:row r="1043">
      <x:c r="A1043" s="177" t="str">
        <x:v>62.800.819/0001-90</x:v>
      </x:c>
      <x:c r="B1043" s="168" t="str">
        <x:v>HOVERLA FUNDO DE INVESTIMENTO EM DIREITOS CREDITÓRIOS DE RECEBÍVEIS DE CARTÕES - RESP LIMITADA</x:v>
      </x:c>
      <x:c r="C1043" s="190" t="n">
        <x:v>109778358.65</x:v>
      </x:c>
      <x:c r="D1043" s="168" t="str">
        <x:v>BDR Asset</x:v>
      </x:c>
      <x:c r="E1043" s="168" t="str">
        <x:f>IFERROR(INDEX('Classif Gestoras'!$H$6:$H$462,MATCH(D1043,'Classif Gestoras'!$A$6:$A$462,0)),"Não classificada")</x:f>
        <x:v>Independente</x:v>
      </x:c>
      <x:c r="F1043" s="168" t="str">
        <x:v>BANCO DAYCOVAL S/A</x:v>
      </x:c>
      <x:c r="G1043" s="168" t="str">
        <x:v>BANCO DAYCOVAL S.A.</x:v>
      </x:c>
      <x:c r="H1043" s="168" t="str">
        <x:v>Outros</x:v>
      </x:c>
      <x:c r="I1043" s="168" t="str">
        <x:v>Multicarteira Outros</x:v>
      </x:c>
      <x:c r="J1043" s="168" t="str">
        <x:v>CI</x:v>
      </x:c>
      <x:c r="K1043" s="174" t="n">
        <x:v>11</x:v>
      </x:c>
      <x:c r="L1043" s="187" t="str">
        <x:v>Proxy multicedente/multissacado — revisar</x:v>
      </x:c>
    </x:row>
    <x:row r="1044">
      <x:c r="A1044" s="177" t="str">
        <x:v>53.270.792/0001-80</x:v>
      </x:c>
      <x:c r="B1044" s="168" t="str">
        <x:v>FUNDO DE INVESTIMENTO DIREITOS CREDITÓRIOS POUPACRED RESPONSABILIDADE ILIMITADA</x:v>
      </x:c>
      <x:c r="C1044" s="190" t="n">
        <x:v>109580357.92</x:v>
      </x:c>
      <x:c r="D1044" s="168" t="str">
        <x:v>Cultinvest Asset</x:v>
      </x:c>
      <x:c r="E1044" s="168" t="str">
        <x:f>IFERROR(INDEX('Classif Gestoras'!$H$6:$H$462,MATCH(D1044,'Classif Gestoras'!$A$6:$A$462,0)),"Não classificada")</x:f>
        <x:v>Independente</x:v>
      </x:c>
      <x:c r="F1044" s="168" t="str">
        <x:v>BANCO DAYCOVAL S/A</x:v>
      </x:c>
      <x:c r="G1044" s="168" t="str">
        <x:v>BANCO DAYCOVAL S.A.</x:v>
      </x:c>
      <x:c r="H1044" s="168" t="str">
        <x:v>Financeiro</x:v>
      </x:c>
      <x:c r="I1044" s="168" t="str">
        <x:v>Crédito Pessoal</x:v>
      </x:c>
      <x:c r="J1044" s="168" t="str">
        <x:v>CI</x:v>
      </x:c>
      <x:c r="K1044" s="174" t="n">
        <x:v>32</x:v>
      </x:c>
      <x:c r="L1044" s="187" t="str">
        <x:v>Não classificado</x:v>
      </x:c>
    </x:row>
    <x:row r="1045">
      <x:c r="A1045" s="177" t="str">
        <x:v>21.397.569/0001-02</x:v>
      </x:c>
      <x:c r="B1045" s="168" t="str">
        <x:v>FS FUNDO DE INVESTIMENTO EM DIREITOS CREDITÓRIOS NÃO PADRONIZADOS</x:v>
      </x:c>
      <x:c r="C1045" s="190" t="n">
        <x:v>109441144.36</x:v>
      </x:c>
      <x:c r="D1045" s="168" t="str">
        <x:v>TERCON ASSET MANAGEMENT</x:v>
      </x:c>
      <x:c r="E1045" s="168" t="str">
        <x:f>IFERROR(INDEX('Classif Gestoras'!$H$6:$H$462,MATCH(D1045,'Classif Gestoras'!$A$6:$A$462,0)),"Não classificada")</x:f>
        <x:v>Independente</x:v>
      </x:c>
      <x:c r="F1045" s="168" t="str">
        <x:v>Singulare</x:v>
      </x:c>
      <x:c r="G1045" s="168" t="str">
        <x:v>QI CORRETORA DE TÍTULOS E VALORES MOBILIÁRIOS S.A.</x:v>
      </x:c>
      <x:c r="H1045" s="168" t="str">
        <x:v>Fomento Mercantil</x:v>
      </x:c>
      <x:c r="I1045" s="168" t="str">
        <x:v>Fomento Mercantil</x:v>
      </x:c>
      <x:c r="J1045" s="168" t="str">
        <x:v>CI</x:v>
      </x:c>
      <x:c r="K1045" s="174" t="n">
        <x:v>2</x:v>
      </x:c>
      <x:c r="L1045" s="187" t="str">
        <x:v>Não classificado</x:v>
      </x:c>
    </x:row>
    <x:row r="1046">
      <x:c r="A1046" s="177" t="str">
        <x:v>54.794.448/0001-53</x:v>
      </x:c>
      <x:c r="B1046" s="168" t="str">
        <x:v>FUJI FUNDO DE INVESTIMENTO EM DIREITOS CREDITÓRIOS</x:v>
      </x:c>
      <x:c r="C1046" s="190" t="n">
        <x:v>109279719.59</x:v>
      </x:c>
      <x:c r="D1046" s="168" t="str">
        <x:v>Redwood Asset Management</x:v>
      </x:c>
      <x:c r="E1046" s="168" t="str">
        <x:f>IFERROR(INDEX('Classif Gestoras'!$H$6:$H$462,MATCH(D1046,'Classif Gestoras'!$A$6:$A$462,0)),"Não classificada")</x:f>
        <x:v>Independente</x:v>
      </x:c>
      <x:c r="F1046" s="168" t="str">
        <x:v>PLANNER CV</x:v>
      </x:c>
      <x:c r="G1046" s="168" t="str">
        <x:v>PLANNER CORRETORA DE VALORES S.A.</x:v>
      </x:c>
      <x:c r="H1046" s="168" t="str">
        <x:v>Outros</x:v>
      </x:c>
      <x:c r="I1046" s="168" t="str">
        <x:v>Multicarteira Outros</x:v>
      </x:c>
      <x:c r="J1046" s="168" t="str">
        <x:v>CI</x:v>
      </x:c>
      <x:c r="K1046" s="174" t="n">
        <x:v>4</x:v>
      </x:c>
      <x:c r="L1046" s="187" t="str">
        <x:v>Proxy multicedente/multissacado — revisar</x:v>
      </x:c>
    </x:row>
    <x:row r="1047">
      <x:c r="A1047" s="177" t="str">
        <x:v>53.210.273/0001-27</x:v>
      </x:c>
      <x:c r="B1047" s="168" t="str">
        <x:v>MARIS FUNDO DE INVESTIMENTO EM DIREITOS CREDITÓRIOS RESPONSABILIDADE LIMITADA</x:v>
      </x:c>
      <x:c r="C1047" s="190" t="n">
        <x:v>108895509.38</x:v>
      </x:c>
      <x:c r="D1047" s="168" t="str">
        <x:v>Lumina</x:v>
      </x:c>
      <x:c r="E1047" s="168" t="str">
        <x:f>IFERROR(INDEX('Classif Gestoras'!$H$6:$H$462,MATCH(D1047,'Classif Gestoras'!$A$6:$A$462,0)),"Não classificada")</x:f>
        <x:v>Independente</x:v>
      </x:c>
      <x:c r="F1047" s="168" t="str">
        <x:v>Singulare</x:v>
      </x:c>
      <x:c r="G1047" s="168" t="str">
        <x:v>QI CORRETORA DE TÍTULOS E VALORES MOBILIÁRIOS S.A.</x:v>
      </x:c>
      <x:c r="H1047" s="168" t="str">
        <x:v>Fomento Mercantil</x:v>
      </x:c>
      <x:c r="I1047" s="168" t="str">
        <x:v>Fomento Mercantil</x:v>
      </x:c>
      <x:c r="J1047" s="168" t="str">
        <x:v>CI</x:v>
      </x:c>
      <x:c r="K1047" s="174" t="n">
        <x:v>6</x:v>
      </x:c>
      <x:c r="L1047" s="187" t="str">
        <x:v>Não classificado</x:v>
      </x:c>
    </x:row>
    <x:row r="1048">
      <x:c r="A1048" s="177" t="str">
        <x:v>35.705.695/0001-91</x:v>
      </x:c>
      <x:c r="B1048" s="168" t="str">
        <x:v>PRECATO I FUNDO DE INVESTIMENTO EM DIREITOS CREDITORIOS DE RESPONSABILIDADE LIMITADA</x:v>
      </x:c>
      <x:c r="C1048" s="190" t="n">
        <x:v>108873731.45999998</x:v>
      </x:c>
      <x:c r="D1048" s="168" t="str">
        <x:v>TAG Investimentos</x:v>
      </x:c>
      <x:c r="E1048" s="168" t="str">
        <x:f>IFERROR(INDEX('Classif Gestoras'!$H$6:$H$462,MATCH(D1048,'Classif Gestoras'!$A$6:$A$462,0)),"Não classificada")</x:f>
        <x:v>Independente</x:v>
      </x:c>
      <x:c r="F1048" s="168" t="str">
        <x:v>VÓRTX DTVM</x:v>
      </x:c>
      <x:c r="G1048" s="168" t="str">
        <x:v>VORTX DISTRIBUIDORA DE TITULOS E VALORES MOBILIARIOS LTDA.</x:v>
      </x:c>
      <x:c r="H1048" s="168" t="str">
        <x:v>Outros</x:v>
      </x:c>
      <x:c r="I1048" s="168" t="str">
        <x:v>Poder Público</x:v>
      </x:c>
      <x:c r="J1048" s="168" t="str">
        <x:v>CI</x:v>
      </x:c>
      <x:c r="K1048" s="174" t="n">
        <x:v>9</x:v>
      </x:c>
      <x:c r="L1048" s="187" t="str">
        <x:v>Não classificado</x:v>
      </x:c>
    </x:row>
    <x:row r="1049">
      <x:c r="A1049" s="177" t="str">
        <x:v>53.109.835/0001-40</x:v>
      </x:c>
      <x:c r="B1049" s="168" t="str">
        <x:v>ALGARVE COFFEE II FUNDO DE INVESTIMENTO EM DIREITOS CREDITÓRIOS RESPONSABILIDADE LIMITADA</x:v>
      </x:c>
      <x:c r="C1049" s="190" t="n">
        <x:v>108865070.81</x:v>
      </x:c>
      <x:c r="D1049" s="168" t="str">
        <x:v>Algarve Capital</x:v>
      </x:c>
      <x:c r="E1049" s="168" t="str">
        <x:f>IFERROR(INDEX('Classif Gestoras'!$H$6:$H$462,MATCH(D1049,'Classif Gestoras'!$A$6:$A$462,0)),"Não classificada")</x:f>
        <x:v>Independente</x:v>
      </x:c>
      <x:c r="F1049" s="168" t="str">
        <x:v>BANCO DAYCOVAL S/A</x:v>
      </x:c>
      <x:c r="G1049" s="168" t="str">
        <x:v>BANCO DAYCOVAL S.A.</x:v>
      </x:c>
      <x:c r="H1049" s="168" t="str">
        <x:v>Outros</x:v>
      </x:c>
      <x:c r="I1049" s="168" t="str">
        <x:v>Multicarteira Outros</x:v>
      </x:c>
      <x:c r="J1049" s="168" t="str">
        <x:v>CI</x:v>
      </x:c>
      <x:c r="K1049" s="174" t="n">
        <x:v>3</x:v>
      </x:c>
      <x:c r="L1049" s="187" t="str">
        <x:v>Proxy multicedente/multissacado — revisar</x:v>
      </x:c>
    </x:row>
    <x:row r="1050">
      <x:c r="A1050" s="177" t="str">
        <x:v>28.065.416/0001-07</x:v>
      </x:c>
      <x:c r="B1050" s="168" t="str">
        <x:v>SERRANA FUNDO DE INVESTIMENTO EM DIREITOS CREDITÓRIOS</x:v>
      </x:c>
      <x:c r="C1050" s="190" t="n">
        <x:v>108763764.48</x:v>
      </x:c>
      <x:c r="D1050" s="168" t="str">
        <x:v>TERCON ASSET MANAGEMENT</x:v>
      </x:c>
      <x:c r="E1050" s="168" t="str">
        <x:f>IFERROR(INDEX('Classif Gestoras'!$H$6:$H$462,MATCH(D1050,'Classif Gestoras'!$A$6:$A$462,0)),"Não classificada")</x:f>
        <x:v>Independente</x:v>
      </x:c>
      <x:c r="F1050" s="168" t="str">
        <x:v>Qore DTVM</x:v>
      </x:c>
      <x:c r="G1050" s="168" t="str">
        <x:v>QORE DISTRIBUIDORA DE TÍTULOS E VALORES MOBILIÁRIOS LTDA.</x:v>
      </x:c>
      <x:c r="H1050" s="168" t="str">
        <x:v>Agro, Indústria e Comércio</x:v>
      </x:c>
      <x:c r="I1050" s="168" t="str">
        <x:v>Multicarteira Agro, Indústria e Comércio</x:v>
      </x:c>
      <x:c r="J1050" s="168" t="str">
        <x:v>CI</x:v>
      </x:c>
      <x:c r="K1050" s="174" t="n">
        <x:v>1</x:v>
      </x:c>
      <x:c r="L1050" s="187" t="str">
        <x:v>Proxy multicedente/multissacado — revisar</x:v>
      </x:c>
    </x:row>
    <x:row r="1051">
      <x:c r="A1051" s="177" t="str">
        <x:v>50.120.355/0001-92</x:v>
      </x:c>
      <x:c r="B1051" s="168" t="str">
        <x:v>GRIF ADVANCED FUNDO DE INVESTIMENTO EM DIREITOS CREDITÓRIOS DE RESPONSABILIDADE LIMITDA</x:v>
      </x:c>
      <x:c r="C1051" s="190" t="n">
        <x:v>108513980.3</x:v>
      </x:c>
      <x:c r="D1051" s="168" t="str">
        <x:v>GRIF CAPITAL</x:v>
      </x:c>
      <x:c r="E1051" s="168" t="str">
        <x:f>IFERROR(INDEX('Classif Gestoras'!$H$6:$H$462,MATCH(D1051,'Classif Gestoras'!$A$6:$A$462,0)),"Não classificada")</x:f>
        <x:v>Independente</x:v>
      </x:c>
      <x:c r="F1051" s="168" t="str">
        <x:v>VÓRTX DTVM</x:v>
      </x:c>
      <x:c r="G1051" s="168" t="str">
        <x:v>VORTX DISTRIBUIDORA DE TITULOS E VALORES MOBILIARIOS LTDA.</x:v>
      </x:c>
      <x:c r="H1051" s="168" t="str">
        <x:v>Outros</x:v>
      </x:c>
      <x:c r="I1051" s="168" t="str">
        <x:v>Multicarteira Outros</x:v>
      </x:c>
      <x:c r="J1051" s="168" t="str">
        <x:v>CI</x:v>
      </x:c>
      <x:c r="K1051" s="174" t="n">
        <x:v>4</x:v>
      </x:c>
      <x:c r="L1051" s="187" t="str">
        <x:v>Proxy multicedente/multissacado — revisar</x:v>
      </x:c>
    </x:row>
    <x:row r="1052">
      <x:c r="A1052" s="177" t="str">
        <x:v>52.549.758/0001-87</x:v>
      </x:c>
      <x:c r="B1052" s="168" t="str">
        <x:v>BOAZ FUNDO DE INVESTIMENTO EM DIREITOS CREDITÓRIOS DE RESPONSABILIDADE LIMITADA</x:v>
      </x:c>
      <x:c r="C1052" s="190" t="n">
        <x:v>108476037.3</x:v>
      </x:c>
      <x:c r="D1052" s="168" t="str">
        <x:v>Catálise Investimentos</x:v>
      </x:c>
      <x:c r="E1052" s="168" t="str">
        <x:f>IFERROR(INDEX('Classif Gestoras'!$H$6:$H$462,MATCH(D1052,'Classif Gestoras'!$A$6:$A$462,0)),"Não classificada")</x:f>
        <x:v>Independente</x:v>
      </x:c>
      <x:c r="F1052" s="168" t="str">
        <x:v>CATÁLISE DTVM</x:v>
      </x:c>
      <x:c r="G1052" s="168" t="str">
        <x:v>BANCO DAYCOVAL S.A.</x:v>
      </x:c>
      <x:c r="H1052" s="168" t="str">
        <x:v>Agro, Indústria e Comércio</x:v>
      </x:c>
      <x:c r="I1052" s="168" t="str">
        <x:v>Recebíveis Comerciais</x:v>
      </x:c>
      <x:c r="J1052" s="168" t="str">
        <x:v>CI</x:v>
      </x:c>
      <x:c r="K1052" s="174" t="n">
        <x:v>1</x:v>
      </x:c>
      <x:c r="L1052" s="187" t="str">
        <x:v>Não classificado</x:v>
      </x:c>
    </x:row>
    <x:row r="1053">
      <x:c r="A1053" s="177" t="str">
        <x:v>64.009.180/0001-55</x:v>
      </x:c>
      <x:c r="B1053" s="168" t="str">
        <x:v>ZILI CONSIG CLT - FUNDO DE INVESTIMENTO EM DIREITOS CREDITÓRIOS</x:v>
      </x:c>
      <x:c r="C1053" s="190" t="n">
        <x:v>108433686.23</x:v>
      </x:c>
      <x:c r="D1053" s="168" t="str">
        <x:v>POLÍGONO CAPITAL LTDA.</x:v>
      </x:c>
      <x:c r="E1053" s="168" t="str">
        <x:f>IFERROR(INDEX('Classif Gestoras'!$H$6:$H$462,MATCH(D1053,'Classif Gestoras'!$A$6:$A$462,0)),"Não classificada")</x:f>
        <x:v>Independente</x:v>
      </x:c>
      <x:c r="F1053" s="168" t="str">
        <x:v>Genial Investimentos Corretora de Valores Mobiliários S.A.</x:v>
      </x:c>
      <x:c r="G1053" s="168" t="str">
        <x:v>BANCO GENIAL S.A.</x:v>
      </x:c>
      <x:c r="H1053" s="168" t="str">
        <x:v>Financeiro</x:v>
      </x:c>
      <x:c r="I1053" s="168" t="str">
        <x:v>Crédito Consignado</x:v>
      </x:c>
      <x:c r="J1053" s="168" t="str">
        <x:v>CI</x:v>
      </x:c>
      <x:c r="K1053" s="174" t="n">
        <x:v>18</x:v>
      </x:c>
      <x:c r="L1053" s="187" t="str">
        <x:v>Não classificado</x:v>
      </x:c>
    </x:row>
    <x:row r="1054">
      <x:c r="A1054" s="177" t="str">
        <x:v>51.660.048/0001-67</x:v>
      </x:c>
      <x:c r="B1054" s="168" t="str">
        <x:v>APG FUNDO DE INVESTIMENTO EM DIREITOS CREDITÓRIOS DE RESPONSABILIDADE LIMITADA</x:v>
      </x:c>
      <x:c r="C1054" s="190" t="n">
        <x:v>108336279.95</x:v>
      </x:c>
      <x:c r="D1054" s="168" t="str">
        <x:v>ORRAM GESTÃO DE RECURSOS LTDA.</x:v>
      </x:c>
      <x:c r="E1054" s="168" t="str">
        <x:f>IFERROR(INDEX('Classif Gestoras'!$H$6:$H$462,MATCH(D1054,'Classif Gestoras'!$A$6:$A$462,0)),"Não classificada")</x:f>
        <x:v>Independente</x:v>
      </x:c>
      <x:c r="F1054" s="168" t="str">
        <x:v>Singulare</x:v>
      </x:c>
      <x:c r="G1054" s="168" t="str">
        <x:v>QI CORRETORA DE TÍTULOS E VALORES MOBILIÁRIOS S.A.</x:v>
      </x:c>
      <x:c r="H1054" s="168" t="str">
        <x:v>Fomento Mercantil</x:v>
      </x:c>
      <x:c r="I1054" s="168" t="str">
        <x:v>Fomento Mercantil</x:v>
      </x:c>
      <x:c r="J1054" s="168" t="str">
        <x:v>CI</x:v>
      </x:c>
      <x:c r="K1054" s="174" t="n">
        <x:v>40</x:v>
      </x:c>
      <x:c r="L1054" s="187" t="str">
        <x:v>Não classificado</x:v>
      </x:c>
    </x:row>
    <x:row r="1055">
      <x:c r="A1055" s="177" t="str">
        <x:v>50.790.524/0001-00</x:v>
      </x:c>
      <x:c r="B1055" s="168" t="str">
        <x:v>911 MULTIESTRATÉGIA FUNDO DE INVESTIMENTO EM DIREITOS CREDITÓRIOS</x:v>
      </x:c>
      <x:c r="C1055" s="190" t="n">
        <x:v>108165836.83999996</x:v>
      </x:c>
      <x:c r="D1055" s="168" t="str">
        <x:v>Menestys</x:v>
      </x:c>
      <x:c r="E1055" s="168" t="str">
        <x:f>IFERROR(INDEX('Classif Gestoras'!$H$6:$H$462,MATCH(D1055,'Classif Gestoras'!$A$6:$A$462,0)),"Não classificada")</x:f>
        <x:v>Independente</x:v>
      </x:c>
      <x:c r="F1055" s="168" t="str">
        <x:v>Limine Trust Distribuidora de Titulos e Valores Mobiliá</x:v>
      </x:c>
      <x:c r="G1055" s="168" t="str">
        <x:v>LIMINE TRUST DISTRIBUIDORA DE TITULOS E VALORES MOBILIARIOS LTDA.</x:v>
      </x:c>
      <x:c r="H1055" s="168" t="str">
        <x:v>Fomento Mercantil</x:v>
      </x:c>
      <x:c r="I1055" s="168" t="str">
        <x:v>Fomento Mercantil</x:v>
      </x:c>
      <x:c r="J1055" s="168" t="str">
        <x:v>CI</x:v>
      </x:c>
      <x:c r="K1055" s="174" t="n">
        <x:v>26</x:v>
      </x:c>
      <x:c r="L1055" s="187" t="str">
        <x:v>Não classificado</x:v>
      </x:c>
    </x:row>
    <x:row r="1056">
      <x:c r="A1056" s="177" t="str">
        <x:v>37.608.798/0001-69</x:v>
      </x:c>
      <x:c r="B1056" s="168" t="str">
        <x:v>OG CRED FUNDO DE INVESTIMENTO EM DIREITOS CREDITORIOS</x:v>
      </x:c>
      <x:c r="C1056" s="190" t="n">
        <x:v>107898567.15</x:v>
      </x:c>
      <x:c r="D1056" s="168" t="str">
        <x:v>Libertas Asset</x:v>
      </x:c>
      <x:c r="E1056" s="168" t="str">
        <x:f>IFERROR(INDEX('Classif Gestoras'!$H$6:$H$462,MATCH(D1056,'Classif Gestoras'!$A$6:$A$462,0)),"Não classificada")</x:f>
        <x:v>Independente</x:v>
      </x:c>
      <x:c r="F1056" s="168" t="str">
        <x:v>ACTUAL DTVM</x:v>
      </x:c>
      <x:c r="G1056" s="168" t="str">
        <x:v>LASTRO RDV DTVM LTDA</x:v>
      </x:c>
      <x:c r="H1056" s="168" t="str">
        <x:v>Fomento Mercantil</x:v>
      </x:c>
      <x:c r="I1056" s="168" t="str">
        <x:v>Fomento Mercantil</x:v>
      </x:c>
      <x:c r="J1056" s="168" t="str">
        <x:v>CI</x:v>
      </x:c>
      <x:c r="K1056" s="174" t="n">
        <x:v>4</x:v>
      </x:c>
      <x:c r="L1056" s="187" t="str">
        <x:v>Não classificado</x:v>
      </x:c>
    </x:row>
    <x:row r="1057">
      <x:c r="A1057" s="177" t="str">
        <x:v>61.868.687/0001-76</x:v>
      </x:c>
      <x:c r="B1057" s="168" t="str">
        <x:v>TNB FUNDO DE INVESTIMENTO EM DIREITOS CREDITÓRIOS RESPONSABILIDADE LIMITADA</x:v>
      </x:c>
      <x:c r="C1057" s="190" t="n">
        <x:v>107891389.04</x:v>
      </x:c>
      <x:c r="D1057" s="168" t="str">
        <x:v>POLÍGONO CAPITAL LTDA.</x:v>
      </x:c>
      <x:c r="E1057" s="168" t="str">
        <x:f>IFERROR(INDEX('Classif Gestoras'!$H$6:$H$462,MATCH(D1057,'Classif Gestoras'!$A$6:$A$462,0)),"Não classificada")</x:f>
        <x:v>Independente</x:v>
      </x:c>
      <x:c r="F1057" s="168" t="str">
        <x:v>BTG Pactual Servicos Financeiros S/A DTVM</x:v>
      </x:c>
      <x:c r="G1057" s="168" t="str">
        <x:v>BANCO BTG PACTUAL S/A</x:v>
      </x:c>
      <x:c r="H1057" s="168" t="str">
        <x:v>Financeiro</x:v>
      </x:c>
      <x:c r="I1057" s="168" t="str">
        <x:v>Crédito Consignado</x:v>
      </x:c>
      <x:c r="J1057" s="168" t="str">
        <x:v>CI</x:v>
      </x:c>
      <x:c r="K1057" s="174" t="n">
        <x:v>22</x:v>
      </x:c>
      <x:c r="L1057" s="187" t="str">
        <x:v>Não classificado</x:v>
      </x:c>
    </x:row>
    <x:row r="1058">
      <x:c r="A1058" s="177" t="str">
        <x:v>10.842.374/0001-08</x:v>
      </x:c>
      <x:c r="B1058" s="168" t="str">
        <x:v>MÚLTIPLO - FUNDO DE INVESTIMENTO EM DIREITOS CREDITÓRIOS NÃO-PADRONIZADOS MULTISSETORIAL</x:v>
      </x:c>
      <x:c r="C1058" s="190" t="n">
        <x:v>107805998.28</x:v>
      </x:c>
      <x:c r="D1058" s="168" t="str">
        <x:v>Real Capital Partners Ltda</x:v>
      </x:c>
      <x:c r="E1058" s="168" t="str">
        <x:f>IFERROR(INDEX('Classif Gestoras'!$H$6:$H$462,MATCH(D1058,'Classif Gestoras'!$A$6:$A$462,0)),"Não classificada")</x:f>
        <x:v>Independente</x:v>
      </x:c>
      <x:c r="F1058" s="168" t="str">
        <x:v>Singulare</x:v>
      </x:c>
      <x:c r="G1058" s="168" t="str">
        <x:v>QI CORRETORA DE TÍTULOS E VALORES MOBILIÁRIOS S.A.</x:v>
      </x:c>
      <x:c r="H1058" s="168" t="str">
        <x:v>Fomento Mercantil</x:v>
      </x:c>
      <x:c r="I1058" s="168" t="str">
        <x:v>Fomento Mercantil</x:v>
      </x:c>
      <x:c r="J1058" s="168" t="str">
        <x:v>CI</x:v>
      </x:c>
      <x:c r="K1058" s="174" t="n">
        <x:v>4</x:v>
      </x:c>
      <x:c r="L1058" s="187" t="str">
        <x:v>Não classificado</x:v>
      </x:c>
    </x:row>
    <x:row r="1059">
      <x:c r="A1059" s="177" t="str">
        <x:v>24.290.695/0001-51</x:v>
      </x:c>
      <x:c r="B1059" s="168" t="str">
        <x:v>VALECRED FUNDO DE INVESTIMENTO EM DIREITOS CREDITÓRIOS</x:v>
      </x:c>
      <x:c r="C1059" s="190" t="n">
        <x:v>107677888.41</x:v>
      </x:c>
      <x:c r="D1059" s="168" t="str">
        <x:v>TERCON ASSET MANAGEMENT</x:v>
      </x:c>
      <x:c r="E1059" s="168" t="str">
        <x:f>IFERROR(INDEX('Classif Gestoras'!$H$6:$H$462,MATCH(D1059,'Classif Gestoras'!$A$6:$A$462,0)),"Não classificada")</x:f>
        <x:v>Independente</x:v>
      </x:c>
      <x:c r="F1059" s="168" t="str">
        <x:v>Singulare</x:v>
      </x:c>
      <x:c r="G1059" s="168" t="str">
        <x:v>QI CORRETORA DE TÍTULOS E VALORES MOBILIÁRIOS S.A.</x:v>
      </x:c>
      <x:c r="H1059" s="168" t="str">
        <x:v>Fomento Mercantil</x:v>
      </x:c>
      <x:c r="I1059" s="168" t="str">
        <x:v>Fomento Mercantil</x:v>
      </x:c>
      <x:c r="J1059" s="168" t="str">
        <x:v>CI</x:v>
      </x:c>
      <x:c r="K1059" s="174" t="n">
        <x:v>25</x:v>
      </x:c>
      <x:c r="L1059" s="187" t="str">
        <x:v>Não classificado</x:v>
      </x:c>
    </x:row>
    <x:row r="1060">
      <x:c r="A1060" s="177" t="str">
        <x:v>51.269.670/0001-49</x:v>
      </x:c>
      <x:c r="B1060" s="168" t="str">
        <x:v>BRAM HIGH YIELD FUNDO DE INVESTIMENTO EM DIREITOS CREDITÓRIOS III - RESP LIMITADA</x:v>
      </x:c>
      <x:c r="C1060" s="190" t="n">
        <x:v>107656145.16999996</x:v>
      </x:c>
      <x:c r="D1060" s="168" t="str">
        <x:v>Banco Bradesco S/A</x:v>
      </x:c>
      <x:c r="E1060" s="168" t="str">
        <x:f>IFERROR(INDEX('Classif Gestoras'!$H$6:$H$462,MATCH(D1060,'Classif Gestoras'!$A$6:$A$462,0)),"Não classificada")</x:f>
        <x:v>Ligada a banco</x:v>
      </x:c>
      <x:c r="F1060" s="168" t="str">
        <x:v>BEM - DIST. DE TÍTUL</x:v>
      </x:c>
      <x:c r="G1060" s="168" t="str">
        <x:v>BANCO BRADESCO S.A.</x:v>
      </x:c>
      <x:c r="H1060" s="168" t="str">
        <x:v>Outros</x:v>
      </x:c>
      <x:c r="I1060" s="168" t="str">
        <x:v>Multicarteira Outros</x:v>
      </x:c>
      <x:c r="J1060" s="168" t="str">
        <x:v>CI</x:v>
      </x:c>
      <x:c r="K1060" s="174" t="n">
        <x:v>2</x:v>
      </x:c>
      <x:c r="L1060" s="187" t="str">
        <x:v>Proxy multicedente/multissacado — revisar</x:v>
      </x:c>
    </x:row>
    <x:row r="1061">
      <x:c r="A1061" s="177" t="str">
        <x:v>52.203.615/0001-19</x:v>
      </x:c>
      <x:c r="B1061" s="168" t="str">
        <x:v>AMETISTA CONSIGNADO II FUNDO DE INVESTIMENTO EM DIREITOS CREDITÓRIOS RESPONSABILIDADE LIMITADA</x:v>
      </x:c>
      <x:c r="C1061" s="190" t="n">
        <x:v>107434694.16</x:v>
      </x:c>
      <x:c r="D1061" s="168" t="str">
        <x:v>FICTOR ASSET</x:v>
      </x:c>
      <x:c r="E1061" s="168" t="str">
        <x:f>IFERROR(INDEX('Classif Gestoras'!$H$6:$H$462,MATCH(D1061,'Classif Gestoras'!$A$6:$A$462,0)),"Não classificada")</x:f>
        <x:v>Independente</x:v>
      </x:c>
      <x:c r="F1061" s="168" t="str">
        <x:v>VÓRTX DTVM</x:v>
      </x:c>
      <x:c r="G1061" s="168" t="str">
        <x:v>QORE DISTRIBUIDORA DE TÍTULOS E VALORES MOBILIÁRIOS LTDA.</x:v>
      </x:c>
      <x:c r="H1061" s="168" t="str">
        <x:v>Outros</x:v>
      </x:c>
      <x:c r="I1061" s="168" t="str">
        <x:v>Multicarteira Outros</x:v>
      </x:c>
      <x:c r="J1061" s="168" t="str">
        <x:v>CI</x:v>
      </x:c>
      <x:c r="K1061" s="174" t="n">
        <x:v>3</x:v>
      </x:c>
      <x:c r="L1061" s="187" t="str">
        <x:v>Proxy multicedente/multissacado — revisar</x:v>
      </x:c>
    </x:row>
    <x:row r="1062">
      <x:c r="A1062" s="177" t="str">
        <x:v>57.690.544/0001-40</x:v>
      </x:c>
      <x:c r="B1062" s="168" t="str">
        <x:v>RED NPL FUNDO DE INVESTIMENTO EM DIREITOS CREDITÓRIOS MULTISEGMENTOS - RESPONSABILIDADE LIMITADA</x:v>
      </x:c>
      <x:c r="C1062" s="190" t="n">
        <x:v>107093323.17</x:v>
      </x:c>
      <x:c r="D1062" s="168" t="str">
        <x:v>Solis</x:v>
      </x:c>
      <x:c r="E1062" s="168" t="str">
        <x:f>IFERROR(INDEX('Classif Gestoras'!$H$6:$H$462,MATCH(D1062,'Classif Gestoras'!$A$6:$A$462,0)),"Não classificada")</x:f>
        <x:v>Independente</x:v>
      </x:c>
      <x:c r="F1062" s="168" t="str">
        <x:v>HEMERA DTVM</x:v>
      </x:c>
      <x:c r="G1062" s="168" t="str">
        <x:v>HEMERA DISTRIBUIDORA DE TITULOS E VALORES MOBILIARIOS LTDA</x:v>
      </x:c>
      <x:c r="H1062" s="168" t="str">
        <x:v>Outros</x:v>
      </x:c>
      <x:c r="I1062" s="168" t="str">
        <x:v>Multicarteira Outros</x:v>
      </x:c>
      <x:c r="J1062" s="168" t="str">
        <x:v>CI</x:v>
      </x:c>
      <x:c r="K1062" s="174" t="n">
        <x:v>3</x:v>
      </x:c>
      <x:c r="L1062" s="187" t="str">
        <x:v>Proxy multicedente/multissacado — revisar</x:v>
      </x:c>
    </x:row>
    <x:row r="1063">
      <x:c r="A1063" s="177" t="str">
        <x:v>47.410.075/0001-04</x:v>
      </x:c>
      <x:c r="B1063" s="168" t="str">
        <x:v>COMPASS HIGH YIELD ESTRATÉGIAS FI EM DIREITOS CREDITÓRIOS RESPONSABILIDADE LIMITADA</x:v>
      </x:c>
      <x:c r="C1063" s="190" t="n">
        <x:v>106987897.62</x:v>
      </x:c>
      <x:c r="D1063" s="168" t="str">
        <x:v>Vinci CG Gestora de Recursos Ltda</x:v>
      </x:c>
      <x:c r="E1063" s="168" t="str">
        <x:f>IFERROR(INDEX('Classif Gestoras'!$H$6:$H$462,MATCH(D1063,'Classif Gestoras'!$A$6:$A$462,0)),"Não classificada")</x:f>
        <x:v>Independente</x:v>
      </x:c>
      <x:c r="F1063" s="168" t="str">
        <x:v>BTG Pactual Servicos Financeiros S/A DTVM</x:v>
      </x:c>
      <x:c r="G1063" s="168" t="str">
        <x:v>BANCO BTG PACTUAL S/A</x:v>
      </x:c>
      <x:c r="H1063" s="168" t="str">
        <x:v>Outros</x:v>
      </x:c>
      <x:c r="I1063" s="168" t="str">
        <x:v>Multicarteira Outros</x:v>
      </x:c>
      <x:c r="J1063" s="168" t="str">
        <x:v>CIPC</x:v>
      </x:c>
      <x:c r="K1063" s="174" t="n">
        <x:v>1</x:v>
      </x:c>
      <x:c r="L1063" s="187" t="str">
        <x:v>Proxy multicedente/multissacado — revisar</x:v>
      </x:c>
    </x:row>
    <x:row r="1064">
      <x:c r="A1064" s="177" t="str">
        <x:v>44.674.270/0001-53</x:v>
      </x:c>
      <x:c r="B1064" s="168" t="str">
        <x:v>ALUME FUNDO DE INVESTIMENTO EM DIREITOS CREDITÓRIOS - RESPONSABILIDADE LIMITADA</x:v>
      </x:c>
      <x:c r="C1064" s="190" t="n">
        <x:v>106467174.37</x:v>
      </x:c>
      <x:c r="D1064" s="168" t="str">
        <x:v>Quatá Investimentos</x:v>
      </x:c>
      <x:c r="E1064" s="168" t="str">
        <x:f>IFERROR(INDEX('Classif Gestoras'!$H$6:$H$462,MATCH(D1064,'Classif Gestoras'!$A$6:$A$462,0)),"Não classificada")</x:f>
        <x:v>Independente</x:v>
      </x:c>
      <x:c r="F1064" s="168" t="str">
        <x:v>Oliveira Trust DTVM</x:v>
      </x:c>
      <x:c r="G1064" s="168" t="str">
        <x:v>OLIVEIRA TRUST DTVM S.A.</x:v>
      </x:c>
      <x:c r="H1064" s="168" t="str">
        <x:v>Financeiro</x:v>
      </x:c>
      <x:c r="I1064" s="168" t="str">
        <x:v>Crédito Pessoal</x:v>
      </x:c>
      <x:c r="J1064" s="168" t="str">
        <x:v>CI</x:v>
      </x:c>
      <x:c r="K1064" s="174" t="n">
        <x:v>85</x:v>
      </x:c>
      <x:c r="L1064" s="187" t="str">
        <x:v>Não classificado</x:v>
      </x:c>
    </x:row>
    <x:row r="1065">
      <x:c r="A1065" s="177" t="str">
        <x:v>54.008.688/0001-85</x:v>
      </x:c>
      <x:c r="B1065" s="168" t="str">
        <x:v>MARAJÓ FIDC - SEGMENTO FINANCEIRO E COMERCIAL - RESPONSABILIDADE LIMITADA</x:v>
      </x:c>
      <x:c r="C1065" s="190" t="n">
        <x:v>106295291.28</x:v>
      </x:c>
      <x:c r="D1065" s="168" t="str">
        <x:v>DAYCOVAL ASSET MANAG</x:v>
      </x:c>
      <x:c r="E1065" s="168" t="str">
        <x:f>IFERROR(INDEX('Classif Gestoras'!$H$6:$H$462,MATCH(D1065,'Classif Gestoras'!$A$6:$A$462,0)),"Não classificada")</x:f>
        <x:v>Ligada a banco</x:v>
      </x:c>
      <x:c r="F1065" s="168" t="str">
        <x:v>BANCO DAYCOVAL S/A</x:v>
      </x:c>
      <x:c r="G1065" s="168" t="str">
        <x:v>BANCO DAYCOVAL S.A.</x:v>
      </x:c>
      <x:c r="H1065" s="168" t="str">
        <x:v>Agro, Indústria e Comércio</x:v>
      </x:c>
      <x:c r="I1065" s="168" t="str">
        <x:v>Recebíveis Comerciais</x:v>
      </x:c>
      <x:c r="J1065" s="168" t="str">
        <x:v>CI</x:v>
      </x:c>
      <x:c r="K1065" s="174" t="n">
        <x:v>6</x:v>
      </x:c>
      <x:c r="L1065" s="187" t="str">
        <x:v>Não classificado</x:v>
      </x:c>
    </x:row>
    <x:row r="1066">
      <x:c r="A1066" s="177" t="str">
        <x:v>64.989.111/0001-55</x:v>
      </x:c>
      <x:c r="B1066" s="168" t="str">
        <x:v>ITAÚ APALACHES SPECIALE PRIVATE MARKETS FIDC RESPONSABILIDADE LIMITADA</x:v>
      </x:c>
      <x:c r="C1066" s="190" t="n">
        <x:v>106266326.07</x:v>
      </x:c>
      <x:c r="D1066" s="168" t="str">
        <x:v>ITAU ASSET</x:v>
      </x:c>
      <x:c r="E1066" s="168" t="str">
        <x:f>IFERROR(INDEX('Classif Gestoras'!$H$6:$H$462,MATCH(D1066,'Classif Gestoras'!$A$6:$A$462,0)),"Não classificada")</x:f>
        <x:v>Ligada a banco</x:v>
      </x:c>
      <x:c r="F1066" s="168" t="str">
        <x:v>INTRAG DIST. DE TÍTU</x:v>
      </x:c>
      <x:c r="G1066" s="168" t="str">
        <x:v>ITAU UNIBANCO S.A.</x:v>
      </x:c>
      <x:c r="H1066" s="168" t="str">
        <x:v>Outros</x:v>
      </x:c>
      <x:c r="I1066" s="168" t="str">
        <x:v>Multicarteira Outros</x:v>
      </x:c>
      <x:c r="J1066" s="168" t="str">
        <x:v>CIPC</x:v>
      </x:c>
      <x:c r="K1066" s="174" t="n">
        <x:v>1</x:v>
      </x:c>
      <x:c r="L1066" s="187" t="str">
        <x:v>Proxy multicedente/multissacado — revisar</x:v>
      </x:c>
    </x:row>
    <x:row r="1067">
      <x:c r="A1067" s="177" t="str">
        <x:v>53.164.551/0001-57</x:v>
      </x:c>
      <x:c r="B1067" s="168" t="str">
        <x:v>PRIME PLUS FUNDO DE INVESTIMENTO EM DIREITOS CREDITÓRIOS RESPONSABILIDADE LIMITADA</x:v>
      </x:c>
      <x:c r="C1067" s="190" t="n">
        <x:v>106158622.82999998</x:v>
      </x:c>
      <x:c r="D1067" s="168" t="str">
        <x:v>Veritas Capital Management</x:v>
      </x:c>
      <x:c r="E1067" s="168" t="str">
        <x:f>IFERROR(INDEX('Classif Gestoras'!$H$6:$H$462,MATCH(D1067,'Classif Gestoras'!$A$6:$A$462,0)),"Não classificada")</x:f>
        <x:v>Independente</x:v>
      </x:c>
      <x:c r="F1067" s="168" t="str">
        <x:v>Singulare</x:v>
      </x:c>
      <x:c r="G1067" s="168" t="str">
        <x:v>QI CORRETORA DE TÍTULOS E VALORES MOBILIÁRIOS S.A.</x:v>
      </x:c>
      <x:c r="H1067" s="168" t="str">
        <x:v>Fomento Mercantil</x:v>
      </x:c>
      <x:c r="I1067" s="168" t="str">
        <x:v>Fomento Mercantil</x:v>
      </x:c>
      <x:c r="J1067" s="168" t="str">
        <x:v>CI</x:v>
      </x:c>
      <x:c r="K1067" s="174" t="n">
        <x:v>29</x:v>
      </x:c>
      <x:c r="L1067" s="187" t="str">
        <x:v>Não classificado</x:v>
      </x:c>
    </x:row>
    <x:row r="1068">
      <x:c r="A1068" s="177" t="str">
        <x:v>49.815.454/0001-00</x:v>
      </x:c>
      <x:c r="B1068" s="168" t="str">
        <x:v>AMADEUS FUNDO DE INVESTIMENTO EM DIREITOS CREDITÓRIOS</x:v>
      </x:c>
      <x:c r="C1068" s="190" t="n">
        <x:v>106120513.73</x:v>
      </x:c>
      <x:c r="D1068" s="168" t="str">
        <x:v>Multiplica Capital</x:v>
      </x:c>
      <x:c r="E1068" s="168" t="str">
        <x:f>IFERROR(INDEX('Classif Gestoras'!$H$6:$H$462,MATCH(D1068,'Classif Gestoras'!$A$6:$A$462,0)),"Não classificada")</x:f>
        <x:v>Independente</x:v>
      </x:c>
      <x:c r="F1068" s="168" t="str">
        <x:v>Singulare</x:v>
      </x:c>
      <x:c r="G1068" s="168" t="str">
        <x:v>QI CORRETORA DE TÍTULOS E VALORES MOBILIÁRIOS S.A.</x:v>
      </x:c>
      <x:c r="H1068" s="168" t="str">
        <x:v>Fomento Mercantil</x:v>
      </x:c>
      <x:c r="I1068" s="168" t="str">
        <x:v>Fomento Mercantil</x:v>
      </x:c>
      <x:c r="J1068" s="168" t="str">
        <x:v>CI</x:v>
      </x:c>
      <x:c r="K1068" s="174" t="n">
        <x:v>39</x:v>
      </x:c>
      <x:c r="L1068" s="187" t="str">
        <x:v>Não classificado</x:v>
      </x:c>
    </x:row>
    <x:row r="1069">
      <x:c r="A1069" s="177" t="str">
        <x:v>55.847.499/0001-69</x:v>
      </x:c>
      <x:c r="B1069" s="168" t="str">
        <x:v>SIZE FÁCIL FUNDO DE INVESTIMENTO EM DIREITOS CREDITÓRIOS - RESPONSABILIDADE LIMITADA</x:v>
      </x:c>
      <x:c r="C1069" s="190" t="n">
        <x:v>106105197.01</x:v>
      </x:c>
      <x:c r="D1069" s="168" t="str">
        <x:v>Solis</x:v>
      </x:c>
      <x:c r="E1069" s="168" t="str">
        <x:f>IFERROR(INDEX('Classif Gestoras'!$H$6:$H$462,MATCH(D1069,'Classif Gestoras'!$A$6:$A$462,0)),"Não classificada")</x:f>
        <x:v>Independente</x:v>
      </x:c>
      <x:c r="F1069" s="168" t="str">
        <x:v>HEMERA DTVM</x:v>
      </x:c>
      <x:c r="G1069" s="168" t="str">
        <x:v>HEMERA DISTRIBUIDORA DE TITULOS E VALORES MOBILIARIOS LTDA</x:v>
      </x:c>
      <x:c r="H1069" s="168" t="str">
        <x:v>Outros</x:v>
      </x:c>
      <x:c r="I1069" s="168" t="str">
        <x:v>Multicarteira Outros</x:v>
      </x:c>
      <x:c r="J1069" s="168" t="str">
        <x:v>CI</x:v>
      </x:c>
      <x:c r="K1069" s="174" t="n">
        <x:v>3</x:v>
      </x:c>
      <x:c r="L1069" s="187" t="str">
        <x:v>Proxy multicedente/multissacado — revisar</x:v>
      </x:c>
    </x:row>
    <x:row r="1070">
      <x:c r="A1070" s="177" t="str">
        <x:v>10.996.108/0001-30</x:v>
      </x:c>
      <x:c r="B1070" s="168" t="str">
        <x:v>FUNDO DE INVESTIMENTO EM DIREITOS CREDITÓRIOS NÃO-PADRONIZADOS - RECUPERARE</x:v>
      </x:c>
      <x:c r="C1070" s="190" t="n">
        <x:v>106079693.74</x:v>
      </x:c>
      <x:c r="D1070" s="168" t="str">
        <x:v>G5 Adm. de Recursos</x:v>
      </x:c>
      <x:c r="E1070" s="168" t="str">
        <x:f>IFERROR(INDEX('Classif Gestoras'!$H$6:$H$462,MATCH(D1070,'Classif Gestoras'!$A$6:$A$462,0)),"Não classificada")</x:f>
        <x:v>Independente</x:v>
      </x:c>
      <x:c r="F1070" s="168" t="str">
        <x:v>Singulare</x:v>
      </x:c>
      <x:c r="G1070" s="168" t="str">
        <x:v>QI CORRETORA DE TÍTULOS E VALORES MOBILIÁRIOS S.A.</x:v>
      </x:c>
      <x:c r="H1070" s="168" t="str">
        <x:v>Outros</x:v>
      </x:c>
      <x:c r="I1070" s="168" t="str">
        <x:v>Multicarteira Outros</x:v>
      </x:c>
      <x:c r="J1070" s="168" t="str">
        <x:v>CI</x:v>
      </x:c>
      <x:c r="K1070" s="174" t="n">
        <x:v>3</x:v>
      </x:c>
      <x:c r="L1070" s="187" t="str">
        <x:v>Proxy multicedente/multissacado — revisar</x:v>
      </x:c>
    </x:row>
    <x:row r="1071">
      <x:c r="A1071" s="177" t="str">
        <x:v>17.198.452/0001-22</x:v>
      </x:c>
      <x:c r="B1071" s="168" t="str">
        <x:v>REAL TIME PADRONIZADO FUNDO DE INVESTIMENTO EM DIREITOS CREDITÓRIOS MULTISEGMENTOS</x:v>
      </x:c>
      <x:c r="C1071" s="190" t="n">
        <x:v>106032166.68</x:v>
      </x:c>
      <x:c r="D1071" s="168" t="str">
        <x:v>M8 Partners</x:v>
      </x:c>
      <x:c r="E1071" s="168" t="str">
        <x:f>IFERROR(INDEX('Classif Gestoras'!$H$6:$H$462,MATCH(D1071,'Classif Gestoras'!$A$6:$A$462,0)),"Não classificada")</x:f>
        <x:v>Independente</x:v>
      </x:c>
      <x:c r="F1071" s="168" t="str">
        <x:v>Finaxis Corretora de Títulos e Valores Mobiliários S.A.</x:v>
      </x:c>
      <x:c r="G1071" s="168" t="str">
        <x:v>BANCO FINAXIS S.A.</x:v>
      </x:c>
      <x:c r="H1071" s="168" t="str">
        <x:v>Fomento Mercantil</x:v>
      </x:c>
      <x:c r="I1071" s="168" t="str">
        <x:v>Fomento Mercantil</x:v>
      </x:c>
      <x:c r="J1071" s="168" t="str">
        <x:v>CI</x:v>
      </x:c>
      <x:c r="K1071" s="174" t="n">
        <x:v>21</x:v>
      </x:c>
      <x:c r="L1071" s="187" t="str">
        <x:v>Não classificado</x:v>
      </x:c>
    </x:row>
    <x:row r="1072">
      <x:c r="A1072" s="177" t="str">
        <x:v>34.599.321/0001-76</x:v>
      </x:c>
      <x:c r="B1072" s="168" t="str">
        <x:v>ALL RISCKS FUNDO DE INVESTIMENTO EM DIREITOS CREDITÓRIOS NÃO PADRONIZADO</x:v>
      </x:c>
      <x:c r="C1072" s="190" t="n">
        <x:v>106011176.9</x:v>
      </x:c>
      <x:c r="D1072" s="168" t="str">
        <x:v>GESTORA DE RECURSOS ID - GRID LTDA.</x:v>
      </x:c>
      <x:c r="E1072" s="168" t="str">
        <x:f>IFERROR(INDEX('Classif Gestoras'!$H$6:$H$462,MATCH(D1072,'Classif Gestoras'!$A$6:$A$462,0)),"Não classificada")</x:f>
        <x:v>Independente</x:v>
      </x:c>
      <x:c r="F1072" s="168" t="str">
        <x:v>ID Corretora de Títulos e Valores Mobiliários S.A.</x:v>
      </x:c>
      <x:c r="G1072" s="168" t="str">
        <x:v>ID CORRETORA DE TITULOS E VALORES MOBILIARIOS S.A.</x:v>
      </x:c>
      <x:c r="H1072" s="168" t="str">
        <x:v>Outros</x:v>
      </x:c>
      <x:c r="I1072" s="168" t="str">
        <x:v>Poder Público</x:v>
      </x:c>
      <x:c r="J1072" s="168" t="str">
        <x:v>CI</x:v>
      </x:c>
      <x:c r="K1072" s="174" t="n">
        <x:v>1</x:v>
      </x:c>
      <x:c r="L1072" s="187" t="str">
        <x:v>Não classificado</x:v>
      </x:c>
    </x:row>
    <x:row r="1073">
      <x:c r="A1073" s="177" t="str">
        <x:v>46.098.560/0001-21</x:v>
      </x:c>
      <x:c r="B1073" s="168" t="str">
        <x:v>AVANTE FUNDO DE INVESTIMENTO EM DIREITOS CREDITÓRIOS NÃO-PADRONIZADOS</x:v>
      </x:c>
      <x:c r="C1073" s="190" t="n">
        <x:v>105718646.11</x:v>
      </x:c>
      <x:c r="D1073" s="168" t="str">
        <x:v>AZUMI ASSET</x:v>
      </x:c>
      <x:c r="E1073" s="168" t="str">
        <x:f>IFERROR(INDEX('Classif Gestoras'!$H$6:$H$462,MATCH(D1073,'Classif Gestoras'!$A$6:$A$462,0)),"Não classificada")</x:f>
        <x:v>Independente</x:v>
      </x:c>
      <x:c r="F1073" s="168" t="str">
        <x:v>AZUMI DISTRIBUIDORA DE TÍTULOS E VALORES MOBILIÁRIOS LT</x:v>
      </x:c>
      <x:c r="G1073" s="168" t="str">
        <x:v>AZUMI DISTRIBUIDORA DE TÍTULOS E VALORES MOBILIÁRIOS LTDA.</x:v>
      </x:c>
      <x:c r="H1073" s="168" t="str">
        <x:v>Outros</x:v>
      </x:c>
      <x:c r="I1073" s="168" t="str">
        <x:v>Multicarteira Outros</x:v>
      </x:c>
      <x:c r="J1073" s="168" t="str">
        <x:v>CI</x:v>
      </x:c>
      <x:c r="K1073" s="174" t="n">
        <x:v>15</x:v>
      </x:c>
      <x:c r="L1073" s="187" t="str">
        <x:v>Proxy multicedente/multissacado — revisar</x:v>
      </x:c>
    </x:row>
    <x:row r="1074">
      <x:c r="A1074" s="177" t="str">
        <x:v>57.378.463/0001-09</x:v>
      </x:c>
      <x:c r="B1074" s="168" t="str">
        <x:v>SOLFARMA FUNDO DE INVESTIMENTO EM DIREITOS CREDITÓRIOS COMERCIAIS - RESPONSABILIDADE LIMITADA</x:v>
      </x:c>
      <x:c r="C1074" s="190" t="n">
        <x:v>105696965.81</x:v>
      </x:c>
      <x:c r="D1074" s="168" t="str">
        <x:v>Kanastra</x:v>
      </x:c>
      <x:c r="E1074" s="168" t="str">
        <x:f>IFERROR(INDEX('Classif Gestoras'!$H$6:$H$462,MATCH(D1074,'Classif Gestoras'!$A$6:$A$462,0)),"Não classificada")</x:f>
        <x:v>Independente</x:v>
      </x:c>
      <x:c r="F1074" s="168" t="str">
        <x:v>Limine Trust Distribuidora de Titulos e Valores Mobiliá</x:v>
      </x:c>
      <x:c r="G1074" s="168" t="str">
        <x:v>LIMINE TRUST DISTRIBUIDORA DE TITULOS E VALORES MOBILIARIOS LTDA.</x:v>
      </x:c>
      <x:c r="H1074" s="168" t="str">
        <x:v>Agro, Indústria e Comércio</x:v>
      </x:c>
      <x:c r="I1074" s="168" t="str">
        <x:v>Recebíveis Comerciais</x:v>
      </x:c>
      <x:c r="J1074" s="168" t="str">
        <x:v>CI</x:v>
      </x:c>
      <x:c r="K1074" s="174" t="n">
        <x:v>3</x:v>
      </x:c>
      <x:c r="L1074" s="187" t="str">
        <x:v>Não classificado</x:v>
      </x:c>
    </x:row>
    <x:row r="1075">
      <x:c r="A1075" s="177" t="str">
        <x:v>52.511.329/0001-10</x:v>
      </x:c>
      <x:c r="B1075" s="168" t="str">
        <x:v>FUNDO DE INVESTIMENTO EM DIREITOS CREDITÓRIOS CONCRÉDITO DE RESPONSABILIDADE ILIMITADA</x:v>
      </x:c>
      <x:c r="C1075" s="190" t="n">
        <x:v>105612835.77</x:v>
      </x:c>
      <x:c r="D1075" s="168" t="str">
        <x:v>Cultinvest Asset</x:v>
      </x:c>
      <x:c r="E1075" s="168" t="str">
        <x:f>IFERROR(INDEX('Classif Gestoras'!$H$6:$H$462,MATCH(D1075,'Classif Gestoras'!$A$6:$A$462,0)),"Não classificada")</x:f>
        <x:v>Independente</x:v>
      </x:c>
      <x:c r="F1075" s="168" t="str">
        <x:v>BANCO DAYCOVAL S/A</x:v>
      </x:c>
      <x:c r="G1075" s="168" t="str">
        <x:v>BANCO DAYCOVAL S.A.</x:v>
      </x:c>
      <x:c r="H1075" s="168" t="str">
        <x:v>Financeiro</x:v>
      </x:c>
      <x:c r="I1075" s="168" t="str">
        <x:v>Crédito Pessoal</x:v>
      </x:c>
      <x:c r="J1075" s="168" t="str">
        <x:v>CI</x:v>
      </x:c>
      <x:c r="K1075" s="174" t="n">
        <x:v>55</x:v>
      </x:c>
      <x:c r="L1075" s="187" t="str">
        <x:v>Não classificado</x:v>
      </x:c>
    </x:row>
    <x:row r="1076">
      <x:c r="A1076" s="177" t="str">
        <x:v>55.635.126/0001-24</x:v>
      </x:c>
      <x:c r="B1076" s="168" t="str">
        <x:v>VAIL III FUNDO DE INVESTIMENTO EM DIREITOS CREDITÓRIOS - RESPONSABILIDADE LIMITADA</x:v>
      </x:c>
      <x:c r="C1076" s="190" t="n">
        <x:v>105601919.64</x:v>
      </x:c>
      <x:c r="D1076" s="168" t="str">
        <x:v>Patrimonial Gestão</x:v>
      </x:c>
      <x:c r="E1076" s="168" t="str">
        <x:f>IFERROR(INDEX('Classif Gestoras'!$H$6:$H$462,MATCH(D1076,'Classif Gestoras'!$A$6:$A$462,0)),"Não classificada")</x:f>
        <x:v>Independente</x:v>
      </x:c>
      <x:c r="F1076" s="168" t="str">
        <x:v>Singulare</x:v>
      </x:c>
      <x:c r="G1076" s="168" t="str">
        <x:v>QI CORRETORA DE TÍTULOS E VALORES MOBILIÁRIOS S.A.</x:v>
      </x:c>
      <x:c r="H1076" s="168" t="str">
        <x:v>Outros</x:v>
      </x:c>
      <x:c r="I1076" s="168" t="str">
        <x:v>Poder Público</x:v>
      </x:c>
      <x:c r="J1076" s="168" t="str">
        <x:v>CI</x:v>
      </x:c>
      <x:c r="K1076" s="174" t="n">
        <x:v>88</x:v>
      </x:c>
      <x:c r="L1076" s="187" t="str">
        <x:v>Não classificado</x:v>
      </x:c>
    </x:row>
    <x:row r="1077">
      <x:c r="A1077" s="177" t="str">
        <x:v>61.604.072/0001-32</x:v>
      </x:c>
      <x:c r="B1077" s="168" t="str">
        <x:v>NTZ EMPORIUM FUNDO DE INVESTIMENTO EM DIREITOS CREDITÓRIOS RESPONSABILIDADE LIMITADA</x:v>
      </x:c>
      <x:c r="C1077" s="190" t="n">
        <x:v>105593617.97</x:v>
      </x:c>
      <x:c r="D1077" s="168" t="str">
        <x:v>Netz Asset</x:v>
      </x:c>
      <x:c r="E1077" s="168" t="str">
        <x:f>IFERROR(INDEX('Classif Gestoras'!$H$6:$H$462,MATCH(D1077,'Classif Gestoras'!$A$6:$A$462,0)),"Não classificada")</x:f>
        <x:v>Independente</x:v>
      </x:c>
      <x:c r="F1077" s="168" t="str">
        <x:v>MONETAR DISTRIBUIDORA DE TITUL</x:v>
      </x:c>
      <x:c r="G1077" s="168" t="str">
        <x:v>TERRA INVESTIMENTOS DISTRIBUIDORA DE TITULOS E VALORES MOBILIARIOS LTDA</x:v>
      </x:c>
      <x:c r="H1077" s="168" t="str">
        <x:v>Outros</x:v>
      </x:c>
      <x:c r="I1077" s="168" t="str">
        <x:v>Multicarteira Outros</x:v>
      </x:c>
      <x:c r="J1077" s="168" t="str">
        <x:v>CI</x:v>
      </x:c>
      <x:c r="K1077" s="174" t="n">
        <x:v>10</x:v>
      </x:c>
      <x:c r="L1077" s="187" t="str">
        <x:v>Proxy multicedente/multissacado — revisar</x:v>
      </x:c>
    </x:row>
    <x:row r="1078">
      <x:c r="A1078" s="177" t="str">
        <x:v>63.867.299/0001-04</x:v>
      </x:c>
      <x:c r="B1078" s="168" t="str">
        <x:v>VDP FUNDO DE INVESTIMENTO EM DIREITOS CREDITÓRIOS CRÉDITO PRIVADO - RESPONSABILIDADE LIMITADA</x:v>
      </x:c>
      <x:c r="C1078" s="190" t="n">
        <x:v>105499156.1</x:v>
      </x:c>
      <x:c r="D1078" s="168" t="str">
        <x:v>Oliveira Trust Servicer</x:v>
      </x:c>
      <x:c r="E1078" s="168" t="str">
        <x:f>IFERROR(INDEX('Classif Gestoras'!$H$6:$H$462,MATCH(D1078,'Classif Gestoras'!$A$6:$A$462,0)),"Não classificada")</x:f>
        <x:v>Independente</x:v>
      </x:c>
      <x:c r="F1078" s="168" t="str">
        <x:v>Oliveira Trust DTVM</x:v>
      </x:c>
      <x:c r="G1078" s="168" t="str">
        <x:v>OLIVEIRA TRUST DTVM S.A.</x:v>
      </x:c>
      <x:c r="H1078" s="168" t="str">
        <x:v>Agro, Indústria e Comércio</x:v>
      </x:c>
      <x:c r="I1078" s="168" t="str">
        <x:v>Crédito Corporativo</x:v>
      </x:c>
      <x:c r="J1078" s="168" t="str">
        <x:v>CI</x:v>
      </x:c>
      <x:c r="K1078" s="174" t="n">
        <x:v>7</x:v>
      </x:c>
      <x:c r="L1078" s="187" t="str">
        <x:v>Não classificado</x:v>
      </x:c>
    </x:row>
    <x:row r="1079">
      <x:c r="A1079" s="177" t="str">
        <x:v>17.334.148/0001-65</x:v>
      </x:c>
      <x:c r="B1079" s="168" t="str">
        <x:v>FUNDO DE INVESTIMENTO EM DIREITOS CREDITÓRIOS EMPIRICA HOME EQUITY</x:v>
      </x:c>
      <x:c r="C1079" s="190" t="n">
        <x:v>105475158.53000002</x:v>
      </x:c>
      <x:c r="D1079" s="168" t="str">
        <x:v>REAG GESTÃO DE CRÉDITO</x:v>
      </x:c>
      <x:c r="E1079" s="168" t="str">
        <x:f>IFERROR(INDEX('Classif Gestoras'!$H$6:$H$462,MATCH(D1079,'Classif Gestoras'!$A$6:$A$462,0)),"Não classificada")</x:f>
        <x:v>Independente</x:v>
      </x:c>
      <x:c r="F1079" s="168" t="str">
        <x:v>Oliveira Trust DTVM</x:v>
      </x:c>
      <x:c r="G1079" s="168" t="str">
        <x:v>OLIVEIRA TRUST DTVM S.A.</x:v>
      </x:c>
      <x:c r="H1079" s="168" t="str">
        <x:v>Financeiro</x:v>
      </x:c>
      <x:c r="I1079" s="168" t="str">
        <x:v>Crédito Imobiliário</x:v>
      </x:c>
      <x:c r="J1079" s="168" t="str">
        <x:v>CI</x:v>
      </x:c>
      <x:c r="K1079" s="174" t="n">
        <x:v>69</x:v>
      </x:c>
      <x:c r="L1079" s="187" t="str">
        <x:v>Não classificado</x:v>
      </x:c>
    </x:row>
    <x:row r="1080">
      <x:c r="A1080" s="177" t="str">
        <x:v>27.984.240/0001-24</x:v>
      </x:c>
      <x:c r="B1080" s="168" t="str">
        <x:v>ALLCON PRIME FUNDO DE INVESTIMENTO EM DIREITOS CREDITÓRIOS NÃO PADRONIZADOS-RESP LIMITADA</x:v>
      </x:c>
      <x:c r="C1080" s="190" t="n">
        <x:v>105335082.5</x:v>
      </x:c>
      <x:c r="D1080" s="168" t="str">
        <x:v>EAGLE CAPITAL</x:v>
      </x:c>
      <x:c r="E1080" s="168" t="str">
        <x:f>IFERROR(INDEX('Classif Gestoras'!$H$6:$H$462,MATCH(D1080,'Classif Gestoras'!$A$6:$A$462,0)),"Não classificada")</x:f>
        <x:v>Independente</x:v>
      </x:c>
      <x:c r="F1080" s="168" t="str">
        <x:v>LASTRO RDV DIST. DE</x:v>
      </x:c>
      <x:c r="G1080" s="168" t="str">
        <x:v>LASTRO RDV DTVM LTDA</x:v>
      </x:c>
      <x:c r="H1080" s="168" t="str">
        <x:v>Outros</x:v>
      </x:c>
      <x:c r="I1080" s="168" t="str">
        <x:v>Multicarteira Outros</x:v>
      </x:c>
      <x:c r="J1080" s="168" t="str">
        <x:v>CI</x:v>
      </x:c>
      <x:c r="K1080" s="174" t="n">
        <x:v>1</x:v>
      </x:c>
      <x:c r="L1080" s="187" t="str">
        <x:v>Proxy multicedente/multissacado — revisar</x:v>
      </x:c>
    </x:row>
    <x:row r="1081">
      <x:c r="A1081" s="177" t="str">
        <x:v>64.756.643/0001-42</x:v>
      </x:c>
      <x:c r="B1081" s="168" t="str">
        <x:v>ARVIN CAPITAL FUNDO DE INVESTIMENTO EM DIREITOS CREDITÓRIOS RECEBÍVEIS COMERCIAIS RESP LIMITADA</x:v>
      </x:c>
      <x:c r="C1081" s="190" t="n">
        <x:v>105286796.46</x:v>
      </x:c>
      <x:c r="D1081" s="168" t="str">
        <x:v>VERT Gestora de Recursos Financeiros Ltda.</x:v>
      </x:c>
      <x:c r="E1081" s="168" t="str">
        <x:f>IFERROR(INDEX('Classif Gestoras'!$H$6:$H$462,MATCH(D1081,'Classif Gestoras'!$A$6:$A$462,0)),"Não classificada")</x:f>
        <x:v>Independente</x:v>
      </x:c>
      <x:c r="F1081" s="168" t="str">
        <x:v>VERT Distribuidora de Títulos e Valores Mobiliários Ltd</x:v>
      </x:c>
      <x:c r="G1081" s="168" t="str">
        <x:v>VERT DISTRIBUIDORA DE TÍTULOS E VALORES MOBILIÁRIOS LTDA.</x:v>
      </x:c>
      <x:c r="H1081" s="168" t="str">
        <x:v>Agro, Indústria e Comércio</x:v>
      </x:c>
      <x:c r="I1081" s="168" t="str">
        <x:v>Recebíveis Comerciais</x:v>
      </x:c>
      <x:c r="J1081" s="168" t="str">
        <x:v>CI</x:v>
      </x:c>
      <x:c r="K1081" s="174" t="n">
        <x:v>2</x:v>
      </x:c>
      <x:c r="L1081" s="187" t="str">
        <x:v>Não classificado</x:v>
      </x:c>
    </x:row>
    <x:row r="1082">
      <x:c r="A1082" s="177" t="str">
        <x:v>52.746.497/0001-95</x:v>
      </x:c>
      <x:c r="B1082" s="168" t="str">
        <x:v>SCORE EQI PREC FUNDO DE INVESTIMENTO EM DIREITOS CREDITÓRIOS - RESPONSABILIDADE LIMITADA</x:v>
      </x:c>
      <x:c r="C1082" s="190" t="n">
        <x:v>105251233.96</x:v>
      </x:c>
      <x:c r="D1082" s="168" t="str">
        <x:v>Score Capital</x:v>
      </x:c>
      <x:c r="E1082" s="168" t="str">
        <x:f>IFERROR(INDEX('Classif Gestoras'!$H$6:$H$462,MATCH(D1082,'Classif Gestoras'!$A$6:$A$462,0)),"Não classificada")</x:f>
        <x:v>Independente</x:v>
      </x:c>
      <x:c r="F1082" s="168" t="str">
        <x:v>BTG Pactual Servicos Financeiros S/A DTVM</x:v>
      </x:c>
      <x:c r="G1082" s="168" t="str">
        <x:v>BANCO BTG PACTUAL S/A</x:v>
      </x:c>
      <x:c r="H1082" s="168" t="str">
        <x:v>Outros</x:v>
      </x:c>
      <x:c r="I1082" s="168" t="str">
        <x:v>Poder Público</x:v>
      </x:c>
      <x:c r="J1082" s="168" t="str">
        <x:v>CI</x:v>
      </x:c>
      <x:c r="K1082" s="174" t="n">
        <x:v>510</x:v>
      </x:c>
      <x:c r="L1082" s="187" t="str">
        <x:v>Não classificado</x:v>
      </x:c>
    </x:row>
    <x:row r="1083">
      <x:c r="A1083" s="177" t="str">
        <x:v>42.299.401/0001-34</x:v>
      </x:c>
      <x:c r="B1083" s="168" t="str">
        <x:v>FIDC FUNTTEL PADTEC FUNDO DE INVESTIMENTO EM DIREITOS CREDITORIOS</x:v>
      </x:c>
      <x:c r="C1083" s="190" t="n">
        <x:v>105248638.04999998</x:v>
      </x:c>
      <x:c r="D1083" s="168" t="str">
        <x:v>BLUEWAVE ASSET LTDA</x:v>
      </x:c>
      <x:c r="E1083" s="168" t="str">
        <x:f>IFERROR(INDEX('Classif Gestoras'!$H$6:$H$462,MATCH(D1083,'Classif Gestoras'!$A$6:$A$462,0)),"Não classificada")</x:f>
        <x:v>Independente</x:v>
      </x:c>
      <x:c r="F1083" s="168" t="str">
        <x:v>Finvest Digital</x:v>
      </x:c>
      <x:c r="G1083" s="168" t="str">
        <x:v>FINVEST DISTRIBUIDORA DE TÍTULOS E VALORES MOBILIÁRIOS LTDA.</x:v>
      </x:c>
      <x:c r="H1083" s="168" t="str">
        <x:v>Agro, Indústria e Comércio</x:v>
      </x:c>
      <x:c r="I1083" s="168" t="str">
        <x:v>Infraestrutura</x:v>
      </x:c>
      <x:c r="J1083" s="168" t="str">
        <x:v>CI</x:v>
      </x:c>
      <x:c r="K1083" s="174" t="n">
        <x:v>2</x:v>
      </x:c>
      <x:c r="L1083" s="187" t="str">
        <x:v>Não classificado</x:v>
      </x:c>
    </x:row>
    <x:row r="1084">
      <x:c r="A1084" s="177" t="str">
        <x:v>37.406.818/0001-19</x:v>
      </x:c>
      <x:c r="B1084" s="168" t="str">
        <x:v>ARTESANAL REAL ESTATE FUNDO DE INVESTIMENTO EM DIREITOS CREDITÓRIOS</x:v>
      </x:c>
      <x:c r="C1084" s="190" t="n">
        <x:v>105041567.53</x:v>
      </x:c>
      <x:c r="D1084" s="168" t="str">
        <x:v>Artesanal Investimentos</x:v>
      </x:c>
      <x:c r="E1084" s="168" t="str">
        <x:f>IFERROR(INDEX('Classif Gestoras'!$H$6:$H$462,MATCH(D1084,'Classif Gestoras'!$A$6:$A$462,0)),"Não classificada")</x:f>
        <x:v>Independente</x:v>
      </x:c>
      <x:c r="F1084" s="168" t="str">
        <x:v>Banco Genial S.A.</x:v>
      </x:c>
      <x:c r="G1084" s="168" t="str">
        <x:v>BANCO B3 S.A.</x:v>
      </x:c>
      <x:c r="H1084" s="168" t="str">
        <x:v>Outros</x:v>
      </x:c>
      <x:c r="I1084" s="168" t="str">
        <x:v>Multicarteira Outros</x:v>
      </x:c>
      <x:c r="J1084" s="168" t="str">
        <x:v>CI</x:v>
      </x:c>
      <x:c r="K1084" s="174" t="n">
        <x:v>29</x:v>
      </x:c>
      <x:c r="L1084" s="187" t="str">
        <x:v>Proxy multicedente/multissacado — revisar</x:v>
      </x:c>
    </x:row>
    <x:row r="1085">
      <x:c r="A1085" s="177" t="str">
        <x:v>63.848.380/0001-39</x:v>
      </x:c>
      <x:c r="B1085" s="168" t="str">
        <x:v>FUNDO DE INVESTIMENTO EM DIREITOS CREDITÓRIOS DAYCOVAL FGTS I RESPONSABILIDADE LIMITADA</x:v>
      </x:c>
      <x:c r="C1085" s="190" t="n">
        <x:v>104854581.91</x:v>
      </x:c>
      <x:c r="D1085" s="168" t="str">
        <x:v>DAYCOVAL ASSET MANAG</x:v>
      </x:c>
      <x:c r="E1085" s="168" t="str">
        <x:f>IFERROR(INDEX('Classif Gestoras'!$H$6:$H$462,MATCH(D1085,'Classif Gestoras'!$A$6:$A$462,0)),"Não classificada")</x:f>
        <x:v>Ligada a banco</x:v>
      </x:c>
      <x:c r="F1085" s="168" t="str">
        <x:v>BANCO DAYCOVAL S/A</x:v>
      </x:c>
      <x:c r="G1085" s="168" t="str">
        <x:v>BANCO DAYCOVAL S.A.</x:v>
      </x:c>
      <x:c r="H1085" s="168" t="str">
        <x:v>Financeiro</x:v>
      </x:c>
      <x:c r="I1085" s="168" t="str">
        <x:v>Crédito Consignado</x:v>
      </x:c>
      <x:c r="J1085" s="168" t="str">
        <x:v>CI</x:v>
      </x:c>
      <x:c r="K1085" s="174" t="n">
        <x:v>17</x:v>
      </x:c>
      <x:c r="L1085" s="187" t="str">
        <x:v>Não classificado</x:v>
      </x:c>
    </x:row>
    <x:row r="1086">
      <x:c r="A1086" s="177" t="str">
        <x:v>32.156.052/0001-48</x:v>
      </x:c>
      <x:c r="B1086" s="168" t="str">
        <x:v>RONEPAR FUNDO DE INVESTIMENTO EM DIREITOS CREDITÓRIOS</x:v>
      </x:c>
      <x:c r="C1086" s="190" t="n">
        <x:v>104815239.35999998</x:v>
      </x:c>
      <x:c r="D1086" s="168" t="str">
        <x:v>DAYCOVAL ASSET MANAG</x:v>
      </x:c>
      <x:c r="E1086" s="168" t="str">
        <x:f>IFERROR(INDEX('Classif Gestoras'!$H$6:$H$462,MATCH(D1086,'Classif Gestoras'!$A$6:$A$462,0)),"Não classificada")</x:f>
        <x:v>Ligada a banco</x:v>
      </x:c>
      <x:c r="F1086" s="168" t="str">
        <x:v>BANCO DAYCOVAL S/A</x:v>
      </x:c>
      <x:c r="G1086" s="168" t="str">
        <x:v>BANCO DAYCOVAL S.A.</x:v>
      </x:c>
      <x:c r="H1086" s="168" t="str">
        <x:v>Outros</x:v>
      </x:c>
      <x:c r="I1086" s="168" t="str">
        <x:v>Multicarteira Outros</x:v>
      </x:c>
      <x:c r="J1086" s="168" t="str">
        <x:v>CI</x:v>
      </x:c>
      <x:c r="K1086" s="174" t="n">
        <x:v>11</x:v>
      </x:c>
      <x:c r="L1086" s="187" t="str">
        <x:v>Proxy multicedente/multissacado — revisar</x:v>
      </x:c>
    </x:row>
    <x:row r="1087">
      <x:c r="A1087" s="177" t="str">
        <x:v>54.559.035/0001-94</x:v>
      </x:c>
      <x:c r="B1087" s="168" t="str">
        <x:v>ESTRATÉGIA VINCULADA I FUNDO DE INVESTIMENTO EM DIREITOS CREDITÓRIOS - RESPONSABILIDADE LIMITADA</x:v>
      </x:c>
      <x:c r="C1087" s="190" t="n">
        <x:v>104694657.89</x:v>
      </x:c>
      <x:c r="D1087" s="168" t="str">
        <x:v>Oliveira Trust Servicer</x:v>
      </x:c>
      <x:c r="E1087" s="168" t="str">
        <x:f>IFERROR(INDEX('Classif Gestoras'!$H$6:$H$462,MATCH(D1087,'Classif Gestoras'!$A$6:$A$462,0)),"Não classificada")</x:f>
        <x:v>Independente</x:v>
      </x:c>
      <x:c r="F1087" s="168" t="str">
        <x:v>Oliveira Trust DTVM</x:v>
      </x:c>
      <x:c r="G1087" s="168" t="str">
        <x:v>OLIVEIRA TRUST DTVM S.A.</x:v>
      </x:c>
      <x:c r="H1087" s="168" t="str">
        <x:v>Financeiro</x:v>
      </x:c>
      <x:c r="I1087" s="168" t="str">
        <x:v>Multicarteira Financeiro</x:v>
      </x:c>
      <x:c r="J1087" s="168" t="str">
        <x:v>CI</x:v>
      </x:c>
      <x:c r="K1087" s="174" t="n">
        <x:v>17</x:v>
      </x:c>
      <x:c r="L1087" s="187" t="str">
        <x:v>Proxy multicedente/multissacado — revisar</x:v>
      </x:c>
    </x:row>
    <x:row r="1088">
      <x:c r="A1088" s="177" t="str">
        <x:v>50.536.324/0001-17</x:v>
      </x:c>
      <x:c r="B1088" s="168" t="str">
        <x:v>MAQNELSON FUNDO DE INVESTIMENTO EM DIREITOS CREDITÓRIOS - RESPONSABILIDADE LIMITADA</x:v>
      </x:c>
      <x:c r="C1088" s="190" t="n">
        <x:v>104622182.87</x:v>
      </x:c>
      <x:c r="D1088" s="168" t="str">
        <x:v>Oliveira Trust Servicer</x:v>
      </x:c>
      <x:c r="E1088" s="168" t="str">
        <x:f>IFERROR(INDEX('Classif Gestoras'!$H$6:$H$462,MATCH(D1088,'Classif Gestoras'!$A$6:$A$462,0)),"Não classificada")</x:f>
        <x:v>Independente</x:v>
      </x:c>
      <x:c r="F1088" s="168" t="str">
        <x:v>Oliveira Trust DTVM</x:v>
      </x:c>
      <x:c r="G1088" s="168" t="str">
        <x:v>OLIVEIRA TRUST DTVM S.A.</x:v>
      </x:c>
      <x:c r="H1088" s="168" t="str">
        <x:v>Agro, Indústria e Comércio</x:v>
      </x:c>
      <x:c r="I1088" s="168" t="str">
        <x:v>Recebíveis Comerciais</x:v>
      </x:c>
      <x:c r="J1088" s="168" t="str">
        <x:v>CI</x:v>
      </x:c>
      <x:c r="K1088" s="174" t="n">
        <x:v>3</x:v>
      </x:c>
      <x:c r="L1088" s="187" t="str">
        <x:v>Não classificado</x:v>
      </x:c>
    </x:row>
    <x:row r="1089">
      <x:c r="A1089" s="177" t="str">
        <x:v>56.780.297/0001-00</x:v>
      </x:c>
      <x:c r="B1089" s="168" t="str">
        <x:v>ST 1015.A FUNDO DE INVESTIMENTO EM DIREITOS CREDITÓRIOS RESPONSABILIDADE LIMITADA</x:v>
      </x:c>
      <x:c r="C1089" s="190" t="n">
        <x:v>104545982.73</x:v>
      </x:c>
      <x:c r="D1089" s="168" t="str">
        <x:v>Strata Capital</x:v>
      </x:c>
      <x:c r="E1089" s="168" t="str">
        <x:f>IFERROR(INDEX('Classif Gestoras'!$H$6:$H$462,MATCH(D1089,'Classif Gestoras'!$A$6:$A$462,0)),"Não classificada")</x:f>
        <x:v>Independente</x:v>
      </x:c>
      <x:c r="F1089" s="168" t="str">
        <x:v>BANCO DAYCOVAL S/A</x:v>
      </x:c>
      <x:c r="G1089" s="168" t="str">
        <x:v>BANCO DAYCOVAL S.A.</x:v>
      </x:c>
      <x:c r="H1089" s="168" t="str">
        <x:v>Outros</x:v>
      </x:c>
      <x:c r="I1089" s="168" t="str">
        <x:v>Multicarteira Outros</x:v>
      </x:c>
      <x:c r="J1089" s="168" t="str">
        <x:v>CI</x:v>
      </x:c>
      <x:c r="K1089" s="174" t="n">
        <x:v>2</x:v>
      </x:c>
      <x:c r="L1089" s="187" t="str">
        <x:v>Proxy multicedente/multissacado — revisar</x:v>
      </x:c>
    </x:row>
    <x:row r="1090">
      <x:c r="A1090" s="177" t="str">
        <x:v>07.742.454/0001-87</x:v>
      </x:c>
      <x:c r="B1090" s="168" t="str">
        <x:v>GP - FIDC FCVS 2</x:v>
      </x:c>
      <x:c r="C1090" s="190" t="n">
        <x:v>104447981.69</x:v>
      </x:c>
      <x:c r="D1090" s="168" t="str">
        <x:v>BRZ Investimentos</x:v>
      </x:c>
      <x:c r="E1090" s="168" t="str">
        <x:f>IFERROR(INDEX('Classif Gestoras'!$H$6:$H$462,MATCH(D1090,'Classif Gestoras'!$A$6:$A$462,0)),"Não classificada")</x:f>
        <x:v>Independente</x:v>
      </x:c>
      <x:c r="F1090" s="168" t="str">
        <x:v>Oliveira Trust DTVM</x:v>
      </x:c>
      <x:c r="G1090" s="168" t="str">
        <x:v>OLIVEIRA TRUST DTVM S.A.</x:v>
      </x:c>
      <x:c r="H1090" s="168" t="str">
        <x:v>Financeiro</x:v>
      </x:c>
      <x:c r="I1090" s="168" t="str">
        <x:v>Crédito Imobiliário</x:v>
      </x:c>
      <x:c r="J1090" s="168" t="str">
        <x:v>CI</x:v>
      </x:c>
      <x:c r="K1090" s="174" t="n">
        <x:v>11</x:v>
      </x:c>
      <x:c r="L1090" s="187" t="str">
        <x:v>Não classificado</x:v>
      </x:c>
    </x:row>
    <x:row r="1091">
      <x:c r="A1091" s="177" t="str">
        <x:v>56.963.951/0001-10</x:v>
      </x:c>
      <x:c r="B1091" s="168" t="str">
        <x:v>AGRO DEFENDER FUNDO DE INVESTIMENTO EM DIREITOS CREDITÓRIOS - RESPONSABILIDADE LIMITADA</x:v>
      </x:c>
      <x:c r="C1091" s="190" t="n">
        <x:v>104307279.82</x:v>
      </x:c>
      <x:c r="D1091" s="168" t="str">
        <x:v>Brave Asset</x:v>
      </x:c>
      <x:c r="E1091" s="168" t="str">
        <x:f>IFERROR(INDEX('Classif Gestoras'!$H$6:$H$462,MATCH(D1091,'Classif Gestoras'!$A$6:$A$462,0)),"Não classificada")</x:f>
        <x:v>Independente</x:v>
      </x:c>
      <x:c r="F1091" s="168" t="str">
        <x:v>FIDD DISTRIBUIDORA DE TITULOS E VALORES MOBILIARIOS LTD</x:v>
      </x:c>
      <x:c r="G1091" s="168" t="str">
        <x:v>FIDD DISTRIBUIDORA DE TITULOS E VALORES MOBILIARIOS LTDA.</x:v>
      </x:c>
      <x:c r="H1091" s="168" t="str">
        <x:v>Outros</x:v>
      </x:c>
      <x:c r="I1091" s="168" t="str">
        <x:v>Multicarteira Outros</x:v>
      </x:c>
      <x:c r="J1091" s="168" t="str">
        <x:v>CI</x:v>
      </x:c>
      <x:c r="K1091" s="174" t="n">
        <x:v>36</x:v>
      </x:c>
      <x:c r="L1091" s="187" t="str">
        <x:v>Proxy multicedente/multissacado — revisar</x:v>
      </x:c>
    </x:row>
    <x:row r="1092">
      <x:c r="A1092" s="177" t="str">
        <x:v>54.565.372/0001-94</x:v>
      </x:c>
      <x:c r="B1092" s="168" t="str">
        <x:v>CRÉDITO PLUS I FUNDO DE INVESTIMENTO EM DIREITOS CREDITÓRIOS FINANCEIROS DE RESPONSABILIDADE LIMITAD</x:v>
      </x:c>
      <x:c r="C1092" s="190" t="n">
        <x:v>104219621.64000002</x:v>
      </x:c>
      <x:c r="D1092" s="168" t="str">
        <x:v>Milênio Capital</x:v>
      </x:c>
      <x:c r="E1092" s="168" t="str">
        <x:f>IFERROR(INDEX('Classif Gestoras'!$H$6:$H$462,MATCH(D1092,'Classif Gestoras'!$A$6:$A$462,0)),"Não classificada")</x:f>
        <x:v>Independente</x:v>
      </x:c>
      <x:c r="F1092" s="168" t="str">
        <x:v>Singulare</x:v>
      </x:c>
      <x:c r="G1092" s="168" t="str">
        <x:v>QI CORRETORA DE TÍTULOS E VALORES MOBILIÁRIOS S.A.</x:v>
      </x:c>
      <x:c r="H1092" s="168" t="str">
        <x:v>Financeiro</x:v>
      </x:c>
      <x:c r="I1092" s="168" t="str">
        <x:v>Crédito Pessoal</x:v>
      </x:c>
      <x:c r="J1092" s="168" t="str">
        <x:v>CI</x:v>
      </x:c>
      <x:c r="K1092" s="174" t="n">
        <x:v>29</x:v>
      </x:c>
      <x:c r="L1092" s="187" t="str">
        <x:v>Não classificado</x:v>
      </x:c>
    </x:row>
    <x:row r="1093">
      <x:c r="A1093" s="177" t="str">
        <x:v>43.444.545/0001-08</x:v>
      </x:c>
      <x:c r="B1093" s="168" t="str">
        <x:v>OMEGA FUNDO DE INVESTIMENTO EM DIREITOS CREDITÓRIOS NP RESPONSABILIDADE LIMITADA</x:v>
      </x:c>
      <x:c r="C1093" s="190" t="n">
        <x:v>104196811.3</x:v>
      </x:c>
      <x:c r="D1093" s="168" t="str">
        <x:v>SUESTE CAPITAL GESTÃO DE RECURSOS LTDA.</x:v>
      </x:c>
      <x:c r="E1093" s="168" t="str">
        <x:f>IFERROR(INDEX('Classif Gestoras'!$H$6:$H$462,MATCH(D1093,'Classif Gestoras'!$A$6:$A$462,0)),"Não classificada")</x:f>
        <x:v>Independente</x:v>
      </x:c>
      <x:c r="F1093" s="168" t="str">
        <x:v>Banvox DTVM</x:v>
      </x:c>
      <x:c r="G1093" s="168" t="str">
        <x:v>BANVOX DISTRIBUIDORA DE TITULOS E VALORES MOBILIARIOS LTDA</x:v>
      </x:c>
      <x:c r="H1093" s="168" t="str">
        <x:v>Outros</x:v>
      </x:c>
      <x:c r="I1093" s="168" t="str">
        <x:v>Multicarteira Outros</x:v>
      </x:c>
      <x:c r="J1093" s="168" t="str">
        <x:v>CI</x:v>
      </x:c>
      <x:c r="K1093" s="174" t="n">
        <x:v>1</x:v>
      </x:c>
      <x:c r="L1093" s="187" t="str">
        <x:v>Proxy multicedente/multissacado — revisar</x:v>
      </x:c>
    </x:row>
    <x:row r="1094">
      <x:c r="A1094" s="177" t="str">
        <x:v>60.354.694/0001-97</x:v>
      </x:c>
      <x:c r="B1094" s="168" t="str">
        <x:v>FLIP FUNDO DE INVESTIMENTO EM DIREITOS CREDITÓRIOS MULTISEGMENTOS - RESPONSABILIDADE LIMITADA</x:v>
      </x:c>
      <x:c r="C1094" s="190" t="n">
        <x:v>104195255.74</x:v>
      </x:c>
      <x:c r="D1094" s="168" t="str">
        <x:v>M8 Partners</x:v>
      </x:c>
      <x:c r="E1094" s="168" t="str">
        <x:f>IFERROR(INDEX('Classif Gestoras'!$H$6:$H$462,MATCH(D1094,'Classif Gestoras'!$A$6:$A$462,0)),"Não classificada")</x:f>
        <x:v>Independente</x:v>
      </x:c>
      <x:c r="F1094" s="168" t="str">
        <x:v>Finaxis Corretora de Títulos e Valores Mobiliários S.A.</x:v>
      </x:c>
      <x:c r="G1094" s="168" t="str">
        <x:v>BANCO FINAXIS S.A.</x:v>
      </x:c>
      <x:c r="H1094" s="168" t="str">
        <x:v>Fomento Mercantil</x:v>
      </x:c>
      <x:c r="I1094" s="168" t="str">
        <x:v>Fomento Mercantil</x:v>
      </x:c>
      <x:c r="J1094" s="168" t="str">
        <x:v>CI</x:v>
      </x:c>
      <x:c r="K1094" s="174" t="n">
        <x:v>38</x:v>
      </x:c>
      <x:c r="L1094" s="187" t="str">
        <x:v>Não classificado</x:v>
      </x:c>
    </x:row>
    <x:row r="1095">
      <x:c r="A1095" s="177" t="str">
        <x:v>44.395.590/0001-74</x:v>
      </x:c>
      <x:c r="B1095" s="168" t="str">
        <x:v>ELITE FUNDO DE INVESTIMENTO EM DIREITOS CREDITÓRIOS - NÃO PADRONIZADOS</x:v>
      </x:c>
      <x:c r="C1095" s="190" t="n">
        <x:v>104155942.64</x:v>
      </x:c>
      <x:c r="D1095" s="168" t="str">
        <x:v>GV ATACAMA CAPITAL LTDA.</x:v>
      </x:c>
      <x:c r="E1095" s="168" t="str">
        <x:f>IFERROR(INDEX('Classif Gestoras'!$H$6:$H$462,MATCH(D1095,'Classif Gestoras'!$A$6:$A$462,0)),"Não classificada")</x:f>
        <x:v>Independente</x:v>
      </x:c>
      <x:c r="F1095" s="168" t="str">
        <x:v>Singulare</x:v>
      </x:c>
      <x:c r="G1095" s="168" t="str">
        <x:v>QI CORRETORA DE TÍTULOS E VALORES MOBILIÁRIOS S.A.</x:v>
      </x:c>
      <x:c r="H1095" s="168" t="str">
        <x:v>Outros</x:v>
      </x:c>
      <x:c r="I1095" s="168" t="str">
        <x:v>Multicarteira Outros</x:v>
      </x:c>
      <x:c r="J1095" s="168" t="str">
        <x:v>CI</x:v>
      </x:c>
      <x:c r="K1095" s="174" t="n">
        <x:v>1</x:v>
      </x:c>
      <x:c r="L1095" s="187" t="str">
        <x:v>Proxy multicedente/multissacado — revisar</x:v>
      </x:c>
    </x:row>
    <x:row r="1096">
      <x:c r="A1096" s="177" t="str">
        <x:v>38.447.838/0001-09</x:v>
      </x:c>
      <x:c r="B1096" s="168" t="str">
        <x:v>ARTEB FUNDO DE INVESTIMENTO EM DIREITOS CREDITÓRIOS</x:v>
      </x:c>
      <x:c r="C1096" s="190" t="n">
        <x:v>104133925.04</x:v>
      </x:c>
      <x:c r="D1096" s="168" t="str">
        <x:v>Multiplica Capital</x:v>
      </x:c>
      <x:c r="E1096" s="168" t="str">
        <x:f>IFERROR(INDEX('Classif Gestoras'!$H$6:$H$462,MATCH(D1096,'Classif Gestoras'!$A$6:$A$462,0)),"Não classificada")</x:f>
        <x:v>Independente</x:v>
      </x:c>
      <x:c r="F1096" s="168" t="str">
        <x:v>PLANNER CV</x:v>
      </x:c>
      <x:c r="G1096" s="168" t="str">
        <x:v>PLANNER CORRETORA DE VALORES S.A.</x:v>
      </x:c>
      <x:c r="H1096" s="168" t="str">
        <x:v>Fomento Mercantil</x:v>
      </x:c>
      <x:c r="I1096" s="168" t="str">
        <x:v>Fomento Mercantil</x:v>
      </x:c>
      <x:c r="J1096" s="168" t="str">
        <x:v>CI</x:v>
      </x:c>
      <x:c r="K1096" s="174" t="n">
        <x:v>2</x:v>
      </x:c>
      <x:c r="L1096" s="187" t="str">
        <x:v>Não classificado</x:v>
      </x:c>
    </x:row>
    <x:row r="1097">
      <x:c r="A1097" s="177" t="str">
        <x:v>63.938.673/0001-07</x:v>
      </x:c>
      <x:c r="B1097" s="168" t="str">
        <x:v>GV CONSIGNADO PÚBLICO FUNDO DE INVESTIMENTO EM DIREITOS CREDITÓRIOS RESPONSABILIDADE LIMITADA</x:v>
      </x:c>
      <x:c r="C1097" s="190" t="n">
        <x:v>103985289.45</x:v>
      </x:c>
      <x:c r="D1097" s="168" t="str">
        <x:v>GV ATACAMA CAPITAL LTDA.</x:v>
      </x:c>
      <x:c r="E1097" s="168" t="str">
        <x:f>IFERROR(INDEX('Classif Gestoras'!$H$6:$H$462,MATCH(D1097,'Classif Gestoras'!$A$6:$A$462,0)),"Não classificada")</x:f>
        <x:v>Independente</x:v>
      </x:c>
      <x:c r="F1097" s="168" t="str">
        <x:v>Singulare</x:v>
      </x:c>
      <x:c r="G1097" s="168" t="str">
        <x:v>QI CORRETORA DE TÍTULOS E VALORES MOBILIÁRIOS S.A.</x:v>
      </x:c>
      <x:c r="H1097" s="168" t="str">
        <x:v>Financeiro</x:v>
      </x:c>
      <x:c r="I1097" s="168" t="str">
        <x:v>Crédito Consignado</x:v>
      </x:c>
      <x:c r="J1097" s="168" t="str">
        <x:v>CI</x:v>
      </x:c>
      <x:c r="K1097" s="174" t="n">
        <x:v>2</x:v>
      </x:c>
      <x:c r="L1097" s="187" t="str">
        <x:v>Não classificado</x:v>
      </x:c>
    </x:row>
    <x:row r="1098">
      <x:c r="A1098" s="177" t="str">
        <x:v>37.054.545/0001-90</x:v>
      </x:c>
      <x:c r="B1098" s="168" t="str">
        <x:v>AGROHUB FUNDO DE INVESTIMENTO EM DIREITOS CREDITÓRIOS RESPONSABILIDADE LIMITADA</x:v>
      </x:c>
      <x:c r="C1098" s="190" t="n">
        <x:v>103599209.77</x:v>
      </x:c>
      <x:c r="D1098" s="168" t="str">
        <x:v>Artesanal Investimentos</x:v>
      </x:c>
      <x:c r="E1098" s="168" t="str">
        <x:f>IFERROR(INDEX('Classif Gestoras'!$H$6:$H$462,MATCH(D1098,'Classif Gestoras'!$A$6:$A$462,0)),"Não classificada")</x:f>
        <x:v>Independente</x:v>
      </x:c>
      <x:c r="F1098" s="168" t="str">
        <x:v>Singulare</x:v>
      </x:c>
      <x:c r="G1098" s="168" t="str">
        <x:v>QI CORRETORA DE TÍTULOS E VALORES MOBILIÁRIOS S.A.</x:v>
      </x:c>
      <x:c r="H1098" s="168" t="str">
        <x:v>Fomento Mercantil</x:v>
      </x:c>
      <x:c r="I1098" s="168" t="str">
        <x:v>Fomento Mercantil</x:v>
      </x:c>
      <x:c r="J1098" s="168" t="str">
        <x:v>CI</x:v>
      </x:c>
      <x:c r="K1098" s="174" t="n">
        <x:v>10</x:v>
      </x:c>
      <x:c r="L1098" s="187" t="str">
        <x:v>Não classificado</x:v>
      </x:c>
    </x:row>
    <x:row r="1099">
      <x:c r="A1099" s="177" t="str">
        <x:v>53.960.578/0001-56</x:v>
      </x:c>
      <x:c r="B1099" s="168" t="str">
        <x:v>PÉROLA FUNDO DE INVESTIMENTO EM DIREITOS CREDITÓRIOS DE RESPONSABILIDADE LIMITADA</x:v>
      </x:c>
      <x:c r="C1099" s="190" t="n">
        <x:v>103211367.67</x:v>
      </x:c>
      <x:c r="D1099" s="168" t="str">
        <x:v>Catálise Investimentos</x:v>
      </x:c>
      <x:c r="E1099" s="168" t="str">
        <x:f>IFERROR(INDEX('Classif Gestoras'!$H$6:$H$462,MATCH(D1099,'Classif Gestoras'!$A$6:$A$462,0)),"Não classificada")</x:f>
        <x:v>Independente</x:v>
      </x:c>
      <x:c r="F1099" s="168" t="str">
        <x:v>CATÁLISE DTVM</x:v>
      </x:c>
      <x:c r="G1099" s="168" t="str">
        <x:v>FIDD DISTRIBUIDORA DE TITULOS E VALORES MOBILIARIOS LTDA.</x:v>
      </x:c>
      <x:c r="H1099" s="168" t="str">
        <x:v>Agro, Indústria e Comércio</x:v>
      </x:c>
      <x:c r="I1099" s="168" t="str">
        <x:v>Multicarteira Agro, Indústria e Comércio</x:v>
      </x:c>
      <x:c r="J1099" s="168" t="str">
        <x:v>CI</x:v>
      </x:c>
      <x:c r="K1099" s="174" t="n">
        <x:v>2</x:v>
      </x:c>
      <x:c r="L1099" s="187" t="str">
        <x:v>Proxy multicedente/multissacado — revisar</x:v>
      </x:c>
    </x:row>
    <x:row r="1100">
      <x:c r="A1100" s="177" t="str">
        <x:v>24.506.241/0001-75</x:v>
      </x:c>
      <x:c r="B1100" s="168" t="str">
        <x:v>ACL NP FUNDO DE INVESTIMENTO EM DIREITOS CREDITÓRIOS NÃO PADRONIZADOS</x:v>
      </x:c>
      <x:c r="C1100" s="190" t="n">
        <x:v>103161190.05</x:v>
      </x:c>
      <x:c r="D1100" s="168" t="str">
        <x:v>TERCON ASSET MANAGEMENT</x:v>
      </x:c>
      <x:c r="E1100" s="168" t="str">
        <x:f>IFERROR(INDEX('Classif Gestoras'!$H$6:$H$462,MATCH(D1100,'Classif Gestoras'!$A$6:$A$462,0)),"Não classificada")</x:f>
        <x:v>Independente</x:v>
      </x:c>
      <x:c r="F1100" s="168" t="str">
        <x:v>Singulare</x:v>
      </x:c>
      <x:c r="G1100" s="168" t="str">
        <x:v>QI CORRETORA DE TÍTULOS E VALORES MOBILIÁRIOS S.A.</x:v>
      </x:c>
      <x:c r="H1100" s="168" t="str">
        <x:v>Fomento Mercantil</x:v>
      </x:c>
      <x:c r="I1100" s="168" t="str">
        <x:v>Fomento Mercantil</x:v>
      </x:c>
      <x:c r="J1100" s="168" t="str">
        <x:v>CI</x:v>
      </x:c>
      <x:c r="K1100" s="174" t="n">
        <x:v>2</x:v>
      </x:c>
      <x:c r="L1100" s="187" t="str">
        <x:v>Não classificado</x:v>
      </x:c>
    </x:row>
    <x:row r="1101">
      <x:c r="A1101" s="177" t="str">
        <x:v>63.831.177/0001-50</x:v>
      </x:c>
      <x:c r="B1101" s="168" t="str">
        <x:v>MIATA FUNDO DE INVESTIMENTO EM DIREITOS CREDITÓRIOS - RESPONSABILIDADE LIMITADA</x:v>
      </x:c>
      <x:c r="C1101" s="190" t="n">
        <x:v>102826298.72</x:v>
      </x:c>
      <x:c r="D1101" s="168" t="str">
        <x:v>VERT Gestora de Recursos Financeiros Ltda.</x:v>
      </x:c>
      <x:c r="E1101" s="168" t="str">
        <x:f>IFERROR(INDEX('Classif Gestoras'!$H$6:$H$462,MATCH(D1101,'Classif Gestoras'!$A$6:$A$462,0)),"Não classificada")</x:f>
        <x:v>Independente</x:v>
      </x:c>
      <x:c r="F1101" s="168" t="str">
        <x:v>VERT Distribuidora de Títulos e Valores Mobiliários Ltd</x:v>
      </x:c>
      <x:c r="G1101" s="168" t="str">
        <x:v>VERT DISTRIBUIDORA DE TÍTULOS E VALORES MOBILIÁRIOS LTDA.</x:v>
      </x:c>
      <x:c r="H1101" s="168" t="str">
        <x:v>Agro, Indústria e Comércio</x:v>
      </x:c>
      <x:c r="I1101" s="168" t="str">
        <x:v>Recebíveis Comerciais</x:v>
      </x:c>
      <x:c r="J1101" s="168" t="str">
        <x:v>CI</x:v>
      </x:c>
      <x:c r="K1101" s="174" t="n">
        <x:v>1</x:v>
      </x:c>
      <x:c r="L1101" s="187" t="str">
        <x:v>Não classificado</x:v>
      </x:c>
    </x:row>
    <x:row r="1102">
      <x:c r="A1102" s="177" t="str">
        <x:v>58.236.968/0001-00</x:v>
      </x:c>
      <x:c r="B1102" s="168" t="str">
        <x:v>PLGN ARTON FUNDO DE INVESTIMENTO EM DIREITOS CREDITÓRIOS</x:v>
      </x:c>
      <x:c r="C1102" s="190" t="n">
        <x:v>102710719.05</x:v>
      </x:c>
      <x:c r="D1102" s="168" t="str">
        <x:v>POLÍGONO CAPITAL LTDA.</x:v>
      </x:c>
      <x:c r="E1102" s="168" t="str">
        <x:f>IFERROR(INDEX('Classif Gestoras'!$H$6:$H$462,MATCH(D1102,'Classif Gestoras'!$A$6:$A$462,0)),"Não classificada")</x:f>
        <x:v>Independente</x:v>
      </x:c>
      <x:c r="F1102" s="168" t="str">
        <x:v>BTG Pactual Servicos Financeiros S/A DTVM</x:v>
      </x:c>
      <x:c r="G1102" s="168" t="str">
        <x:v>BANCO BTG PACTUAL S/A</x:v>
      </x:c>
      <x:c r="H1102" s="168" t="str">
        <x:v>Outros</x:v>
      </x:c>
      <x:c r="I1102" s="168" t="str">
        <x:v>Multicarteira Outros</x:v>
      </x:c>
      <x:c r="J1102" s="168" t="str">
        <x:v>CI</x:v>
      </x:c>
      <x:c r="K1102" s="174" t="n">
        <x:v>291</x:v>
      </x:c>
      <x:c r="L1102" s="187" t="str">
        <x:v>Proxy multicedente/multissacado — revisar</x:v>
      </x:c>
    </x:row>
    <x:row r="1103">
      <x:c r="A1103" s="177" t="str">
        <x:v>44.076.714/0001-59</x:v>
      </x:c>
      <x:c r="B1103" s="168" t="str">
        <x:v>STRATEGI SINGLE NAME NPL FUNDO DE INVESTIMENTO EM DIREITOS CREDITÓRIOS - RESPONSABILIDADE LIMITADA</x:v>
      </x:c>
      <x:c r="C1103" s="190" t="n">
        <x:v>102647299.39</x:v>
      </x:c>
      <x:c r="D1103" s="168" t="str">
        <x:v>STRATEGI CAPITAL ASSET MANAGEMENT</x:v>
      </x:c>
      <x:c r="E1103" s="168" t="str">
        <x:f>IFERROR(INDEX('Classif Gestoras'!$H$6:$H$462,MATCH(D1103,'Classif Gestoras'!$A$6:$A$462,0)),"Não classificada")</x:f>
        <x:v>Independente</x:v>
      </x:c>
      <x:c r="F1103" s="168" t="str">
        <x:v>VÓRTX DTVM</x:v>
      </x:c>
      <x:c r="G1103" s="168" t="str">
        <x:v>VORTX DISTRIBUIDORA DE TITULOS E VALORES MOBILIARIOS LTDA.</x:v>
      </x:c>
      <x:c r="H1103" s="168" t="str">
        <x:v>Outros</x:v>
      </x:c>
      <x:c r="I1103" s="168" t="str">
        <x:v>Multicarteira Outros</x:v>
      </x:c>
      <x:c r="J1103" s="168" t="str">
        <x:v>CI</x:v>
      </x:c>
      <x:c r="K1103" s="174" t="n">
        <x:v>104</x:v>
      </x:c>
      <x:c r="L1103" s="187" t="str">
        <x:v>Proxy multicedente/multissacado — revisar</x:v>
      </x:c>
    </x:row>
    <x:row r="1104">
      <x:c r="A1104" s="177" t="str">
        <x:v>63.032.712/0001-02</x:v>
      </x:c>
      <x:c r="B1104" s="168" t="str">
        <x:v>IORQ FREDERIC FUNDO DE INVESTIMENTO EM DIREITOS CREDITÓRIOS - RESPONSABILIDADE LIMITADA</x:v>
      </x:c>
      <x:c r="C1104" s="190" t="n">
        <x:v>102641874.52</x:v>
      </x:c>
      <x:c r="D1104" s="168" t="str">
        <x:v>Quatá Investimentos</x:v>
      </x:c>
      <x:c r="E1104" s="168" t="str">
        <x:f>IFERROR(INDEX('Classif Gestoras'!$H$6:$H$462,MATCH(D1104,'Classif Gestoras'!$A$6:$A$462,0)),"Não classificada")</x:f>
        <x:v>Independente</x:v>
      </x:c>
      <x:c r="F1104" s="168" t="str">
        <x:v>BRL TRUST DTVM</x:v>
      </x:c>
      <x:c r="G1104" s="168" t="str">
        <x:v>BRL TRUST DISTRIBUIDORA DE TITULOS E VALORES MOBILIARIOS S.A.</x:v>
      </x:c>
      <x:c r="H1104" s="168" t="str">
        <x:v>Outros</x:v>
      </x:c>
      <x:c r="I1104" s="168" t="str">
        <x:v>Multicarteira Outros</x:v>
      </x:c>
      <x:c r="J1104" s="168" t="str">
        <x:v>CI</x:v>
      </x:c>
      <x:c r="K1104" s="174" t="n">
        <x:v>31</x:v>
      </x:c>
      <x:c r="L1104" s="187" t="str">
        <x:v>Proxy multicedente/multissacado — revisar</x:v>
      </x:c>
    </x:row>
    <x:row r="1105">
      <x:c r="A1105" s="177" t="str">
        <x:v>60.019.532/0001-00</x:v>
      </x:c>
      <x:c r="B1105" s="168" t="str">
        <x:v>ISAAC CRÉDITO FLEX FIDC FINANCEIROS DE RESPONSABILIDADE LIMITADA</x:v>
      </x:c>
      <x:c r="C1105" s="190" t="n">
        <x:v>102487021.08</x:v>
      </x:c>
      <x:c r="D1105" s="168" t="str">
        <x:v>AUGME CAPITAL GESTÃO DE RECURSOS LTDA.</x:v>
      </x:c>
      <x:c r="E1105" s="168" t="str">
        <x:f>IFERROR(INDEX('Classif Gestoras'!$H$6:$H$462,MATCH(D1105,'Classif Gestoras'!$A$6:$A$462,0)),"Não classificada")</x:f>
        <x:v>Independente</x:v>
      </x:c>
      <x:c r="F1105" s="168" t="str">
        <x:v>Genial Investimentos Corretora de Valores Mobiliários S.A.</x:v>
      </x:c>
      <x:c r="G1105" s="168" t="str">
        <x:v>BANCO GENIAL S.A.</x:v>
      </x:c>
      <x:c r="H1105" s="168" t="str">
        <x:v>Agro, Indústria e Comércio</x:v>
      </x:c>
      <x:c r="I1105" s="168" t="str">
        <x:v>Crédito Corporativo</x:v>
      </x:c>
      <x:c r="J1105" s="168" t="str">
        <x:v>CI</x:v>
      </x:c>
      <x:c r="K1105" s="174" t="n">
        <x:v>1</x:v>
      </x:c>
      <x:c r="L1105" s="187" t="str">
        <x:v>Não classificado</x:v>
      </x:c>
    </x:row>
    <x:row r="1106">
      <x:c r="A1106" s="177" t="str">
        <x:v>54.857.414/0001-60</x:v>
      </x:c>
      <x:c r="B1106" s="168" t="str">
        <x:v>INDIE MERX RAIZ I CRÉDITO AGRO FIDC DO AGRONEGÓCIO - RESPONSABILIDADE LIMITADA</x:v>
      </x:c>
      <x:c r="C1106" s="190" t="n">
        <x:v>102410512.1</x:v>
      </x:c>
      <x:c r="D1106" s="168" t="str">
        <x:v>INDIE CAPITAL INVESTIMENTOS LT</x:v>
      </x:c>
      <x:c r="E1106" s="168" t="str">
        <x:f>IFERROR(INDEX('Classif Gestoras'!$H$6:$H$462,MATCH(D1106,'Classif Gestoras'!$A$6:$A$462,0)),"Não classificada")</x:f>
        <x:v>Independente</x:v>
      </x:c>
      <x:c r="F1106" s="168" t="str">
        <x:v>Limine Trust Distribuidora de Titulos e Valores Mobiliá</x:v>
      </x:c>
      <x:c r="G1106" s="168" t="str">
        <x:v>LIMINE TRUST DISTRIBUIDORA DE TITULOS E VALORES MOBILIARIOS LTDA.</x:v>
      </x:c>
      <x:c r="H1106" s="168" t="str">
        <x:v>Agro, Indústria e Comércio</x:v>
      </x:c>
      <x:c r="I1106" s="168" t="str">
        <x:v>Agronegócio</x:v>
      </x:c>
      <x:c r="J1106" s="168" t="str">
        <x:v>CI</x:v>
      </x:c>
      <x:c r="K1106" s="174" t="n">
        <x:v>40</x:v>
      </x:c>
      <x:c r="L1106" s="187" t="str">
        <x:v>Não classificado</x:v>
      </x:c>
    </x:row>
    <x:row r="1107">
      <x:c r="A1107" s="177" t="str">
        <x:v>19.153.705/0001-77</x:v>
      </x:c>
      <x:c r="B1107" s="168" t="str">
        <x:v>CREDERE FUNDO DE INVESTIMENTO EM DIREITOS CREDITÓRIOS</x:v>
      </x:c>
      <x:c r="C1107" s="190" t="n">
        <x:v>102341821.91</x:v>
      </x:c>
      <x:c r="D1107" s="168" t="str">
        <x:v>TERCON ASSET MANAGEMENT</x:v>
      </x:c>
      <x:c r="E1107" s="168" t="str">
        <x:f>IFERROR(INDEX('Classif Gestoras'!$H$6:$H$462,MATCH(D1107,'Classif Gestoras'!$A$6:$A$462,0)),"Não classificada")</x:f>
        <x:v>Independente</x:v>
      </x:c>
      <x:c r="F1107" s="168" t="str">
        <x:v>Singulare</x:v>
      </x:c>
      <x:c r="G1107" s="168" t="str">
        <x:v>QI CORRETORA DE TÍTULOS E VALORES MOBILIÁRIOS S.A.</x:v>
      </x:c>
      <x:c r="H1107" s="168" t="str">
        <x:v>Fomento Mercantil</x:v>
      </x:c>
      <x:c r="I1107" s="168" t="str">
        <x:v>Fomento Mercantil</x:v>
      </x:c>
      <x:c r="J1107" s="168" t="str">
        <x:v>CI</x:v>
      </x:c>
      <x:c r="K1107" s="174" t="n">
        <x:v>15</x:v>
      </x:c>
      <x:c r="L1107" s="187" t="str">
        <x:v>Não classificado</x:v>
      </x:c>
    </x:row>
    <x:row r="1108">
      <x:c r="A1108" s="177" t="str">
        <x:v>54.904.072/0001-92</x:v>
      </x:c>
      <x:c r="B1108" s="168" t="str">
        <x:v>COLISEU FUNDO DE INVESTIMENTO EM DIREITOS CREDITÓRIOS</x:v>
      </x:c>
      <x:c r="C1108" s="190" t="n">
        <x:v>102190360.88</x:v>
      </x:c>
      <x:c r="D1108" s="168" t="str">
        <x:v>Acura Gestora de Recursos LTDA.</x:v>
      </x:c>
      <x:c r="E1108" s="168" t="str">
        <x:f>IFERROR(INDEX('Classif Gestoras'!$H$6:$H$462,MATCH(D1108,'Classif Gestoras'!$A$6:$A$462,0)),"Não classificada")</x:f>
        <x:v>Independente</x:v>
      </x:c>
      <x:c r="F1108" s="168" t="str">
        <x:v>Qore DTVM</x:v>
      </x:c>
      <x:c r="G1108" s="168" t="str">
        <x:v>QORE DISTRIBUIDORA DE TÍTULOS E VALORES MOBILIÁRIOS LTDA.</x:v>
      </x:c>
      <x:c r="H1108" s="168" t="str">
        <x:v>Outros</x:v>
      </x:c>
      <x:c r="I1108" s="168" t="str">
        <x:v>Poder Público</x:v>
      </x:c>
      <x:c r="J1108" s="168" t="str">
        <x:v>CI</x:v>
      </x:c>
      <x:c r="K1108" s="174" t="n">
        <x:v>1</x:v>
      </x:c>
      <x:c r="L1108" s="187" t="str">
        <x:v>Não classificado</x:v>
      </x:c>
    </x:row>
    <x:row r="1109">
      <x:c r="A1109" s="177" t="str">
        <x:v>63.709.161/0001-79</x:v>
      </x:c>
      <x:c r="B1109" s="168" t="str">
        <x:v>BW CAPITAL FUNDO DE INVESTIMENTO EM DIREITOS CREDITÓRIOS - CRÉDITO CORPORATIVO</x:v>
      </x:c>
      <x:c r="C1109" s="190" t="n">
        <x:v>102032389.34</x:v>
      </x:c>
      <x:c r="D1109" s="168" t="str">
        <x:v>Harbour Capital</x:v>
      </x:c>
      <x:c r="E1109" s="168" t="str">
        <x:f>IFERROR(INDEX('Classif Gestoras'!$H$6:$H$462,MATCH(D1109,'Classif Gestoras'!$A$6:$A$462,0)),"Não classificada")</x:f>
        <x:v>Independente</x:v>
      </x:c>
      <x:c r="F1109" s="168" t="str">
        <x:v>AZUMI DISTRIBUIDORA DE TÍTULOS E VALORES MOBILIÁRIOS LT</x:v>
      </x:c>
      <x:c r="G1109" s="168" t="str">
        <x:v>AZUMI DISTRIBUIDORA DE TÍTULOS E VALORES MOBILIÁRIOS LTDA.</x:v>
      </x:c>
      <x:c r="H1109" s="168" t="str">
        <x:v>Fomento Mercantil</x:v>
      </x:c>
      <x:c r="I1109" s="168" t="str">
        <x:v>Fomento Mercantil</x:v>
      </x:c>
      <x:c r="J1109" s="168" t="str">
        <x:v>CI</x:v>
      </x:c>
      <x:c r="K1109" s="174" t="n">
        <x:v>4</x:v>
      </x:c>
      <x:c r="L1109" s="187" t="str">
        <x:v>Não classificado</x:v>
      </x:c>
    </x:row>
    <x:row r="1110">
      <x:c r="A1110" s="177" t="str">
        <x:v>54.134.587/0001-50</x:v>
      </x:c>
      <x:c r="B1110" s="168" t="str">
        <x:v>KATETO II FUNDO DE INVESTIMENTO EM DIREITOS CREDITÓRIOS</x:v>
      </x:c>
      <x:c r="C1110" s="190" t="n">
        <x:v>101953568.31</x:v>
      </x:c>
      <x:c r="D1110" s="168" t="str">
        <x:v>Banco BTG Pactual</x:v>
      </x:c>
      <x:c r="E1110" s="168" t="str">
        <x:f>IFERROR(INDEX('Classif Gestoras'!$H$6:$H$462,MATCH(D1110,'Classif Gestoras'!$A$6:$A$462,0)),"Não classificada")</x:f>
        <x:v>Ligada a banco</x:v>
      </x:c>
      <x:c r="F1110" s="168" t="str">
        <x:v>BTG Pactual Servicos Financeiros S/A DTVM</x:v>
      </x:c>
      <x:c r="G1110" s="168" t="str">
        <x:v>BANCO BTG PACTUAL S/A</x:v>
      </x:c>
      <x:c r="H1110" s="168" t="str">
        <x:v>Outros</x:v>
      </x:c>
      <x:c r="I1110" s="168" t="str">
        <x:v>Poder Público</x:v>
      </x:c>
      <x:c r="J1110" s="168" t="str">
        <x:v>CI</x:v>
      </x:c>
      <x:c r="K1110" s="174" t="n">
        <x:v>1</x:v>
      </x:c>
      <x:c r="L1110" s="187" t="str">
        <x:v>Não classificado</x:v>
      </x:c>
    </x:row>
    <x:row r="1111">
      <x:c r="A1111" s="177" t="str">
        <x:v>63.395.725/0001-46</x:v>
      </x:c>
      <x:c r="B1111" s="168" t="str">
        <x:v>FUNDO DE INVESTIMENTO EM DIREITOS CREDITÓRIOS DOTZ NOVERDE - RESPONSABILIDADE LIMITADA</x:v>
      </x:c>
      <x:c r="C1111" s="190" t="n">
        <x:v>101878656.83</x:v>
      </x:c>
      <x:c r="D1111" s="168" t="str">
        <x:v>POLÍGONO CAPITAL LTDA.</x:v>
      </x:c>
      <x:c r="E1111" s="168" t="str">
        <x:f>IFERROR(INDEX('Classif Gestoras'!$H$6:$H$462,MATCH(D1111,'Classif Gestoras'!$A$6:$A$462,0)),"Não classificada")</x:f>
        <x:v>Independente</x:v>
      </x:c>
      <x:c r="F1111" s="168" t="str">
        <x:v>Genial Investimentos Corretora de Valores Mobiliários S.A.</x:v>
      </x:c>
      <x:c r="G1111" s="168" t="str">
        <x:v>BANCO GENIAL S.A.</x:v>
      </x:c>
      <x:c r="H1111" s="168" t="str">
        <x:v>Outros</x:v>
      </x:c>
      <x:c r="I1111" s="168" t="str">
        <x:v>Multicarteira Outros</x:v>
      </x:c>
      <x:c r="J1111" s="168" t="str">
        <x:v>CI</x:v>
      </x:c>
      <x:c r="K1111" s="174" t="n">
        <x:v>19</x:v>
      </x:c>
      <x:c r="L1111" s="187" t="str">
        <x:v>Proxy multicedente/multissacado — revisar</x:v>
      </x:c>
    </x:row>
    <x:row r="1112">
      <x:c r="A1112" s="177" t="str">
        <x:v>62.913.515/0001-30</x:v>
      </x:c>
      <x:c r="B1112" s="168" t="str">
        <x:v>FUNDO DE INVESTIMENTO EM DIREITOS CREDITÓRIOS SERRAMBI RECEBÍVEIS COMERCIAIS RESP. LIMITADA</x:v>
      </x:c>
      <x:c r="C1112" s="190" t="n">
        <x:v>101733867.98</x:v>
      </x:c>
      <x:c r="D1112" s="168" t="str">
        <x:v>VERT Gestora de Recursos Financeiros Ltda.</x:v>
      </x:c>
      <x:c r="E1112" s="168" t="str">
        <x:f>IFERROR(INDEX('Classif Gestoras'!$H$6:$H$462,MATCH(D1112,'Classif Gestoras'!$A$6:$A$462,0)),"Não classificada")</x:f>
        <x:v>Independente</x:v>
      </x:c>
      <x:c r="F1112" s="168" t="str">
        <x:v>VERT Distribuidora de Títulos e Valores Mobiliários Ltd</x:v>
      </x:c>
      <x:c r="G1112" s="168" t="str">
        <x:v>VERT DISTRIBUIDORA DE TÍTULOS E VALORES MOBILIÁRIOS LTDA.</x:v>
      </x:c>
      <x:c r="H1112" s="168" t="str">
        <x:v>Agro, Indústria e Comércio</x:v>
      </x:c>
      <x:c r="I1112" s="168" t="str">
        <x:v>Recebíveis Comerciais</x:v>
      </x:c>
      <x:c r="J1112" s="168" t="str">
        <x:v>CI</x:v>
      </x:c>
      <x:c r="K1112" s="174" t="n">
        <x:v>3</x:v>
      </x:c>
      <x:c r="L1112" s="187" t="str">
        <x:v>Não classificado</x:v>
      </x:c>
    </x:row>
    <x:row r="1113">
      <x:c r="A1113" s="177" t="str">
        <x:v>54.019.802/0001-72</x:v>
      </x:c>
      <x:c r="B1113" s="168" t="str">
        <x:v>LOTTE WORD FUNDO DE INVESTIMENTO EM DIREITOS CREDITÓRIOS</x:v>
      </x:c>
      <x:c r="C1113" s="190" t="n">
        <x:v>101530249.72</x:v>
      </x:c>
      <x:c r="D1113" s="168" t="str">
        <x:v>Acura Gestora de Recursos LTDA.</x:v>
      </x:c>
      <x:c r="E1113" s="168" t="str">
        <x:f>IFERROR(INDEX('Classif Gestoras'!$H$6:$H$462,MATCH(D1113,'Classif Gestoras'!$A$6:$A$462,0)),"Não classificada")</x:f>
        <x:v>Independente</x:v>
      </x:c>
      <x:c r="F1113" s="168" t="str">
        <x:v>Qore DTVM</x:v>
      </x:c>
      <x:c r="G1113" s="168" t="str">
        <x:v>QORE DISTRIBUIDORA DE TÍTULOS E VALORES MOBILIÁRIOS LTDA.</x:v>
      </x:c>
      <x:c r="H1113" s="168" t="str">
        <x:v>Outros</x:v>
      </x:c>
      <x:c r="I1113" s="168" t="str">
        <x:v>Poder Público</x:v>
      </x:c>
      <x:c r="J1113" s="168" t="str">
        <x:v>CI</x:v>
      </x:c>
      <x:c r="K1113" s="174" t="n">
        <x:v>1</x:v>
      </x:c>
      <x:c r="L1113" s="187" t="str">
        <x:v>Não classificado</x:v>
      </x:c>
    </x:row>
    <x:row r="1114">
      <x:c r="A1114" s="177" t="str">
        <x:v>57.224.939/0001-57</x:v>
      </x:c>
      <x:c r="B1114" s="168" t="str">
        <x:v>VCTEX CL I FUNDO DE INVESTIMENTO EM DIREITOS CREDITÓRIOS RESPONSABILIDADE LIMITADA</x:v>
      </x:c>
      <x:c r="C1114" s="190" t="n">
        <x:v>101469780.56</x:v>
      </x:c>
      <x:c r="D1114" s="168" t="str">
        <x:v>BTG Pactual Asset</x:v>
      </x:c>
      <x:c r="E1114" s="168" t="str">
        <x:f>IFERROR(INDEX('Classif Gestoras'!$H$6:$H$462,MATCH(D1114,'Classif Gestoras'!$A$6:$A$462,0)),"Não classificada")</x:f>
        <x:v>Ligada a banco</x:v>
      </x:c>
      <x:c r="F1114" s="168" t="str">
        <x:v>QI DISTRIBUIDORA DE TITULOS E VALORES MOBILIARIOS LTDA</x:v>
      </x:c>
      <x:c r="G1114" s="168" t="str">
        <x:v>QI CORRETORA DE TÍTULOS E VALORES MOBILIÁRIOS S.A.</x:v>
      </x:c>
      <x:c r="H1114" s="168" t="str">
        <x:v>Financeiro</x:v>
      </x:c>
      <x:c r="I1114" s="168" t="str">
        <x:v>Crédito Consignado</x:v>
      </x:c>
      <x:c r="J1114" s="168" t="str">
        <x:v>CI</x:v>
      </x:c>
      <x:c r="K1114" s="174" t="n">
        <x:v>35</x:v>
      </x:c>
      <x:c r="L1114" s="187" t="str">
        <x:v>Não classificado</x:v>
      </x:c>
    </x:row>
    <x:row r="1115">
      <x:c r="A1115" s="177" t="str">
        <x:v>36.500.339/0001-02</x:v>
      </x:c>
      <x:c r="B1115" s="168" t="str">
        <x:v>BMA KRONOS FUNDO DE INVESTIMENTO EM DIREITOS CREDITÓRIOS MULTISSETORIAL RESPONSABILIDADE LIMITADA</x:v>
      </x:c>
      <x:c r="C1115" s="190" t="n">
        <x:v>101211041.33</x:v>
      </x:c>
      <x:c r="D1115" s="168" t="str">
        <x:v>TERCON ASSET MANAGEMENT</x:v>
      </x:c>
      <x:c r="E1115" s="168" t="str">
        <x:f>IFERROR(INDEX('Classif Gestoras'!$H$6:$H$462,MATCH(D1115,'Classif Gestoras'!$A$6:$A$462,0)),"Não classificada")</x:f>
        <x:v>Independente</x:v>
      </x:c>
      <x:c r="F1115" s="168" t="str">
        <x:v>Singulare</x:v>
      </x:c>
      <x:c r="G1115" s="168" t="str">
        <x:v>QI CORRETORA DE TÍTULOS E VALORES MOBILIÁRIOS S.A.</x:v>
      </x:c>
      <x:c r="H1115" s="168" t="str">
        <x:v>Fomento Mercantil</x:v>
      </x:c>
      <x:c r="I1115" s="168" t="str">
        <x:v>Fomento Mercantil</x:v>
      </x:c>
      <x:c r="J1115" s="168" t="str">
        <x:v>CI</x:v>
      </x:c>
      <x:c r="K1115" s="174" t="n">
        <x:v>1</x:v>
      </x:c>
      <x:c r="L1115" s="187" t="str">
        <x:v>Não classificado</x:v>
      </x:c>
    </x:row>
    <x:row r="1116">
      <x:c r="A1116" s="177" t="str">
        <x:v>63.573.472/0001-53</x:v>
      </x:c>
      <x:c r="B1116" s="168" t="str">
        <x:v>MARISA FUNDO DE INVESTIMENTO EM DIREITOS CREDITÓRIOS COMERCIAIS RESPONSABILIDADE LIMITADA</x:v>
      </x:c>
      <x:c r="C1116" s="190" t="n">
        <x:v>101183345.05</x:v>
      </x:c>
      <x:c r="D1116" s="168" t="str">
        <x:v>EuQueroInvestir Gestão de Recursos Ltda.</x:v>
      </x:c>
      <x:c r="E1116" s="168" t="str">
        <x:f>IFERROR(INDEX('Classif Gestoras'!$H$6:$H$462,MATCH(D1116,'Classif Gestoras'!$A$6:$A$462,0)),"Não classificada")</x:f>
        <x:v>Independente</x:v>
      </x:c>
      <x:c r="F1116" s="168" t="str">
        <x:v>BTG Pactual Servicos Financeiros S/A DTVM</x:v>
      </x:c>
      <x:c r="G1116" s="168" t="str">
        <x:v>BANCO BTG PACTUAL S/A</x:v>
      </x:c>
      <x:c r="H1116" s="168" t="str">
        <x:v>Agro, Indústria e Comércio</x:v>
      </x:c>
      <x:c r="I1116" s="168" t="str">
        <x:v>Crédito Corporativo</x:v>
      </x:c>
      <x:c r="J1116" s="168" t="str">
        <x:v>CI</x:v>
      </x:c>
      <x:c r="K1116" s="174" t="n">
        <x:v>8</x:v>
      </x:c>
      <x:c r="L1116" s="187" t="str">
        <x:v>Não classificado</x:v>
      </x:c>
    </x:row>
    <x:row r="1117">
      <x:c r="A1117" s="177" t="str">
        <x:v>51.862.553/0001-94</x:v>
      </x:c>
      <x:c r="B1117" s="168" t="str">
        <x:v>EVERBLUE I FUNDO DE INVESTIMENTO EM DIREITOS CREDITÓRIOS MULTISETORIAL</x:v>
      </x:c>
      <x:c r="C1117" s="190" t="n">
        <x:v>101023699.25</x:v>
      </x:c>
      <x:c r="D1117" s="168" t="str">
        <x:v>ORRAM GESTÃO DE RECURSOS LTDA.</x:v>
      </x:c>
      <x:c r="E1117" s="168" t="str">
        <x:f>IFERROR(INDEX('Classif Gestoras'!$H$6:$H$462,MATCH(D1117,'Classif Gestoras'!$A$6:$A$462,0)),"Não classificada")</x:f>
        <x:v>Independente</x:v>
      </x:c>
      <x:c r="F1117" s="168" t="str">
        <x:v>Singulare</x:v>
      </x:c>
      <x:c r="G1117" s="168" t="str">
        <x:v>QI CORRETORA DE TÍTULOS E VALORES MOBILIÁRIOS S.A.</x:v>
      </x:c>
      <x:c r="H1117" s="168" t="str">
        <x:v>Fomento Mercantil</x:v>
      </x:c>
      <x:c r="I1117" s="168" t="str">
        <x:v>Fomento Mercantil</x:v>
      </x:c>
      <x:c r="J1117" s="168" t="str">
        <x:v>CI</x:v>
      </x:c>
      <x:c r="K1117" s="174" t="n">
        <x:v>16</x:v>
      </x:c>
      <x:c r="L1117" s="187" t="str">
        <x:v>Não classificado</x:v>
      </x:c>
    </x:row>
    <x:row r="1118">
      <x:c r="A1118" s="177" t="str">
        <x:v>64.012.744/0001-09</x:v>
      </x:c>
      <x:c r="B1118" s="168" t="str">
        <x:v>GUARDIAN FUTURO VI FUNDO DE INVESTIMENTO EM DIREITOS CREDITÓRIOS RESPONSABILIDADE LIMITADA</x:v>
      </x:c>
      <x:c r="C1118" s="190" t="n">
        <x:v>101013336.04</x:v>
      </x:c>
      <x:c r="D1118" s="168" t="str">
        <x:v>Guardian Crédito</x:v>
      </x:c>
      <x:c r="E1118" s="168" t="str">
        <x:f>IFERROR(INDEX('Classif Gestoras'!$H$6:$H$462,MATCH(D1118,'Classif Gestoras'!$A$6:$A$462,0)),"Não classificada")</x:f>
        <x:v>Independente</x:v>
      </x:c>
      <x:c r="F1118" s="168" t="str">
        <x:v>Oliveira Trust DTVM</x:v>
      </x:c>
      <x:c r="G1118" s="168" t="str">
        <x:v>OLIVEIRA TRUST DTVM S.A.</x:v>
      </x:c>
      <x:c r="H1118" s="168" t="str">
        <x:v>Financeiro</x:v>
      </x:c>
      <x:c r="I1118" s="168" t="str">
        <x:v>Crédito Consignado</x:v>
      </x:c>
      <x:c r="J1118" s="168" t="str">
        <x:v>CI</x:v>
      </x:c>
      <x:c r="K1118" s="174" t="n">
        <x:v>6</x:v>
      </x:c>
      <x:c r="L1118" s="187" t="str">
        <x:v>Não classificado</x:v>
      </x:c>
    </x:row>
    <x:row r="1119">
      <x:c r="A1119" s="177" t="str">
        <x:v>53.959.749/0001-27</x:v>
      </x:c>
      <x:c r="B1119" s="168" t="str">
        <x:v>GM FUNDO DE INVESTIMENTO EM DIREITOS CREDITÓRIOS DE RESPONSABILIDADE LIMITADA</x:v>
      </x:c>
      <x:c r="C1119" s="190" t="n">
        <x:v>101000631.13</x:v>
      </x:c>
      <x:c r="D1119" s="168" t="str">
        <x:v>Multinvest Capital</x:v>
      </x:c>
      <x:c r="E1119" s="168" t="str">
        <x:f>IFERROR(INDEX('Classif Gestoras'!$H$6:$H$462,MATCH(D1119,'Classif Gestoras'!$A$6:$A$462,0)),"Não classificada")</x:f>
        <x:v>Independente</x:v>
      </x:c>
      <x:c r="F1119" s="168" t="str">
        <x:v>BANCO DAYCOVAL S/A</x:v>
      </x:c>
      <x:c r="G1119" s="168" t="str">
        <x:v>BANCO DAYCOVAL S.A.</x:v>
      </x:c>
      <x:c r="H1119" s="168" t="str">
        <x:v>Outros</x:v>
      </x:c>
      <x:c r="I1119" s="168" t="str">
        <x:v>Multicarteira Outros</x:v>
      </x:c>
      <x:c r="J1119" s="168" t="str">
        <x:v>CI</x:v>
      </x:c>
      <x:c r="K1119" s="174" t="n">
        <x:v>5</x:v>
      </x:c>
      <x:c r="L1119" s="187" t="str">
        <x:v>Proxy multicedente/multissacado — revisar</x:v>
      </x:c>
    </x:row>
    <x:row r="1120">
      <x:c r="A1120" s="177" t="str">
        <x:v>56.973.257/0001-84</x:v>
      </x:c>
      <x:c r="B1120" s="168" t="str">
        <x:v>DOMUS OCTANTE I FUNDO DE INVESTIMENTO EM DIREITOS CREDITÓRIOS DE RESPONSABILIDADE LIMITADA</x:v>
      </x:c>
      <x:c r="C1120" s="190" t="n">
        <x:v>100762740.99</x:v>
      </x:c>
      <x:c r="D1120" s="168" t="str">
        <x:v>Octante Capital</x:v>
      </x:c>
      <x:c r="E1120" s="168" t="str">
        <x:f>IFERROR(INDEX('Classif Gestoras'!$H$6:$H$462,MATCH(D1120,'Classif Gestoras'!$A$6:$A$462,0)),"Não classificada")</x:f>
        <x:v>Independente</x:v>
      </x:c>
      <x:c r="F1120" s="168" t="str">
        <x:v>BANCO DAYCOVAL S/A</x:v>
      </x:c>
      <x:c r="G1120" s="168" t="str">
        <x:v>BANCO DAYCOVAL S.A.</x:v>
      </x:c>
      <x:c r="H1120" s="168" t="str">
        <x:v>Outros</x:v>
      </x:c>
      <x:c r="I1120" s="168" t="str">
        <x:v>Multicarteira Outros</x:v>
      </x:c>
      <x:c r="J1120" s="168" t="str">
        <x:v>CI</x:v>
      </x:c>
      <x:c r="K1120" s="174" t="n">
        <x:v>37</x:v>
      </x:c>
      <x:c r="L1120" s="187" t="str">
        <x:v>Proxy multicedente/multissacado — revisar</x:v>
      </x:c>
    </x:row>
    <x:row r="1121">
      <x:c r="A1121" s="177" t="str">
        <x:v>35.654.917/0001-94</x:v>
      </x:c>
      <x:c r="B1121" s="168" t="str">
        <x:v>MS OPEN FUNDO DE INVESTIMENTO EM DIREITOS CREDITÓRIOS</x:v>
      </x:c>
      <x:c r="C1121" s="190" t="n">
        <x:v>100652820.2</x:v>
      </x:c>
      <x:c r="D1121" s="168" t="str">
        <x:v>M8 Partners</x:v>
      </x:c>
      <x:c r="E1121" s="168" t="str">
        <x:f>IFERROR(INDEX('Classif Gestoras'!$H$6:$H$462,MATCH(D1121,'Classif Gestoras'!$A$6:$A$462,0)),"Não classificada")</x:f>
        <x:v>Independente</x:v>
      </x:c>
      <x:c r="F1121" s="168" t="str">
        <x:v>Singulare</x:v>
      </x:c>
      <x:c r="G1121" s="168" t="str">
        <x:v>QI CORRETORA DE TÍTULOS E VALORES MOBILIÁRIOS S.A.</x:v>
      </x:c>
      <x:c r="H1121" s="168" t="str">
        <x:v>Fomento Mercantil</x:v>
      </x:c>
      <x:c r="I1121" s="168" t="str">
        <x:v>Fomento Mercantil</x:v>
      </x:c>
      <x:c r="J1121" s="168" t="str">
        <x:v>CI</x:v>
      </x:c>
      <x:c r="K1121" s="174" t="n">
        <x:v>31</x:v>
      </x:c>
      <x:c r="L1121" s="187" t="str">
        <x:v>Não classificado</x:v>
      </x:c>
    </x:row>
    <x:row r="1122">
      <x:c r="A1122" s="177" t="str">
        <x:v>10.338.491/0001-39</x:v>
      </x:c>
      <x:c r="B1122" s="168" t="str">
        <x:v>BELLUNO PAGAMENTOS FUNDO DE INVESTIMENTO EM DIREITOS CREDITÓRIOS MULTISSETORIAL</x:v>
      </x:c>
      <x:c r="C1122" s="190" t="n">
        <x:v>100157547.34</x:v>
      </x:c>
      <x:c r="D1122" s="168" t="str">
        <x:v>OURO PRETO INVESTIMENTOS</x:v>
      </x:c>
      <x:c r="E1122" s="168" t="str">
        <x:f>IFERROR(INDEX('Classif Gestoras'!$H$6:$H$462,MATCH(D1122,'Classif Gestoras'!$A$6:$A$462,0)),"Não classificada")</x:f>
        <x:v>Independente</x:v>
      </x:c>
      <x:c r="F1122" s="168" t="str">
        <x:v>Singulare</x:v>
      </x:c>
      <x:c r="G1122" s="168" t="str">
        <x:v>QI CORRETORA DE TÍTULOS E VALORES MOBILIÁRIOS S.A.</x:v>
      </x:c>
      <x:c r="H1122" s="168" t="str">
        <x:v>Fomento Mercantil</x:v>
      </x:c>
      <x:c r="I1122" s="168" t="str">
        <x:v>Fomento Mercantil</x:v>
      </x:c>
      <x:c r="J1122" s="168" t="str">
        <x:v>CI</x:v>
      </x:c>
      <x:c r="K1122" s="174" t="n">
        <x:v>9</x:v>
      </x:c>
      <x:c r="L1122" s="187" t="str">
        <x:v>Não classificado</x:v>
      </x:c>
    </x:row>
    <x:row r="1123">
      <x:c r="A1123" s="177" t="str">
        <x:v>42.462.306/0001-00</x:v>
      </x:c>
      <x:c r="B1123" s="168" t="str">
        <x:v>IS GREEN SOLFÁCIL II FUNDO DE INVESTIMENTO EM DIREITOS CREDITÓRIOS DE RESPONSABILIDADE LIMITADA</x:v>
      </x:c>
      <x:c r="C1123" s="190" t="n">
        <x:v>100117341.4</x:v>
      </x:c>
      <x:c r="D1123" s="168" t="str">
        <x:v>ANGÁ ASSET MANAGEMENT</x:v>
      </x:c>
      <x:c r="E1123" s="168" t="str">
        <x:f>IFERROR(INDEX('Classif Gestoras'!$H$6:$H$462,MATCH(D1123,'Classif Gestoras'!$A$6:$A$462,0)),"Não classificada")</x:f>
        <x:v>Independente</x:v>
      </x:c>
      <x:c r="F1123" s="168" t="str">
        <x:v>Banco Genial S.A.</x:v>
      </x:c>
      <x:c r="G1123" s="168" t="str">
        <x:v>BANCO GENIAL S.A.</x:v>
      </x:c>
      <x:c r="H1123" s="168" t="str">
        <x:v>Financeiro</x:v>
      </x:c>
      <x:c r="I1123" s="168" t="str">
        <x:v>Crédito Pessoal</x:v>
      </x:c>
      <x:c r="J1123" s="168" t="str">
        <x:v>CI</x:v>
      </x:c>
      <x:c r="K1123" s="174" t="n">
        <x:v>31</x:v>
      </x:c>
      <x:c r="L1123" s="187" t="str">
        <x:v>Não classificado</x:v>
      </x:c>
    </x:row>
    <x:row r="1124">
      <x:c r="A1124" s="177" t="str">
        <x:v>61.289.587/0001-95</x:v>
      </x:c>
      <x:c r="B1124" s="168" t="str">
        <x:v>ITAÚ POOL FUNDO DE INVESTIMENTO EM DIREITOS CREDITÓRIOS RESPONSABILIDADE LIMITADA</x:v>
      </x:c>
      <x:c r="C1124" s="190" t="n">
        <x:v>100038100.68</x:v>
      </x:c>
      <x:c r="D1124" s="168" t="str">
        <x:v>ITAU ASSET</x:v>
      </x:c>
      <x:c r="E1124" s="168" t="str">
        <x:f>IFERROR(INDEX('Classif Gestoras'!$H$6:$H$462,MATCH(D1124,'Classif Gestoras'!$A$6:$A$462,0)),"Não classificada")</x:f>
        <x:v>Ligada a banco</x:v>
      </x:c>
      <x:c r="F1124" s="168" t="str">
        <x:v>INTRAG DIST. DE TÍTU</x:v>
      </x:c>
      <x:c r="G1124" s="168" t="str">
        <x:v>ITAU UNIBANCO S.A.</x:v>
      </x:c>
      <x:c r="H1124" s="168" t="str">
        <x:v>Outros</x:v>
      </x:c>
      <x:c r="I1124" s="168" t="str">
        <x:v>Multicarteira Outros</x:v>
      </x:c>
      <x:c r="J1124" s="168" t="str">
        <x:v>CI</x:v>
      </x:c>
      <x:c r="K1124" s="174" t="n">
        <x:v>1</x:v>
      </x:c>
      <x:c r="L1124" s="187" t="str">
        <x:v>Proxy multicedente/multissacado — revisar</x:v>
      </x:c>
    </x:row>
    <x:row r="1125">
      <x:c r="A1125" s="177" t="str">
        <x:v>13.776.087/0001-35</x:v>
      </x:c>
      <x:c r="B1125" s="168" t="str">
        <x:v>V4 FIDC NP - AÇÕES JUDICIAIS</x:v>
      </x:c>
      <x:c r="C1125" s="190" t="n">
        <x:v>100012465.85</x:v>
      </x:c>
      <x:c r="D1125" s="168" t="str">
        <x:v>Vision Brazil</x:v>
      </x:c>
      <x:c r="E1125" s="168" t="str">
        <x:f>IFERROR(INDEX('Classif Gestoras'!$H$6:$H$462,MATCH(D1125,'Classif Gestoras'!$A$6:$A$462,0)),"Não classificada")</x:f>
        <x:v>Independente</x:v>
      </x:c>
      <x:c r="F1125" s="168" t="str">
        <x:v>Singulare</x:v>
      </x:c>
      <x:c r="G1125" s="168" t="str">
        <x:v>QI CORRETORA DE TÍTULOS E VALORES MOBILIÁRIOS S.A.</x:v>
      </x:c>
      <x:c r="H1125" s="168" t="str">
        <x:v>Outros</x:v>
      </x:c>
      <x:c r="I1125" s="168" t="str">
        <x:v>Poder Público</x:v>
      </x:c>
      <x:c r="J1125" s="168" t="str">
        <x:v>CI</x:v>
      </x:c>
      <x:c r="K1125" s="174" t="n">
        <x:v>1</x:v>
      </x:c>
      <x:c r="L1125" s="187" t="str">
        <x:v>Não classificado</x:v>
      </x:c>
    </x:row>
    <x:row r="1126">
      <x:c r="A1126" s="177" t="str">
        <x:v>12.910.463/0001-70</x:v>
      </x:c>
      <x:c r="B1126" s="168" t="str">
        <x:v>CAPITAL RS NP FUNDO DE INVESTIMENTO EM DIREITOS CREDITÓRIOS NÃO PADRONIZADOS MULTISSETORIAL</x:v>
      </x:c>
      <x:c r="C1126" s="190" t="n">
        <x:v>100008339.59</x:v>
      </x:c>
      <x:c r="D1126" s="168" t="str">
        <x:v>TERCON ASSET MANAGEMENT</x:v>
      </x:c>
      <x:c r="E1126" s="168" t="str">
        <x:f>IFERROR(INDEX('Classif Gestoras'!$H$6:$H$462,MATCH(D1126,'Classif Gestoras'!$A$6:$A$462,0)),"Não classificada")</x:f>
        <x:v>Independente</x:v>
      </x:c>
      <x:c r="F1126" s="168" t="str">
        <x:v>Singulare</x:v>
      </x:c>
      <x:c r="G1126" s="168" t="str">
        <x:v>QI CORRETORA DE TÍTULOS E VALORES MOBILIÁRIOS S.A.</x:v>
      </x:c>
      <x:c r="H1126" s="168" t="str">
        <x:v>Fomento Mercantil</x:v>
      </x:c>
      <x:c r="I1126" s="168" t="str">
        <x:v>Fomento Mercantil</x:v>
      </x:c>
      <x:c r="J1126" s="168" t="str">
        <x:v>CI</x:v>
      </x:c>
      <x:c r="K1126" s="174" t="n">
        <x:v>1</x:v>
      </x:c>
      <x:c r="L1126" s="187" t="str">
        <x:v>Não classificado</x:v>
      </x:c>
    </x:row>
    <x:row r="1127">
      <x:c r="A1127" s="177" t="str">
        <x:v>37.298.599/0001-00</x:v>
      </x:c>
      <x:c r="B1127" s="168" t="str">
        <x:v>QUARTER PRECATÓRIOS FUNDO DE INVESTIMENTO EM DIREITOS CREDITÓRIOS NÃO PADRONIZADOS</x:v>
      </x:c>
      <x:c r="C1127" s="190" t="n">
        <x:v>99869662.01</x:v>
      </x:c>
      <x:c r="D1127" s="168" t="str">
        <x:v>BURITI INVESTIMENTOS</x:v>
      </x:c>
      <x:c r="E1127" s="168" t="str">
        <x:f>IFERROR(INDEX('Classif Gestoras'!$H$6:$H$462,MATCH(D1127,'Classif Gestoras'!$A$6:$A$462,0)),"Não classificada")</x:f>
        <x:v>Independente</x:v>
      </x:c>
      <x:c r="F1127" s="168" t="str">
        <x:v>Singulare</x:v>
      </x:c>
      <x:c r="G1127" s="168" t="str">
        <x:v>BARU DISTRIBUIDORA DE TÍTULOS E VALORES MOBILIÁRIOS LTDA.</x:v>
      </x:c>
      <x:c r="H1127" s="168" t="str">
        <x:v>Outros</x:v>
      </x:c>
      <x:c r="I1127" s="168" t="str">
        <x:v>Poder Público</x:v>
      </x:c>
      <x:c r="J1127" s="168" t="str">
        <x:v>CI</x:v>
      </x:c>
      <x:c r="K1127" s="174" t="n">
        <x:v>5</x:v>
      </x:c>
      <x:c r="L1127" s="187" t="str">
        <x:v>Não classificado</x:v>
      </x:c>
    </x:row>
    <x:row r="1128">
      <x:c r="A1128" s="177" t="str">
        <x:v>57.088.363/0001-48</x:v>
      </x:c>
      <x:c r="B1128" s="168" t="str">
        <x:v>NORTE SANEAMENTO FUNDO DE INVESTIMENTO EM DIREITOS CREDITÓRIOS DE RESPONSABILIDADE LIMITADA</x:v>
      </x:c>
      <x:c r="C1128" s="190" t="n">
        <x:v>99754096.25</x:v>
      </x:c>
      <x:c r="D1128" s="168" t="str">
        <x:v>Bocaina Capital</x:v>
      </x:c>
      <x:c r="E1128" s="168" t="str">
        <x:f>IFERROR(INDEX('Classif Gestoras'!$H$6:$H$462,MATCH(D1128,'Classif Gestoras'!$A$6:$A$462,0)),"Não classificada")</x:f>
        <x:v>Independente</x:v>
      </x:c>
      <x:c r="F1128" s="168" t="str">
        <x:v>BANCO DAYCOVAL S/A</x:v>
      </x:c>
      <x:c r="G1128" s="168" t="str">
        <x:v>BANCO DAYCOVAL S.A.</x:v>
      </x:c>
      <x:c r="H1128" s="168" t="str">
        <x:v>Outros</x:v>
      </x:c>
      <x:c r="I1128" s="168" t="str">
        <x:v>Multicarteira Outros</x:v>
      </x:c>
      <x:c r="J1128" s="168" t="str">
        <x:v>CI</x:v>
      </x:c>
      <x:c r="K1128" s="174" t="n">
        <x:v>18</x:v>
      </x:c>
      <x:c r="L1128" s="187" t="str">
        <x:v>Proxy multicedente/multissacado — revisar</x:v>
      </x:c>
    </x:row>
    <x:row r="1129">
      <x:c r="A1129" s="177" t="str">
        <x:v>57.661.848/0001-89</x:v>
      </x:c>
      <x:c r="B1129" s="168" t="str">
        <x:v>FUNDO DE INVESTIMENTO EM DIREITOS CREDITÓRIOS VJP CONSIGNADO - RESPONSABILIDADE LIMITADA</x:v>
      </x:c>
      <x:c r="C1129" s="190" t="n">
        <x:v>99557874.79</x:v>
      </x:c>
      <x:c r="D1129" s="168" t="str">
        <x:v>Vinci Gestora de Recursos LTDA</x:v>
      </x:c>
      <x:c r="E1129" s="168" t="str">
        <x:f>IFERROR(INDEX('Classif Gestoras'!$H$6:$H$462,MATCH(D1129,'Classif Gestoras'!$A$6:$A$462,0)),"Não classificada")</x:f>
        <x:v>Independente</x:v>
      </x:c>
      <x:c r="F1129" s="168" t="str">
        <x:v>Singulare</x:v>
      </x:c>
      <x:c r="G1129" s="168" t="str">
        <x:v>QI CORRETORA DE TÍTULOS E VALORES MOBILIÁRIOS S.A.</x:v>
      </x:c>
      <x:c r="H1129" s="168" t="str">
        <x:v>Financeiro</x:v>
      </x:c>
      <x:c r="I1129" s="168" t="str">
        <x:v>Crédito Consignado</x:v>
      </x:c>
      <x:c r="J1129" s="168" t="str">
        <x:v>CI</x:v>
      </x:c>
      <x:c r="K1129" s="174" t="n">
        <x:v>16</x:v>
      </x:c>
      <x:c r="L1129" s="187" t="str">
        <x:v>Não classificado</x:v>
      </x:c>
    </x:row>
    <x:row r="1130">
      <x:c r="A1130" s="177" t="str">
        <x:v>58.723.201/0001-05</x:v>
      </x:c>
      <x:c r="B1130" s="168" t="str">
        <x:v>MATTEH FUNDO DE INVESTIMENTO EM DIREITOS CREDITÓRIOS</x:v>
      </x:c>
      <x:c r="C1130" s="190" t="n">
        <x:v>99442688.03</x:v>
      </x:c>
      <x:c r="D1130" s="168" t="str">
        <x:v>H2 CAPITAL</x:v>
      </x:c>
      <x:c r="E1130" s="168" t="str">
        <x:f>IFERROR(INDEX('Classif Gestoras'!$H$6:$H$462,MATCH(D1130,'Classif Gestoras'!$A$6:$A$462,0)),"Não classificada")</x:f>
        <x:v>Independente</x:v>
      </x:c>
      <x:c r="F1130" s="168" t="str">
        <x:v>PLANNER CV</x:v>
      </x:c>
      <x:c r="G1130" s="168" t="str">
        <x:v>PLANNER CORRETORA DE VALORES S.A.</x:v>
      </x:c>
      <x:c r="H1130" s="168" t="str">
        <x:v>Outros</x:v>
      </x:c>
      <x:c r="I1130" s="168" t="str">
        <x:v>Multicarteira Outros</x:v>
      </x:c>
      <x:c r="J1130" s="168" t="str">
        <x:v>CI</x:v>
      </x:c>
      <x:c r="K1130" s="174" t="n">
        <x:v>2</x:v>
      </x:c>
      <x:c r="L1130" s="187" t="str">
        <x:v>Proxy multicedente/multissacado — revisar</x:v>
      </x:c>
    </x:row>
    <x:row r="1131">
      <x:c r="A1131" s="177" t="str">
        <x:v>27.984.265/0001-28</x:v>
      </x:c>
      <x:c r="B1131" s="168" t="str">
        <x:v>MUNDO FUNDO DE INVESTIMENTO EM DIREITOS CREDITÓRIOS NÃO PADRONIZADOS-RESPONSABILIDADE LIMITADA</x:v>
      </x:c>
      <x:c r="C1131" s="190" t="n">
        <x:v>99348985.62</x:v>
      </x:c>
      <x:c r="D1131" s="168" t="str">
        <x:v>EAGLE CAPITAL</x:v>
      </x:c>
      <x:c r="E1131" s="168" t="str">
        <x:f>IFERROR(INDEX('Classif Gestoras'!$H$6:$H$462,MATCH(D1131,'Classif Gestoras'!$A$6:$A$462,0)),"Não classificada")</x:f>
        <x:v>Independente</x:v>
      </x:c>
      <x:c r="F1131" s="168" t="str">
        <x:v>LASTRO RDV DIST. DE</x:v>
      </x:c>
      <x:c r="G1131" s="168" t="str">
        <x:v>LASTRO RDV DTVM LTDA</x:v>
      </x:c>
      <x:c r="H1131" s="168" t="str">
        <x:v>Outros</x:v>
      </x:c>
      <x:c r="I1131" s="168" t="str">
        <x:v>Multicarteira Outros</x:v>
      </x:c>
      <x:c r="J1131" s="168" t="str">
        <x:v>CI</x:v>
      </x:c>
      <x:c r="K1131" s="174" t="n">
        <x:v>1</x:v>
      </x:c>
      <x:c r="L1131" s="187" t="str">
        <x:v>Proxy multicedente/multissacado — revisar</x:v>
      </x:c>
    </x:row>
    <x:row r="1132">
      <x:c r="A1132" s="177" t="str">
        <x:v>59.818.474/0001-98</x:v>
      </x:c>
      <x:c r="B1132" s="168" t="str">
        <x:v>IGNIS FUNDO DE INVESTIMENTO EM DIREITOS CREDITÓRIOS DE RESPONSABILIDADE LIMITADA</x:v>
      </x:c>
      <x:c r="C1132" s="190" t="n">
        <x:v>99345412.98</x:v>
      </x:c>
      <x:c r="D1132" s="168" t="str">
        <x:v>RedAsset Gestão de Recursos Ltda.</x:v>
      </x:c>
      <x:c r="E1132" s="168" t="str">
        <x:f>IFERROR(INDEX('Classif Gestoras'!$H$6:$H$462,MATCH(D1132,'Classif Gestoras'!$A$6:$A$462,0)),"Não classificada")</x:f>
        <x:v>Independente</x:v>
      </x:c>
      <x:c r="F1132" s="168" t="str">
        <x:v>HEMERA DTVM</x:v>
      </x:c>
      <x:c r="G1132" s="168" t="str">
        <x:v>HEMERA DISTRIBUIDORA DE TITULOS E VALORES MOBILIARIOS LTDA</x:v>
      </x:c>
      <x:c r="H1132" s="168" t="str">
        <x:v>Agro, Indústria e Comércio</x:v>
      </x:c>
      <x:c r="I1132" s="168" t="str">
        <x:v>Recebíveis Comerciais</x:v>
      </x:c>
      <x:c r="J1132" s="168" t="str">
        <x:v>CI</x:v>
      </x:c>
      <x:c r="K1132" s="174" t="n">
        <x:v>1</x:v>
      </x:c>
      <x:c r="L1132" s="187" t="str">
        <x:v>Não classificado</x:v>
      </x:c>
    </x:row>
    <x:row r="1133">
      <x:c r="A1133" s="177" t="str">
        <x:v>50.706.970/0001-85</x:v>
      </x:c>
      <x:c r="B1133" s="168" t="str">
        <x:v>MONTBLANC FUNDO DE INVESTIMENTO EM DIREITOS CREDITÓRIOS</x:v>
      </x:c>
      <x:c r="C1133" s="190" t="n">
        <x:v>99170509.37</x:v>
      </x:c>
      <x:c r="D1133" s="168" t="str">
        <x:v>Renova Gestora</x:v>
      </x:c>
      <x:c r="E1133" s="168" t="str">
        <x:f>IFERROR(INDEX('Classif Gestoras'!$H$6:$H$462,MATCH(D1133,'Classif Gestoras'!$A$6:$A$462,0)),"Não classificada")</x:f>
        <x:v>Independente</x:v>
      </x:c>
      <x:c r="F1133" s="168" t="str">
        <x:v>MONETAR DISTRIBUIDORA DE TITUL</x:v>
      </x:c>
      <x:c r="G1133" s="168" t="str">
        <x:v>TERRA INVESTIMENTOS DISTRIBUIDORA DE TITULOS E VALORES MOBILIARIOS LTDA</x:v>
      </x:c>
      <x:c r="H1133" s="168" t="str">
        <x:v>Outros</x:v>
      </x:c>
      <x:c r="I1133" s="168" t="str">
        <x:v>Multicarteira Outros</x:v>
      </x:c>
      <x:c r="J1133" s="168" t="str">
        <x:v>CI</x:v>
      </x:c>
      <x:c r="K1133" s="174" t="n">
        <x:v>1</x:v>
      </x:c>
      <x:c r="L1133" s="187" t="str">
        <x:v>Proxy multicedente/multissacado — revisar</x:v>
      </x:c>
    </x:row>
    <x:row r="1134">
      <x:c r="A1134" s="177" t="str">
        <x:v>46.879.430/0001-26</x:v>
      </x:c>
      <x:c r="B1134" s="168" t="str">
        <x:v>MULTIPLIER FUNDO DE INVESTIMENTO EM DIREITOS CREDITÓRIOS NÃO-PADRONIZADO</x:v>
      </x:c>
      <x:c r="C1134" s="190" t="n">
        <x:v>99150821.3</x:v>
      </x:c>
      <x:c r="D1134" s="168" t="str">
        <x:v>ASAROCK ASSET MANAGEMENT</x:v>
      </x:c>
      <x:c r="E1134" s="168" t="str">
        <x:f>IFERROR(INDEX('Classif Gestoras'!$H$6:$H$462,MATCH(D1134,'Classif Gestoras'!$A$6:$A$462,0)),"Não classificada")</x:f>
        <x:v>Independente</x:v>
      </x:c>
      <x:c r="F1134" s="168" t="str">
        <x:v>ID Corretora de Títulos e Valores Mobiliários S.A.</x:v>
      </x:c>
      <x:c r="G1134" s="168" t="str">
        <x:v>ID CORRETORA DE TITULOS E VALORES MOBILIARIOS S.A.</x:v>
      </x:c>
      <x:c r="H1134" s="168" t="str">
        <x:v>Fomento Mercantil</x:v>
      </x:c>
      <x:c r="I1134" s="168" t="str">
        <x:v>Fomento Mercantil</x:v>
      </x:c>
      <x:c r="J1134" s="168" t="str">
        <x:v>CI</x:v>
      </x:c>
      <x:c r="K1134" s="174" t="n">
        <x:v>5</x:v>
      </x:c>
      <x:c r="L1134" s="187" t="str">
        <x:v>Não classificado</x:v>
      </x:c>
    </x:row>
    <x:row r="1135">
      <x:c r="A1135" s="177" t="str">
        <x:v>44.395.262/0001-78</x:v>
      </x:c>
      <x:c r="B1135" s="168" t="str">
        <x:v>SAN PRECA FEDERAL I FUNDO DE INVESTIMENTO EM DIREITOS CREDITÓRIOS - RESPONSABILIDADE LIMITADA</x:v>
      </x:c>
      <x:c r="C1135" s="190" t="n">
        <x:v>99038298.67</x:v>
      </x:c>
      <x:c r="D1135" s="168" t="str">
        <x:v>Algarve Capital</x:v>
      </x:c>
      <x:c r="E1135" s="168" t="str">
        <x:f>IFERROR(INDEX('Classif Gestoras'!$H$6:$H$462,MATCH(D1135,'Classif Gestoras'!$A$6:$A$462,0)),"Não classificada")</x:f>
        <x:v>Independente</x:v>
      </x:c>
      <x:c r="F1135" s="168" t="str">
        <x:v>MAF Distribuidora de Títulos e Valores Mobiliários S.A.</x:v>
      </x:c>
      <x:c r="G1135" s="168" t="str">
        <x:v>MAF DISTRIBUIDORA DE TITULOS E VALORES MOBILIARIOS S.A.</x:v>
      </x:c>
      <x:c r="H1135" s="168" t="str">
        <x:v>Outros</x:v>
      </x:c>
      <x:c r="I1135" s="168" t="str">
        <x:v>Multicarteira Outros</x:v>
      </x:c>
      <x:c r="J1135" s="168" t="str">
        <x:v>CI</x:v>
      </x:c>
      <x:c r="K1135" s="174" t="n">
        <x:v>2</x:v>
      </x:c>
      <x:c r="L1135" s="187" t="str">
        <x:v>Proxy multicedente/multissacado — revisar</x:v>
      </x:c>
    </x:row>
    <x:row r="1136">
      <x:c r="A1136" s="177" t="str">
        <x:v>53.121.758/0001-44</x:v>
      </x:c>
      <x:c r="B1136" s="168" t="str">
        <x:v>FUNDO DE INVESTIMENTO EM DIREITOS CREDITÓRIOS PRATA DIGITAL II RESPONSABILIDADE LIMITADA</x:v>
      </x:c>
      <x:c r="C1136" s="190" t="n">
        <x:v>99017450.94</x:v>
      </x:c>
      <x:c r="D1136" s="168" t="str">
        <x:v>QI GESTAO DE RECURSOS LTDA</x:v>
      </x:c>
      <x:c r="E1136" s="168" t="str">
        <x:f>IFERROR(INDEX('Classif Gestoras'!$H$6:$H$462,MATCH(D1136,'Classif Gestoras'!$A$6:$A$462,0)),"Não classificada")</x:f>
        <x:v>Independente</x:v>
      </x:c>
      <x:c r="F1136" s="168" t="str">
        <x:v>QI DISTRIBUIDORA DE TITULOS E VALORES MOBILIARIOS LTDA</x:v>
      </x:c>
      <x:c r="G1136" s="168" t="str">
        <x:v>LASTRO RDV DTVM LTDA</x:v>
      </x:c>
      <x:c r="H1136" s="168" t="str">
        <x:v>Financeiro</x:v>
      </x:c>
      <x:c r="I1136" s="168" t="str">
        <x:v>Crédito Pessoal</x:v>
      </x:c>
      <x:c r="J1136" s="168" t="str">
        <x:v>CI</x:v>
      </x:c>
      <x:c r="K1136" s="174" t="n">
        <x:v>3</x:v>
      </x:c>
      <x:c r="L1136" s="187" t="str">
        <x:v>Não classificado</x:v>
      </x:c>
    </x:row>
    <x:row r="1137">
      <x:c r="A1137" s="177" t="str">
        <x:v>32.969.565/0001-78</x:v>
      </x:c>
      <x:c r="B1137" s="168" t="str">
        <x:v>SANTIAGO HOME EQUITY FUNDO DE INVESTIMENTO EM DIREITOS CREDITÓRIOS</x:v>
      </x:c>
      <x:c r="C1137" s="190" t="n">
        <x:v>99012281.42</x:v>
      </x:c>
      <x:c r="D1137" s="168" t="str">
        <x:v>Galápagos</x:v>
      </x:c>
      <x:c r="E1137" s="168" t="str">
        <x:f>IFERROR(INDEX('Classif Gestoras'!$H$6:$H$462,MATCH(D1137,'Classif Gestoras'!$A$6:$A$462,0)),"Não classificada")</x:f>
        <x:v>Independente</x:v>
      </x:c>
      <x:c r="F1137" s="168" t="str">
        <x:v>Singulare</x:v>
      </x:c>
      <x:c r="G1137" s="168" t="str">
        <x:v>QI CORRETORA DE TÍTULOS E VALORES MOBILIÁRIOS S.A.</x:v>
      </x:c>
      <x:c r="H1137" s="168" t="str">
        <x:v>Outros</x:v>
      </x:c>
      <x:c r="I1137" s="168" t="str">
        <x:v>Multicarteira Outros</x:v>
      </x:c>
      <x:c r="J1137" s="168" t="str">
        <x:v>CI</x:v>
      </x:c>
      <x:c r="K1137" s="174" t="n">
        <x:v>20</x:v>
      </x:c>
      <x:c r="L1137" s="187" t="str">
        <x:v>Proxy multicedente/multissacado — revisar</x:v>
      </x:c>
    </x:row>
    <x:row r="1138">
      <x:c r="A1138" s="177" t="str">
        <x:v>63.630.763/0001-36</x:v>
      </x:c>
      <x:c r="B1138" s="168" t="str">
        <x:v>GRUPO WINE FUNDO DE INVESTIMENTO EM DIREITOS CREDITÓRIOS RECEBÍVEIS COMERCIAIS DE RESP LIMITADA</x:v>
      </x:c>
      <x:c r="C1138" s="190" t="n">
        <x:v>99008681.06</x:v>
      </x:c>
      <x:c r="D1138" s="168" t="str">
        <x:v>VERT Gestora de Recursos Financeiros Ltda.</x:v>
      </x:c>
      <x:c r="E1138" s="168" t="str">
        <x:f>IFERROR(INDEX('Classif Gestoras'!$H$6:$H$462,MATCH(D1138,'Classif Gestoras'!$A$6:$A$462,0)),"Não classificada")</x:f>
        <x:v>Independente</x:v>
      </x:c>
      <x:c r="F1138" s="168" t="str">
        <x:v>VERT Distribuidora de Títulos e Valores Mobiliários Ltd</x:v>
      </x:c>
      <x:c r="G1138" s="168" t="str">
        <x:v>VERT DISTRIBUIDORA DE TÍTULOS E VALORES MOBILIÁRIOS LTDA.</x:v>
      </x:c>
      <x:c r="H1138" s="168" t="str">
        <x:v>Agro, Indústria e Comércio</x:v>
      </x:c>
      <x:c r="I1138" s="168" t="str">
        <x:v>Recebíveis Comerciais</x:v>
      </x:c>
      <x:c r="J1138" s="168" t="str">
        <x:v>CI</x:v>
      </x:c>
      <x:c r="K1138" s="174" t="n">
        <x:v>3</x:v>
      </x:c>
      <x:c r="L1138" s="187" t="str">
        <x:v>Não classificado</x:v>
      </x:c>
    </x:row>
    <x:row r="1139">
      <x:c r="A1139" s="177" t="str">
        <x:v>56.125.110/0001-34</x:v>
      </x:c>
      <x:c r="B1139" s="168" t="str">
        <x:v>FUNDO DE INVESTIMENTO EM DIREITOS CREDITÓRIOS NXCO - RESPONSABILIDADE LIMITADA</x:v>
      </x:c>
      <x:c r="C1139" s="190" t="n">
        <x:v>98925586.78</x:v>
      </x:c>
      <x:c r="D1139" s="168" t="str">
        <x:v>Nexa</x:v>
      </x:c>
      <x:c r="E1139" s="168" t="str">
        <x:f>IFERROR(INDEX('Classif Gestoras'!$H$6:$H$462,MATCH(D1139,'Classif Gestoras'!$A$6:$A$462,0)),"Não classificada")</x:f>
        <x:v>Independente</x:v>
      </x:c>
      <x:c r="F1139" s="168" t="str">
        <x:v>BANCO DAYCOVAL S/A</x:v>
      </x:c>
      <x:c r="G1139" s="168" t="str">
        <x:v>BANCO DAYCOVAL S.A.</x:v>
      </x:c>
      <x:c r="H1139" s="168" t="str">
        <x:v>Outros</x:v>
      </x:c>
      <x:c r="I1139" s="168" t="str">
        <x:v>Multicarteira Outros</x:v>
      </x:c>
      <x:c r="J1139" s="168" t="str">
        <x:v>CI</x:v>
      </x:c>
      <x:c r="K1139" s="174" t="n">
        <x:v>82</x:v>
      </x:c>
      <x:c r="L1139" s="187" t="str">
        <x:v>Proxy multicedente/multissacado — revisar</x:v>
      </x:c>
    </x:row>
    <x:row r="1140">
      <x:c r="A1140" s="177" t="str">
        <x:v>11.203.571/0001-40</x:v>
      </x:c>
      <x:c r="B1140" s="168" t="str">
        <x:v>CRESCER FUNDO DE INVESTIMENTO EM DIREITOS CREDITÓRIOS MULTISEGMENTOS</x:v>
      </x:c>
      <x:c r="C1140" s="190" t="n">
        <x:v>98767483.62</x:v>
      </x:c>
      <x:c r="D1140" s="168" t="str">
        <x:v>Petra Capital</x:v>
      </x:c>
      <x:c r="E1140" s="168" t="str">
        <x:f>IFERROR(INDEX('Classif Gestoras'!$H$6:$H$462,MATCH(D1140,'Classif Gestoras'!$A$6:$A$462,0)),"Não classificada")</x:f>
        <x:v>Independente</x:v>
      </x:c>
      <x:c r="F1140" s="168" t="str">
        <x:v>Banco Finaxis S.A.</x:v>
      </x:c>
      <x:c r="G1140" s="168" t="str">
        <x:v>BANCO FINAXIS S.A.</x:v>
      </x:c>
      <x:c r="H1140" s="168" t="str">
        <x:v>Fomento Mercantil</x:v>
      </x:c>
      <x:c r="I1140" s="168" t="str">
        <x:v>Fomento Mercantil</x:v>
      </x:c>
      <x:c r="J1140" s="168" t="str">
        <x:v>CI</x:v>
      </x:c>
      <x:c r="K1140" s="174" t="n">
        <x:v>5</x:v>
      </x:c>
      <x:c r="L1140" s="187" t="str">
        <x:v>Não classificado</x:v>
      </x:c>
    </x:row>
    <x:row r="1141">
      <x:c r="A1141" s="177" t="str">
        <x:v>09.057.948/0001-58</x:v>
      </x:c>
      <x:c r="B1141" s="168" t="str">
        <x:v>FIDC MULTISETORIAL EXICON I</x:v>
      </x:c>
      <x:c r="C1141" s="190" t="n">
        <x:v>98629616.23</x:v>
      </x:c>
      <x:c r="D1141" s="168" t="str">
        <x:v>TERCON ASSET MANAGEMENT</x:v>
      </x:c>
      <x:c r="E1141" s="168" t="str">
        <x:f>IFERROR(INDEX('Classif Gestoras'!$H$6:$H$462,MATCH(D1141,'Classif Gestoras'!$A$6:$A$462,0)),"Não classificada")</x:f>
        <x:v>Independente</x:v>
      </x:c>
      <x:c r="F1141" s="168" t="str">
        <x:v>Singulare</x:v>
      </x:c>
      <x:c r="G1141" s="168" t="str">
        <x:v>QI CORRETORA DE TÍTULOS E VALORES MOBILIÁRIOS S.A.</x:v>
      </x:c>
      <x:c r="H1141" s="168" t="str">
        <x:v>Fomento Mercantil</x:v>
      </x:c>
      <x:c r="I1141" s="168" t="str">
        <x:v>Fomento Mercantil</x:v>
      </x:c>
      <x:c r="J1141" s="168" t="str">
        <x:v>CI</x:v>
      </x:c>
      <x:c r="K1141" s="174" t="n">
        <x:v>18</x:v>
      </x:c>
      <x:c r="L1141" s="187" t="str">
        <x:v>Não classificado</x:v>
      </x:c>
    </x:row>
    <x:row r="1142">
      <x:c r="A1142" s="177" t="str">
        <x:v>63.849.932/0001-23</x:v>
      </x:c>
      <x:c r="B1142" s="168" t="str">
        <x:v>GALAPAGOS ATLAS FUNDO DE INVESTIMENTO EM DIREITOS CREDITÓRIOS - RESPONSABILIDADE LIMITADA</x:v>
      </x:c>
      <x:c r="C1142" s="190" t="n">
        <x:v>98525719.58</x:v>
      </x:c>
      <x:c r="D1142" s="168" t="str">
        <x:v>Galápagos</x:v>
      </x:c>
      <x:c r="E1142" s="168" t="str">
        <x:f>IFERROR(INDEX('Classif Gestoras'!$H$6:$H$462,MATCH(D1142,'Classif Gestoras'!$A$6:$A$462,0)),"Não classificada")</x:f>
        <x:v>Independente</x:v>
      </x:c>
      <x:c r="F1142" s="168" t="str">
        <x:v>VÓRTX DTVM</x:v>
      </x:c>
      <x:c r="G1142" s="168" t="str">
        <x:v>VORTX DISTRIBUIDORA DE TITULOS E VALORES MOBILIARIOS LTDA.</x:v>
      </x:c>
      <x:c r="H1142" s="168" t="str">
        <x:v>Financeiro</x:v>
      </x:c>
      <x:c r="I1142" s="168" t="str">
        <x:v>Crédito Consignado</x:v>
      </x:c>
      <x:c r="J1142" s="168" t="str">
        <x:v>CI</x:v>
      </x:c>
      <x:c r="K1142" s="174" t="n">
        <x:v>1132</x:v>
      </x:c>
      <x:c r="L1142" s="187" t="str">
        <x:v>Não classificado</x:v>
      </x:c>
    </x:row>
    <x:row r="1143">
      <x:c r="A1143" s="177" t="str">
        <x:v>59.510.243/0001-12</x:v>
      </x:c>
      <x:c r="B1143" s="168" t="str">
        <x:v>ADEMICON FUNDO DE INVESTIMENTO EM DIREITOS CREDITÓRIOS</x:v>
      </x:c>
      <x:c r="C1143" s="190" t="n">
        <x:v>98479266.2</x:v>
      </x:c>
      <x:c r="D1143" s="168" t="str">
        <x:v>GENIAL GESTÃO LTDA.</x:v>
      </x:c>
      <x:c r="E1143" s="168" t="str">
        <x:f>IFERROR(INDEX('Classif Gestoras'!$H$6:$H$462,MATCH(D1143,'Classif Gestoras'!$A$6:$A$462,0)),"Não classificada")</x:f>
        <x:v>Ligada a banco</x:v>
      </x:c>
      <x:c r="F1143" s="168" t="str">
        <x:v>Genial Investimentos Corretora de Valores Mobiliários S.A.</x:v>
      </x:c>
      <x:c r="G1143" s="168" t="str">
        <x:v>BANCO GENIAL S.A.</x:v>
      </x:c>
      <x:c r="H1143" s="168" t="str">
        <x:v>Agro, Indústria e Comércio</x:v>
      </x:c>
      <x:c r="I1143" s="168" t="str">
        <x:v>Recebíveis Comerciais</x:v>
      </x:c>
      <x:c r="J1143" s="168" t="str">
        <x:v>CI</x:v>
      </x:c>
      <x:c r="K1143" s="174" t="n">
        <x:v>13</x:v>
      </x:c>
      <x:c r="L1143" s="187" t="str">
        <x:v>Não classificado</x:v>
      </x:c>
    </x:row>
    <x:row r="1144">
      <x:c r="A1144" s="177" t="str">
        <x:v>17.031.327/0001-23</x:v>
      </x:c>
      <x:c r="B1144" s="168" t="str">
        <x:v>BRASFOR CONSOLIDADOR FUNDO DE INVESTIMENTO EM DIREITOS CREDITÓRIOS MULTISEGMENTOS</x:v>
      </x:c>
      <x:c r="C1144" s="190" t="n">
        <x:v>98324725.69</x:v>
      </x:c>
      <x:c r="D1144" s="168" t="str">
        <x:v>BRASFOR CAPITAL</x:v>
      </x:c>
      <x:c r="E1144" s="168" t="str">
        <x:f>IFERROR(INDEX('Classif Gestoras'!$H$6:$H$462,MATCH(D1144,'Classif Gestoras'!$A$6:$A$462,0)),"Não classificada")</x:f>
        <x:v>Independente</x:v>
      </x:c>
      <x:c r="F1144" s="168" t="str">
        <x:v>Banco Finaxis S.A.</x:v>
      </x:c>
      <x:c r="G1144" s="168" t="str">
        <x:v>BANCO FINAXIS S.A.</x:v>
      </x:c>
      <x:c r="H1144" s="168" t="str">
        <x:v>Outros</x:v>
      </x:c>
      <x:c r="I1144" s="168" t="str">
        <x:v>Multicarteira Outros</x:v>
      </x:c>
      <x:c r="J1144" s="168" t="str">
        <x:v>CI</x:v>
      </x:c>
      <x:c r="K1144" s="174" t="n">
        <x:v>7</x:v>
      </x:c>
      <x:c r="L1144" s="187" t="str">
        <x:v>Proxy multicedente/multissacado — revisar</x:v>
      </x:c>
    </x:row>
    <x:row r="1145">
      <x:c r="A1145" s="177" t="str">
        <x:v>62.169.240/0001-71</x:v>
      </x:c>
      <x:c r="B1145" s="168" t="str">
        <x:v>BNVT ORIGEM FUNDO DE INVESTIMENTO EM DIREITOS CREDITÓRIOS RESPONSABILIDADE LIMITADA</x:v>
      </x:c>
      <x:c r="C1145" s="190" t="n">
        <x:v>98253669.6</x:v>
      </x:c>
      <x:c r="D1145" s="168" t="str">
        <x:v>BENAVENT ASSET LTDA</x:v>
      </x:c>
      <x:c r="E1145" s="168" t="str">
        <x:f>IFERROR(INDEX('Classif Gestoras'!$H$6:$H$462,MATCH(D1145,'Classif Gestoras'!$A$6:$A$462,0)),"Não classificada")</x:f>
        <x:v>Independente</x:v>
      </x:c>
      <x:c r="F1145" s="168" t="str">
        <x:v>PLANNER CV</x:v>
      </x:c>
      <x:c r="G1145" s="168" t="str">
        <x:v>PLANNER CORRETORA DE VALORES S.A.</x:v>
      </x:c>
      <x:c r="H1145" s="168" t="str">
        <x:v>Outros</x:v>
      </x:c>
      <x:c r="I1145" s="168" t="str">
        <x:v>Multicarteira Outros</x:v>
      </x:c>
      <x:c r="J1145" s="168" t="str">
        <x:v>CI</x:v>
      </x:c>
      <x:c r="K1145" s="174" t="n">
        <x:v>15</x:v>
      </x:c>
      <x:c r="L1145" s="187" t="str">
        <x:v>Proxy multicedente/multissacado — revisar</x:v>
      </x:c>
    </x:row>
    <x:row r="1146">
      <x:c r="A1146" s="177" t="str">
        <x:v>46.073.195/0001-09</x:v>
      </x:c>
      <x:c r="B1146" s="168" t="str">
        <x:v>FUNDO DE INVESTIMENTO EM DIREITOS CREDITÓRIOS AGRO CITI-SYNGENTA RESPONSABILIDADE LIMITADA</x:v>
      </x:c>
      <x:c r="C1146" s="190" t="n">
        <x:v>97439268.93</x:v>
      </x:c>
      <x:c r="D1146" s="168" t="str">
        <x:v>Integral Investimentos</x:v>
      </x:c>
      <x:c r="E1146" s="168" t="str">
        <x:f>IFERROR(INDEX('Classif Gestoras'!$H$6:$H$462,MATCH(D1146,'Classif Gestoras'!$A$6:$A$462,0)),"Não classificada")</x:f>
        <x:v>Independente</x:v>
      </x:c>
      <x:c r="F1146" s="168" t="str">
        <x:v>VÓRTX DTVM</x:v>
      </x:c>
      <x:c r="G1146" s="168" t="str">
        <x:v>VORTX DISTRIBUIDORA DE TITULOS E VALORES MOBILIARIOS LTDA.</x:v>
      </x:c>
      <x:c r="H1146" s="168" t="str">
        <x:v>Agro, Indústria e Comércio</x:v>
      </x:c>
      <x:c r="I1146" s="168" t="str">
        <x:v>Agronegócio</x:v>
      </x:c>
      <x:c r="J1146" s="168" t="str">
        <x:v>CI</x:v>
      </x:c>
      <x:c r="K1146" s="174" t="n">
        <x:v>5</x:v>
      </x:c>
      <x:c r="L1146" s="187" t="str">
        <x:v>Não classificado</x:v>
      </x:c>
    </x:row>
    <x:row r="1147">
      <x:c r="A1147" s="177" t="str">
        <x:v>56.844.622/0001-50</x:v>
      </x:c>
      <x:c r="B1147" s="168" t="str">
        <x:v>TITANIUM FUNDO DE INVESTIMENTO EM DIREITOS CREDITÓRIOS - RESPONSABILIDADE LIMITADA</x:v>
      </x:c>
      <x:c r="C1147" s="190" t="n">
        <x:v>97437318.46</x:v>
      </x:c>
      <x:c r="D1147" s="168" t="str">
        <x:v>Solis</x:v>
      </x:c>
      <x:c r="E1147" s="168" t="str">
        <x:f>IFERROR(INDEX('Classif Gestoras'!$H$6:$H$462,MATCH(D1147,'Classif Gestoras'!$A$6:$A$462,0)),"Não classificada")</x:f>
        <x:v>Independente</x:v>
      </x:c>
      <x:c r="F1147" s="168" t="str">
        <x:v>HEMERA DTVM</x:v>
      </x:c>
      <x:c r="G1147" s="168" t="str">
        <x:v>HEMERA DISTRIBUIDORA DE TITULOS E VALORES MOBILIARIOS LTDA</x:v>
      </x:c>
      <x:c r="H1147" s="168" t="str">
        <x:v>Outros</x:v>
      </x:c>
      <x:c r="I1147" s="168" t="str">
        <x:v>Multicarteira Outros</x:v>
      </x:c>
      <x:c r="J1147" s="168" t="str">
        <x:v>CI</x:v>
      </x:c>
      <x:c r="K1147" s="174" t="n">
        <x:v>56</x:v>
      </x:c>
      <x:c r="L1147" s="187" t="str">
        <x:v>Proxy multicedente/multissacado — revisar</x:v>
      </x:c>
    </x:row>
    <x:row r="1148">
      <x:c r="A1148" s="177" t="str">
        <x:v>27.217.664/0001-63</x:v>
      </x:c>
      <x:c r="B1148" s="168" t="str">
        <x:v>JPI FUNDO DE INVESTIMENTO EM DIREITOS CREDITÓRIOS</x:v>
      </x:c>
      <x:c r="C1148" s="190" t="n">
        <x:v>97270888.7</x:v>
      </x:c>
      <x:c r="D1148" s="168" t="str">
        <x:v>TERCON ASSET MANAGEMENT</x:v>
      </x:c>
      <x:c r="E1148" s="168" t="str">
        <x:f>IFERROR(INDEX('Classif Gestoras'!$H$6:$H$462,MATCH(D1148,'Classif Gestoras'!$A$6:$A$462,0)),"Não classificada")</x:f>
        <x:v>Independente</x:v>
      </x:c>
      <x:c r="F1148" s="168" t="str">
        <x:v>Singulare</x:v>
      </x:c>
      <x:c r="G1148" s="168" t="str">
        <x:v>QI CORRETORA DE TÍTULOS E VALORES MOBILIÁRIOS S.A.</x:v>
      </x:c>
      <x:c r="H1148" s="168" t="str">
        <x:v>Fomento Mercantil</x:v>
      </x:c>
      <x:c r="I1148" s="168" t="str">
        <x:v>Fomento Mercantil</x:v>
      </x:c>
      <x:c r="J1148" s="168" t="str">
        <x:v>CI</x:v>
      </x:c>
      <x:c r="K1148" s="174" t="n">
        <x:v>24</x:v>
      </x:c>
      <x:c r="L1148" s="187" t="str">
        <x:v>Não classificado</x:v>
      </x:c>
    </x:row>
    <x:row r="1149">
      <x:c r="A1149" s="177" t="str">
        <x:v>41.195.699/0001-70</x:v>
      </x:c>
      <x:c r="B1149" s="168" t="str">
        <x:v>MILENIO WAREHOUSE FUNDO DE INVESTIMENTO EM DIREITOS CREDITÓRIOS</x:v>
      </x:c>
      <x:c r="C1149" s="190" t="n">
        <x:v>97175834.81</x:v>
      </x:c>
      <x:c r="D1149" s="168" t="str">
        <x:v>Milênio Capital</x:v>
      </x:c>
      <x:c r="E1149" s="168" t="str">
        <x:f>IFERROR(INDEX('Classif Gestoras'!$H$6:$H$462,MATCH(D1149,'Classif Gestoras'!$A$6:$A$462,0)),"Não classificada")</x:f>
        <x:v>Independente</x:v>
      </x:c>
      <x:c r="F1149" s="168" t="str">
        <x:v>Singulare</x:v>
      </x:c>
      <x:c r="G1149" s="168" t="str">
        <x:v>QI CORRETORA DE TÍTULOS E VALORES MOBILIÁRIOS S.A.</x:v>
      </x:c>
      <x:c r="H1149" s="168" t="str">
        <x:v>Outros</x:v>
      </x:c>
      <x:c r="I1149" s="168" t="str">
        <x:v>Multicarteira Outros</x:v>
      </x:c>
      <x:c r="J1149" s="168" t="str">
        <x:v>CI</x:v>
      </x:c>
      <x:c r="K1149" s="174" t="n">
        <x:v>8</x:v>
      </x:c>
      <x:c r="L1149" s="187" t="str">
        <x:v>Proxy multicedente/multissacado — revisar</x:v>
      </x:c>
    </x:row>
    <x:row r="1150">
      <x:c r="A1150" s="177" t="str">
        <x:v>63.034.209/0001-96</x:v>
      </x:c>
      <x:c r="B1150" s="168" t="str">
        <x:v>OCEANO II FUNDO DE INVESTIMENTO EM DIREITOS CREDITÓRIOS</x:v>
      </x:c>
      <x:c r="C1150" s="190" t="n">
        <x:v>96923013.74</x:v>
      </x:c>
      <x:c r="D1150" s="168" t="str">
        <x:v>ROOT CAPITAL</x:v>
      </x:c>
      <x:c r="E1150" s="168" t="str">
        <x:f>IFERROR(INDEX('Classif Gestoras'!$H$6:$H$462,MATCH(D1150,'Classif Gestoras'!$A$6:$A$462,0)),"Não classificada")</x:f>
        <x:v>Independente</x:v>
      </x:c>
      <x:c r="F1150" s="168" t="str">
        <x:v>Singulare</x:v>
      </x:c>
      <x:c r="G1150" s="168" t="str">
        <x:v>QI CORRETORA DE TÍTULOS E VALORES MOBILIÁRIOS S.A.</x:v>
      </x:c>
      <x:c r="H1150" s="168" t="str">
        <x:v>Outros</x:v>
      </x:c>
      <x:c r="I1150" s="168" t="str">
        <x:v>Poder Público</x:v>
      </x:c>
      <x:c r="J1150" s="168" t="str">
        <x:v>CI</x:v>
      </x:c>
      <x:c r="K1150" s="174" t="n">
        <x:v>7</x:v>
      </x:c>
      <x:c r="L1150" s="187" t="str">
        <x:v>Não classificado</x:v>
      </x:c>
    </x:row>
    <x:row r="1151">
      <x:c r="A1151" s="177" t="str">
        <x:v>49.113.994/0001-41</x:v>
      </x:c>
      <x:c r="B1151" s="168" t="str">
        <x:v>FUNDO DE INVESTIMENTO EM DIREITOS CREDITÓRIOS CAP - RESPONSABILIDADE LIMITADA</x:v>
      </x:c>
      <x:c r="C1151" s="190" t="n">
        <x:v>96608683.23</x:v>
      </x:c>
      <x:c r="D1151" s="168" t="str">
        <x:v>VERT Gestora de Recursos Financeiros Ltda.</x:v>
      </x:c>
      <x:c r="E1151" s="168" t="str">
        <x:f>IFERROR(INDEX('Classif Gestoras'!$H$6:$H$462,MATCH(D1151,'Classif Gestoras'!$A$6:$A$462,0)),"Não classificada")</x:f>
        <x:v>Independente</x:v>
      </x:c>
      <x:c r="F1151" s="168" t="str">
        <x:v>Oliveira Trust DTVM</x:v>
      </x:c>
      <x:c r="G1151" s="168" t="str">
        <x:v>OLIVEIRA TRUST DTVM S.A.</x:v>
      </x:c>
      <x:c r="H1151" s="168" t="str">
        <x:v>Financeiro</x:v>
      </x:c>
      <x:c r="I1151" s="168" t="str">
        <x:v>Crédito Pessoal</x:v>
      </x:c>
      <x:c r="J1151" s="168" t="str">
        <x:v>CI</x:v>
      </x:c>
      <x:c r="K1151" s="174" t="n">
        <x:v>70</x:v>
      </x:c>
      <x:c r="L1151" s="187" t="str">
        <x:v>Não classificado</x:v>
      </x:c>
    </x:row>
    <x:row r="1152">
      <x:c r="A1152" s="177" t="str">
        <x:v>28.796.986/0001-77</x:v>
      </x:c>
      <x:c r="B1152" s="168" t="str">
        <x:v>KINERET FUNDO DE INVESTIMENTO EM DIREITOS CREDITÓRIOS</x:v>
      </x:c>
      <x:c r="C1152" s="190" t="n">
        <x:v>96603274.35</x:v>
      </x:c>
      <x:c r="D1152" s="168" t="str">
        <x:v>Golden Asset Gestora de Recursos</x:v>
      </x:c>
      <x:c r="E1152" s="168" t="str">
        <x:f>IFERROR(INDEX('Classif Gestoras'!$H$6:$H$462,MATCH(D1152,'Classif Gestoras'!$A$6:$A$462,0)),"Não classificada")</x:f>
        <x:v>Independente</x:v>
      </x:c>
      <x:c r="F1152" s="168" t="str">
        <x:v>ID Corretora de Títulos e Valores Mobiliários S.A.</x:v>
      </x:c>
      <x:c r="G1152" s="168" t="str">
        <x:v>ID CORRETORA DE TITULOS E VALORES MOBILIARIOS S.A.</x:v>
      </x:c>
      <x:c r="H1152" s="168" t="str">
        <x:v>Outros</x:v>
      </x:c>
      <x:c r="I1152" s="168" t="str">
        <x:v>Multicarteira Outros</x:v>
      </x:c>
      <x:c r="J1152" s="168" t="str">
        <x:v>CI</x:v>
      </x:c>
      <x:c r="K1152" s="174" t="n">
        <x:v>3</x:v>
      </x:c>
      <x:c r="L1152" s="187" t="str">
        <x:v>Proxy multicedente/multissacado — revisar</x:v>
      </x:c>
    </x:row>
    <x:row r="1153">
      <x:c r="A1153" s="177" t="str">
        <x:v>53.465.254/0001-41</x:v>
      </x:c>
      <x:c r="B1153" s="168" t="str">
        <x:v>CORAM DEO FUNDO DE INVESTIMENTO EM DIREITOS CREDITÓRIOS RESPONSABILIDADE LIMITADA</x:v>
      </x:c>
      <x:c r="C1153" s="190" t="n">
        <x:v>96511607.2</x:v>
      </x:c>
      <x:c r="D1153" s="168" t="str">
        <x:v>Renova Gestora</x:v>
      </x:c>
      <x:c r="E1153" s="168" t="str">
        <x:f>IFERROR(INDEX('Classif Gestoras'!$H$6:$H$462,MATCH(D1153,'Classif Gestoras'!$A$6:$A$462,0)),"Não classificada")</x:f>
        <x:v>Independente</x:v>
      </x:c>
      <x:c r="F1153" s="168" t="str">
        <x:v>MONETAR DISTRIBUIDORA DE TITUL</x:v>
      </x:c>
      <x:c r="G1153" s="168" t="str">
        <x:v>TERRA INVESTIMENTOS DISTRIBUIDORA DE TITULOS E VALORES MOBILIARIOS LTDA</x:v>
      </x:c>
      <x:c r="H1153" s="168" t="str">
        <x:v>Outros</x:v>
      </x:c>
      <x:c r="I1153" s="168" t="str">
        <x:v>Multicarteira Outros</x:v>
      </x:c>
      <x:c r="J1153" s="168" t="str">
        <x:v>CI</x:v>
      </x:c>
      <x:c r="K1153" s="174" t="n">
        <x:v>5</x:v>
      </x:c>
      <x:c r="L1153" s="187" t="str">
        <x:v>Proxy multicedente/multissacado — revisar</x:v>
      </x:c>
    </x:row>
    <x:row r="1154">
      <x:c r="A1154" s="177" t="str">
        <x:v>63.985.990/0001-84</x:v>
      </x:c>
      <x:c r="B1154" s="168" t="str">
        <x:v>BANDEIRANTES FUNDO DE INVESTIMENTO EM DIREITOS CREDITÓRIOS DO AGRONEGÓCIO DE RESP LIMITADA</x:v>
      </x:c>
      <x:c r="C1154" s="190" t="n">
        <x:v>96379119.05</x:v>
      </x:c>
      <x:c r="D1154" s="168" t="str">
        <x:v>Riza Asset Management</x:v>
      </x:c>
      <x:c r="E1154" s="168" t="str">
        <x:f>IFERROR(INDEX('Classif Gestoras'!$H$6:$H$462,MATCH(D1154,'Classif Gestoras'!$A$6:$A$462,0)),"Não classificada")</x:f>
        <x:v>Independente</x:v>
      </x:c>
      <x:c r="F1154" s="168" t="str">
        <x:v>Genial Investimentos Corretora de Valores Mobiliários S.A.</x:v>
      </x:c>
      <x:c r="G1154" s="168" t="str">
        <x:v>BANCO GENIAL S.A.</x:v>
      </x:c>
      <x:c r="H1154" s="168" t="str">
        <x:v>Agro, Indústria e Comércio</x:v>
      </x:c>
      <x:c r="I1154" s="168" t="str">
        <x:v>Agronegócio</x:v>
      </x:c>
      <x:c r="J1154" s="168" t="str">
        <x:v>CI</x:v>
      </x:c>
      <x:c r="K1154" s="174" t="n">
        <x:v>8</x:v>
      </x:c>
      <x:c r="L1154" s="187" t="str">
        <x:v>Não classificado</x:v>
      </x:c>
    </x:row>
    <x:row r="1155">
      <x:c r="A1155" s="177" t="str">
        <x:v>32.528.203/0001-41</x:v>
      </x:c>
      <x:c r="B1155" s="168" t="str">
        <x:v>FUNDO DE INVESTIMENTO EM DIREITOS CREDITÓRIOS EV CONSIGNADO FEDERAL II (F2)</x:v>
      </x:c>
      <x:c r="C1155" s="190" t="n">
        <x:v>96218579.72</x:v>
      </x:c>
      <x:c r="D1155" s="168" t="str">
        <x:v>Everest Capital</x:v>
      </x:c>
      <x:c r="E1155" s="168" t="str">
        <x:f>IFERROR(INDEX('Classif Gestoras'!$H$6:$H$462,MATCH(D1155,'Classif Gestoras'!$A$6:$A$462,0)),"Não classificada")</x:f>
        <x:v>Independente</x:v>
      </x:c>
      <x:c r="F1155" s="168" t="str">
        <x:v>Banvox DTVM</x:v>
      </x:c>
      <x:c r="G1155" s="168" t="str">
        <x:v>BANVOX DISTRIBUIDORA DE TITULOS E VALORES MOBILIARIOS LTDA</x:v>
      </x:c>
      <x:c r="H1155" s="168" t="str">
        <x:v>Financeiro</x:v>
      </x:c>
      <x:c r="I1155" s="168" t="str">
        <x:v>Crédito Consignado</x:v>
      </x:c>
      <x:c r="J1155" s="168" t="str">
        <x:v>CI</x:v>
      </x:c>
      <x:c r="K1155" s="174" t="n">
        <x:v>293</x:v>
      </x:c>
      <x:c r="L1155" s="187" t="str">
        <x:v>Não classificado</x:v>
      </x:c>
    </x:row>
    <x:row r="1156">
      <x:c r="A1156" s="177" t="str">
        <x:v>58.032.774/0001-84</x:v>
      </x:c>
      <x:c r="B1156" s="168" t="str">
        <x:v>AUGME K 2 FUNDO DE INVESTIMENTO EM DIREITOS CREDITÓRIOS DE RESPONSABILIDADE LIMITADA</x:v>
      </x:c>
      <x:c r="C1156" s="190" t="n">
        <x:v>96048578.01</x:v>
      </x:c>
      <x:c r="D1156" s="168" t="str">
        <x:v>AUGME CAPITAL GESTÃO DE RECURSOS LTDA.</x:v>
      </x:c>
      <x:c r="E1156" s="168" t="str">
        <x:f>IFERROR(INDEX('Classif Gestoras'!$H$6:$H$462,MATCH(D1156,'Classif Gestoras'!$A$6:$A$462,0)),"Não classificada")</x:f>
        <x:v>Independente</x:v>
      </x:c>
      <x:c r="F1156" s="168" t="str">
        <x:v>BANCO DAYCOVAL S/A</x:v>
      </x:c>
      <x:c r="G1156" s="168" t="str">
        <x:v>BANCO DAYCOVAL S.A.</x:v>
      </x:c>
      <x:c r="H1156" s="168" t="str">
        <x:v>Outros</x:v>
      </x:c>
      <x:c r="I1156" s="168" t="str">
        <x:v>Multicarteira Outros</x:v>
      </x:c>
      <x:c r="J1156" s="168" t="str">
        <x:v>CI</x:v>
      </x:c>
      <x:c r="K1156" s="174" t="n">
        <x:v>1</x:v>
      </x:c>
      <x:c r="L1156" s="187" t="str">
        <x:v>Proxy multicedente/multissacado — revisar</x:v>
      </x:c>
    </x:row>
    <x:row r="1157">
      <x:c r="A1157" s="177" t="str">
        <x:v>40.989.809/0001-02</x:v>
      </x:c>
      <x:c r="B1157" s="168" t="str">
        <x:v>REALIZE CAP I FUNDO DE INVESTIMENTO EM DIREITOS CREDITÓRIOS</x:v>
      </x:c>
      <x:c r="C1157" s="190" t="n">
        <x:v>96016392.22</x:v>
      </x:c>
      <x:c r="D1157" s="168" t="str">
        <x:v>Strivo Gestora de Recursos S/A</x:v>
      </x:c>
      <x:c r="E1157" s="168" t="str">
        <x:f>IFERROR(INDEX('Classif Gestoras'!$H$6:$H$462,MATCH(D1157,'Classif Gestoras'!$A$6:$A$462,0)),"Não classificada")</x:f>
        <x:v>Independente</x:v>
      </x:c>
      <x:c r="F1157" s="168" t="str">
        <x:v>VÓRTX DTVM</x:v>
      </x:c>
      <x:c r="G1157" s="168" t="str">
        <x:v>VORTX DISTRIBUIDORA DE TITULOS E VALORES MOBILIARIOS LTDA.</x:v>
      </x:c>
      <x:c r="H1157" s="168" t="str">
        <x:v>Outros</x:v>
      </x:c>
      <x:c r="I1157" s="168" t="str">
        <x:v>Multicarteira Outros</x:v>
      </x:c>
      <x:c r="J1157" s="168" t="str">
        <x:v>CI</x:v>
      </x:c>
      <x:c r="K1157" s="174" t="n">
        <x:v>28</x:v>
      </x:c>
      <x:c r="L1157" s="187" t="str">
        <x:v>Proxy multicedente/multissacado — revisar</x:v>
      </x:c>
    </x:row>
    <x:row r="1158">
      <x:c r="A1158" s="177" t="str">
        <x:v>36.771.685/0001-17</x:v>
      </x:c>
      <x:c r="B1158" s="168" t="str">
        <x:v>FUNDO DE INVESTIMENTO EM DIREITOS CREDITÓRIOS IS GREEN SOLFÁCIL I DE RESPONSABILIDADE LIMITADA</x:v>
      </x:c>
      <x:c r="C1158" s="190" t="n">
        <x:v>95724653.64</x:v>
      </x:c>
      <x:c r="D1158" s="168" t="str">
        <x:v>ANGÁ ASSET MANAGEMENT</x:v>
      </x:c>
      <x:c r="E1158" s="168" t="str">
        <x:f>IFERROR(INDEX('Classif Gestoras'!$H$6:$H$462,MATCH(D1158,'Classif Gestoras'!$A$6:$A$462,0)),"Não classificada")</x:f>
        <x:v>Independente</x:v>
      </x:c>
      <x:c r="F1158" s="168" t="str">
        <x:v>BANCO DAYCOVAL S/A</x:v>
      </x:c>
      <x:c r="G1158" s="168" t="str">
        <x:v>BANCO DAYCOVAL S.A.</x:v>
      </x:c>
      <x:c r="H1158" s="168" t="str">
        <x:v>Financeiro</x:v>
      </x:c>
      <x:c r="I1158" s="168" t="str">
        <x:v>Multicarteira Financeiro</x:v>
      </x:c>
      <x:c r="J1158" s="168" t="str">
        <x:v>CI</x:v>
      </x:c>
      <x:c r="K1158" s="174" t="n">
        <x:v>184</x:v>
      </x:c>
      <x:c r="L1158" s="187" t="str">
        <x:v>Proxy multicedente/multissacado — revisar</x:v>
      </x:c>
    </x:row>
    <x:row r="1159">
      <x:c r="A1159" s="177" t="str">
        <x:v>51.863.647/0001-88</x:v>
      </x:c>
      <x:c r="B1159" s="168" t="str">
        <x:v>SOLUMA FUNDO DE INVESTIMENTO EM DIREITOS CREDITÓRIOS</x:v>
      </x:c>
      <x:c r="C1159" s="190" t="n">
        <x:v>95580638.35</x:v>
      </x:c>
      <x:c r="D1159" s="168" t="str">
        <x:v>Redwood Asset Management</x:v>
      </x:c>
      <x:c r="E1159" s="168" t="str">
        <x:f>IFERROR(INDEX('Classif Gestoras'!$H$6:$H$462,MATCH(D1159,'Classif Gestoras'!$A$6:$A$462,0)),"Não classificada")</x:f>
        <x:v>Independente</x:v>
      </x:c>
      <x:c r="F1159" s="168" t="str">
        <x:v>PLANNER CV</x:v>
      </x:c>
      <x:c r="G1159" s="168" t="str">
        <x:v>PLANNER CORRETORA DE VALORES S.A.</x:v>
      </x:c>
      <x:c r="H1159" s="168" t="str">
        <x:v>Outros</x:v>
      </x:c>
      <x:c r="I1159" s="168" t="str">
        <x:v>Multicarteira Outros</x:v>
      </x:c>
      <x:c r="J1159" s="168" t="str">
        <x:v>CI</x:v>
      </x:c>
      <x:c r="K1159" s="174" t="n">
        <x:v>1</x:v>
      </x:c>
      <x:c r="L1159" s="187" t="str">
        <x:v>Proxy multicedente/multissacado — revisar</x:v>
      </x:c>
    </x:row>
    <x:row r="1160">
      <x:c r="A1160" s="177" t="str">
        <x:v>63.296.865/0001-67</x:v>
      </x:c>
      <x:c r="B1160" s="168" t="str">
        <x:v>ICRED FGTS 2 FUNDO DE INVESTIMENTO EM DIREITOS CREDITÓRIOS RESPONSABILIDADE LIMITADA</x:v>
      </x:c>
      <x:c r="C1160" s="190" t="n">
        <x:v>95527505.75</x:v>
      </x:c>
      <x:c r="D1160" s="168" t="str">
        <x:v>Oliveira Trust Servicer</x:v>
      </x:c>
      <x:c r="E1160" s="168" t="str">
        <x:f>IFERROR(INDEX('Classif Gestoras'!$H$6:$H$462,MATCH(D1160,'Classif Gestoras'!$A$6:$A$462,0)),"Não classificada")</x:f>
        <x:v>Independente</x:v>
      </x:c>
      <x:c r="F1160" s="168" t="str">
        <x:v>Oliveira Trust DTVM</x:v>
      </x:c>
      <x:c r="G1160" s="168" t="str">
        <x:v>OLIVEIRA TRUST DTVM S.A.</x:v>
      </x:c>
      <x:c r="H1160" s="168" t="str">
        <x:v>Financeiro</x:v>
      </x:c>
      <x:c r="I1160" s="168" t="str">
        <x:v>Crédito Pessoal</x:v>
      </x:c>
      <x:c r="J1160" s="168" t="str">
        <x:v>CI</x:v>
      </x:c>
      <x:c r="K1160" s="174" t="n">
        <x:v>20</x:v>
      </x:c>
      <x:c r="L1160" s="187" t="str">
        <x:v>Não classificado</x:v>
      </x:c>
    </x:row>
    <x:row r="1161">
      <x:c r="A1161" s="177" t="str">
        <x:v>61.802.352/0001-55</x:v>
      </x:c>
      <x:c r="B1161" s="168" t="str">
        <x:v>XP CRÉDITO ESTRUTURADO 90 FUNDO DE INVESTIMENTO EM DIREITOS CREDITÓRIOS - RESPONSABILIDADE LIMITADA</x:v>
      </x:c>
      <x:c r="C1161" s="190" t="n">
        <x:v>95251910.3</x:v>
      </x:c>
      <x:c r="D1161" s="168" t="str">
        <x:v>Vista Real Estate</x:v>
      </x:c>
      <x:c r="E1161" s="168" t="str">
        <x:f>IFERROR(INDEX('Classif Gestoras'!$H$6:$H$462,MATCH(D1161,'Classif Gestoras'!$A$6:$A$462,0)),"Não classificada")</x:f>
        <x:v>Independente</x:v>
      </x:c>
      <x:c r="F1161" s="168" t="str">
        <x:v>XPI CCTVM S/A</x:v>
      </x:c>
      <x:c r="G1161" s="168" t="str">
        <x:v>OLIVEIRA TRUST DTVM S.A.</x:v>
      </x:c>
      <x:c r="H1161" s="168" t="str">
        <x:v>Outros</x:v>
      </x:c>
      <x:c r="I1161" s="168" t="str">
        <x:v>Multicarteira Outros</x:v>
      </x:c>
      <x:c r="J1161" s="168" t="str">
        <x:v>CI</x:v>
      </x:c>
      <x:c r="K1161" s="174" t="n">
        <x:v>390</x:v>
      </x:c>
      <x:c r="L1161" s="187" t="str">
        <x:v>Proxy multicedente/multissacado — revisar</x:v>
      </x:c>
    </x:row>
    <x:row r="1162">
      <x:c r="A1162" s="177" t="str">
        <x:v>37.036.410/0001-00</x:v>
      </x:c>
      <x:c r="B1162" s="168" t="str">
        <x:v>PRECATÓRIO OURO 35 FUNDO DE INVESTIMENTO EM DIREITOS CREDITÓRIOS</x:v>
      </x:c>
      <x:c r="C1162" s="190" t="n">
        <x:v>94821083.52</x:v>
      </x:c>
      <x:c r="D1162" s="168" t="str">
        <x:v>BURITI INVESTIMENTOS</x:v>
      </x:c>
      <x:c r="E1162" s="168" t="str">
        <x:f>IFERROR(INDEX('Classif Gestoras'!$H$6:$H$462,MATCH(D1162,'Classif Gestoras'!$A$6:$A$462,0)),"Não classificada")</x:f>
        <x:v>Independente</x:v>
      </x:c>
      <x:c r="F1162" s="168" t="str">
        <x:v>BTG Pactual Servicos Financeiros S/A DTVM</x:v>
      </x:c>
      <x:c r="G1162" s="168" t="str">
        <x:v>BANCO BTG PACTUAL S/A</x:v>
      </x:c>
      <x:c r="H1162" s="168" t="str">
        <x:v>Outros</x:v>
      </x:c>
      <x:c r="I1162" s="168" t="str">
        <x:v>Poder Público</x:v>
      </x:c>
      <x:c r="J1162" s="168" t="str">
        <x:v>CI</x:v>
      </x:c>
      <x:c r="K1162" s="174" t="n">
        <x:v>5</x:v>
      </x:c>
      <x:c r="L1162" s="187" t="str">
        <x:v>Não classificado</x:v>
      </x:c>
    </x:row>
    <x:row r="1163">
      <x:c r="A1163" s="177" t="str">
        <x:v>19.686.540/0001-07</x:v>
      </x:c>
      <x:c r="B1163" s="168" t="str">
        <x:v>SG 4870 III FUNDO DE INVESTIMENTO EM DIREITOS CREDITÓRIOS NÃO PADRONIZADOS</x:v>
      </x:c>
      <x:c r="C1163" s="190" t="n">
        <x:v>94804592.38</x:v>
      </x:c>
      <x:c r="D1163" s="168" t="str">
        <x:v>Jus Capital Gestão de Recursos LTDA</x:v>
      </x:c>
      <x:c r="E1163" s="168" t="str">
        <x:f>IFERROR(INDEX('Classif Gestoras'!$H$6:$H$462,MATCH(D1163,'Classif Gestoras'!$A$6:$A$462,0)),"Não classificada")</x:f>
        <x:v>Independente</x:v>
      </x:c>
      <x:c r="F1163" s="168" t="str">
        <x:v>BTG Pactual Servicos Financeiros S/A DTVM</x:v>
      </x:c>
      <x:c r="G1163" s="168" t="str">
        <x:v>BANCO BTG PACTUAL S/A</x:v>
      </x:c>
      <x:c r="H1163" s="168" t="str">
        <x:v>Outros</x:v>
      </x:c>
      <x:c r="I1163" s="168" t="str">
        <x:v>Poder Público</x:v>
      </x:c>
      <x:c r="J1163" s="168" t="str">
        <x:v>CI</x:v>
      </x:c>
      <x:c r="K1163" s="174" t="n">
        <x:v>2</x:v>
      </x:c>
      <x:c r="L1163" s="187" t="str">
        <x:v>Não classificado</x:v>
      </x:c>
    </x:row>
    <x:row r="1164">
      <x:c r="A1164" s="177" t="str">
        <x:v>62.159.526/0001-76</x:v>
      </x:c>
      <x:c r="B1164" s="168" t="str">
        <x:v>SIMPLIX CONSIGNADO PRIVADO I FUNDO DE INVESTIMENTO EM DIREITOS CREDITÓRIOS RESP LIMITADA</x:v>
      </x:c>
      <x:c r="C1164" s="190" t="n">
        <x:v>94681948.01</x:v>
      </x:c>
      <x:c r="D1164" s="168" t="str">
        <x:v>SIMPLIX ASSET MANAGEMENT LTDA.</x:v>
      </x:c>
      <x:c r="E1164" s="168" t="str">
        <x:f>IFERROR(INDEX('Classif Gestoras'!$H$6:$H$462,MATCH(D1164,'Classif Gestoras'!$A$6:$A$462,0)),"Não classificada")</x:f>
        <x:v>Independente</x:v>
      </x:c>
      <x:c r="F1164" s="168" t="str">
        <x:v>BANCO DAYCOVAL S/A</x:v>
      </x:c>
      <x:c r="G1164" s="168" t="str">
        <x:v>BANCO DAYCOVAL S.A.</x:v>
      </x:c>
      <x:c r="H1164" s="168" t="str">
        <x:v>Financeiro</x:v>
      </x:c>
      <x:c r="I1164" s="168" t="str">
        <x:v>Crédito Consignado</x:v>
      </x:c>
      <x:c r="J1164" s="168" t="str">
        <x:v>CI</x:v>
      </x:c>
      <x:c r="K1164" s="174" t="n">
        <x:v>18</x:v>
      </x:c>
      <x:c r="L1164" s="187" t="str">
        <x:v>Não classificado</x:v>
      </x:c>
    </x:row>
    <x:row r="1165">
      <x:c r="A1165" s="177" t="str">
        <x:v>47.239.759/0001-95</x:v>
      </x:c>
      <x:c r="B1165" s="168" t="str">
        <x:v>FUNDO DE INVESTIMENTO EM DIREITOS CREDITÓRIOS FRV23 RESPONSABILIDADE LIMITADA</x:v>
      </x:c>
      <x:c r="C1165" s="190" t="n">
        <x:v>94182635.38</x:v>
      </x:c>
      <x:c r="D1165" s="168" t="str">
        <x:v>Bless Capital Gestora de Recursos Ltda.</x:v>
      </x:c>
      <x:c r="E1165" s="168" t="str">
        <x:f>IFERROR(INDEX('Classif Gestoras'!$H$6:$H$462,MATCH(D1165,'Classif Gestoras'!$A$6:$A$462,0)),"Não classificada")</x:f>
        <x:v>Independente</x:v>
      </x:c>
      <x:c r="F1165" s="168" t="str">
        <x:v>ID Corretora de Títulos e Valores Mobiliários S.A.</x:v>
      </x:c>
      <x:c r="G1165" s="168" t="str">
        <x:v>ID CORRETORA DE TITULOS E VALORES MOBILIARIOS S.A.</x:v>
      </x:c>
      <x:c r="H1165" s="168" t="str">
        <x:v>Financeiro</x:v>
      </x:c>
      <x:c r="I1165" s="168" t="str">
        <x:v>Multicarteira Financeiro</x:v>
      </x:c>
      <x:c r="J1165" s="168" t="str">
        <x:v>CI</x:v>
      </x:c>
      <x:c r="K1165" s="174" t="n">
        <x:v>3</x:v>
      </x:c>
      <x:c r="L1165" s="187" t="str">
        <x:v>Proxy multicedente/multissacado — revisar</x:v>
      </x:c>
    </x:row>
    <x:row r="1166">
      <x:c r="A1166" s="177" t="str">
        <x:v>53.257.790/0001-51</x:v>
      </x:c>
      <x:c r="B1166" s="168" t="str">
        <x:v>FARM M III FUNDO DE INVESTIMENTO EM DIREITOS CREDITÓRIOS RESPONSABILIDADE LIMITADA</x:v>
      </x:c>
      <x:c r="C1166" s="190" t="n">
        <x:v>94030889.5736</x:v>
      </x:c>
      <x:c r="D1166" s="168" t="str">
        <x:v>Farmtech Gestão de Recursos Ltda.</x:v>
      </x:c>
      <x:c r="E1166" s="168" t="str">
        <x:f>IFERROR(INDEX('Classif Gestoras'!$H$6:$H$462,MATCH(D1166,'Classif Gestoras'!$A$6:$A$462,0)),"Não classificada")</x:f>
        <x:v>Independente</x:v>
      </x:c>
      <x:c r="F1166" s="168" t="str">
        <x:v>BTG Pactual Servicos Financeiros S/A DTVM</x:v>
      </x:c>
      <x:c r="G1166" s="168" t="str">
        <x:v>BANCO BTG PACTUAL S/A</x:v>
      </x:c>
      <x:c r="H1166" s="168" t="str">
        <x:v>Agro, Indústria e Comércio</x:v>
      </x:c>
      <x:c r="I1166" s="168" t="str">
        <x:v>Agronegócio</x:v>
      </x:c>
      <x:c r="J1166" s="168" t="str">
        <x:v>CI</x:v>
      </x:c>
      <x:c r="K1166" s="174" t="n">
        <x:v>3</x:v>
      </x:c>
      <x:c r="L1166" s="187" t="str">
        <x:v>Não classificado</x:v>
      </x:c>
    </x:row>
    <x:row r="1167">
      <x:c r="A1167" s="177" t="str">
        <x:v>13.598.246/0001-59</x:v>
      </x:c>
      <x:c r="B1167" s="168" t="str">
        <x:v>DUAS RODAS FUNDO DE INVESTIMENTO EM DIREITOS CREDITÓRIOS NÃO-PADRONIZADO</x:v>
      </x:c>
      <x:c r="C1167" s="190" t="n">
        <x:v>93862070.07</x:v>
      </x:c>
      <x:c r="D1167" s="168" t="str">
        <x:v>GFS INVESTIMENTOS</x:v>
      </x:c>
      <x:c r="E1167" s="168" t="str">
        <x:f>IFERROR(INDEX('Classif Gestoras'!$H$6:$H$462,MATCH(D1167,'Classif Gestoras'!$A$6:$A$462,0)),"Não classificada")</x:f>
        <x:v>Independente</x:v>
      </x:c>
      <x:c r="F1167" s="168" t="str">
        <x:v>MONETAR DISTRIBUIDORA DE TITUL</x:v>
      </x:c>
      <x:c r="G1167" s="168" t="str">
        <x:v>TERRA INVESTIMENTOS DISTRIBUIDORA DE TITULOS E VALORES MOBILIARIOS LTDA</x:v>
      </x:c>
      <x:c r="H1167" s="168" t="str">
        <x:v>Fomento Mercantil</x:v>
      </x:c>
      <x:c r="I1167" s="168" t="str">
        <x:v>Fomento Mercantil</x:v>
      </x:c>
      <x:c r="J1167" s="168" t="str">
        <x:v>CI</x:v>
      </x:c>
      <x:c r="K1167" s="174" t="n">
        <x:v>3</x:v>
      </x:c>
      <x:c r="L1167" s="187" t="str">
        <x:v>Não classificado</x:v>
      </x:c>
    </x:row>
    <x:row r="1168">
      <x:c r="A1168" s="177" t="str">
        <x:v>52.649.689/0001-83</x:v>
      </x:c>
      <x:c r="B1168" s="168" t="str">
        <x:v>CITRINO TEMPO CAPTOR (CTC) FUNDO DE INVESTIMENTO EM DIREITOS CREDITÓRIOS RESPONSABILIDADE LIMITADA</x:v>
      </x:c>
      <x:c r="C1168" s="190" t="n">
        <x:v>93706530.16</x:v>
      </x:c>
      <x:c r="D1168" s="168" t="str">
        <x:v>Citrino Gestão de Recursos LTD</x:v>
      </x:c>
      <x:c r="E1168" s="168" t="str">
        <x:f>IFERROR(INDEX('Classif Gestoras'!$H$6:$H$462,MATCH(D1168,'Classif Gestoras'!$A$6:$A$462,0)),"Não classificada")</x:f>
        <x:v>Independente</x:v>
      </x:c>
      <x:c r="F1168" s="168" t="str">
        <x:v>Limine Trust Distribuidora de Titulos e Valores Mobiliá</x:v>
      </x:c>
      <x:c r="G1168" s="168" t="str">
        <x:v>LIMINE TRUST DISTRIBUIDORA DE TITULOS E VALORES MOBILIARIOS LTDA.</x:v>
      </x:c>
      <x:c r="H1168" s="168" t="str">
        <x:v>Outros</x:v>
      </x:c>
      <x:c r="I1168" s="168" t="str">
        <x:v>Multicarteira Outros</x:v>
      </x:c>
      <x:c r="J1168" s="168" t="str">
        <x:v>CI</x:v>
      </x:c>
      <x:c r="K1168" s="174" t="n">
        <x:v>38</x:v>
      </x:c>
      <x:c r="L1168" s="187" t="str">
        <x:v>Proxy multicedente/multissacado — revisar</x:v>
      </x:c>
    </x:row>
    <x:row r="1169">
      <x:c r="A1169" s="177" t="str">
        <x:v>50.835.592/0001-30</x:v>
      </x:c>
      <x:c r="B1169" s="168" t="str">
        <x:v>CELETI IAAS FUNDO DE INVESTIMENTO EM DIREITOS CREDITÓRIOS</x:v>
      </x:c>
      <x:c r="C1169" s="190" t="n">
        <x:v>93661992.04</x:v>
      </x:c>
      <x:c r="D1169" s="168" t="str">
        <x:v>Milênio Capital</x:v>
      </x:c>
      <x:c r="E1169" s="168" t="str">
        <x:f>IFERROR(INDEX('Classif Gestoras'!$H$6:$H$462,MATCH(D1169,'Classif Gestoras'!$A$6:$A$462,0)),"Não classificada")</x:f>
        <x:v>Independente</x:v>
      </x:c>
      <x:c r="F1169" s="168" t="str">
        <x:v>Singulare</x:v>
      </x:c>
      <x:c r="G1169" s="168" t="str">
        <x:v>QI CORRETORA DE TÍTULOS E VALORES MOBILIÁRIOS S.A.</x:v>
      </x:c>
      <x:c r="H1169" s="168" t="str">
        <x:v>Outros</x:v>
      </x:c>
      <x:c r="I1169" s="168" t="str">
        <x:v>Multicarteira Outros</x:v>
      </x:c>
      <x:c r="J1169" s="168" t="str">
        <x:v>CI</x:v>
      </x:c>
      <x:c r="K1169" s="174" t="n">
        <x:v>91</x:v>
      </x:c>
      <x:c r="L1169" s="187" t="str">
        <x:v>Proxy multicedente/multissacado — revisar</x:v>
      </x:c>
    </x:row>
    <x:row r="1170">
      <x:c r="A1170" s="177" t="str">
        <x:v>47.117.653/0001-19</x:v>
      </x:c>
      <x:c r="B1170" s="168" t="str">
        <x:v>CERUS FUNDO DE INVESTIMENTO EM DIREITOS CREDITÓRIOS</x:v>
      </x:c>
      <x:c r="C1170" s="190" t="n">
        <x:v>93434229.67</x:v>
      </x:c>
      <x:c r="D1170" s="168" t="str">
        <x:v>TERCON ASSET MANAGEMENT</x:v>
      </x:c>
      <x:c r="E1170" s="168" t="str">
        <x:f>IFERROR(INDEX('Classif Gestoras'!$H$6:$H$462,MATCH(D1170,'Classif Gestoras'!$A$6:$A$462,0)),"Não classificada")</x:f>
        <x:v>Independente</x:v>
      </x:c>
      <x:c r="F1170" s="168" t="str">
        <x:v>HEMERA DTVM</x:v>
      </x:c>
      <x:c r="G1170" s="168" t="str">
        <x:v>HEMERA DISTRIBUIDORA DE TITULOS E VALORES MOBILIARIOS LTDA</x:v>
      </x:c>
      <x:c r="H1170" s="168" t="str">
        <x:v>Fomento Mercantil</x:v>
      </x:c>
      <x:c r="I1170" s="168" t="str">
        <x:v>Fomento Mercantil</x:v>
      </x:c>
      <x:c r="J1170" s="168" t="str">
        <x:v>CI</x:v>
      </x:c>
      <x:c r="K1170" s="174" t="n">
        <x:v>20</x:v>
      </x:c>
      <x:c r="L1170" s="187" t="str">
        <x:v>Não classificado</x:v>
      </x:c>
    </x:row>
    <x:row r="1171">
      <x:c r="A1171" s="177" t="str">
        <x:v>62.107.005/0001-75</x:v>
      </x:c>
      <x:c r="B1171" s="168" t="str">
        <x:v>MARIS II FUNDO DE INVESTIMENTO EM DIREITOS CREDITÓRIOS RESPONSABILIDADE LIMITADA</x:v>
      </x:c>
      <x:c r="C1171" s="190" t="n">
        <x:v>93192282.77</x:v>
      </x:c>
      <x:c r="D1171" s="168" t="str">
        <x:v>Lumina</x:v>
      </x:c>
      <x:c r="E1171" s="168" t="str">
        <x:f>IFERROR(INDEX('Classif Gestoras'!$H$6:$H$462,MATCH(D1171,'Classif Gestoras'!$A$6:$A$462,0)),"Não classificada")</x:f>
        <x:v>Independente</x:v>
      </x:c>
      <x:c r="F1171" s="168" t="str">
        <x:v>Singulare</x:v>
      </x:c>
      <x:c r="G1171" s="168" t="str">
        <x:v>QI CORRETORA DE TÍTULOS E VALORES MOBILIÁRIOS S.A.</x:v>
      </x:c>
      <x:c r="H1171" s="168" t="str">
        <x:v>Fomento Mercantil</x:v>
      </x:c>
      <x:c r="I1171" s="168" t="str">
        <x:v>Fomento Mercantil</x:v>
      </x:c>
      <x:c r="J1171" s="168" t="str">
        <x:v>CI</x:v>
      </x:c>
      <x:c r="K1171" s="174" t="n">
        <x:v>6</x:v>
      </x:c>
      <x:c r="L1171" s="187" t="str">
        <x:v>Não classificado</x:v>
      </x:c>
    </x:row>
    <x:row r="1172">
      <x:c r="A1172" s="177" t="str">
        <x:v>51.137.980/0001-00</x:v>
      </x:c>
      <x:c r="B1172" s="168" t="str">
        <x:v>SALTRI AGRO - FUNDO DE INVESTIMENTO EM DIREITOS CREDITÓRIOS</x:v>
      </x:c>
      <x:c r="C1172" s="190" t="n">
        <x:v>93074617.51</x:v>
      </x:c>
      <x:c r="D1172" s="168" t="str">
        <x:v>OURO PRETO INVESTIMENTOS</x:v>
      </x:c>
      <x:c r="E1172" s="168" t="str">
        <x:f>IFERROR(INDEX('Classif Gestoras'!$H$6:$H$462,MATCH(D1172,'Classif Gestoras'!$A$6:$A$462,0)),"Não classificada")</x:f>
        <x:v>Independente</x:v>
      </x:c>
      <x:c r="F1172" s="168" t="str">
        <x:v>Singulare</x:v>
      </x:c>
      <x:c r="G1172" s="168" t="str">
        <x:v>QI CORRETORA DE TÍTULOS E VALORES MOBILIÁRIOS S.A.</x:v>
      </x:c>
      <x:c r="H1172" s="168" t="str">
        <x:v>Fomento Mercantil</x:v>
      </x:c>
      <x:c r="I1172" s="168" t="str">
        <x:v>Fomento Mercantil</x:v>
      </x:c>
      <x:c r="J1172" s="168" t="str">
        <x:v>CI</x:v>
      </x:c>
      <x:c r="K1172" s="174" t="n">
        <x:v>4</x:v>
      </x:c>
      <x:c r="L1172" s="187" t="str">
        <x:v>Não classificado</x:v>
      </x:c>
    </x:row>
    <x:row r="1173">
      <x:c r="A1173" s="177" t="str">
        <x:v>52.307.401/0001-92</x:v>
      </x:c>
      <x:c r="B1173" s="168" t="str">
        <x:v>FUNDO DE INVESTIMENTO EM DIREITOS CREDITÓRIOS HNDI FORNECEDORES - RESPONSABILIDADE LIMITADA</x:v>
      </x:c>
      <x:c r="C1173" s="190" t="n">
        <x:v>93072731.51</x:v>
      </x:c>
      <x:c r="D1173" s="168" t="str">
        <x:v>CVPAR Investimentos ltda</x:v>
      </x:c>
      <x:c r="E1173" s="168" t="str">
        <x:f>IFERROR(INDEX('Classif Gestoras'!$H$6:$H$462,MATCH(D1173,'Classif Gestoras'!$A$6:$A$462,0)),"Não classificada")</x:f>
        <x:v>Independente</x:v>
      </x:c>
      <x:c r="F1173" s="168" t="str">
        <x:v>Singulare</x:v>
      </x:c>
      <x:c r="G1173" s="168" t="str">
        <x:v>QI CORRETORA DE TÍTULOS E VALORES MOBILIÁRIOS S.A.</x:v>
      </x:c>
      <x:c r="H1173" s="168" t="str">
        <x:v>Outros</x:v>
      </x:c>
      <x:c r="I1173" s="168" t="str">
        <x:v>Multicarteira Outros</x:v>
      </x:c>
      <x:c r="J1173" s="168" t="str">
        <x:v>CI</x:v>
      </x:c>
      <x:c r="K1173" s="174" t="n">
        <x:v>2</x:v>
      </x:c>
      <x:c r="L1173" s="187" t="str">
        <x:v>Proxy multicedente/multissacado — revisar</x:v>
      </x:c>
    </x:row>
    <x:row r="1174">
      <x:c r="A1174" s="177" t="str">
        <x:v>12.803.721/0001-19</x:v>
      </x:c>
      <x:c r="B1174" s="168" t="str">
        <x:v>FUNDO DE INVESTIMENTO EM DIREITOS CREDITÓRIOS FRATTO</x:v>
      </x:c>
      <x:c r="C1174" s="190" t="n">
        <x:v>93060004.37</x:v>
      </x:c>
      <x:c r="D1174" s="168" t="str">
        <x:v>Redwood Asset Management</x:v>
      </x:c>
      <x:c r="E1174" s="168" t="str">
        <x:f>IFERROR(INDEX('Classif Gestoras'!$H$6:$H$462,MATCH(D1174,'Classif Gestoras'!$A$6:$A$462,0)),"Não classificada")</x:f>
        <x:v>Independente</x:v>
      </x:c>
      <x:c r="F1174" s="168" t="str">
        <x:v>PLANNER CV</x:v>
      </x:c>
      <x:c r="G1174" s="168" t="str">
        <x:v>PLANNER CORRETORA DE VALORES S.A.</x:v>
      </x:c>
      <x:c r="H1174" s="168" t="str">
        <x:v>Fomento Mercantil</x:v>
      </x:c>
      <x:c r="I1174" s="168" t="str">
        <x:v>Fomento Mercantil</x:v>
      </x:c>
      <x:c r="J1174" s="168" t="str">
        <x:v>CI</x:v>
      </x:c>
      <x:c r="K1174" s="174" t="n">
        <x:v>1</x:v>
      </x:c>
      <x:c r="L1174" s="187" t="str">
        <x:v>Não classificado</x:v>
      </x:c>
    </x:row>
    <x:row r="1175">
      <x:c r="A1175" s="177" t="str">
        <x:v>35.138.041/0001-23</x:v>
      </x:c>
      <x:c r="B1175" s="168" t="str">
        <x:v>BC CONSÓRCIO FUNDO DE INVESTIMENTO EM DIREITOS CREDITÓRIOS</x:v>
      </x:c>
      <x:c r="C1175" s="190" t="n">
        <x:v>92932338.34</x:v>
      </x:c>
      <x:c r="D1175" s="168" t="str">
        <x:v>Milênio Capital</x:v>
      </x:c>
      <x:c r="E1175" s="168" t="str">
        <x:f>IFERROR(INDEX('Classif Gestoras'!$H$6:$H$462,MATCH(D1175,'Classif Gestoras'!$A$6:$A$462,0)),"Não classificada")</x:f>
        <x:v>Independente</x:v>
      </x:c>
      <x:c r="F1175" s="168" t="str">
        <x:v>BRL TRUST DTVM</x:v>
      </x:c>
      <x:c r="G1175" s="168" t="str">
        <x:v>BRL TRUST DISTRIBUIDORA DE TITULOS E VALORES MOBILIARIOS S.A.</x:v>
      </x:c>
      <x:c r="H1175" s="168" t="str">
        <x:v>Financeiro</x:v>
      </x:c>
      <x:c r="I1175" s="168" t="str">
        <x:v>Multicarteira Financeiro</x:v>
      </x:c>
      <x:c r="J1175" s="168" t="str">
        <x:v>CI</x:v>
      </x:c>
      <x:c r="K1175" s="174" t="n">
        <x:v>71</x:v>
      </x:c>
      <x:c r="L1175" s="187" t="str">
        <x:v>Proxy multicedente/multissacado — revisar</x:v>
      </x:c>
    </x:row>
    <x:row r="1176">
      <x:c r="A1176" s="177" t="str">
        <x:v>23.104.455/0001-52</x:v>
      </x:c>
      <x:c r="B1176" s="168" t="str">
        <x:v>SATURNO FUNDO DE INVESTIMENTO EM DIREITOS CREDITÓRIOS</x:v>
      </x:c>
      <x:c r="C1176" s="190" t="n">
        <x:v>92754620.4</x:v>
      </x:c>
      <x:c r="D1176" s="168" t="str">
        <x:v>TERCON ASSET MANAGEMENT</x:v>
      </x:c>
      <x:c r="E1176" s="168" t="str">
        <x:f>IFERROR(INDEX('Classif Gestoras'!$H$6:$H$462,MATCH(D1176,'Classif Gestoras'!$A$6:$A$462,0)),"Não classificada")</x:f>
        <x:v>Independente</x:v>
      </x:c>
      <x:c r="F1176" s="168" t="str">
        <x:v>Singulare</x:v>
      </x:c>
      <x:c r="G1176" s="168" t="str">
        <x:v>QI CORRETORA DE TÍTULOS E VALORES MOBILIÁRIOS S.A.</x:v>
      </x:c>
      <x:c r="H1176" s="168" t="str">
        <x:v>Fomento Mercantil</x:v>
      </x:c>
      <x:c r="I1176" s="168" t="str">
        <x:v>Fomento Mercantil</x:v>
      </x:c>
      <x:c r="J1176" s="168" t="str">
        <x:v>CI</x:v>
      </x:c>
      <x:c r="K1176" s="174" t="n">
        <x:v>25</x:v>
      </x:c>
      <x:c r="L1176" s="187" t="str">
        <x:v>Não classificado</x:v>
      </x:c>
    </x:row>
    <x:row r="1177">
      <x:c r="A1177" s="177" t="str">
        <x:v>34.691.203/0001-93</x:v>
      </x:c>
      <x:c r="B1177" s="168" t="str">
        <x:v>CNPJ 34691203000193</x:v>
      </x:c>
      <x:c r="C1177" s="190" t="n">
        <x:v>92407118.86</x:v>
      </x:c>
      <x:c r="D1177" s="168" t="str">
        <x:v>Eco Gestão de Ativos LTDA.</x:v>
      </x:c>
      <x:c r="E1177" s="168" t="str">
        <x:f>IFERROR(INDEX('Classif Gestoras'!$H$6:$H$462,MATCH(D1177,'Classif Gestoras'!$A$6:$A$462,0)),"Não classificada")</x:f>
        <x:v>Independente</x:v>
      </x:c>
      <x:c r="F1177" s="168" t="str">
        <x:v>BANCO DAYCOVAL S/A</x:v>
      </x:c>
      <x:c r="G1177" s="168" t="str">
        <x:v>Não identificado</x:v>
      </x:c>
      <x:c r="H1177" s="168" t="str">
        <x:v>Agro, Indústria e Comércio</x:v>
      </x:c>
      <x:c r="I1177" s="168" t="str">
        <x:v>Agronegócio</x:v>
      </x:c>
      <x:c r="J1177" s="168" t="str">
        <x:v>CI</x:v>
      </x:c>
      <x:c r="K1177" s="174"/>
      <x:c r="L1177" s="187" t="str">
        <x:v>Não classificado</x:v>
      </x:c>
    </x:row>
    <x:row r="1178">
      <x:c r="A1178" s="177" t="str">
        <x:v>34.508.357/0001-05</x:v>
      </x:c>
      <x:c r="B1178" s="168" t="str">
        <x:v>FUNDO DE INVESTIMENTO EM DIREITOS CREDITÓRIOS - MEUCASHCARD</x:v>
      </x:c>
      <x:c r="C1178" s="190" t="n">
        <x:v>92195571.38</x:v>
      </x:c>
      <x:c r="D1178" s="168" t="str">
        <x:v>Iron Capital</x:v>
      </x:c>
      <x:c r="E1178" s="168" t="str">
        <x:f>IFERROR(INDEX('Classif Gestoras'!$H$6:$H$462,MATCH(D1178,'Classif Gestoras'!$A$6:$A$462,0)),"Não classificada")</x:f>
        <x:v>Independente</x:v>
      </x:c>
      <x:c r="F1178" s="168" t="str">
        <x:v>VÓRTX DTVM</x:v>
      </x:c>
      <x:c r="G1178" s="168" t="str">
        <x:v>VORTX DISTRIBUIDORA DE TITULOS E VALORES MOBILIARIOS LTDA.</x:v>
      </x:c>
      <x:c r="H1178" s="168" t="str">
        <x:v>Fomento Mercantil</x:v>
      </x:c>
      <x:c r="I1178" s="168" t="str">
        <x:v>Multicarteira Outros</x:v>
      </x:c>
      <x:c r="J1178" s="168" t="str">
        <x:v>CI</x:v>
      </x:c>
      <x:c r="K1178" s="174" t="n">
        <x:v>8</x:v>
      </x:c>
      <x:c r="L1178" s="187" t="str">
        <x:v>Proxy multicedente/multissacado — revisar</x:v>
      </x:c>
    </x:row>
    <x:row r="1179">
      <x:c r="A1179" s="177" t="str">
        <x:v>51.645.270/0001-90</x:v>
      </x:c>
      <x:c r="B1179" s="168" t="str">
        <x:v>LUTÈCE FUNDO DE INVESTIMENTO EM DIREITOS CREDITÓRIOS</x:v>
      </x:c>
      <x:c r="C1179" s="190" t="n">
        <x:v>91853472.38</x:v>
      </x:c>
      <x:c r="D1179" s="168" t="str">
        <x:v>Redwood Asset Management</x:v>
      </x:c>
      <x:c r="E1179" s="168" t="str">
        <x:f>IFERROR(INDEX('Classif Gestoras'!$H$6:$H$462,MATCH(D1179,'Classif Gestoras'!$A$6:$A$462,0)),"Não classificada")</x:f>
        <x:v>Independente</x:v>
      </x:c>
      <x:c r="F1179" s="168" t="str">
        <x:v>PLANNER CV</x:v>
      </x:c>
      <x:c r="G1179" s="168" t="str">
        <x:v>PLANNER CORRETORA DE VALORES S.A.</x:v>
      </x:c>
      <x:c r="H1179" s="168" t="str">
        <x:v>Fomento Mercantil</x:v>
      </x:c>
      <x:c r="I1179" s="168" t="str">
        <x:v>Fomento Mercantil</x:v>
      </x:c>
      <x:c r="J1179" s="168" t="str">
        <x:v>CI</x:v>
      </x:c>
      <x:c r="K1179" s="174" t="n">
        <x:v>10</x:v>
      </x:c>
      <x:c r="L1179" s="187" t="str">
        <x:v>Não classificado</x:v>
      </x:c>
    </x:row>
    <x:row r="1180">
      <x:c r="A1180" s="177" t="str">
        <x:v>45.207.408/0001-77</x:v>
      </x:c>
      <x:c r="B1180" s="168" t="str">
        <x:v>FITZ ROY SPECIAL SITUATIONS FIDC DE RESP LIMITADA</x:v>
      </x:c>
      <x:c r="C1180" s="190" t="n">
        <x:v>91652052.94</x:v>
      </x:c>
      <x:c r="D1180" s="168" t="str">
        <x:v>Laplace Capital</x:v>
      </x:c>
      <x:c r="E1180" s="168" t="str">
        <x:f>IFERROR(INDEX('Classif Gestoras'!$H$6:$H$462,MATCH(D1180,'Classif Gestoras'!$A$6:$A$462,0)),"Não classificada")</x:f>
        <x:v>Independente</x:v>
      </x:c>
      <x:c r="F1180" s="168" t="str">
        <x:v>BANCO DAYCOVAL S/A</x:v>
      </x:c>
      <x:c r="G1180" s="168" t="str">
        <x:v>BANCO DAYCOVAL S.A.</x:v>
      </x:c>
      <x:c r="H1180" s="168" t="str">
        <x:v>Outros</x:v>
      </x:c>
      <x:c r="I1180" s="168" t="str">
        <x:v>Multicarteira Outros</x:v>
      </x:c>
      <x:c r="J1180" s="168" t="str">
        <x:v>CI</x:v>
      </x:c>
      <x:c r="K1180" s="174" t="n">
        <x:v>52</x:v>
      </x:c>
      <x:c r="L1180" s="187" t="str">
        <x:v>Proxy multicedente/multissacado — revisar</x:v>
      </x:c>
    </x:row>
    <x:row r="1181">
      <x:c r="A1181" s="177" t="str">
        <x:v>45.829.624/0001-54</x:v>
      </x:c>
      <x:c r="B1181" s="168" t="str">
        <x:v>FUNDO DE INVESTIMENTO EM DIREITOS CREDITÓRIOS SALES FINANCE - RESPONSABILIDADE LIMITADA</x:v>
      </x:c>
      <x:c r="C1181" s="190" t="n">
        <x:v>91507817.01</x:v>
      </x:c>
      <x:c r="D1181" s="168" t="str">
        <x:v>Cultinvest Asset</x:v>
      </x:c>
      <x:c r="E1181" s="168" t="str">
        <x:f>IFERROR(INDEX('Classif Gestoras'!$H$6:$H$462,MATCH(D1181,'Classif Gestoras'!$A$6:$A$462,0)),"Não classificada")</x:f>
        <x:v>Independente</x:v>
      </x:c>
      <x:c r="F1181" s="168" t="str">
        <x:v>BRL TRUST DTVM</x:v>
      </x:c>
      <x:c r="G1181" s="168" t="str">
        <x:v>BRL TRUST DISTRIBUIDORA DE TITULOS E VALORES MOBILIARIOS S.A.</x:v>
      </x:c>
      <x:c r="H1181" s="168" t="str">
        <x:v>Agro, Indústria e Comércio</x:v>
      </x:c>
      <x:c r="I1181" s="168" t="str">
        <x:v>Recebíveis Comerciais</x:v>
      </x:c>
      <x:c r="J1181" s="168" t="str">
        <x:v>CI</x:v>
      </x:c>
      <x:c r="K1181" s="174" t="n">
        <x:v>3</x:v>
      </x:c>
      <x:c r="L1181" s="187" t="str">
        <x:v>Não classificado</x:v>
      </x:c>
    </x:row>
    <x:row r="1182">
      <x:c r="A1182" s="177" t="str">
        <x:v>65.530.283/0001-29</x:v>
      </x:c>
      <x:c r="B1182" s="168" t="str">
        <x:v>VKTECH FUNDO DE INVESTIMENTO EM DIREITOS CREDITÓRIOS - RESPONSABILIDADE LIMITADA</x:v>
      </x:c>
      <x:c r="C1182" s="190" t="n">
        <x:v>91491211.54</x:v>
      </x:c>
      <x:c r="D1182" s="168" t="str">
        <x:v>JIVE INVESTMENTS</x:v>
      </x:c>
      <x:c r="E1182" s="168" t="str">
        <x:f>IFERROR(INDEX('Classif Gestoras'!$H$6:$H$462,MATCH(D1182,'Classif Gestoras'!$A$6:$A$462,0)),"Não classificada")</x:f>
        <x:v>Independente</x:v>
      </x:c>
      <x:c r="F1182" s="168" t="str">
        <x:v>BRL TRUST DTVM</x:v>
      </x:c>
      <x:c r="G1182" s="168" t="str">
        <x:v>BRL TRUST DISTRIBUIDORA DE TITULOS E VALORES MOBILIARIOS S.A.</x:v>
      </x:c>
      <x:c r="H1182" s="168" t="str">
        <x:v>Agro, Indústria e Comércio</x:v>
      </x:c>
      <x:c r="I1182" s="168" t="str">
        <x:v>Crédito Corporativo</x:v>
      </x:c>
      <x:c r="J1182" s="168" t="str">
        <x:v>CI</x:v>
      </x:c>
      <x:c r="K1182" s="174" t="n">
        <x:v>22</x:v>
      </x:c>
      <x:c r="L1182" s="187" t="str">
        <x:v>Não classificado</x:v>
      </x:c>
    </x:row>
    <x:row r="1183">
      <x:c r="A1183" s="177" t="str">
        <x:v>31.933.790/0001-91</x:v>
      </x:c>
      <x:c r="B1183" s="168" t="str">
        <x:v>INVISTA ATIVOS ALTERNATIVOS I FUNDO DE INVESTIMENTO EM DIREITOS CREDITÓRIOS</x:v>
      </x:c>
      <x:c r="C1183" s="190" t="n">
        <x:v>91274014.04999998</x:v>
      </x:c>
      <x:c r="D1183" s="168" t="str">
        <x:v>Invista Asset</x:v>
      </x:c>
      <x:c r="E1183" s="168" t="str">
        <x:f>IFERROR(INDEX('Classif Gestoras'!$H$6:$H$462,MATCH(D1183,'Classif Gestoras'!$A$6:$A$462,0)),"Não classificada")</x:f>
        <x:v>Independente</x:v>
      </x:c>
      <x:c r="F1183" s="168" t="str">
        <x:v>Singulare</x:v>
      </x:c>
      <x:c r="G1183" s="168" t="str">
        <x:v>QI CORRETORA DE TÍTULOS E VALORES MOBILIÁRIOS S.A.</x:v>
      </x:c>
      <x:c r="H1183" s="168" t="str">
        <x:v>Fomento Mercantil</x:v>
      </x:c>
      <x:c r="I1183" s="168" t="str">
        <x:v>Fomento Mercantil</x:v>
      </x:c>
      <x:c r="J1183" s="168" t="str">
        <x:v>CI</x:v>
      </x:c>
      <x:c r="K1183" s="174" t="n">
        <x:v>7</x:v>
      </x:c>
      <x:c r="L1183" s="187" t="str">
        <x:v>Não classificado</x:v>
      </x:c>
    </x:row>
    <x:row r="1184">
      <x:c r="A1184" s="177" t="str">
        <x:v>62.222.488/0001-59</x:v>
      </x:c>
      <x:c r="B1184" s="168" t="str">
        <x:v>GONN III FUNDO DE INVESTIMENTO EM DIREITOS CREDITÓRIOS DE RESPONSABILIDADE LIMITADA</x:v>
      </x:c>
      <x:c r="C1184" s="190" t="n">
        <x:v>91192301.68</x:v>
      </x:c>
      <x:c r="D1184" s="168" t="str">
        <x:v>GENIAL GESTÃO LTDA.</x:v>
      </x:c>
      <x:c r="E1184" s="168" t="str">
        <x:f>IFERROR(INDEX('Classif Gestoras'!$H$6:$H$462,MATCH(D1184,'Classif Gestoras'!$A$6:$A$462,0)),"Não classificada")</x:f>
        <x:v>Ligada a banco</x:v>
      </x:c>
      <x:c r="F1184" s="168" t="str">
        <x:v>Genial Investimentos Corretora de Valores Mobiliários S.A.</x:v>
      </x:c>
      <x:c r="G1184" s="168" t="str">
        <x:v>BANCO GENIAL S.A.</x:v>
      </x:c>
      <x:c r="H1184" s="168" t="str">
        <x:v>Financeiro</x:v>
      </x:c>
      <x:c r="I1184" s="168" t="str">
        <x:v>Crédito Pessoal</x:v>
      </x:c>
      <x:c r="J1184" s="168" t="str">
        <x:v>CI</x:v>
      </x:c>
      <x:c r="K1184" s="174" t="n">
        <x:v>2</x:v>
      </x:c>
      <x:c r="L1184" s="187" t="str">
        <x:v>Não classificado</x:v>
      </x:c>
    </x:row>
    <x:row r="1185">
      <x:c r="A1185" s="177" t="str">
        <x:v>53.315.640/0001-57</x:v>
      </x:c>
      <x:c r="B1185" s="168" t="str">
        <x:v>FLORENÇA FUNDO DE INVESTIMENTO EM DIREITOS CREDITÓRIOS</x:v>
      </x:c>
      <x:c r="C1185" s="190" t="n">
        <x:v>91070007.18</x:v>
      </x:c>
      <x:c r="D1185" s="168" t="str">
        <x:v>Blue Solutions</x:v>
      </x:c>
      <x:c r="E1185" s="168" t="str">
        <x:f>IFERROR(INDEX('Classif Gestoras'!$H$6:$H$462,MATCH(D1185,'Classif Gestoras'!$A$6:$A$462,0)),"Não classificada")</x:f>
        <x:v>Independente</x:v>
      </x:c>
      <x:c r="F1185" s="168" t="str">
        <x:v>TRUSTEE DTVM</x:v>
      </x:c>
      <x:c r="G1185" s="168" t="str">
        <x:v>TRUSTEE DISTRIBUIDORA DE TITULOS E VALORES MOBILIARIOS LTDA.</x:v>
      </x:c>
      <x:c r="H1185" s="168" t="str">
        <x:v>Outros</x:v>
      </x:c>
      <x:c r="I1185" s="168" t="str">
        <x:v>Multicarteira Outros</x:v>
      </x:c>
      <x:c r="J1185" s="168" t="str">
        <x:v>CI</x:v>
      </x:c>
      <x:c r="K1185" s="174" t="n">
        <x:v>5</x:v>
      </x:c>
      <x:c r="L1185" s="187" t="str">
        <x:v>Proxy multicedente/multissacado — revisar</x:v>
      </x:c>
    </x:row>
    <x:row r="1186">
      <x:c r="A1186" s="177" t="str">
        <x:v>42.462.558/0001-39</x:v>
      </x:c>
      <x:c r="B1186" s="168" t="str">
        <x:v>KÉRDOS - FUNDO DE INVESTIMENTO EM DIREITOS CREDITÓRIOS</x:v>
      </x:c>
      <x:c r="C1186" s="190" t="n">
        <x:v>90811612.2</x:v>
      </x:c>
      <x:c r="D1186" s="168" t="str">
        <x:v>Catálise Investimentos</x:v>
      </x:c>
      <x:c r="E1186" s="168" t="str">
        <x:f>IFERROR(INDEX('Classif Gestoras'!$H$6:$H$462,MATCH(D1186,'Classif Gestoras'!$A$6:$A$462,0)),"Não classificada")</x:f>
        <x:v>Independente</x:v>
      </x:c>
      <x:c r="F1186" s="168" t="str">
        <x:v>CATÁLISE DTVM</x:v>
      </x:c>
      <x:c r="G1186" s="168" t="str">
        <x:v>BANCO DAYCOVAL S.A.</x:v>
      </x:c>
      <x:c r="H1186" s="168" t="str">
        <x:v>Agro, Indústria e Comércio</x:v>
      </x:c>
      <x:c r="I1186" s="168" t="str">
        <x:v>Multicarteira Agro, Indústria e Comércio</x:v>
      </x:c>
      <x:c r="J1186" s="168" t="str">
        <x:v>CI</x:v>
      </x:c>
      <x:c r="K1186" s="174" t="n">
        <x:v>1</x:v>
      </x:c>
      <x:c r="L1186" s="187" t="str">
        <x:v>Proxy multicedente/multissacado — revisar</x:v>
      </x:c>
    </x:row>
    <x:row r="1187">
      <x:c r="A1187" s="177" t="str">
        <x:v>53.374.563/0001-06</x:v>
      </x:c>
      <x:c r="B1187" s="168" t="str">
        <x:v>PRIMO CAPITAL II FUNDO DE INVESTIMENTO EM DIREITOS CREDITÓRIOS DE RESPONSABILIDADE LIMITADA</x:v>
      </x:c>
      <x:c r="C1187" s="190" t="n">
        <x:v>90698474.65000002</x:v>
      </x:c>
      <x:c r="D1187" s="168" t="str">
        <x:v>Multinvest Capital</x:v>
      </x:c>
      <x:c r="E1187" s="168" t="str">
        <x:f>IFERROR(INDEX('Classif Gestoras'!$H$6:$H$462,MATCH(D1187,'Classif Gestoras'!$A$6:$A$462,0)),"Não classificada")</x:f>
        <x:v>Independente</x:v>
      </x:c>
      <x:c r="F1187" s="168" t="str">
        <x:v>BANCO DAYCOVAL S/A</x:v>
      </x:c>
      <x:c r="G1187" s="168" t="str">
        <x:v>BANCO DAYCOVAL S.A.</x:v>
      </x:c>
      <x:c r="H1187" s="168" t="str">
        <x:v>Outros</x:v>
      </x:c>
      <x:c r="I1187" s="168" t="str">
        <x:v>Multicarteira Outros</x:v>
      </x:c>
      <x:c r="J1187" s="168" t="str">
        <x:v>CI</x:v>
      </x:c>
      <x:c r="K1187" s="174" t="n">
        <x:v>181</x:v>
      </x:c>
      <x:c r="L1187" s="187" t="str">
        <x:v>Proxy multicedente/multissacado — revisar</x:v>
      </x:c>
    </x:row>
    <x:row r="1188">
      <x:c r="A1188" s="177" t="str">
        <x:v>19.599.487/0001-07</x:v>
      </x:c>
      <x:c r="B1188" s="168" t="str">
        <x:v>FUNDO DE INVESTIMENTO EM DIREITOS CREDITÓRIOS ZIPDIN I</x:v>
      </x:c>
      <x:c r="C1188" s="190" t="n">
        <x:v>90622249.78</x:v>
      </x:c>
      <x:c r="D1188" s="168" t="str">
        <x:v>VALORA RENDA FIXA ESTRUTURADOS LTDA.</x:v>
      </x:c>
      <x:c r="E1188" s="168" t="str">
        <x:f>IFERROR(INDEX('Classif Gestoras'!$H$6:$H$462,MATCH(D1188,'Classif Gestoras'!$A$6:$A$462,0)),"Não classificada")</x:f>
        <x:v>Independente</x:v>
      </x:c>
      <x:c r="F1188" s="168" t="str">
        <x:v>Singulare</x:v>
      </x:c>
      <x:c r="G1188" s="168" t="str">
        <x:v>QI CORRETORA DE TÍTULOS E VALORES MOBILIÁRIOS S.A.</x:v>
      </x:c>
      <x:c r="H1188" s="168" t="str">
        <x:v>Financeiro</x:v>
      </x:c>
      <x:c r="I1188" s="168" t="str">
        <x:v>Crédito Consignado</x:v>
      </x:c>
      <x:c r="J1188" s="168" t="str">
        <x:v>CI</x:v>
      </x:c>
      <x:c r="K1188" s="174" t="n">
        <x:v>72</x:v>
      </x:c>
      <x:c r="L1188" s="187" t="str">
        <x:v>Não classificado</x:v>
      </x:c>
    </x:row>
    <x:row r="1189">
      <x:c r="A1189" s="177" t="str">
        <x:v>34.691.362/0001-98</x:v>
      </x:c>
      <x:c r="B1189" s="168" t="str">
        <x:v>ZEUS FUNDO DE INVESTIMENTO EM DIREITOS CREDITÓRIOS</x:v>
      </x:c>
      <x:c r="C1189" s="190" t="n">
        <x:v>90520373.56</x:v>
      </x:c>
      <x:c r="D1189" s="168" t="str">
        <x:v>ELLO ASSET MANAGEMENT</x:v>
      </x:c>
      <x:c r="E1189" s="168" t="str">
        <x:f>IFERROR(INDEX('Classif Gestoras'!$H$6:$H$462,MATCH(D1189,'Classif Gestoras'!$A$6:$A$462,0)),"Não classificada")</x:f>
        <x:v>Independente</x:v>
      </x:c>
      <x:c r="F1189" s="168" t="str">
        <x:v>ACTUAL DTVM</x:v>
      </x:c>
      <x:c r="G1189" s="168" t="str">
        <x:v>TRUSTEE DISTRIBUIDORA DE TITULOS E VALORES MOBILIARIOS LTDA.</x:v>
      </x:c>
      <x:c r="H1189" s="168" t="str">
        <x:v>Fomento Mercantil</x:v>
      </x:c>
      <x:c r="I1189" s="168" t="str">
        <x:v>Fomento Mercantil</x:v>
      </x:c>
      <x:c r="J1189" s="168" t="str">
        <x:v>CI</x:v>
      </x:c>
      <x:c r="K1189" s="174" t="n">
        <x:v>4</x:v>
      </x:c>
      <x:c r="L1189" s="187" t="str">
        <x:v>Não classificado</x:v>
      </x:c>
    </x:row>
    <x:row r="1190">
      <x:c r="A1190" s="177" t="str">
        <x:v>59.714.095/0001-58</x:v>
      </x:c>
      <x:c r="B1190" s="168" t="str">
        <x:v>PETROCASH FUNDO DE INVESTIMENTO EM DIREITOS CREDITÓRIOS RESPONSABILIDADE LIMITADA</x:v>
      </x:c>
      <x:c r="C1190" s="190" t="n">
        <x:v>90460038.15</x:v>
      </x:c>
      <x:c r="D1190" s="168" t="str">
        <x:v>Redwood Asset Management</x:v>
      </x:c>
      <x:c r="E1190" s="168" t="str">
        <x:f>IFERROR(INDEX('Classif Gestoras'!$H$6:$H$462,MATCH(D1190,'Classif Gestoras'!$A$6:$A$462,0)),"Não classificada")</x:f>
        <x:v>Independente</x:v>
      </x:c>
      <x:c r="F1190" s="168" t="str">
        <x:v>PLANNER CV</x:v>
      </x:c>
      <x:c r="G1190" s="168" t="str">
        <x:v>PLANNER CORRETORA DE VALORES S.A.</x:v>
      </x:c>
      <x:c r="H1190" s="168" t="str">
        <x:v>Agro, Indústria e Comércio</x:v>
      </x:c>
      <x:c r="I1190" s="168" t="str">
        <x:v>Multicarteira Agro, Indústria e Comércio</x:v>
      </x:c>
      <x:c r="J1190" s="168" t="str">
        <x:v>CI</x:v>
      </x:c>
      <x:c r="K1190" s="174" t="n">
        <x:v>1</x:v>
      </x:c>
      <x:c r="L1190" s="187" t="str">
        <x:v>Proxy multicedente/multissacado — revisar</x:v>
      </x:c>
    </x:row>
    <x:row r="1191">
      <x:c r="A1191" s="177" t="str">
        <x:v>56.986.018/0001-69</x:v>
      </x:c>
      <x:c r="B1191" s="168" t="str">
        <x:v>FUNDO DE INVESTIMENTO EM DIREITOS CREDITÓRIOS KANAL</x:v>
      </x:c>
      <x:c r="C1191" s="190" t="n">
        <x:v>89576792.98</x:v>
      </x:c>
      <x:c r="D1191" s="168" t="str">
        <x:v>WNT Gestora de Recursos Ltda.</x:v>
      </x:c>
      <x:c r="E1191" s="168" t="str">
        <x:f>IFERROR(INDEX('Classif Gestoras'!$H$6:$H$462,MATCH(D1191,'Classif Gestoras'!$A$6:$A$462,0)),"Não classificada")</x:f>
        <x:v>Independente</x:v>
      </x:c>
      <x:c r="F1191" s="168" t="str">
        <x:v>WNT DTVM</x:v>
      </x:c>
      <x:c r="G1191" s="168" t="str">
        <x:v>WNT CAPITAL DISTRIBUIDORA DE TITULOS E VALORES MOBILIARIOS S.A.</x:v>
      </x:c>
      <x:c r="H1191" s="168" t="str">
        <x:v>Outros</x:v>
      </x:c>
      <x:c r="I1191" s="168" t="str">
        <x:v>Multicarteira Outros</x:v>
      </x:c>
      <x:c r="J1191" s="168" t="str">
        <x:v>CI</x:v>
      </x:c>
      <x:c r="K1191" s="174" t="n">
        <x:v>7</x:v>
      </x:c>
      <x:c r="L1191" s="187" t="str">
        <x:v>Proxy multicedente/multissacado — revisar</x:v>
      </x:c>
    </x:row>
    <x:row r="1192">
      <x:c r="A1192" s="177" t="str">
        <x:v>55.657.825/0001-75</x:v>
      </x:c>
      <x:c r="B1192" s="168" t="str">
        <x:v>APOGE FUNDO DE INVESTIMENTO EM DIREITOS CREDITÓRIOS MULTISSETORIAL</x:v>
      </x:c>
      <x:c r="C1192" s="190" t="n">
        <x:v>89363374.69</x:v>
      </x:c>
      <x:c r="D1192" s="168" t="str">
        <x:v>OURO PRETO INVESTIMENTOS</x:v>
      </x:c>
      <x:c r="E1192" s="168" t="str">
        <x:f>IFERROR(INDEX('Classif Gestoras'!$H$6:$H$462,MATCH(D1192,'Classif Gestoras'!$A$6:$A$462,0)),"Não classificada")</x:f>
        <x:v>Independente</x:v>
      </x:c>
      <x:c r="F1192" s="168" t="str">
        <x:v>Singulare</x:v>
      </x:c>
      <x:c r="G1192" s="168" t="str">
        <x:v>QI CORRETORA DE TÍTULOS E VALORES MOBILIÁRIOS S.A.</x:v>
      </x:c>
      <x:c r="H1192" s="168" t="str">
        <x:v>Fomento Mercantil</x:v>
      </x:c>
      <x:c r="I1192" s="168" t="str">
        <x:v>Fomento Mercantil</x:v>
      </x:c>
      <x:c r="J1192" s="168" t="str">
        <x:v>CI</x:v>
      </x:c>
      <x:c r="K1192" s="174" t="n">
        <x:v>24</x:v>
      </x:c>
      <x:c r="L1192" s="187" t="str">
        <x:v>Não classificado</x:v>
      </x:c>
    </x:row>
    <x:row r="1193">
      <x:c r="A1193" s="177" t="str">
        <x:v>59.602.002/0001-01</x:v>
      </x:c>
      <x:c r="B1193" s="168" t="str">
        <x:v>LARCA CONSIGNADO III FUNDO DE INVESTIMENTO EM DIREITOS CREDITORIOS - RESPONSABILIDADE LIMITADA</x:v>
      </x:c>
      <x:c r="C1193" s="190" t="n">
        <x:v>89083766.68999998</x:v>
      </x:c>
      <x:c r="D1193" s="168" t="str">
        <x:v>KP GESTÃO DE RECURSOS LTDA.</x:v>
      </x:c>
      <x:c r="E1193" s="168" t="str">
        <x:f>IFERROR(INDEX('Classif Gestoras'!$H$6:$H$462,MATCH(D1193,'Classif Gestoras'!$A$6:$A$462,0)),"Não classificada")</x:f>
        <x:v>Independente</x:v>
      </x:c>
      <x:c r="F1193" s="168" t="str">
        <x:v>Oliveira Trust DTVM</x:v>
      </x:c>
      <x:c r="G1193" s="168" t="str">
        <x:v>OLIVEIRA TRUST DTVM S.A.</x:v>
      </x:c>
      <x:c r="H1193" s="168" t="str">
        <x:v>Financeiro</x:v>
      </x:c>
      <x:c r="I1193" s="168" t="str">
        <x:v>Crédito Consignado</x:v>
      </x:c>
      <x:c r="J1193" s="168" t="str">
        <x:v>CI</x:v>
      </x:c>
      <x:c r="K1193" s="174" t="n">
        <x:v>45</x:v>
      </x:c>
      <x:c r="L1193" s="187" t="str">
        <x:v>Não classificado</x:v>
      </x:c>
    </x:row>
    <x:row r="1194">
      <x:c r="A1194" s="177" t="str">
        <x:v>52.325.895/0001-38</x:v>
      </x:c>
      <x:c r="B1194" s="168" t="str">
        <x:v>LCPF I FUNDO DE INVESTIMENTO EM DIREITOS CREDITÓRIOS RESPONSABILIDADE LIMITADA</x:v>
      </x:c>
      <x:c r="C1194" s="190" t="n">
        <x:v>89068789.54</x:v>
      </x:c>
      <x:c r="D1194" s="168" t="str">
        <x:v>VM Consultoria Empresarial Ltd</x:v>
      </x:c>
      <x:c r="E1194" s="168" t="str">
        <x:f>IFERROR(INDEX('Classif Gestoras'!$H$6:$H$462,MATCH(D1194,'Classif Gestoras'!$A$6:$A$462,0)),"Não classificada")</x:f>
        <x:v>Independente</x:v>
      </x:c>
      <x:c r="F1194" s="168" t="str">
        <x:v>Banco Genial S.A.</x:v>
      </x:c>
      <x:c r="G1194" s="168" t="str">
        <x:v>BANCO GENIAL S.A.</x:v>
      </x:c>
      <x:c r="H1194" s="168" t="str">
        <x:v>Fomento Mercantil</x:v>
      </x:c>
      <x:c r="I1194" s="168" t="str">
        <x:v>Fomento Mercantil</x:v>
      </x:c>
      <x:c r="J1194" s="168" t="str">
        <x:v>CI</x:v>
      </x:c>
      <x:c r="K1194" s="174" t="n">
        <x:v>6</x:v>
      </x:c>
      <x:c r="L1194" s="187" t="str">
        <x:v>Não classificado</x:v>
      </x:c>
    </x:row>
    <x:row r="1195">
      <x:c r="A1195" s="177" t="str">
        <x:v>42.933.402/0001-99</x:v>
      </x:c>
      <x:c r="B1195" s="168" t="str">
        <x:v>FUNDO DE INVESTIMENTO EM DIREITOS CREDITÓRIOS FUTURO PREVIDÊNCIA CONSIGNADO PÚBLICO I</x:v>
      </x:c>
      <x:c r="C1195" s="190" t="n">
        <x:v>88986006.51</x:v>
      </x:c>
      <x:c r="D1195" s="168" t="str">
        <x:v>REAG GESTÃO DE CRÉDITO</x:v>
      </x:c>
      <x:c r="E1195" s="168" t="str">
        <x:f>IFERROR(INDEX('Classif Gestoras'!$H$6:$H$462,MATCH(D1195,'Classif Gestoras'!$A$6:$A$462,0)),"Não classificada")</x:f>
        <x:v>Independente</x:v>
      </x:c>
      <x:c r="F1195" s="168" t="str">
        <x:v>Oliveira Trust DTVM</x:v>
      </x:c>
      <x:c r="G1195" s="168" t="str">
        <x:v>OLIVEIRA TRUST DTVM S.A.</x:v>
      </x:c>
      <x:c r="H1195" s="168" t="str">
        <x:v>Financeiro</x:v>
      </x:c>
      <x:c r="I1195" s="168" t="str">
        <x:v>Crédito Consignado</x:v>
      </x:c>
      <x:c r="J1195" s="168" t="str">
        <x:v>CI</x:v>
      </x:c>
      <x:c r="K1195" s="174" t="n">
        <x:v>42</x:v>
      </x:c>
      <x:c r="L1195" s="187" t="str">
        <x:v>Não classificado</x:v>
      </x:c>
    </x:row>
    <x:row r="1196">
      <x:c r="A1196" s="177" t="str">
        <x:v>36.875.515/0001-82</x:v>
      </x:c>
      <x:c r="B1196" s="168" t="str">
        <x:v>BS INTER FUNDO DE INVESTIMENTO EM DIREITOS CREDITÓRIOS NÃO- PADRONIZADOS MULTISSETORIAL</x:v>
      </x:c>
      <x:c r="C1196" s="190" t="n">
        <x:v>88947657.15</x:v>
      </x:c>
      <x:c r="D1196" s="168" t="str">
        <x:v>V8 Capital</x:v>
      </x:c>
      <x:c r="E1196" s="168" t="str">
        <x:f>IFERROR(INDEX('Classif Gestoras'!$H$6:$H$462,MATCH(D1196,'Classif Gestoras'!$A$6:$A$462,0)),"Não classificada")</x:f>
        <x:v>Independente</x:v>
      </x:c>
      <x:c r="F1196" s="168" t="str">
        <x:v>S3 Caceis Brasil Distribuidora de Títulos e Valores Mob</x:v>
      </x:c>
      <x:c r="G1196" s="168" t="str">
        <x:v>S3 CACEIS BRASIL DISTRIBUIDORA DE TITULOS E VALORES MOBILIARIOS S.A</x:v>
      </x:c>
      <x:c r="H1196" s="168" t="str">
        <x:v>Outros</x:v>
      </x:c>
      <x:c r="I1196" s="168" t="str">
        <x:v>Multicarteira Outros</x:v>
      </x:c>
      <x:c r="J1196" s="168" t="str">
        <x:v>CI</x:v>
      </x:c>
      <x:c r="K1196" s="174" t="n">
        <x:v>1</x:v>
      </x:c>
      <x:c r="L1196" s="187" t="str">
        <x:v>Proxy multicedente/multissacado — revisar</x:v>
      </x:c>
    </x:row>
    <x:row r="1197">
      <x:c r="A1197" s="177" t="str">
        <x:v>45.121.220/0001-01</x:v>
      </x:c>
      <x:c r="B1197" s="168" t="str">
        <x:v>MAIS TODOS FUNDO DE INVESTIMENTO EM DIREITOS CREDITÓRIOS RESPONSABILIDADE LIMITADA</x:v>
      </x:c>
      <x:c r="C1197" s="190" t="n">
        <x:v>88915948.49</x:v>
      </x:c>
      <x:c r="D1197" s="168" t="str">
        <x:v>VALORA RENDA FIXA ESTRUTURADOS LTDA.</x:v>
      </x:c>
      <x:c r="E1197" s="168" t="str">
        <x:f>IFERROR(INDEX('Classif Gestoras'!$H$6:$H$462,MATCH(D1197,'Classif Gestoras'!$A$6:$A$462,0)),"Não classificada")</x:f>
        <x:v>Independente</x:v>
      </x:c>
      <x:c r="F1197" s="168" t="str">
        <x:v>BANCO DAYCOVAL S/A</x:v>
      </x:c>
      <x:c r="G1197" s="168" t="str">
        <x:v>BANCO DAYCOVAL S.A.</x:v>
      </x:c>
      <x:c r="H1197" s="168" t="str">
        <x:v>Outros</x:v>
      </x:c>
      <x:c r="I1197" s="168" t="str">
        <x:v>Multicarteira Outros</x:v>
      </x:c>
      <x:c r="J1197" s="168" t="str">
        <x:v>CI</x:v>
      </x:c>
      <x:c r="K1197" s="174" t="n">
        <x:v>75</x:v>
      </x:c>
      <x:c r="L1197" s="187" t="str">
        <x:v>Proxy multicedente/multissacado — revisar</x:v>
      </x:c>
    </x:row>
    <x:row r="1198">
      <x:c r="A1198" s="177" t="str">
        <x:v>51.889.748/0001-28</x:v>
      </x:c>
      <x:c r="B1198" s="168" t="str">
        <x:v>AZZAM FUNDO DE INVESTIMENTO EM DIREITOS CREDITÓRIOS - RESPONSABILIDADE LIMITADA</x:v>
      </x:c>
      <x:c r="C1198" s="190" t="n">
        <x:v>88857029.75</x:v>
      </x:c>
      <x:c r="D1198" s="168" t="str">
        <x:v>UC Gestora de Recursos</x:v>
      </x:c>
      <x:c r="E1198" s="168" t="str">
        <x:f>IFERROR(INDEX('Classif Gestoras'!$H$6:$H$462,MATCH(D1198,'Classif Gestoras'!$A$6:$A$462,0)),"Não classificada")</x:f>
        <x:v>Independente</x:v>
      </x:c>
      <x:c r="F1198" s="168" t="str">
        <x:v>BANCO DAYCOVAL S/A</x:v>
      </x:c>
      <x:c r="G1198" s="168" t="str">
        <x:v>BANCO DAYCOVAL S.A.</x:v>
      </x:c>
      <x:c r="H1198" s="168" t="str">
        <x:v>Outros</x:v>
      </x:c>
      <x:c r="I1198" s="168" t="str">
        <x:v>Poder Público</x:v>
      </x:c>
      <x:c r="J1198" s="168" t="str">
        <x:v>CI</x:v>
      </x:c>
      <x:c r="K1198" s="174" t="n">
        <x:v>4</x:v>
      </x:c>
      <x:c r="L1198" s="187" t="str">
        <x:v>Não classificado</x:v>
      </x:c>
    </x:row>
    <x:row r="1199">
      <x:c r="A1199" s="177" t="str">
        <x:v>64.039.922/0001-95</x:v>
      </x:c>
      <x:c r="B1199" s="168" t="str">
        <x:v>GV CONSIGNADO PRIVADO II FUNDO DE INVESTIMENTO EM DIREITOS CREDITÓRIOS RESPONSABILIDADE LIMITADA</x:v>
      </x:c>
      <x:c r="C1199" s="190" t="n">
        <x:v>88850308.47999999</x:v>
      </x:c>
      <x:c r="D1199" s="168" t="str">
        <x:v>GV ATACAMA CAPITAL LTDA.</x:v>
      </x:c>
      <x:c r="E1199" s="168" t="str">
        <x:f>IFERROR(INDEX('Classif Gestoras'!$H$6:$H$462,MATCH(D1199,'Classif Gestoras'!$A$6:$A$462,0)),"Não classificada")</x:f>
        <x:v>Independente</x:v>
      </x:c>
      <x:c r="F1199" s="168" t="str">
        <x:v>Singulare</x:v>
      </x:c>
      <x:c r="G1199" s="168" t="str">
        <x:v>QI CORRETORA DE TÍTULOS E VALORES MOBILIÁRIOS S.A.</x:v>
      </x:c>
      <x:c r="H1199" s="168" t="str">
        <x:v>Financeiro</x:v>
      </x:c>
      <x:c r="I1199" s="168" t="str">
        <x:v>Crédito Consignado</x:v>
      </x:c>
      <x:c r="J1199" s="168" t="str">
        <x:v>CI</x:v>
      </x:c>
      <x:c r="K1199" s="174" t="n">
        <x:v>2</x:v>
      </x:c>
      <x:c r="L1199" s="187" t="str">
        <x:v>Não classificado</x:v>
      </x:c>
    </x:row>
    <x:row r="1200">
      <x:c r="A1200" s="177" t="str">
        <x:v>38.421.626/0001-44</x:v>
      </x:c>
      <x:c r="B1200" s="168" t="str">
        <x:v>CRONOS FUNDO DE INVESTIMENTO EM DIREITOS CREDITÓRIOS NÃO PADRONIZADO</x:v>
      </x:c>
      <x:c r="C1200" s="190" t="n">
        <x:v>88838470.28</x:v>
      </x:c>
      <x:c r="D1200" s="168" t="str">
        <x:v>Jus Capital Gestão de Recursos LTDA</x:v>
      </x:c>
      <x:c r="E1200" s="168" t="str">
        <x:f>IFERROR(INDEX('Classif Gestoras'!$H$6:$H$462,MATCH(D1200,'Classif Gestoras'!$A$6:$A$462,0)),"Não classificada")</x:f>
        <x:v>Independente</x:v>
      </x:c>
      <x:c r="F1200" s="168" t="str">
        <x:v>Singulare</x:v>
      </x:c>
      <x:c r="G1200" s="168" t="str">
        <x:v>QI CORRETORA DE TÍTULOS E VALORES MOBILIÁRIOS S.A.</x:v>
      </x:c>
      <x:c r="H1200" s="168" t="str">
        <x:v>Outros</x:v>
      </x:c>
      <x:c r="I1200" s="168" t="str">
        <x:v>Multicarteira Outros</x:v>
      </x:c>
      <x:c r="J1200" s="168" t="str">
        <x:v>CI</x:v>
      </x:c>
      <x:c r="K1200" s="174" t="n">
        <x:v>3</x:v>
      </x:c>
      <x:c r="L1200" s="187" t="str">
        <x:v>Proxy multicedente/multissacado — revisar</x:v>
      </x:c>
    </x:row>
    <x:row r="1201">
      <x:c r="A1201" s="177" t="str">
        <x:v>23.274.015/0001-43</x:v>
      </x:c>
      <x:c r="B1201" s="168" t="str">
        <x:v>KREDITARE FUNDO DE INVESTIMENTO EM DIREITOS CREDITÓRIOS</x:v>
      </x:c>
      <x:c r="C1201" s="190" t="n">
        <x:v>88278023.83999999</x:v>
      </x:c>
      <x:c r="D1201" s="168" t="str">
        <x:v>TERCON ASSET MANAGEMENT</x:v>
      </x:c>
      <x:c r="E1201" s="168" t="str">
        <x:f>IFERROR(INDEX('Classif Gestoras'!$H$6:$H$462,MATCH(D1201,'Classif Gestoras'!$A$6:$A$462,0)),"Não classificada")</x:f>
        <x:v>Independente</x:v>
      </x:c>
      <x:c r="F1201" s="168" t="str">
        <x:v>Singulare</x:v>
      </x:c>
      <x:c r="G1201" s="168" t="str">
        <x:v>QI CORRETORA DE TÍTULOS E VALORES MOBILIÁRIOS S.A.</x:v>
      </x:c>
      <x:c r="H1201" s="168" t="str">
        <x:v>Fomento Mercantil</x:v>
      </x:c>
      <x:c r="I1201" s="168" t="str">
        <x:v>Fomento Mercantil</x:v>
      </x:c>
      <x:c r="J1201" s="168" t="str">
        <x:v>CI</x:v>
      </x:c>
      <x:c r="K1201" s="174" t="n">
        <x:v>32</x:v>
      </x:c>
      <x:c r="L1201" s="187" t="str">
        <x:v>Não classificado</x:v>
      </x:c>
    </x:row>
    <x:row r="1202">
      <x:c r="A1202" s="177" t="str">
        <x:v>61.922.025/0001-37</x:v>
      </x:c>
      <x:c r="B1202" s="168" t="str">
        <x:v>IPO III FUNDO DE INVESTIMENTO EM DIREITOS CREDITÓRIOS - RESPONSABILIDADE LIMITADA</x:v>
      </x:c>
      <x:c r="C1202" s="190" t="n">
        <x:v>88172198.07</x:v>
      </x:c>
      <x:c r="D1202" s="168" t="str">
        <x:v>QI GESTAO DE RECURSOS LTDA</x:v>
      </x:c>
      <x:c r="E1202" s="168" t="str">
        <x:f>IFERROR(INDEX('Classif Gestoras'!$H$6:$H$462,MATCH(D1202,'Classif Gestoras'!$A$6:$A$462,0)),"Não classificada")</x:f>
        <x:v>Independente</x:v>
      </x:c>
      <x:c r="F1202" s="168" t="str">
        <x:v>Singulare</x:v>
      </x:c>
      <x:c r="G1202" s="168" t="str">
        <x:v>QI CORRETORA DE TÍTULOS E VALORES MOBILIÁRIOS S.A.</x:v>
      </x:c>
      <x:c r="H1202" s="168" t="str">
        <x:v>Financeiro</x:v>
      </x:c>
      <x:c r="I1202" s="168" t="str">
        <x:v>Crédito Pessoal</x:v>
      </x:c>
      <x:c r="J1202" s="168" t="str">
        <x:v>CI</x:v>
      </x:c>
      <x:c r="K1202" s="174" t="n">
        <x:v>3</x:v>
      </x:c>
      <x:c r="L1202" s="187" t="str">
        <x:v>Não classificado</x:v>
      </x:c>
    </x:row>
    <x:row r="1203">
      <x:c r="A1203" s="177" t="str">
        <x:v>57.185.833/0001-91</x:v>
      </x:c>
      <x:c r="B1203" s="168" t="str">
        <x:v>PLGN LGCY FUNDO DE INVESTIMENTO EM DIREITOS CREDITÓRIOS</x:v>
      </x:c>
      <x:c r="C1203" s="190" t="n">
        <x:v>88142192.5387</x:v>
      </x:c>
      <x:c r="D1203" s="168" t="str">
        <x:v>POLÍGONO CAPITAL LTDA.</x:v>
      </x:c>
      <x:c r="E1203" s="168" t="str">
        <x:f>IFERROR(INDEX('Classif Gestoras'!$H$6:$H$462,MATCH(D1203,'Classif Gestoras'!$A$6:$A$462,0)),"Não classificada")</x:f>
        <x:v>Independente</x:v>
      </x:c>
      <x:c r="F1203" s="168" t="str">
        <x:v>BTG Pactual Servicos Financeiros S/A DTVM</x:v>
      </x:c>
      <x:c r="G1203" s="168" t="str">
        <x:v>BANCO BTG PACTUAL S/A</x:v>
      </x:c>
      <x:c r="H1203" s="168" t="str">
        <x:v>Outros</x:v>
      </x:c>
      <x:c r="I1203" s="168" t="str">
        <x:v>Multicarteira Outros</x:v>
      </x:c>
      <x:c r="J1203" s="168" t="str">
        <x:v>CIPC</x:v>
      </x:c>
      <x:c r="K1203" s="174" t="n">
        <x:v>2</x:v>
      </x:c>
      <x:c r="L1203" s="187" t="str">
        <x:v>Proxy multicedente/multissacado — revisar</x:v>
      </x:c>
    </x:row>
    <x:row r="1204">
      <x:c r="A1204" s="177" t="str">
        <x:v>46.929.959/0001-07</x:v>
      </x:c>
      <x:c r="B1204" s="168" t="str">
        <x:v>BUCAREST BANCO FUNDO DE INVESTIMENTO EM DIREITOS CREDITÓRIOS INDUSTRIAL - RESPONSABILIDADE LIMITADA</x:v>
      </x:c>
      <x:c r="C1204" s="190" t="n">
        <x:v>88126776.11999999</x:v>
      </x:c>
      <x:c r="D1204" s="168" t="str">
        <x:v>OURO PRETO INVESTIMENTOS</x:v>
      </x:c>
      <x:c r="E1204" s="168" t="str">
        <x:f>IFERROR(INDEX('Classif Gestoras'!$H$6:$H$462,MATCH(D1204,'Classif Gestoras'!$A$6:$A$462,0)),"Não classificada")</x:f>
        <x:v>Independente</x:v>
      </x:c>
      <x:c r="F1204" s="168" t="str">
        <x:v>ID Corretora de Títulos e Valores Mobiliários S.A.</x:v>
      </x:c>
      <x:c r="G1204" s="168" t="str">
        <x:v>ID CORRETORA DE TITULOS E VALORES MOBILIARIOS S.A.</x:v>
      </x:c>
      <x:c r="H1204" s="168" t="str">
        <x:v>Outros</x:v>
      </x:c>
      <x:c r="I1204" s="168" t="str">
        <x:v>Multicarteira Outros</x:v>
      </x:c>
      <x:c r="J1204" s="168" t="str">
        <x:v>CI</x:v>
      </x:c>
      <x:c r="K1204" s="174" t="n">
        <x:v>3</x:v>
      </x:c>
      <x:c r="L1204" s="187" t="str">
        <x:v>Proxy multicedente/multissacado — revisar</x:v>
      </x:c>
    </x:row>
    <x:row r="1205">
      <x:c r="A1205" s="177" t="str">
        <x:v>55.406.636/0001-20</x:v>
      </x:c>
      <x:c r="B1205" s="168" t="str">
        <x:v>AERO FUNDO DE INVESTIMENTO EM DIREITOS CREDITÓRIOS</x:v>
      </x:c>
      <x:c r="C1205" s="190" t="n">
        <x:v>87899123.17</x:v>
      </x:c>
      <x:c r="D1205" s="168" t="str">
        <x:v>ROOT CAPITAL</x:v>
      </x:c>
      <x:c r="E1205" s="168" t="str">
        <x:f>IFERROR(INDEX('Classif Gestoras'!$H$6:$H$462,MATCH(D1205,'Classif Gestoras'!$A$6:$A$462,0)),"Não classificada")</x:f>
        <x:v>Independente</x:v>
      </x:c>
      <x:c r="F1205" s="168" t="str">
        <x:v>Singulare</x:v>
      </x:c>
      <x:c r="G1205" s="168" t="str">
        <x:v>QI CORRETORA DE TÍTULOS E VALORES MOBILIÁRIOS S.A.</x:v>
      </x:c>
      <x:c r="H1205" s="168" t="str">
        <x:v>Outros</x:v>
      </x:c>
      <x:c r="I1205" s="168" t="str">
        <x:v>Poder Público</x:v>
      </x:c>
      <x:c r="J1205" s="168" t="str">
        <x:v>CI</x:v>
      </x:c>
      <x:c r="K1205" s="174" t="n">
        <x:v>7</x:v>
      </x:c>
      <x:c r="L1205" s="187" t="str">
        <x:v>Não classificado</x:v>
      </x:c>
    </x:row>
    <x:row r="1206">
      <x:c r="A1206" s="177" t="str">
        <x:v>55.847.813/0001-03</x:v>
      </x:c>
      <x:c r="B1206" s="168" t="str">
        <x:v>SIZE PROSP FUNDO DE INVESTIMENTO EM DIREITOS CREDITÓRIOS - RESPONSABILIDADE LIMITADA</x:v>
      </x:c>
      <x:c r="C1206" s="190" t="n">
        <x:v>87615650.76</x:v>
      </x:c>
      <x:c r="D1206" s="168" t="str">
        <x:v>Solis</x:v>
      </x:c>
      <x:c r="E1206" s="168" t="str">
        <x:f>IFERROR(INDEX('Classif Gestoras'!$H$6:$H$462,MATCH(D1206,'Classif Gestoras'!$A$6:$A$462,0)),"Não classificada")</x:f>
        <x:v>Independente</x:v>
      </x:c>
      <x:c r="F1206" s="168" t="str">
        <x:v>HEMERA DTVM</x:v>
      </x:c>
      <x:c r="G1206" s="168" t="str">
        <x:v>HEMERA DISTRIBUIDORA DE TITULOS E VALORES MOBILIARIOS LTDA</x:v>
      </x:c>
      <x:c r="H1206" s="168" t="str">
        <x:v>Outros</x:v>
      </x:c>
      <x:c r="I1206" s="168" t="str">
        <x:v>Multicarteira Outros</x:v>
      </x:c>
      <x:c r="J1206" s="168" t="str">
        <x:v>CI</x:v>
      </x:c>
      <x:c r="K1206" s="174" t="n">
        <x:v>3</x:v>
      </x:c>
      <x:c r="L1206" s="187" t="str">
        <x:v>Proxy multicedente/multissacado — revisar</x:v>
      </x:c>
    </x:row>
    <x:row r="1207">
      <x:c r="A1207" s="177" t="str">
        <x:v>41.755.753/0001-94</x:v>
      </x:c>
      <x:c r="B1207" s="168" t="str">
        <x:v>ZEFIRO FUNDO DE INVESTIMENTO EM DIREITOS CREDITÓRIOS</x:v>
      </x:c>
      <x:c r="C1207" s="190" t="n">
        <x:v>87590751.39</x:v>
      </x:c>
      <x:c r="D1207" s="168" t="str">
        <x:v>Redwood Asset Management</x:v>
      </x:c>
      <x:c r="E1207" s="168" t="str">
        <x:f>IFERROR(INDEX('Classif Gestoras'!$H$6:$H$462,MATCH(D1207,'Classif Gestoras'!$A$6:$A$462,0)),"Não classificada")</x:f>
        <x:v>Independente</x:v>
      </x:c>
      <x:c r="F1207" s="168" t="str">
        <x:v>PLANNER CV</x:v>
      </x:c>
      <x:c r="G1207" s="168" t="str">
        <x:v>LASTRO RDV DTVM LTDA</x:v>
      </x:c>
      <x:c r="H1207" s="168" t="str">
        <x:v>Outros</x:v>
      </x:c>
      <x:c r="I1207" s="168" t="str">
        <x:v>Multicarteira Outros</x:v>
      </x:c>
      <x:c r="J1207" s="168" t="str">
        <x:v>CI</x:v>
      </x:c>
      <x:c r="K1207" s="174" t="n">
        <x:v>1</x:v>
      </x:c>
      <x:c r="L1207" s="187" t="str">
        <x:v>Proxy multicedente/multissacado — revisar</x:v>
      </x:c>
    </x:row>
    <x:row r="1208">
      <x:c r="A1208" s="177" t="str">
        <x:v>26.631.527/0001-08</x:v>
      </x:c>
      <x:c r="B1208" s="168" t="str">
        <x:v>FÊNIX FUNDO DE INVESTIMENTO EM DIREITOS CREDITÓRIOS NÃO-PADRONIZADOS RESPONSABILIDADE LIMITADA</x:v>
      </x:c>
      <x:c r="C1208" s="190" t="n">
        <x:v>87404142.86999999</x:v>
      </x:c>
      <x:c r="D1208" s="168" t="str">
        <x:v>IDGR</x:v>
      </x:c>
      <x:c r="E1208" s="168" t="str">
        <x:f>IFERROR(INDEX('Classif Gestoras'!$H$6:$H$462,MATCH(D1208,'Classif Gestoras'!$A$6:$A$462,0)),"Não classificada")</x:f>
        <x:v>Independente</x:v>
      </x:c>
      <x:c r="F1208" s="168" t="str">
        <x:v>ID Corretora de Títulos e Valores Mobiliários S.A.</x:v>
      </x:c>
      <x:c r="G1208" s="168" t="str">
        <x:v>Não identificado</x:v>
      </x:c>
      <x:c r="H1208" s="168" t="str">
        <x:v>Fomento Mercantil</x:v>
      </x:c>
      <x:c r="I1208" s="168" t="str">
        <x:v>Fomento Mercantil</x:v>
      </x:c>
      <x:c r="J1208" s="168" t="str">
        <x:v>CI</x:v>
      </x:c>
      <x:c r="K1208" s="174" t="n">
        <x:v>0</x:v>
      </x:c>
      <x:c r="L1208" s="187" t="str">
        <x:v>Não classificado</x:v>
      </x:c>
    </x:row>
    <x:row r="1209">
      <x:c r="A1209" s="177" t="str">
        <x:v>62.918.704/0001-03</x:v>
      </x:c>
      <x:c r="B1209" s="168" t="str">
        <x:v>ATLÂNTICO MASTER FUNDO DE INVESTIMENTO EM DIREITOS CREDITÓRIOS - RESPONSABILIDADE LIMITADA</x:v>
      </x:c>
      <x:c r="C1209" s="190" t="n">
        <x:v>87253275.72</x:v>
      </x:c>
      <x:c r="D1209" s="168" t="str">
        <x:v>Galápagos</x:v>
      </x:c>
      <x:c r="E1209" s="168" t="str">
        <x:f>IFERROR(INDEX('Classif Gestoras'!$H$6:$H$462,MATCH(D1209,'Classif Gestoras'!$A$6:$A$462,0)),"Não classificada")</x:f>
        <x:v>Independente</x:v>
      </x:c>
      <x:c r="F1209" s="168" t="str">
        <x:v>VÓRTX DTVM</x:v>
      </x:c>
      <x:c r="G1209" s="168" t="str">
        <x:v>VORTX DISTRIBUIDORA DE TITULOS E VALORES MOBILIARIOS LTDA.</x:v>
      </x:c>
      <x:c r="H1209" s="168" t="str">
        <x:v>Outros</x:v>
      </x:c>
      <x:c r="I1209" s="168" t="str">
        <x:v>Multicarteira Outros</x:v>
      </x:c>
      <x:c r="J1209" s="168" t="str">
        <x:v>CI</x:v>
      </x:c>
      <x:c r="K1209" s="174" t="n">
        <x:v>1</x:v>
      </x:c>
      <x:c r="L1209" s="187" t="str">
        <x:v>Proxy multicedente/multissacado — revisar</x:v>
      </x:c>
    </x:row>
    <x:row r="1210">
      <x:c r="A1210" s="177" t="str">
        <x:v>59.700.632/0001-00</x:v>
      </x:c>
      <x:c r="B1210" s="168" t="str">
        <x:v>HALFDOME II FUNDO DE INVESTIMENTO EM DIREITOS CREDITÓRIOS</x:v>
      </x:c>
      <x:c r="C1210" s="190" t="n">
        <x:v>86969684.78</x:v>
      </x:c>
      <x:c r="D1210" s="168" t="str">
        <x:v>Redwood Asset Management</x:v>
      </x:c>
      <x:c r="E1210" s="168" t="str">
        <x:f>IFERROR(INDEX('Classif Gestoras'!$H$6:$H$462,MATCH(D1210,'Classif Gestoras'!$A$6:$A$462,0)),"Não classificada")</x:f>
        <x:v>Independente</x:v>
      </x:c>
      <x:c r="F1210" s="168" t="str">
        <x:v>PLANNER CV</x:v>
      </x:c>
      <x:c r="G1210" s="168" t="str">
        <x:v>PLANNER CORRETORA DE VALORES S.A.</x:v>
      </x:c>
      <x:c r="H1210" s="168" t="str">
        <x:v>Outros</x:v>
      </x:c>
      <x:c r="I1210" s="168" t="str">
        <x:v>Multicarteira Outros</x:v>
      </x:c>
      <x:c r="J1210" s="168" t="str">
        <x:v>CI</x:v>
      </x:c>
      <x:c r="K1210" s="174" t="n">
        <x:v>2</x:v>
      </x:c>
      <x:c r="L1210" s="187" t="str">
        <x:v>Proxy multicedente/multissacado — revisar</x:v>
      </x:c>
    </x:row>
    <x:row r="1211">
      <x:c r="A1211" s="177" t="str">
        <x:v>32.321.312/0001-93</x:v>
      </x:c>
      <x:c r="B1211" s="168" t="str">
        <x:v>211 FUNDO DE INVESTIMENTO EM DIREITOS CREDITÓRIOS DE RESPONSABILIDADE LIMITADA</x:v>
      </x:c>
      <x:c r="C1211" s="190" t="n">
        <x:v>86822361.82</x:v>
      </x:c>
      <x:c r="D1211" s="168" t="str">
        <x:v>MAKALU</x:v>
      </x:c>
      <x:c r="E1211" s="168" t="str">
        <x:f>IFERROR(INDEX('Classif Gestoras'!$H$6:$H$462,MATCH(D1211,'Classif Gestoras'!$A$6:$A$462,0)),"Não classificada")</x:f>
        <x:v>Independente</x:v>
      </x:c>
      <x:c r="F1211" s="168" t="str">
        <x:v>BANCO DAYCOVAL S/A</x:v>
      </x:c>
      <x:c r="G1211" s="168" t="str">
        <x:v>BANCO DAYCOVAL S.A.</x:v>
      </x:c>
      <x:c r="H1211" s="168" t="str">
        <x:v>Outros</x:v>
      </x:c>
      <x:c r="I1211" s="168" t="str">
        <x:v>Multicarteira Outros</x:v>
      </x:c>
      <x:c r="J1211" s="168" t="str">
        <x:v>CI</x:v>
      </x:c>
      <x:c r="K1211" s="174" t="n">
        <x:v>1</x:v>
      </x:c>
      <x:c r="L1211" s="187" t="str">
        <x:v>Proxy multicedente/multissacado — revisar</x:v>
      </x:c>
    </x:row>
    <x:row r="1212">
      <x:c r="A1212" s="177" t="str">
        <x:v>58.288.437/0001-52</x:v>
      </x:c>
      <x:c r="B1212" s="168" t="str">
        <x:v>ALTOMAX FUNDO DE INVESTIMENTO EM DIREITOS CREDITÓRIOS SEGMENTO RECEBÍVEIS COMERCIAIS DE RESP LTDA</x:v>
      </x:c>
      <x:c r="C1212" s="190" t="n">
        <x:v>86703238.78</x:v>
      </x:c>
      <x:c r="D1212" s="168" t="str">
        <x:v>Kanastra</x:v>
      </x:c>
      <x:c r="E1212" s="168" t="str">
        <x:f>IFERROR(INDEX('Classif Gestoras'!$H$6:$H$462,MATCH(D1212,'Classif Gestoras'!$A$6:$A$462,0)),"Não classificada")</x:f>
        <x:v>Independente</x:v>
      </x:c>
      <x:c r="F1212" s="168" t="str">
        <x:v>Oliveira Trust DTVM</x:v>
      </x:c>
      <x:c r="G1212" s="168" t="str">
        <x:v>OLIVEIRA TRUST DTVM S.A.</x:v>
      </x:c>
      <x:c r="H1212" s="168" t="str">
        <x:v>Agro, Indústria e Comércio</x:v>
      </x:c>
      <x:c r="I1212" s="168" t="str">
        <x:v>Recebíveis Comerciais</x:v>
      </x:c>
      <x:c r="J1212" s="168" t="str">
        <x:v>CI</x:v>
      </x:c>
      <x:c r="K1212" s="174" t="n">
        <x:v>4</x:v>
      </x:c>
      <x:c r="L1212" s="187" t="str">
        <x:v>Não classificado</x:v>
      </x:c>
    </x:row>
    <x:row r="1213">
      <x:c r="A1213" s="177" t="str">
        <x:v>53.991.455/0001-82</x:v>
      </x:c>
      <x:c r="B1213" s="168" t="str">
        <x:v>SHETLAND FUNDO DE INVESTIMENTO EM DIREITOS CREDITÓRIOS</x:v>
      </x:c>
      <x:c r="C1213" s="190" t="n">
        <x:v>86656491.55</x:v>
      </x:c>
      <x:c r="D1213" s="168" t="str">
        <x:v>LASS CAPITAL</x:v>
      </x:c>
      <x:c r="E1213" s="168" t="str">
        <x:f>IFERROR(INDEX('Classif Gestoras'!$H$6:$H$462,MATCH(D1213,'Classif Gestoras'!$A$6:$A$462,0)),"Não classificada")</x:f>
        <x:v>Independente</x:v>
      </x:c>
      <x:c r="F1213" s="168" t="str">
        <x:v>BTG Pactual Servicos Financeiros S/A DTVM</x:v>
      </x:c>
      <x:c r="G1213" s="168" t="str">
        <x:v>BANCO BTG PACTUAL S/A</x:v>
      </x:c>
      <x:c r="H1213" s="168" t="str">
        <x:v>Outros</x:v>
      </x:c>
      <x:c r="I1213" s="168" t="str">
        <x:v>Poder Público</x:v>
      </x:c>
      <x:c r="J1213" s="168" t="str">
        <x:v>CI</x:v>
      </x:c>
      <x:c r="K1213" s="174" t="n">
        <x:v>1</x:v>
      </x:c>
      <x:c r="L1213" s="187" t="str">
        <x:v>Não classificado</x:v>
      </x:c>
    </x:row>
    <x:row r="1214">
      <x:c r="A1214" s="177" t="str">
        <x:v>42.606.211/0001-12</x:v>
      </x:c>
      <x:c r="B1214" s="168" t="str">
        <x:v>PORTOSEG VEÍCULOS FUNDO DE INVESTIMENTO EM DIREITOS CREDITÓRIOS DE RESPONSABILIDADE LIMITADA</x:v>
      </x:c>
      <x:c r="C1214" s="190" t="n">
        <x:v>86475217.47000001</x:v>
      </x:c>
      <x:c r="D1214" s="168" t="str">
        <x:v>Integral Investimentos</x:v>
      </x:c>
      <x:c r="E1214" s="168" t="str">
        <x:f>IFERROR(INDEX('Classif Gestoras'!$H$6:$H$462,MATCH(D1214,'Classif Gestoras'!$A$6:$A$462,0)),"Não classificada")</x:f>
        <x:v>Independente</x:v>
      </x:c>
      <x:c r="F1214" s="168" t="str">
        <x:v>BANCO DAYCOVAL S/A</x:v>
      </x:c>
      <x:c r="G1214" s="168" t="str">
        <x:v>BANCO DAYCOVAL S.A.</x:v>
      </x:c>
      <x:c r="H1214" s="168" t="str">
        <x:v>Financeiro</x:v>
      </x:c>
      <x:c r="I1214" s="168" t="str">
        <x:v>Financiamento de Veículos</x:v>
      </x:c>
      <x:c r="J1214" s="168" t="str">
        <x:v>CI</x:v>
      </x:c>
      <x:c r="K1214" s="174" t="n">
        <x:v>1</x:v>
      </x:c>
      <x:c r="L1214" s="187" t="str">
        <x:v>Não classificado</x:v>
      </x:c>
    </x:row>
    <x:row r="1215">
      <x:c r="A1215" s="177" t="str">
        <x:v>59.148.481/0001-20</x:v>
      </x:c>
      <x:c r="B1215" s="168" t="str">
        <x:v>GALAPAGOS SPECIAL OPPORTUNITIES RG FUNDO DE INVESTIMENTO EM DIREITOS CREDITÓRIOS - RESP LIMITADA</x:v>
      </x:c>
      <x:c r="C1215" s="190" t="n">
        <x:v>86303590.51</x:v>
      </x:c>
      <x:c r="D1215" s="168" t="str">
        <x:v>Galápagos</x:v>
      </x:c>
      <x:c r="E1215" s="168" t="str">
        <x:f>IFERROR(INDEX('Classif Gestoras'!$H$6:$H$462,MATCH(D1215,'Classif Gestoras'!$A$6:$A$462,0)),"Não classificada")</x:f>
        <x:v>Independente</x:v>
      </x:c>
      <x:c r="F1215" s="168" t="str">
        <x:v>VÓRTX DTVM</x:v>
      </x:c>
      <x:c r="G1215" s="168" t="str">
        <x:v>VORTX DISTRIBUIDORA DE TITULOS E VALORES MOBILIARIOS LTDA.</x:v>
      </x:c>
      <x:c r="H1215" s="168" t="str">
        <x:v>Outros</x:v>
      </x:c>
      <x:c r="I1215" s="168" t="str">
        <x:v>Multicarteira Outros</x:v>
      </x:c>
      <x:c r="J1215" s="168" t="str">
        <x:v>CI</x:v>
      </x:c>
      <x:c r="K1215" s="174" t="n">
        <x:v>5</x:v>
      </x:c>
      <x:c r="L1215" s="187" t="str">
        <x:v>Proxy multicedente/multissacado — revisar</x:v>
      </x:c>
    </x:row>
    <x:row r="1216">
      <x:c r="A1216" s="177" t="str">
        <x:v>59.927.305/0001-96</x:v>
      </x:c>
      <x:c r="B1216" s="168" t="str">
        <x:v>VGR CONSIGNADO FUNDO DE INVESTIMENTO EM DIREITOS CREDITÓRIOS - RESP LIMITADA</x:v>
      </x:c>
      <x:c r="C1216" s="190" t="n">
        <x:v>86121374.10000001</x:v>
      </x:c>
      <x:c r="D1216" s="168" t="str">
        <x:v>VGR - VERONA GESTORA DE RECURSOS LTDA</x:v>
      </x:c>
      <x:c r="E1216" s="168" t="str">
        <x:f>IFERROR(INDEX('Classif Gestoras'!$H$6:$H$462,MATCH(D1216,'Classif Gestoras'!$A$6:$A$462,0)),"Não classificada")</x:f>
        <x:v>Independente</x:v>
      </x:c>
      <x:c r="F1216" s="168" t="str">
        <x:v>HEMERA DTVM</x:v>
      </x:c>
      <x:c r="G1216" s="168" t="str">
        <x:v>HEMERA DISTRIBUIDORA DE TITULOS E VALORES MOBILIARIOS LTDA</x:v>
      </x:c>
      <x:c r="H1216" s="168" t="str">
        <x:v>Financeiro</x:v>
      </x:c>
      <x:c r="I1216" s="168" t="str">
        <x:v>Crédito Consignado</x:v>
      </x:c>
      <x:c r="J1216" s="168" t="str">
        <x:v>CI</x:v>
      </x:c>
      <x:c r="K1216" s="174" t="n">
        <x:v>9</x:v>
      </x:c>
      <x:c r="L1216" s="187" t="str">
        <x:v>Não classificado</x:v>
      </x:c>
    </x:row>
    <x:row r="1217">
      <x:c r="A1217" s="177" t="str">
        <x:v>57.609.282/0001-46</x:v>
      </x:c>
      <x:c r="B1217" s="168" t="str">
        <x:v>CLOUDWALK A.I. FUNDO DE INVESTIMENTO EM DIREITOS CREDITÓRIOS SEGMENTO MEIOS DE PAGAMENTO</x:v>
      </x:c>
      <x:c r="C1217" s="190" t="n">
        <x:v>85760061.59</x:v>
      </x:c>
      <x:c r="D1217" s="168" t="str">
        <x:v>BTG Pactual Asset</x:v>
      </x:c>
      <x:c r="E1217" s="168" t="str">
        <x:f>IFERROR(INDEX('Classif Gestoras'!$H$6:$H$462,MATCH(D1217,'Classif Gestoras'!$A$6:$A$462,0)),"Não classificada")</x:f>
        <x:v>Ligada a banco</x:v>
      </x:c>
      <x:c r="F1217" s="168" t="str">
        <x:v>BTG Pactual Servicos Financeiros S/A DTVM</x:v>
      </x:c>
      <x:c r="G1217" s="168" t="str">
        <x:v>BANCO BTG PACTUAL S/A</x:v>
      </x:c>
      <x:c r="H1217" s="168" t="str">
        <x:v>Agro, Indústria e Comércio</x:v>
      </x:c>
      <x:c r="I1217" s="168" t="str">
        <x:v>Recebíveis Comerciais</x:v>
      </x:c>
      <x:c r="J1217" s="168" t="str">
        <x:v>CI</x:v>
      </x:c>
      <x:c r="K1217" s="174" t="n">
        <x:v>15</x:v>
      </x:c>
      <x:c r="L1217" s="187" t="str">
        <x:v>Não classificado</x:v>
      </x:c>
    </x:row>
    <x:row r="1218">
      <x:c r="A1218" s="177" t="str">
        <x:v>62.627.243/0001-01</x:v>
      </x:c>
      <x:c r="B1218" s="168" t="str">
        <x:v>LEVER I FGTS FUNDO DE INVESTIMENTO EM DIREITOS CREDITÓRIOS</x:v>
      </x:c>
      <x:c r="C1218" s="190" t="n">
        <x:v>85570334.15000002</x:v>
      </x:c>
      <x:c r="D1218" s="168" t="str">
        <x:v>QI GESTAO DE RECURSOS LTDA</x:v>
      </x:c>
      <x:c r="E1218" s="168" t="str">
        <x:f>IFERROR(INDEX('Classif Gestoras'!$H$6:$H$462,MATCH(D1218,'Classif Gestoras'!$A$6:$A$462,0)),"Não classificada")</x:f>
        <x:v>Independente</x:v>
      </x:c>
      <x:c r="F1218" s="168" t="str">
        <x:v>Singulare</x:v>
      </x:c>
      <x:c r="G1218" s="168" t="str">
        <x:v>QI CORRETORA DE TÍTULOS E VALORES MOBILIÁRIOS S.A.</x:v>
      </x:c>
      <x:c r="H1218" s="168" t="str">
        <x:v>Outros</x:v>
      </x:c>
      <x:c r="I1218" s="168" t="str">
        <x:v>Multicarteira Outros</x:v>
      </x:c>
      <x:c r="J1218" s="168" t="str">
        <x:v>CI</x:v>
      </x:c>
      <x:c r="K1218" s="174" t="n">
        <x:v>20</x:v>
      </x:c>
      <x:c r="L1218" s="187" t="str">
        <x:v>Proxy multicedente/multissacado — revisar</x:v>
      </x:c>
    </x:row>
    <x:row r="1219">
      <x:c r="A1219" s="177" t="str">
        <x:v>61.927.592/0001-86</x:v>
      </x:c>
      <x:c r="B1219" s="168" t="str">
        <x:v>WELLGROW FUNDO DE INVESTIMENTO EM DIREITOS CREDITÓRIOS - RESPONSABILIDADE LIMITADA</x:v>
      </x:c>
      <x:c r="C1219" s="190" t="n">
        <x:v>85543950.64</x:v>
      </x:c>
      <x:c r="D1219" s="168" t="str">
        <x:v>Galápagos</x:v>
      </x:c>
      <x:c r="E1219" s="168" t="str">
        <x:f>IFERROR(INDEX('Classif Gestoras'!$H$6:$H$462,MATCH(D1219,'Classif Gestoras'!$A$6:$A$462,0)),"Não classificada")</x:f>
        <x:v>Independente</x:v>
      </x:c>
      <x:c r="F1219" s="168" t="str">
        <x:v>Singulare</x:v>
      </x:c>
      <x:c r="G1219" s="168" t="str">
        <x:v>QI CORRETORA DE TÍTULOS E VALORES MOBILIÁRIOS S.A.</x:v>
      </x:c>
      <x:c r="H1219" s="168" t="str">
        <x:v>Fomento Mercantil</x:v>
      </x:c>
      <x:c r="I1219" s="168" t="str">
        <x:v>Fomento Mercantil</x:v>
      </x:c>
      <x:c r="J1219" s="168" t="str">
        <x:v>CI</x:v>
      </x:c>
      <x:c r="K1219" s="174" t="n">
        <x:v>22</x:v>
      </x:c>
      <x:c r="L1219" s="187" t="str">
        <x:v>Não classificado</x:v>
      </x:c>
    </x:row>
    <x:row r="1220">
      <x:c r="A1220" s="177" t="str">
        <x:v>47.117.716/0001-37</x:v>
      </x:c>
      <x:c r="B1220" s="168" t="str">
        <x:v>MCC FUNDO DE INVESTIMENTO EM DIREITOS CREDITÓRIOS - RESPONSABILIDADE LIMITADA</x:v>
      </x:c>
      <x:c r="C1220" s="190" t="n">
        <x:v>85496158.71</x:v>
      </x:c>
      <x:c r="D1220" s="168" t="str">
        <x:v>Solis</x:v>
      </x:c>
      <x:c r="E1220" s="168" t="str">
        <x:f>IFERROR(INDEX('Classif Gestoras'!$H$6:$H$462,MATCH(D1220,'Classif Gestoras'!$A$6:$A$462,0)),"Não classificada")</x:f>
        <x:v>Independente</x:v>
      </x:c>
      <x:c r="F1220" s="168" t="str">
        <x:v>HEMERA DTVM</x:v>
      </x:c>
      <x:c r="G1220" s="168" t="str">
        <x:v>HEMERA DISTRIBUIDORA DE TITULOS E VALORES MOBILIARIOS LTDA</x:v>
      </x:c>
      <x:c r="H1220" s="168" t="str">
        <x:v>Financeiro</x:v>
      </x:c>
      <x:c r="I1220" s="168" t="str">
        <x:v>Crédito Consignado</x:v>
      </x:c>
      <x:c r="J1220" s="168" t="str">
        <x:v>CI</x:v>
      </x:c>
      <x:c r="K1220" s="174" t="n">
        <x:v>19</x:v>
      </x:c>
      <x:c r="L1220" s="187" t="str">
        <x:v>Não classificado</x:v>
      </x:c>
    </x:row>
    <x:row r="1221">
      <x:c r="A1221" s="177" t="str">
        <x:v>59.175.559/0001-03</x:v>
      </x:c>
      <x:c r="B1221" s="168" t="str">
        <x:v>SCAN FUNDO DE INVESTIMENTO EM DIREITOS CREDITÓRIOS - RESPONSABILIDADE LIMITADA</x:v>
      </x:c>
      <x:c r="C1221" s="190" t="n">
        <x:v>85467959.39999999</x:v>
      </x:c>
      <x:c r="D1221" s="168" t="str">
        <x:v>Brave Asset</x:v>
      </x:c>
      <x:c r="E1221" s="168" t="str">
        <x:f>IFERROR(INDEX('Classif Gestoras'!$H$6:$H$462,MATCH(D1221,'Classif Gestoras'!$A$6:$A$462,0)),"Não classificada")</x:f>
        <x:v>Independente</x:v>
      </x:c>
      <x:c r="F1221" s="168" t="str">
        <x:v>VÓRTX DTVM</x:v>
      </x:c>
      <x:c r="G1221" s="168" t="str">
        <x:v>VORTX DISTRIBUIDORA DE TITULOS E VALORES MOBILIARIOS LTDA.</x:v>
      </x:c>
      <x:c r="H1221" s="168" t="str">
        <x:v>Financeiro</x:v>
      </x:c>
      <x:c r="I1221" s="168" t="str">
        <x:v>Multicarteira Financeiro</x:v>
      </x:c>
      <x:c r="J1221" s="168" t="str">
        <x:v>CI</x:v>
      </x:c>
      <x:c r="K1221" s="174" t="n">
        <x:v>8</x:v>
      </x:c>
      <x:c r="L1221" s="187" t="str">
        <x:v>Proxy multicedente/multissacado — revisar</x:v>
      </x:c>
    </x:row>
    <x:row r="1222">
      <x:c r="A1222" s="177" t="str">
        <x:v>54.422.066/0001-07</x:v>
      </x:c>
      <x:c r="B1222" s="168" t="str">
        <x:v>MULTINVEST ALOCAÇÃO FIC FIDC DE RESPONSABILIDADE LIMITADA</x:v>
      </x:c>
      <x:c r="C1222" s="190" t="n">
        <x:v>85020321.42</x:v>
      </x:c>
      <x:c r="D1222" s="168" t="str">
        <x:v>Multinvest Capital</x:v>
      </x:c>
      <x:c r="E1222" s="168" t="str">
        <x:f>IFERROR(INDEX('Classif Gestoras'!$H$6:$H$462,MATCH(D1222,'Classif Gestoras'!$A$6:$A$462,0)),"Não classificada")</x:f>
        <x:v>Independente</x:v>
      </x:c>
      <x:c r="F1222" s="168" t="str">
        <x:v>BANCO DAYCOVAL S/A</x:v>
      </x:c>
      <x:c r="G1222" s="168" t="str">
        <x:v>BANCO DAYCOVAL S.A.</x:v>
      </x:c>
      <x:c r="H1222" s="168" t="str">
        <x:v>Outros</x:v>
      </x:c>
      <x:c r="I1222" s="168" t="str">
        <x:v>Multicarteira Outros</x:v>
      </x:c>
      <x:c r="J1222" s="168" t="str">
        <x:v>CI</x:v>
      </x:c>
      <x:c r="K1222" s="174" t="n">
        <x:v>564</x:v>
      </x:c>
      <x:c r="L1222" s="187" t="str">
        <x:v>Proxy multicedente/multissacado — revisar</x:v>
      </x:c>
    </x:row>
    <x:row r="1223">
      <x:c r="A1223" s="177" t="str">
        <x:v>47.847.106/0001-99</x:v>
      </x:c>
      <x:c r="B1223" s="168" t="str">
        <x:v>MOBI FUNDO DE INVESTIMENTO EM DIREITOS CREDITÓRIOS</x:v>
      </x:c>
      <x:c r="C1223" s="190" t="n">
        <x:v>84800505.63</x:v>
      </x:c>
      <x:c r="D1223" s="168" t="str">
        <x:v>TERCON ASSET MANAGEMENT</x:v>
      </x:c>
      <x:c r="E1223" s="168" t="str">
        <x:f>IFERROR(INDEX('Classif Gestoras'!$H$6:$H$462,MATCH(D1223,'Classif Gestoras'!$A$6:$A$462,0)),"Não classificada")</x:f>
        <x:v>Independente</x:v>
      </x:c>
      <x:c r="F1223" s="168" t="str">
        <x:v>Singulare</x:v>
      </x:c>
      <x:c r="G1223" s="168" t="str">
        <x:v>QI CORRETORA DE TÍTULOS E VALORES MOBILIÁRIOS S.A.</x:v>
      </x:c>
      <x:c r="H1223" s="168" t="str">
        <x:v>Fomento Mercantil</x:v>
      </x:c>
      <x:c r="I1223" s="168" t="str">
        <x:v>Fomento Mercantil</x:v>
      </x:c>
      <x:c r="J1223" s="168" t="str">
        <x:v>CI</x:v>
      </x:c>
      <x:c r="K1223" s="174" t="n">
        <x:v>39</x:v>
      </x:c>
      <x:c r="L1223" s="187" t="str">
        <x:v>Não classificado</x:v>
      </x:c>
    </x:row>
    <x:row r="1224">
      <x:c r="A1224" s="177" t="str">
        <x:v>62.084.270/0001-85</x:v>
      </x:c>
      <x:c r="B1224" s="168" t="str">
        <x:v>SORACHI FUNDO DE INVESTIMENTO EM DIREITOS CREDITÓRIOS</x:v>
      </x:c>
      <x:c r="C1224" s="190" t="n">
        <x:v>84630978.47999999</x:v>
      </x:c>
      <x:c r="D1224" s="168" t="str">
        <x:v>Trius Capital</x:v>
      </x:c>
      <x:c r="E1224" s="168" t="str">
        <x:f>IFERROR(INDEX('Classif Gestoras'!$H$6:$H$462,MATCH(D1224,'Classif Gestoras'!$A$6:$A$462,0)),"Não classificada")</x:f>
        <x:v>Independente</x:v>
      </x:c>
      <x:c r="F1224" s="168" t="str">
        <x:v>BTG Pactual Servicos Financeiros S/A DTVM</x:v>
      </x:c>
      <x:c r="G1224" s="168" t="str">
        <x:v>BANCO BTG PACTUAL S/A</x:v>
      </x:c>
      <x:c r="H1224" s="168" t="str">
        <x:v>Outros</x:v>
      </x:c>
      <x:c r="I1224" s="168" t="str">
        <x:v>Multicarteira Outros</x:v>
      </x:c>
      <x:c r="J1224" s="168" t="str">
        <x:v>CI</x:v>
      </x:c>
      <x:c r="K1224" s="174" t="n">
        <x:v>1</x:v>
      </x:c>
      <x:c r="L1224" s="187" t="str">
        <x:v>Proxy multicedente/multissacado — revisar</x:v>
      </x:c>
    </x:row>
    <x:row r="1225">
      <x:c r="A1225" s="177" t="str">
        <x:v>28.240.255/0001-40</x:v>
      </x:c>
      <x:c r="B1225" s="168" t="str">
        <x:v>MARINO INVEST FUNDO DE INVESTIMENTO EM DIREITOS CREDITÓRIOS NÃO-PADRONIZADOS RESP LIMITADA</x:v>
      </x:c>
      <x:c r="C1225" s="190" t="n">
        <x:v>83973856.03</x:v>
      </x:c>
      <x:c r="D1225" s="168" t="str">
        <x:v>Tyr Gestao de Recursos Ltda</x:v>
      </x:c>
      <x:c r="E1225" s="168" t="str">
        <x:f>IFERROR(INDEX('Classif Gestoras'!$H$6:$H$462,MATCH(D1225,'Classif Gestoras'!$A$6:$A$462,0)),"Não classificada")</x:f>
        <x:v>Independente</x:v>
      </x:c>
      <x:c r="F1225" s="168" t="str">
        <x:v>ID Corretora de Títulos e Valores Mobiliários S.A.</x:v>
      </x:c>
      <x:c r="G1225" s="168" t="str">
        <x:v>ID CORRETORA DE TITULOS E VALORES MOBILIARIOS S.A.</x:v>
      </x:c>
      <x:c r="H1225" s="168" t="str">
        <x:v>Fomento Mercantil</x:v>
      </x:c>
      <x:c r="I1225" s="168" t="str">
        <x:v>Fomento Mercantil</x:v>
      </x:c>
      <x:c r="J1225" s="168" t="str">
        <x:v>CI</x:v>
      </x:c>
      <x:c r="K1225" s="174" t="n">
        <x:v>1</x:v>
      </x:c>
      <x:c r="L1225" s="187" t="str">
        <x:v>Não classificado</x:v>
      </x:c>
    </x:row>
    <x:row r="1226">
      <x:c r="A1226" s="177" t="str">
        <x:v>57.624.406/0001-62</x:v>
      </x:c>
      <x:c r="B1226" s="168" t="str">
        <x:v>FUNDO DE INVESTIMENTO EM DIREITOS CREDITÓRIOS CONSÓRCIOS EXTERNOS - RESPONSABILIDADE LIMITADA</x:v>
      </x:c>
      <x:c r="C1226" s="190" t="n">
        <x:v>83880986.64999999</x:v>
      </x:c>
      <x:c r="D1226" s="168" t="str">
        <x:v>TERA CAPITAL</x:v>
      </x:c>
      <x:c r="E1226" s="168" t="str">
        <x:f>IFERROR(INDEX('Classif Gestoras'!$H$6:$H$462,MATCH(D1226,'Classif Gestoras'!$A$6:$A$462,0)),"Não classificada")</x:f>
        <x:v>Independente</x:v>
      </x:c>
      <x:c r="F1226" s="168" t="str">
        <x:v>BANCO DAYCOVAL S/A</x:v>
      </x:c>
      <x:c r="G1226" s="168" t="str">
        <x:v>BANCO DAYCOVAL S.A.</x:v>
      </x:c>
      <x:c r="H1226" s="168" t="str">
        <x:v>Outros</x:v>
      </x:c>
      <x:c r="I1226" s="168" t="str">
        <x:v>Multicarteira Outros</x:v>
      </x:c>
      <x:c r="J1226" s="168" t="str">
        <x:v>CI</x:v>
      </x:c>
      <x:c r="K1226" s="174" t="n">
        <x:v>1</x:v>
      </x:c>
      <x:c r="L1226" s="187" t="str">
        <x:v>Proxy multicedente/multissacado — revisar</x:v>
      </x:c>
    </x:row>
    <x:row r="1227">
      <x:c r="A1227" s="177" t="str">
        <x:v>39.794.865/0001-02</x:v>
      </x:c>
      <x:c r="B1227" s="168" t="str">
        <x:v>APTA INVEST FUNDO DE INVESTIMENTO EM DIREITOS CREDITÓRIOS</x:v>
      </x:c>
      <x:c r="C1227" s="190" t="n">
        <x:v>83820043.72000001</x:v>
      </x:c>
      <x:c r="D1227" s="168" t="str">
        <x:v>TERCON ASSET MANAGEMENT</x:v>
      </x:c>
      <x:c r="E1227" s="168" t="str">
        <x:f>IFERROR(INDEX('Classif Gestoras'!$H$6:$H$462,MATCH(D1227,'Classif Gestoras'!$A$6:$A$462,0)),"Não classificada")</x:f>
        <x:v>Independente</x:v>
      </x:c>
      <x:c r="F1227" s="168" t="str">
        <x:v>Singulare</x:v>
      </x:c>
      <x:c r="G1227" s="168" t="str">
        <x:v>QI CORRETORA DE TÍTULOS E VALORES MOBILIÁRIOS S.A.</x:v>
      </x:c>
      <x:c r="H1227" s="168" t="str">
        <x:v>Fomento Mercantil</x:v>
      </x:c>
      <x:c r="I1227" s="168" t="str">
        <x:v>Fomento Mercantil</x:v>
      </x:c>
      <x:c r="J1227" s="168" t="str">
        <x:v>CI</x:v>
      </x:c>
      <x:c r="K1227" s="174" t="n">
        <x:v>7</x:v>
      </x:c>
      <x:c r="L1227" s="187" t="str">
        <x:v>Não classificado</x:v>
      </x:c>
    </x:row>
    <x:row r="1228">
      <x:c r="A1228" s="177" t="str">
        <x:v>47.463.397/0001-11</x:v>
      </x:c>
      <x:c r="B1228" s="168" t="str">
        <x:v>ARTESANAL CONSIGNADO PRIVADO FUNDO DE INVESTIMENTO EM DIREITOS CREDITÓRIOS - RESPONSABILIDADE LIMITA</x:v>
      </x:c>
      <x:c r="C1228" s="190" t="n">
        <x:v>83741022.18</x:v>
      </x:c>
      <x:c r="D1228" s="168" t="str">
        <x:v>ARTESANAL FINANCEIRO</x:v>
      </x:c>
      <x:c r="E1228" s="168" t="str">
        <x:f>IFERROR(INDEX('Classif Gestoras'!$H$6:$H$462,MATCH(D1228,'Classif Gestoras'!$A$6:$A$462,0)),"Não classificada")</x:f>
        <x:v>Independente</x:v>
      </x:c>
      <x:c r="F1228" s="168" t="str">
        <x:v>Singulare</x:v>
      </x:c>
      <x:c r="G1228" s="168" t="str">
        <x:v>QI CORRETORA DE TÍTULOS E VALORES MOBILIÁRIOS S.A.</x:v>
      </x:c>
      <x:c r="H1228" s="168" t="str">
        <x:v>Outros</x:v>
      </x:c>
      <x:c r="I1228" s="168" t="str">
        <x:v>Multicarteira Outros</x:v>
      </x:c>
      <x:c r="J1228" s="168" t="str">
        <x:v>CI</x:v>
      </x:c>
      <x:c r="K1228" s="174" t="n">
        <x:v>6</x:v>
      </x:c>
      <x:c r="L1228" s="187" t="str">
        <x:v>Proxy multicedente/multissacado — revisar</x:v>
      </x:c>
    </x:row>
    <x:row r="1229">
      <x:c r="A1229" s="177" t="str">
        <x:v>37.720.508/0001-74</x:v>
      </x:c>
      <x:c r="B1229" s="168" t="str">
        <x:v>PEREGRINE BRAZIL - FUNDO DE INVESTIMENTO EM DIREITOS CREDITÓRIOS</x:v>
      </x:c>
      <x:c r="C1229" s="190" t="n">
        <x:v>83703554.35000001</x:v>
      </x:c>
      <x:c r="D1229" s="168" t="str">
        <x:v>Journey Capital Administração</x:v>
      </x:c>
      <x:c r="E1229" s="168" t="str">
        <x:f>IFERROR(INDEX('Classif Gestoras'!$H$6:$H$462,MATCH(D1229,'Classif Gestoras'!$A$6:$A$462,0)),"Não classificada")</x:f>
        <x:v>Independente</x:v>
      </x:c>
      <x:c r="F1229" s="168" t="str">
        <x:v>MAF Distribuidora de Títulos e Valores Mobiliários S.A.</x:v>
      </x:c>
      <x:c r="G1229" s="168" t="str">
        <x:v>MAF DISTRIBUIDORA DE TITULOS E VALORES MOBILIARIOS S.A.</x:v>
      </x:c>
      <x:c r="H1229" s="168" t="str">
        <x:v>Outros</x:v>
      </x:c>
      <x:c r="I1229" s="168" t="str">
        <x:v>Poder Público</x:v>
      </x:c>
      <x:c r="J1229" s="168" t="str">
        <x:v>CI</x:v>
      </x:c>
      <x:c r="K1229" s="174" t="n">
        <x:v>1</x:v>
      </x:c>
      <x:c r="L1229" s="187" t="str">
        <x:v>Não classificado</x:v>
      </x:c>
    </x:row>
    <x:row r="1230">
      <x:c r="A1230" s="177" t="str">
        <x:v>60.058.603/0001-76</x:v>
      </x:c>
      <x:c r="B1230" s="168" t="str">
        <x:v>IATROS FUNDO DE INVESTIMENTO EM DIREITOS CREDITÓRIOS - RESPONSABILIDADE LIMITADA</x:v>
      </x:c>
      <x:c r="C1230" s="190" t="n">
        <x:v>83545944.01545</x:v>
      </x:c>
      <x:c r="D1230" s="168" t="str">
        <x:v>ARTESANAL MCMS</x:v>
      </x:c>
      <x:c r="E1230" s="168" t="str">
        <x:f>IFERROR(INDEX('Classif Gestoras'!$H$6:$H$462,MATCH(D1230,'Classif Gestoras'!$A$6:$A$462,0)),"Não classificada")</x:f>
        <x:v>Independente</x:v>
      </x:c>
      <x:c r="F1230" s="168" t="str">
        <x:v>Singulare</x:v>
      </x:c>
      <x:c r="G1230" s="168" t="str">
        <x:v>QI CORRETORA DE TÍTULOS E VALORES MOBILIÁRIOS S.A.</x:v>
      </x:c>
      <x:c r="H1230" s="168" t="str">
        <x:v>Fomento Mercantil</x:v>
      </x:c>
      <x:c r="I1230" s="168" t="str">
        <x:v>Fomento Mercantil</x:v>
      </x:c>
      <x:c r="J1230" s="168" t="str">
        <x:v>CI</x:v>
      </x:c>
      <x:c r="K1230" s="174" t="n">
        <x:v>4</x:v>
      </x:c>
      <x:c r="L1230" s="187" t="str">
        <x:v>Não classificado</x:v>
      </x:c>
    </x:row>
    <x:row r="1231">
      <x:c r="A1231" s="177" t="str">
        <x:v>11.122.821/0001-17</x:v>
      </x:c>
      <x:c r="B1231" s="168" t="str">
        <x:v>SL FUNDO DE INVESTIMENTO EM DIREITOS CREDITORIOS MULTISSETORIAL</x:v>
      </x:c>
      <x:c r="C1231" s="190" t="n">
        <x:v>83537604.57</x:v>
      </x:c>
      <x:c r="D1231" s="168" t="str">
        <x:v>Solis</x:v>
      </x:c>
      <x:c r="E1231" s="168" t="str">
        <x:f>IFERROR(INDEX('Classif Gestoras'!$H$6:$H$462,MATCH(D1231,'Classif Gestoras'!$A$6:$A$462,0)),"Não classificada")</x:f>
        <x:v>Independente</x:v>
      </x:c>
      <x:c r="F1231" s="168" t="str">
        <x:v>Singulare</x:v>
      </x:c>
      <x:c r="G1231" s="168" t="str">
        <x:v>QI CORRETORA DE TÍTULOS E VALORES MOBILIÁRIOS S.A.</x:v>
      </x:c>
      <x:c r="H1231" s="168" t="str">
        <x:v>Fomento Mercantil</x:v>
      </x:c>
      <x:c r="I1231" s="168" t="str">
        <x:v>Fomento Mercantil</x:v>
      </x:c>
      <x:c r="J1231" s="168" t="str">
        <x:v>CI</x:v>
      </x:c>
      <x:c r="K1231" s="174" t="n">
        <x:v>35</x:v>
      </x:c>
      <x:c r="L1231" s="187" t="str">
        <x:v>Não classificado</x:v>
      </x:c>
    </x:row>
    <x:row r="1232">
      <x:c r="A1232" s="177" t="str">
        <x:v>61.621.980/0001-34</x:v>
      </x:c>
      <x:c r="B1232" s="168" t="str">
        <x:v>SARFATY PRIVATE CREDIT FUNDO DE INVESTIMENTO EM DIREITOS CREDITÓRIOS - RESPONSABILIDADE LIMITADA</x:v>
      </x:c>
      <x:c r="C1232" s="190" t="n">
        <x:v>83169929.21</x:v>
      </x:c>
      <x:c r="D1232" s="168" t="str">
        <x:v>SARFATY ASSET</x:v>
      </x:c>
      <x:c r="E1232" s="168" t="str">
        <x:f>IFERROR(INDEX('Classif Gestoras'!$H$6:$H$462,MATCH(D1232,'Classif Gestoras'!$A$6:$A$462,0)),"Não classificada")</x:f>
        <x:v>Independente</x:v>
      </x:c>
      <x:c r="F1232" s="168" t="str">
        <x:v>HEMERA DTVM</x:v>
      </x:c>
      <x:c r="G1232" s="168" t="str">
        <x:v>HEMERA DISTRIBUIDORA DE TITULOS E VALORES MOBILIARIOS LTDA</x:v>
      </x:c>
      <x:c r="H1232" s="168" t="str">
        <x:v>Fomento Mercantil</x:v>
      </x:c>
      <x:c r="I1232" s="168" t="str">
        <x:v>Fomento Mercantil</x:v>
      </x:c>
      <x:c r="J1232" s="168" t="str">
        <x:v>CI</x:v>
      </x:c>
      <x:c r="K1232" s="174" t="n">
        <x:v>30</x:v>
      </x:c>
      <x:c r="L1232" s="187" t="str">
        <x:v>Não classificado</x:v>
      </x:c>
    </x:row>
    <x:row r="1233">
      <x:c r="A1233" s="177" t="str">
        <x:v>31.772.157/0001-69</x:v>
      </x:c>
      <x:c r="B1233" s="168" t="str">
        <x:v>SERRA DO MAR FUNDO DE INVESTIMENTO EM DIREITOS CREDITÓRIOS</x:v>
      </x:c>
      <x:c r="C1233" s="190" t="n">
        <x:v>83115804.66000001</x:v>
      </x:c>
      <x:c r="D1233" s="168" t="str">
        <x:v>Redwood Asset Management</x:v>
      </x:c>
      <x:c r="E1233" s="168" t="str">
        <x:f>IFERROR(INDEX('Classif Gestoras'!$H$6:$H$462,MATCH(D1233,'Classif Gestoras'!$A$6:$A$462,0)),"Não classificada")</x:f>
        <x:v>Independente</x:v>
      </x:c>
      <x:c r="F1233" s="168" t="str">
        <x:v>PLANNER CV</x:v>
      </x:c>
      <x:c r="G1233" s="168" t="str">
        <x:v>PLANNER CORRETORA DE VALORES S.A.</x:v>
      </x:c>
      <x:c r="H1233" s="168" t="str">
        <x:v>Outros</x:v>
      </x:c>
      <x:c r="I1233" s="168" t="str">
        <x:v>Multicarteira Outros</x:v>
      </x:c>
      <x:c r="J1233" s="168" t="str">
        <x:v>CI</x:v>
      </x:c>
      <x:c r="K1233" s="174" t="n">
        <x:v>1</x:v>
      </x:c>
      <x:c r="L1233" s="187" t="str">
        <x:v>Proxy multicedente/multissacado — revisar</x:v>
      </x:c>
    </x:row>
    <x:row r="1234">
      <x:c r="A1234" s="177" t="str">
        <x:v>10.810.396/0001-96</x:v>
      </x:c>
      <x:c r="B1234" s="168" t="str">
        <x:v>CORPORE FUNDO DE INVESTIMENTO EM DIREITOS CREDITÓRIOS MULTISSETORIAL</x:v>
      </x:c>
      <x:c r="C1234" s="190" t="n">
        <x:v>83013127.63</x:v>
      </x:c>
      <x:c r="D1234" s="168" t="str">
        <x:v>TERCON ASSET MANAGEMENT</x:v>
      </x:c>
      <x:c r="E1234" s="168" t="str">
        <x:f>IFERROR(INDEX('Classif Gestoras'!$H$6:$H$462,MATCH(D1234,'Classif Gestoras'!$A$6:$A$462,0)),"Não classificada")</x:f>
        <x:v>Independente</x:v>
      </x:c>
      <x:c r="F1234" s="168" t="str">
        <x:v>Singulare</x:v>
      </x:c>
      <x:c r="G1234" s="168" t="str">
        <x:v>QI CORRETORA DE TÍTULOS E VALORES MOBILIÁRIOS S.A.</x:v>
      </x:c>
      <x:c r="H1234" s="168" t="str">
        <x:v>Fomento Mercantil</x:v>
      </x:c>
      <x:c r="I1234" s="168" t="str">
        <x:v>Fomento Mercantil</x:v>
      </x:c>
      <x:c r="J1234" s="168" t="str">
        <x:v>CI</x:v>
      </x:c>
      <x:c r="K1234" s="174" t="n">
        <x:v>6</x:v>
      </x:c>
      <x:c r="L1234" s="187" t="str">
        <x:v>Não classificado</x:v>
      </x:c>
    </x:row>
    <x:row r="1235">
      <x:c r="A1235" s="177" t="str">
        <x:v>54.681.307/0001-24</x:v>
      </x:c>
      <x:c r="B1235" s="168" t="str">
        <x:v>QUATTUOR FUNDO DE INVESTIMENTO EM DIREITOS CREDITÓRIOS</x:v>
      </x:c>
      <x:c r="C1235" s="190" t="n">
        <x:v>82999291.44999999</x:v>
      </x:c>
      <x:c r="D1235" s="168" t="str">
        <x:v>ORRAM GESTÃO DE RECURSOS LTDA.</x:v>
      </x:c>
      <x:c r="E1235" s="168" t="str">
        <x:f>IFERROR(INDEX('Classif Gestoras'!$H$6:$H$462,MATCH(D1235,'Classif Gestoras'!$A$6:$A$462,0)),"Não classificada")</x:f>
        <x:v>Independente</x:v>
      </x:c>
      <x:c r="F1235" s="168" t="str">
        <x:v>Singulare</x:v>
      </x:c>
      <x:c r="G1235" s="168" t="str">
        <x:v>QI CORRETORA DE TÍTULOS E VALORES MOBILIÁRIOS S.A.</x:v>
      </x:c>
      <x:c r="H1235" s="168" t="str">
        <x:v>Agro, Indústria e Comércio</x:v>
      </x:c>
      <x:c r="I1235" s="168" t="str">
        <x:v>Multicarteira Agro, Indústria e Comércio</x:v>
      </x:c>
      <x:c r="J1235" s="168" t="str">
        <x:v>CI</x:v>
      </x:c>
      <x:c r="K1235" s="174" t="n">
        <x:v>10</x:v>
      </x:c>
      <x:c r="L1235" s="187" t="str">
        <x:v>Proxy multicedente/multissacado — revisar</x:v>
      </x:c>
    </x:row>
    <x:row r="1236">
      <x:c r="A1236" s="177" t="str">
        <x:v>28.879.551/0001-96</x:v>
      </x:c>
      <x:c r="B1236" s="168" t="str">
        <x:v>NOVAX FUNDO DE INVESTIMENTO EM DIREITOS CREDITORIOS NÃO PADRONIZADOS</x:v>
      </x:c>
      <x:c r="C1236" s="190" t="n">
        <x:v>82970976.02</x:v>
      </x:c>
      <x:c r="D1236" s="168" t="str">
        <x:v>TERCON ASSET MANAGEMENT</x:v>
      </x:c>
      <x:c r="E1236" s="168" t="str">
        <x:f>IFERROR(INDEX('Classif Gestoras'!$H$6:$H$462,MATCH(D1236,'Classif Gestoras'!$A$6:$A$462,0)),"Não classificada")</x:f>
        <x:v>Independente</x:v>
      </x:c>
      <x:c r="F1236" s="168" t="str">
        <x:v>Singulare</x:v>
      </x:c>
      <x:c r="G1236" s="168" t="str">
        <x:v>QI CORRETORA DE TÍTULOS E VALORES MOBILIÁRIOS S.A.</x:v>
      </x:c>
      <x:c r="H1236" s="168" t="str">
        <x:v>Fomento Mercantil</x:v>
      </x:c>
      <x:c r="I1236" s="168" t="str">
        <x:v>Fomento Mercantil</x:v>
      </x:c>
      <x:c r="J1236" s="168" t="str">
        <x:v>CI</x:v>
      </x:c>
      <x:c r="K1236" s="174" t="n">
        <x:v>1</x:v>
      </x:c>
      <x:c r="L1236" s="187" t="str">
        <x:v>Não classificado</x:v>
      </x:c>
    </x:row>
    <x:row r="1237">
      <x:c r="A1237" s="177" t="str">
        <x:v>39.722.215/0001-51</x:v>
      </x:c>
      <x:c r="B1237" s="168" t="str">
        <x:v>FIRMA FUNDO DE INVESTIMENTO EM DIREITOS CREDITÓRIOS PADRONIZADOS I</x:v>
      </x:c>
      <x:c r="C1237" s="190" t="n">
        <x:v>82915470.44</x:v>
      </x:c>
      <x:c r="D1237" s="168" t="str">
        <x:v>V8 Capital</x:v>
      </x:c>
      <x:c r="E1237" s="168" t="str">
        <x:f>IFERROR(INDEX('Classif Gestoras'!$H$6:$H$462,MATCH(D1237,'Classif Gestoras'!$A$6:$A$462,0)),"Não classificada")</x:f>
        <x:v>Independente</x:v>
      </x:c>
      <x:c r="F1237" s="168" t="str">
        <x:v>Singulare</x:v>
      </x:c>
      <x:c r="G1237" s="168" t="str">
        <x:v>QI CORRETORA DE TÍTULOS E VALORES MOBILIÁRIOS S.A.</x:v>
      </x:c>
      <x:c r="H1237" s="168" t="str">
        <x:v>Fomento Mercantil</x:v>
      </x:c>
      <x:c r="I1237" s="168" t="str">
        <x:v>Fomento Mercantil</x:v>
      </x:c>
      <x:c r="J1237" s="168" t="str">
        <x:v>CI</x:v>
      </x:c>
      <x:c r="K1237" s="174" t="n">
        <x:v>31</x:v>
      </x:c>
      <x:c r="L1237" s="187" t="str">
        <x:v>Não classificado</x:v>
      </x:c>
    </x:row>
    <x:row r="1238">
      <x:c r="A1238" s="177" t="str">
        <x:v>13.895.002/0001-38</x:v>
      </x:c>
      <x:c r="B1238" s="168" t="str">
        <x:v>POLICARD II FUNDO DE INVESTIMENTO EM DIREITOS CREDITÓRIOS RESPONSABILIDADE LIMITADA</x:v>
      </x:c>
      <x:c r="C1238" s="190" t="n">
        <x:v>82825505.4</x:v>
      </x:c>
      <x:c r="D1238" s="168" t="str">
        <x:v>WNT Gestora de Recursos Ltda.</x:v>
      </x:c>
      <x:c r="E1238" s="168" t="str">
        <x:f>IFERROR(INDEX('Classif Gestoras'!$H$6:$H$462,MATCH(D1238,'Classif Gestoras'!$A$6:$A$462,0)),"Não classificada")</x:f>
        <x:v>Independente</x:v>
      </x:c>
      <x:c r="F1238" s="168" t="str">
        <x:v>Oliveira Trust DTVM</x:v>
      </x:c>
      <x:c r="G1238" s="168" t="str">
        <x:v>OLIVEIRA TRUST DTVM S.A.</x:v>
      </x:c>
      <x:c r="H1238" s="168" t="str">
        <x:v>Financeiro</x:v>
      </x:c>
      <x:c r="I1238" s="168" t="str">
        <x:v>Crédito Consignado</x:v>
      </x:c>
      <x:c r="J1238" s="168" t="str">
        <x:v>CI</x:v>
      </x:c>
      <x:c r="K1238" s="174" t="n">
        <x:v>1</x:v>
      </x:c>
      <x:c r="L1238" s="187" t="str">
        <x:v>Não classificado</x:v>
      </x:c>
    </x:row>
    <x:row r="1239">
      <x:c r="A1239" s="177" t="str">
        <x:v>22.003.546/0001-39</x:v>
      </x:c>
      <x:c r="B1239" s="168" t="str">
        <x:v>CNPJ 22003546000139</x:v>
      </x:c>
      <x:c r="C1239" s="190" t="n">
        <x:v>82761439.57</x:v>
      </x:c>
      <x:c r="D1239" s="168" t="str">
        <x:v>Blue Solutions</x:v>
      </x:c>
      <x:c r="E1239" s="168" t="str">
        <x:f>IFERROR(INDEX('Classif Gestoras'!$H$6:$H$462,MATCH(D1239,'Classif Gestoras'!$A$6:$A$462,0)),"Não classificada")</x:f>
        <x:v>Independente</x:v>
      </x:c>
      <x:c r="F1239" s="168" t="str">
        <x:v>Banvox DTVM</x:v>
      </x:c>
      <x:c r="G1239" s="168" t="str">
        <x:v>Não identificado</x:v>
      </x:c>
      <x:c r="H1239" s="168" t="str">
        <x:v>Outros</x:v>
      </x:c>
      <x:c r="I1239" s="168" t="str">
        <x:v>Multicarteira Outros</x:v>
      </x:c>
      <x:c r="J1239" s="168" t="str">
        <x:v>CI</x:v>
      </x:c>
      <x:c r="K1239" s="174"/>
      <x:c r="L1239" s="187" t="str">
        <x:v>Proxy multicedente/multissacado — revisar</x:v>
      </x:c>
    </x:row>
    <x:row r="1240">
      <x:c r="A1240" s="177" t="str">
        <x:v>52.923.834/0001-72</x:v>
      </x:c>
      <x:c r="B1240" s="168" t="str">
        <x:v>FUNDO DE INVESTIMENTO EM DIREITOS CREDITÓRIOS COOPER CARD II - CRÉDITOS FINANCEIROS</x:v>
      </x:c>
      <x:c r="C1240" s="190" t="n">
        <x:v>82686281.44</x:v>
      </x:c>
      <x:c r="D1240" s="168" t="str">
        <x:v>BLUEWAVE ASSET LTDA</x:v>
      </x:c>
      <x:c r="E1240" s="168" t="str">
        <x:f>IFERROR(INDEX('Classif Gestoras'!$H$6:$H$462,MATCH(D1240,'Classif Gestoras'!$A$6:$A$462,0)),"Não classificada")</x:f>
        <x:v>Independente</x:v>
      </x:c>
      <x:c r="F1240" s="168" t="str">
        <x:v>Oliveira Trust DTVM</x:v>
      </x:c>
      <x:c r="G1240" s="168" t="str">
        <x:v>OLIVEIRA TRUST DTVM S.A.</x:v>
      </x:c>
      <x:c r="H1240" s="168" t="str">
        <x:v>Financeiro</x:v>
      </x:c>
      <x:c r="I1240" s="168" t="str">
        <x:v>Multicarteira Financeiro</x:v>
      </x:c>
      <x:c r="J1240" s="168" t="str">
        <x:v>CI</x:v>
      </x:c>
      <x:c r="K1240" s="174" t="n">
        <x:v>3</x:v>
      </x:c>
      <x:c r="L1240" s="187" t="str">
        <x:v>Proxy multicedente/multissacado — revisar</x:v>
      </x:c>
    </x:row>
    <x:row r="1241">
      <x:c r="A1241" s="177" t="str">
        <x:v>45.018.852/0001-44</x:v>
      </x:c>
      <x:c r="B1241" s="168" t="str">
        <x:v>BANKAP FUNDO DE INVESTIMENTO EM DIREITOS CREDITO´RIOS MULTISSETORIAL - RESPONSABILIDADE LIMITADA</x:v>
      </x:c>
      <x:c r="C1241" s="190" t="n">
        <x:v>82542218.72</x:v>
      </x:c>
      <x:c r="D1241" s="168" t="str">
        <x:v>TERCON ASSET MANAGEMENT</x:v>
      </x:c>
      <x:c r="E1241" s="168" t="str">
        <x:f>IFERROR(INDEX('Classif Gestoras'!$H$6:$H$462,MATCH(D1241,'Classif Gestoras'!$A$6:$A$462,0)),"Não classificada")</x:f>
        <x:v>Independente</x:v>
      </x:c>
      <x:c r="F1241" s="168" t="str">
        <x:v>Singulare</x:v>
      </x:c>
      <x:c r="G1241" s="168" t="str">
        <x:v>QI CORRETORA DE TÍTULOS E VALORES MOBILIÁRIOS S.A.</x:v>
      </x:c>
      <x:c r="H1241" s="168" t="str">
        <x:v>Fomento Mercantil</x:v>
      </x:c>
      <x:c r="I1241" s="168" t="str">
        <x:v>Fomento Mercantil</x:v>
      </x:c>
      <x:c r="J1241" s="168" t="str">
        <x:v>CI</x:v>
      </x:c>
      <x:c r="K1241" s="174" t="n">
        <x:v>21</x:v>
      </x:c>
      <x:c r="L1241" s="187" t="str">
        <x:v>Não classificado</x:v>
      </x:c>
    </x:row>
    <x:row r="1242">
      <x:c r="A1242" s="177" t="str">
        <x:v>20.103.394/0001-10</x:v>
      </x:c>
      <x:c r="B1242" s="168" t="str">
        <x:v>BULLSEYE MASTER I FUNDO DE INVESTIMENTO EM DIREITOS CREDITÓRIOS</x:v>
      </x:c>
      <x:c r="C1242" s="190" t="n">
        <x:v>82488152.55</x:v>
      </x:c>
      <x:c r="D1242" s="168" t="str">
        <x:v>ROOT CAPITAL</x:v>
      </x:c>
      <x:c r="E1242" s="168" t="str">
        <x:f>IFERROR(INDEX('Classif Gestoras'!$H$6:$H$462,MATCH(D1242,'Classif Gestoras'!$A$6:$A$462,0)),"Não classificada")</x:f>
        <x:v>Independente</x:v>
      </x:c>
      <x:c r="F1242" s="168" t="str">
        <x:v>BNY MELLON SERVICOS</x:v>
      </x:c>
      <x:c r="G1242" s="168" t="str">
        <x:v>BNY MELLON BANCO S.A.</x:v>
      </x:c>
      <x:c r="H1242" s="168" t="str">
        <x:v>Outros</x:v>
      </x:c>
      <x:c r="I1242" s="168" t="str">
        <x:v>Recuperação</x:v>
      </x:c>
      <x:c r="J1242" s="168" t="str">
        <x:v>CI</x:v>
      </x:c>
      <x:c r="K1242" s="174" t="n">
        <x:v>1</x:v>
      </x:c>
      <x:c r="L1242" s="187" t="str">
        <x:v>Não classificado</x:v>
      </x:c>
    </x:row>
    <x:row r="1243">
      <x:c r="A1243" s="177" t="str">
        <x:v>56.057.697/0001-91</x:v>
      </x:c>
      <x:c r="B1243" s="168" t="str">
        <x:v>PRAIA INVESTMENTS FUNDO DE INVESTIMENTO EM DIREITOS CREDITÓRIOS</x:v>
      </x:c>
      <x:c r="C1243" s="190" t="n">
        <x:v>82455042.16</x:v>
      </x:c>
      <x:c r="D1243" s="168" t="str">
        <x:v>Score Capital</x:v>
      </x:c>
      <x:c r="E1243" s="168" t="str">
        <x:f>IFERROR(INDEX('Classif Gestoras'!$H$6:$H$462,MATCH(D1243,'Classif Gestoras'!$A$6:$A$462,0)),"Não classificada")</x:f>
        <x:v>Independente</x:v>
      </x:c>
      <x:c r="F1243" s="168" t="str">
        <x:v>BTG Pactual Servicos Financeiros S/A DTVM</x:v>
      </x:c>
      <x:c r="G1243" s="168" t="str">
        <x:v>BANCO BTG PACTUAL S/A</x:v>
      </x:c>
      <x:c r="H1243" s="168" t="str">
        <x:v>Outros</x:v>
      </x:c>
      <x:c r="I1243" s="168" t="str">
        <x:v>Multicarteira Outros</x:v>
      </x:c>
      <x:c r="J1243" s="168" t="str">
        <x:v>CI</x:v>
      </x:c>
      <x:c r="K1243" s="174" t="n">
        <x:v>1</x:v>
      </x:c>
      <x:c r="L1243" s="187" t="str">
        <x:v>Proxy multicedente/multissacado — revisar</x:v>
      </x:c>
    </x:row>
    <x:row r="1244">
      <x:c r="A1244" s="177" t="str">
        <x:v>11.629.795/0001-18</x:v>
      </x:c>
      <x:c r="B1244" s="168" t="str">
        <x:v>FUNDO DE INVESTIMENTO EM DIREITOS CREDITÓRIOS NP EXODUS INSTITUCIONAL - RESPONSABILIDADE LIMITADA</x:v>
      </x:c>
      <x:c r="C1244" s="190" t="n">
        <x:v>82397760.96</x:v>
      </x:c>
      <x:c r="D1244" s="168" t="str">
        <x:v>NOVA S R M</x:v>
      </x:c>
      <x:c r="E1244" s="168" t="str">
        <x:f>IFERROR(INDEX('Classif Gestoras'!$H$6:$H$462,MATCH(D1244,'Classif Gestoras'!$A$6:$A$462,0)),"Não classificada")</x:f>
        <x:v>Independente</x:v>
      </x:c>
      <x:c r="F1244" s="168" t="str">
        <x:v>Singulare</x:v>
      </x:c>
      <x:c r="G1244" s="168" t="str">
        <x:v>QI CORRETORA DE TÍTULOS E VALORES MOBILIÁRIOS S.A.</x:v>
      </x:c>
      <x:c r="H1244" s="168" t="str">
        <x:v>Outros</x:v>
      </x:c>
      <x:c r="I1244" s="168" t="str">
        <x:v>Multicarteira Outros</x:v>
      </x:c>
      <x:c r="J1244" s="168" t="str">
        <x:v>CI</x:v>
      </x:c>
      <x:c r="K1244" s="174" t="n">
        <x:v>4</x:v>
      </x:c>
      <x:c r="L1244" s="187" t="str">
        <x:v>Proxy multicedente/multissacado — revisar</x:v>
      </x:c>
    </x:row>
    <x:row r="1245">
      <x:c r="A1245" s="177" t="str">
        <x:v>53.030.845/0001-96</x:v>
      </x:c>
      <x:c r="B1245" s="168" t="str">
        <x:v>FUNDO DE INVESTIMENTO EM DIREITOS CREDITÓRIOS COMERCIAIS SKYFALL DE RESPONSABILIDADE LIMITADA</x:v>
      </x:c>
      <x:c r="C1245" s="190" t="n">
        <x:v>82263857.25999999</x:v>
      </x:c>
      <x:c r="D1245" s="168" t="str">
        <x:v>Kanastra</x:v>
      </x:c>
      <x:c r="E1245" s="168" t="str">
        <x:f>IFERROR(INDEX('Classif Gestoras'!$H$6:$H$462,MATCH(D1245,'Classif Gestoras'!$A$6:$A$462,0)),"Não classificada")</x:f>
        <x:v>Independente</x:v>
      </x:c>
      <x:c r="F1245" s="168" t="str">
        <x:v>VÓRTX DTVM</x:v>
      </x:c>
      <x:c r="G1245" s="168" t="str">
        <x:v>VORTX DISTRIBUIDORA DE TITULOS E VALORES MOBILIARIOS LTDA.</x:v>
      </x:c>
      <x:c r="H1245" s="168" t="str">
        <x:v>Agro, Indústria e Comércio</x:v>
      </x:c>
      <x:c r="I1245" s="168" t="str">
        <x:v>Recebíveis Comerciais</x:v>
      </x:c>
      <x:c r="J1245" s="168" t="str">
        <x:v>CI</x:v>
      </x:c>
      <x:c r="K1245" s="174" t="n">
        <x:v>4</x:v>
      </x:c>
      <x:c r="L1245" s="187" t="str">
        <x:v>Não classificado</x:v>
      </x:c>
    </x:row>
    <x:row r="1246">
      <x:c r="A1246" s="177" t="str">
        <x:v>46.231.870/0001-72</x:v>
      </x:c>
      <x:c r="B1246" s="168" t="str">
        <x:v>DAVOS FUNDO DE INVESTIMENTO EM DIREITOS CREDITÓRIOS NÃO PADRONIZADOS - RESPONSABILIDADE LIMITADA</x:v>
      </x:c>
      <x:c r="C1246" s="190" t="n">
        <x:v>82250878.45000002</x:v>
      </x:c>
      <x:c r="D1246" s="168" t="str">
        <x:v>Patrimonial Gestão</x:v>
      </x:c>
      <x:c r="E1246" s="168" t="str">
        <x:f>IFERROR(INDEX('Classif Gestoras'!$H$6:$H$462,MATCH(D1246,'Classif Gestoras'!$A$6:$A$462,0)),"Não classificada")</x:f>
        <x:v>Independente</x:v>
      </x:c>
      <x:c r="F1246" s="168" t="str">
        <x:v>Singulare</x:v>
      </x:c>
      <x:c r="G1246" s="168" t="str">
        <x:v>QI CORRETORA DE TÍTULOS E VALORES MOBILIÁRIOS S.A.</x:v>
      </x:c>
      <x:c r="H1246" s="168" t="str">
        <x:v>Outros</x:v>
      </x:c>
      <x:c r="I1246" s="168" t="str">
        <x:v>Poder Público</x:v>
      </x:c>
      <x:c r="J1246" s="168" t="str">
        <x:v>CI</x:v>
      </x:c>
      <x:c r="K1246" s="174" t="n">
        <x:v>73</x:v>
      </x:c>
      <x:c r="L1246" s="187" t="str">
        <x:v>Não classificado</x:v>
      </x:c>
    </x:row>
    <x:row r="1247">
      <x:c r="A1247" s="177" t="str">
        <x:v>41.673.514/0001-95</x:v>
      </x:c>
      <x:c r="B1247" s="168" t="str">
        <x:v>CENTAURO FUNDO DE INVESTIMENTO EM DIREITOS CREDITÓRIOS RESPONSABILIDADE LIMITADA</x:v>
      </x:c>
      <x:c r="C1247" s="190" t="n">
        <x:v>82197969.3</x:v>
      </x:c>
      <x:c r="D1247" s="168" t="str">
        <x:v>Libertas Asset</x:v>
      </x:c>
      <x:c r="E1247" s="168" t="str">
        <x:f>IFERROR(INDEX('Classif Gestoras'!$H$6:$H$462,MATCH(D1247,'Classif Gestoras'!$A$6:$A$462,0)),"Não classificada")</x:f>
        <x:v>Independente</x:v>
      </x:c>
      <x:c r="F1247" s="168" t="str">
        <x:v>ACTUAL DTVM</x:v>
      </x:c>
      <x:c r="G1247" s="168" t="str">
        <x:v>LASTRO RDV DTVM LTDA</x:v>
      </x:c>
      <x:c r="H1247" s="168" t="str">
        <x:v>Fomento Mercantil</x:v>
      </x:c>
      <x:c r="I1247" s="168" t="str">
        <x:v>Fomento Mercantil</x:v>
      </x:c>
      <x:c r="J1247" s="168" t="str">
        <x:v>CI</x:v>
      </x:c>
      <x:c r="K1247" s="174" t="n">
        <x:v>2</x:v>
      </x:c>
      <x:c r="L1247" s="187" t="str">
        <x:v>Não classificado</x:v>
      </x:c>
    </x:row>
    <x:row r="1248">
      <x:c r="A1248" s="177" t="str">
        <x:v>62.347.912/0001-91</x:v>
      </x:c>
      <x:c r="B1248" s="168" t="str">
        <x:v>ZENON HIGH YIELD DISTRESSED FUNDO DE INVESTIMENTO EM DIREITOS CREDITÓRIOS NÃO - PADRONIZADOS - RL</x:v>
      </x:c>
      <x:c r="C1248" s="190" t="n">
        <x:v>82030232.84</x:v>
      </x:c>
      <x:c r="D1248" s="168" t="str">
        <x:v>Yards Asset Gestão de Recursos Ltda.</x:v>
      </x:c>
      <x:c r="E1248" s="168" t="str">
        <x:f>IFERROR(INDEX('Classif Gestoras'!$H$6:$H$462,MATCH(D1248,'Classif Gestoras'!$A$6:$A$462,0)),"Não classificada")</x:f>
        <x:v>Independente</x:v>
      </x:c>
      <x:c r="F1248" s="168" t="str">
        <x:v>Qore DTVM</x:v>
      </x:c>
      <x:c r="G1248" s="168" t="str">
        <x:v>QORE DISTRIBUIDORA DE TÍTULOS E VALORES MOBILIÁRIOS LTDA.</x:v>
      </x:c>
      <x:c r="H1248" s="168" t="str">
        <x:v>Outros</x:v>
      </x:c>
      <x:c r="I1248" s="168" t="str">
        <x:v>Multicarteira Outros</x:v>
      </x:c>
      <x:c r="J1248" s="168" t="str">
        <x:v>CI</x:v>
      </x:c>
      <x:c r="K1248" s="174" t="n">
        <x:v>2</x:v>
      </x:c>
      <x:c r="L1248" s="187" t="str">
        <x:v>Proxy multicedente/multissacado — revisar</x:v>
      </x:c>
    </x:row>
    <x:row r="1249">
      <x:c r="A1249" s="177" t="str">
        <x:v>49.319.863/0001-15</x:v>
      </x:c>
      <x:c r="B1249" s="168" t="str">
        <x:v>CHIMERA ALTERNATIVE ASSETS I FUNDO DE INVESTIMENTO EM DIREITOS CREDITÓRIOS NP DE RESP. LIMITADA</x:v>
      </x:c>
      <x:c r="C1249" s="190" t="n">
        <x:v>81573458.03</x:v>
      </x:c>
      <x:c r="D1249" s="168" t="str">
        <x:v>Terra Asset Management</x:v>
      </x:c>
      <x:c r="E1249" s="168" t="str">
        <x:f>IFERROR(INDEX('Classif Gestoras'!$H$6:$H$462,MATCH(D1249,'Classif Gestoras'!$A$6:$A$462,0)),"Não classificada")</x:f>
        <x:v>Independente</x:v>
      </x:c>
      <x:c r="F1249" s="168" t="str">
        <x:v>MONETAR DISTRIBUIDORA DE TITUL</x:v>
      </x:c>
      <x:c r="G1249" s="168" t="str">
        <x:v>TERRA INVESTIMENTOS DISTRIBUIDORA DE TITULOS E VALORES MOBILIARIOS LTDA</x:v>
      </x:c>
      <x:c r="H1249" s="168" t="str">
        <x:v>Outros</x:v>
      </x:c>
      <x:c r="I1249" s="168" t="str">
        <x:v>Recuperação</x:v>
      </x:c>
      <x:c r="J1249" s="168" t="str">
        <x:v>CI</x:v>
      </x:c>
      <x:c r="K1249" s="174" t="n">
        <x:v>1</x:v>
      </x:c>
      <x:c r="L1249" s="187" t="str">
        <x:v>Não classificado</x:v>
      </x:c>
    </x:row>
    <x:row r="1250">
      <x:c r="A1250" s="177" t="str">
        <x:v>54.697.682/0001-62</x:v>
      </x:c>
      <x:c r="B1250" s="168" t="str">
        <x:v>FUNDO DE INVESTIMENTO EM DIREITOS CREDITÓRIOS SOMACRED SABEMI CONSIGNADO PÚBLICO III</x:v>
      </x:c>
      <x:c r="C1250" s="190" t="n">
        <x:v>81310451.73</x:v>
      </x:c>
      <x:c r="D1250" s="168" t="str">
        <x:v>BTG Pactual Asset</x:v>
      </x:c>
      <x:c r="E1250" s="168" t="str">
        <x:f>IFERROR(INDEX('Classif Gestoras'!$H$6:$H$462,MATCH(D1250,'Classif Gestoras'!$A$6:$A$462,0)),"Não classificada")</x:f>
        <x:v>Ligada a banco</x:v>
      </x:c>
      <x:c r="F1250" s="168" t="str">
        <x:v>BTG Pactual Servicos Financeiros S/A DTVM</x:v>
      </x:c>
      <x:c r="G1250" s="168" t="str">
        <x:v>BANCO BTG PACTUAL S/A</x:v>
      </x:c>
      <x:c r="H1250" s="168" t="str">
        <x:v>Financeiro</x:v>
      </x:c>
      <x:c r="I1250" s="168" t="str">
        <x:v>Crédito Consignado</x:v>
      </x:c>
      <x:c r="J1250" s="168" t="str">
        <x:v>CI</x:v>
      </x:c>
      <x:c r="K1250" s="174" t="n">
        <x:v>60</x:v>
      </x:c>
      <x:c r="L1250" s="187" t="str">
        <x:v>Não classificado</x:v>
      </x:c>
    </x:row>
    <x:row r="1251">
      <x:c r="A1251" s="177" t="str">
        <x:v>51.051.312/0001-65</x:v>
      </x:c>
      <x:c r="B1251" s="168" t="str">
        <x:v>SSG FUNDO DE INVESTIMENTO EM DIREITOS CREDITÓRIOS</x:v>
      </x:c>
      <x:c r="C1251" s="190" t="n">
        <x:v>80799962.36</x:v>
      </x:c>
      <x:c r="D1251" s="168" t="str">
        <x:v>DAYCOVAL ASSET MANAG</x:v>
      </x:c>
      <x:c r="E1251" s="168" t="str">
        <x:f>IFERROR(INDEX('Classif Gestoras'!$H$6:$H$462,MATCH(D1251,'Classif Gestoras'!$A$6:$A$462,0)),"Não classificada")</x:f>
        <x:v>Ligada a banco</x:v>
      </x:c>
      <x:c r="F1251" s="168" t="str">
        <x:v>BANCO DAYCOVAL S/A</x:v>
      </x:c>
      <x:c r="G1251" s="168" t="str">
        <x:v>BANCO DAYCOVAL S.A.</x:v>
      </x:c>
      <x:c r="H1251" s="168" t="str">
        <x:v>Outros</x:v>
      </x:c>
      <x:c r="I1251" s="168" t="str">
        <x:v>Multicarteira Outros</x:v>
      </x:c>
      <x:c r="J1251" s="168" t="str">
        <x:v>CI</x:v>
      </x:c>
      <x:c r="K1251" s="174" t="n">
        <x:v>1</x:v>
      </x:c>
      <x:c r="L1251" s="187" t="str">
        <x:v>Proxy multicedente/multissacado — revisar</x:v>
      </x:c>
    </x:row>
    <x:row r="1252">
      <x:c r="A1252" s="177" t="str">
        <x:v>09.163.026/0001-25</x:v>
      </x:c>
      <x:c r="B1252" s="168" t="str">
        <x:v>MERIDIANO FUNDO DE INVESTIMENTO EM DIREITOS CREDITÓRIOS MULTISEGMENTOS</x:v>
      </x:c>
      <x:c r="C1252" s="190" t="n">
        <x:v>80788392.6</x:v>
      </x:c>
      <x:c r="D1252" s="168" t="str">
        <x:v>Polo Capital Internacional</x:v>
      </x:c>
      <x:c r="E1252" s="168" t="str">
        <x:f>IFERROR(INDEX('Classif Gestoras'!$H$6:$H$462,MATCH(D1252,'Classif Gestoras'!$A$6:$A$462,0)),"Não classificada")</x:f>
        <x:v>Independente</x:v>
      </x:c>
      <x:c r="F1252" s="168" t="str">
        <x:v>Singulare</x:v>
      </x:c>
      <x:c r="G1252" s="168" t="str">
        <x:v>QI CORRETORA DE TÍTULOS E VALORES MOBILIÁRIOS S.A.</x:v>
      </x:c>
      <x:c r="H1252" s="168" t="str">
        <x:v>Outros</x:v>
      </x:c>
      <x:c r="I1252" s="168" t="str">
        <x:v>Multicarteira Outros</x:v>
      </x:c>
      <x:c r="J1252" s="168" t="str">
        <x:v>CI</x:v>
      </x:c>
      <x:c r="K1252" s="174" t="n">
        <x:v>3</x:v>
      </x:c>
      <x:c r="L1252" s="187" t="str">
        <x:v>Proxy multicedente/multissacado — revisar</x:v>
      </x:c>
    </x:row>
    <x:row r="1253">
      <x:c r="A1253" s="177" t="str">
        <x:v>15.336.665/0001-48</x:v>
      </x:c>
      <x:c r="B1253" s="168" t="str">
        <x:v>SIGULER GUFF (JUS BLC) 2C FUNDO DE INVESTIMENTO EM DIREITOS CREDITÓRIOS NÃO-PADRONIZADOS</x:v>
      </x:c>
      <x:c r="C1253" s="190" t="n">
        <x:v>80597862.17570001</x:v>
      </x:c>
      <x:c r="D1253" s="168" t="str">
        <x:v>Jus Capital Gestão de Recursos LTDA</x:v>
      </x:c>
      <x:c r="E1253" s="168" t="str">
        <x:f>IFERROR(INDEX('Classif Gestoras'!$H$6:$H$462,MATCH(D1253,'Classif Gestoras'!$A$6:$A$462,0)),"Não classificada")</x:f>
        <x:v>Independente</x:v>
      </x:c>
      <x:c r="F1253" s="168" t="str">
        <x:v>BTG Pactual Servicos Financeiros S/A DTVM</x:v>
      </x:c>
      <x:c r="G1253" s="168" t="str">
        <x:v>BANCO BTG PACTUAL S/A</x:v>
      </x:c>
      <x:c r="H1253" s="168" t="str">
        <x:v>Outros</x:v>
      </x:c>
      <x:c r="I1253" s="168" t="str">
        <x:v>Poder Público</x:v>
      </x:c>
      <x:c r="J1253" s="168" t="str">
        <x:v>CI</x:v>
      </x:c>
      <x:c r="K1253" s="174" t="n">
        <x:v>1</x:v>
      </x:c>
      <x:c r="L1253" s="187" t="str">
        <x:v>Não classificado</x:v>
      </x:c>
    </x:row>
    <x:row r="1254">
      <x:c r="A1254" s="177" t="str">
        <x:v>61.427.502/0001-98</x:v>
      </x:c>
      <x:c r="B1254" s="168" t="str">
        <x:v>JC ODIN FUNDO DE INVESTIMENTO EM DIREITOS CREDITÓRIOS</x:v>
      </x:c>
      <x:c r="C1254" s="190" t="n">
        <x:v>80291613.06000002</x:v>
      </x:c>
      <x:c r="D1254" s="168" t="str">
        <x:v>Jus Capital Gestão de Recursos LTDA</x:v>
      </x:c>
      <x:c r="E1254" s="168" t="str">
        <x:f>IFERROR(INDEX('Classif Gestoras'!$H$6:$H$462,MATCH(D1254,'Classif Gestoras'!$A$6:$A$462,0)),"Não classificada")</x:f>
        <x:v>Independente</x:v>
      </x:c>
      <x:c r="F1254" s="168" t="str">
        <x:v>Singulare</x:v>
      </x:c>
      <x:c r="G1254" s="168" t="str">
        <x:v>QI CORRETORA DE TÍTULOS E VALORES MOBILIÁRIOS S.A.</x:v>
      </x:c>
      <x:c r="H1254" s="168" t="str">
        <x:v>Outros</x:v>
      </x:c>
      <x:c r="I1254" s="168" t="str">
        <x:v>Poder Público</x:v>
      </x:c>
      <x:c r="J1254" s="168" t="str">
        <x:v>CI</x:v>
      </x:c>
      <x:c r="K1254" s="174" t="n">
        <x:v>2</x:v>
      </x:c>
      <x:c r="L1254" s="187" t="str">
        <x:v>Não classificado</x:v>
      </x:c>
    </x:row>
    <x:row r="1255">
      <x:c r="A1255" s="177" t="str">
        <x:v>41.184.960/0001-36</x:v>
      </x:c>
      <x:c r="B1255" s="168" t="str">
        <x:v>CIMARRON CRÉDITOS JUDICIAIS FUNDO DE INVESTIMENTO EM DIREITOS CREDITÓRIOS</x:v>
      </x:c>
      <x:c r="C1255" s="190" t="n">
        <x:v>80206411.28</x:v>
      </x:c>
      <x:c r="D1255" s="168" t="str">
        <x:v>Siguler Guff Gestora de Investimentos (Asset Management</x:v>
      </x:c>
      <x:c r="E1255" s="168" t="str">
        <x:f>IFERROR(INDEX('Classif Gestoras'!$H$6:$H$462,MATCH(D1255,'Classif Gestoras'!$A$6:$A$462,0)),"Não classificada")</x:f>
        <x:v>Independente</x:v>
      </x:c>
      <x:c r="F1255" s="168" t="str">
        <x:v>BTG Pactual Servicos Financeiros S/A DTVM</x:v>
      </x:c>
      <x:c r="G1255" s="168" t="str">
        <x:v>BANCO BTG PACTUAL S/A</x:v>
      </x:c>
      <x:c r="H1255" s="168" t="str">
        <x:v>Outros</x:v>
      </x:c>
      <x:c r="I1255" s="168" t="str">
        <x:v>Multicarteira Outros</x:v>
      </x:c>
      <x:c r="J1255" s="168" t="str">
        <x:v>CI</x:v>
      </x:c>
      <x:c r="K1255" s="174" t="n">
        <x:v>3</x:v>
      </x:c>
      <x:c r="L1255" s="187" t="str">
        <x:v>Proxy multicedente/multissacado — revisar</x:v>
      </x:c>
    </x:row>
    <x:row r="1256">
      <x:c r="A1256" s="177" t="str">
        <x:v>32.510.444/0001-63</x:v>
      </x:c>
      <x:c r="B1256" s="168" t="str">
        <x:v>G5 EO FUNDO DE INVESTIMENTO EM DIREITOS CREDITÓRIOS NÃO PADRONIZADOS</x:v>
      </x:c>
      <x:c r="C1256" s="190" t="n">
        <x:v>80077002.81</x:v>
      </x:c>
      <x:c r="D1256" s="168" t="str">
        <x:v>G5 Adm. de Recursos</x:v>
      </x:c>
      <x:c r="E1256" s="168" t="str">
        <x:f>IFERROR(INDEX('Classif Gestoras'!$H$6:$H$462,MATCH(D1256,'Classif Gestoras'!$A$6:$A$462,0)),"Não classificada")</x:f>
        <x:v>Independente</x:v>
      </x:c>
      <x:c r="F1256" s="168" t="str">
        <x:v>Singulare</x:v>
      </x:c>
      <x:c r="G1256" s="168" t="str">
        <x:v>QI CORRETORA DE TÍTULOS E VALORES MOBILIÁRIOS S.A.</x:v>
      </x:c>
      <x:c r="H1256" s="168" t="str">
        <x:v>Outros</x:v>
      </x:c>
      <x:c r="I1256" s="168" t="str">
        <x:v>Multicarteira Outros</x:v>
      </x:c>
      <x:c r="J1256" s="168" t="str">
        <x:v>CI</x:v>
      </x:c>
      <x:c r="K1256" s="174" t="n">
        <x:v>1</x:v>
      </x:c>
      <x:c r="L1256" s="187" t="str">
        <x:v>Proxy multicedente/multissacado — revisar</x:v>
      </x:c>
    </x:row>
    <x:row r="1257">
      <x:c r="A1257" s="177" t="str">
        <x:v>44.230.592/0001-03</x:v>
      </x:c>
      <x:c r="B1257" s="168" t="str">
        <x:v>BRAM HIGH YIELD FIDC II - RESP LIMITADA</x:v>
      </x:c>
      <x:c r="C1257" s="190" t="n">
        <x:v>79971515.71</x:v>
      </x:c>
      <x:c r="D1257" s="168" t="str">
        <x:v>Banco Bradesco S/A</x:v>
      </x:c>
      <x:c r="E1257" s="168" t="str">
        <x:f>IFERROR(INDEX('Classif Gestoras'!$H$6:$H$462,MATCH(D1257,'Classif Gestoras'!$A$6:$A$462,0)),"Não classificada")</x:f>
        <x:v>Ligada a banco</x:v>
      </x:c>
      <x:c r="F1257" s="168" t="str">
        <x:v>BEM - DIST. DE TÍTUL</x:v>
      </x:c>
      <x:c r="G1257" s="168" t="str">
        <x:v>BANCO BRADESCO S.A.</x:v>
      </x:c>
      <x:c r="H1257" s="168" t="str">
        <x:v>Outros</x:v>
      </x:c>
      <x:c r="I1257" s="168" t="str">
        <x:v>Multicarteira Outros</x:v>
      </x:c>
      <x:c r="J1257" s="168" t="str">
        <x:v>CIPC</x:v>
      </x:c>
      <x:c r="K1257" s="174" t="n">
        <x:v>2</x:v>
      </x:c>
      <x:c r="L1257" s="187" t="str">
        <x:v>Proxy multicedente/multissacado — revisar</x:v>
      </x:c>
    </x:row>
    <x:row r="1258">
      <x:c r="A1258" s="177" t="str">
        <x:v>59.550.943/0001-30</x:v>
      </x:c>
      <x:c r="B1258" s="168" t="str">
        <x:v>ORIZ JUS IV FUNDO DE INVESTIMENTO EM DIREITOS CREDITÓRIOS</x:v>
      </x:c>
      <x:c r="C1258" s="190" t="n">
        <x:v>79824579.03</x:v>
      </x:c>
      <x:c r="D1258" s="168" t="str">
        <x:v>ORIZ ASSET MANAGEMENT LTDA.</x:v>
      </x:c>
      <x:c r="E1258" s="168" t="str">
        <x:f>IFERROR(INDEX('Classif Gestoras'!$H$6:$H$462,MATCH(D1258,'Classif Gestoras'!$A$6:$A$462,0)),"Não classificada")</x:f>
        <x:v>Independente</x:v>
      </x:c>
      <x:c r="F1258" s="168" t="str">
        <x:v>BANCO DAYCOVAL S/A</x:v>
      </x:c>
      <x:c r="G1258" s="168" t="str">
        <x:v>BANCO DAYCOVAL S.A.</x:v>
      </x:c>
      <x:c r="H1258" s="168" t="str">
        <x:v>Outros</x:v>
      </x:c>
      <x:c r="I1258" s="168" t="str">
        <x:v>Poder Público</x:v>
      </x:c>
      <x:c r="J1258" s="168" t="str">
        <x:v>CI</x:v>
      </x:c>
      <x:c r="K1258" s="174" t="n">
        <x:v>33</x:v>
      </x:c>
      <x:c r="L1258" s="187" t="str">
        <x:v>Não classificado</x:v>
      </x:c>
    </x:row>
    <x:row r="1259">
      <x:c r="A1259" s="177" t="str">
        <x:v>37.529.228/0001-83</x:v>
      </x:c>
      <x:c r="B1259" s="168" t="str">
        <x:v>ACTIUM FUNDO DE INVESTIMENTO EM DIREITOS CREDITÓRIOS NÃO PADRONIZADO</x:v>
      </x:c>
      <x:c r="C1259" s="190" t="n">
        <x:v>79779193.97999999</x:v>
      </x:c>
      <x:c r="D1259" s="168" t="str">
        <x:v>BURITI INVESTIMENTOS</x:v>
      </x:c>
      <x:c r="E1259" s="168" t="str">
        <x:f>IFERROR(INDEX('Classif Gestoras'!$H$6:$H$462,MATCH(D1259,'Classif Gestoras'!$A$6:$A$462,0)),"Não classificada")</x:f>
        <x:v>Independente</x:v>
      </x:c>
      <x:c r="F1259" s="168" t="str">
        <x:v>Baru DTVM</x:v>
      </x:c>
      <x:c r="G1259" s="168" t="str">
        <x:v>BARU DISTRIBUIDORA DE TÍTULOS E VALORES MOBILIÁRIOS LTDA.</x:v>
      </x:c>
      <x:c r="H1259" s="168" t="str">
        <x:v>Outros</x:v>
      </x:c>
      <x:c r="I1259" s="168" t="str">
        <x:v>Multicarteira Outros</x:v>
      </x:c>
      <x:c r="J1259" s="168" t="str">
        <x:v>CI</x:v>
      </x:c>
      <x:c r="K1259" s="174" t="n">
        <x:v>2</x:v>
      </x:c>
      <x:c r="L1259" s="187" t="str">
        <x:v>Proxy multicedente/multissacado — revisar</x:v>
      </x:c>
    </x:row>
    <x:row r="1260">
      <x:c r="A1260" s="177" t="str">
        <x:v>57.186.320/0001-03</x:v>
      </x:c>
      <x:c r="B1260" s="168" t="str">
        <x:v>JC LOKI FUNDO DE INVESTIMENTO EM DIREITOS CREDITÓRIOS</x:v>
      </x:c>
      <x:c r="C1260" s="190" t="n">
        <x:v>79686106.85</x:v>
      </x:c>
      <x:c r="D1260" s="168" t="str">
        <x:v>Jus Capital Gestão de Recursos LTDA</x:v>
      </x:c>
      <x:c r="E1260" s="168" t="str">
        <x:f>IFERROR(INDEX('Classif Gestoras'!$H$6:$H$462,MATCH(D1260,'Classif Gestoras'!$A$6:$A$462,0)),"Não classificada")</x:f>
        <x:v>Independente</x:v>
      </x:c>
      <x:c r="F1260" s="168" t="str">
        <x:v>Singulare</x:v>
      </x:c>
      <x:c r="G1260" s="168" t="str">
        <x:v>QI CORRETORA DE TÍTULOS E VALORES MOBILIÁRIOS S.A.</x:v>
      </x:c>
      <x:c r="H1260" s="168" t="str">
        <x:v>Outros</x:v>
      </x:c>
      <x:c r="I1260" s="168" t="str">
        <x:v>Poder Público</x:v>
      </x:c>
      <x:c r="J1260" s="168" t="str">
        <x:v>CIPC</x:v>
      </x:c>
      <x:c r="K1260" s="174" t="n">
        <x:v>2</x:v>
      </x:c>
      <x:c r="L1260" s="187" t="str">
        <x:v>Não classificado</x:v>
      </x:c>
    </x:row>
    <x:row r="1261">
      <x:c r="A1261" s="177" t="str">
        <x:v>56.264.671/0001-14</x:v>
      </x:c>
      <x:c r="B1261" s="168" t="str">
        <x:v>ORIZ ALBRIGHT FUNDO DE INVESTIMENTO EM DIREITOS CREDITÓRIOS DE RESPONSABILIDADE LIMITADA</x:v>
      </x:c>
      <x:c r="C1261" s="190" t="n">
        <x:v>79547349.82</x:v>
      </x:c>
      <x:c r="D1261" s="168" t="str">
        <x:v>ORIZ ASSET MANAGEMENT LTDA.</x:v>
      </x:c>
      <x:c r="E1261" s="168" t="str">
        <x:f>IFERROR(INDEX('Classif Gestoras'!$H$6:$H$462,MATCH(D1261,'Classif Gestoras'!$A$6:$A$462,0)),"Não classificada")</x:f>
        <x:v>Independente</x:v>
      </x:c>
      <x:c r="F1261" s="168" t="str">
        <x:v>BANCO DAYCOVAL S/A</x:v>
      </x:c>
      <x:c r="G1261" s="168" t="str">
        <x:v>BANCO DAYCOVAL S.A.</x:v>
      </x:c>
      <x:c r="H1261" s="168" t="str">
        <x:v>Outros</x:v>
      </x:c>
      <x:c r="I1261" s="168" t="str">
        <x:v>Multicarteira Outros</x:v>
      </x:c>
      <x:c r="J1261" s="168" t="str">
        <x:v>CI</x:v>
      </x:c>
      <x:c r="K1261" s="174" t="n">
        <x:v>1</x:v>
      </x:c>
      <x:c r="L1261" s="187" t="str">
        <x:v>Proxy multicedente/multissacado — revisar</x:v>
      </x:c>
    </x:row>
    <x:row r="1262">
      <x:c r="A1262" s="177" t="str">
        <x:v>59.678.384/0001-49</x:v>
      </x:c>
      <x:c r="B1262" s="168" t="str">
        <x:v>NTZ CONSIGNADO PÚBLICO FUNDO DE INVESTIMENTO EM DIREITOS CREDITÓRIOS - RESPONSABILIDADE LIMITADA</x:v>
      </x:c>
      <x:c r="C1262" s="190" t="n">
        <x:v>79517290.03</x:v>
      </x:c>
      <x:c r="D1262" s="168" t="str">
        <x:v>Netz Asset</x:v>
      </x:c>
      <x:c r="E1262" s="168" t="str">
        <x:f>IFERROR(INDEX('Classif Gestoras'!$H$6:$H$462,MATCH(D1262,'Classif Gestoras'!$A$6:$A$462,0)),"Não classificada")</x:f>
        <x:v>Independente</x:v>
      </x:c>
      <x:c r="F1262" s="168" t="str">
        <x:v>VÓRTX DTVM</x:v>
      </x:c>
      <x:c r="G1262" s="168" t="str">
        <x:v>VORTX DISTRIBUIDORA DE TITULOS E VALORES MOBILIARIOS LTDA.</x:v>
      </x:c>
      <x:c r="H1262" s="168" t="str">
        <x:v>Financeiro</x:v>
      </x:c>
      <x:c r="I1262" s="168" t="str">
        <x:v>Crédito Consignado</x:v>
      </x:c>
      <x:c r="J1262" s="168" t="str">
        <x:v>CI</x:v>
      </x:c>
      <x:c r="K1262" s="174" t="n">
        <x:v>11</x:v>
      </x:c>
      <x:c r="L1262" s="187" t="str">
        <x:v>Não classificado</x:v>
      </x:c>
    </x:row>
    <x:row r="1263">
      <x:c r="A1263" s="177" t="str">
        <x:v>30.142.432/0001-06</x:v>
      </x:c>
      <x:c r="B1263" s="168" t="str">
        <x:v>IPÊ - FUNDO DE INVESTIMENTO EM DIREITOS CREDITÓRIOS NÃO-PADRONIZADOS</x:v>
      </x:c>
      <x:c r="C1263" s="190" t="n">
        <x:v>79484986.73</x:v>
      </x:c>
      <x:c r="D1263" s="168" t="str">
        <x:v>Catálise Investimentos</x:v>
      </x:c>
      <x:c r="E1263" s="168" t="str">
        <x:f>IFERROR(INDEX('Classif Gestoras'!$H$6:$H$462,MATCH(D1263,'Classif Gestoras'!$A$6:$A$462,0)),"Não classificada")</x:f>
        <x:v>Independente</x:v>
      </x:c>
      <x:c r="F1263" s="168" t="str">
        <x:v>CATÁLISE DTVM</x:v>
      </x:c>
      <x:c r="G1263" s="168" t="str">
        <x:v>BANCO DAYCOVAL S.A.</x:v>
      </x:c>
      <x:c r="H1263" s="168" t="str">
        <x:v>Outros</x:v>
      </x:c>
      <x:c r="I1263" s="168" t="str">
        <x:v>Multicarteira Outros</x:v>
      </x:c>
      <x:c r="J1263" s="168" t="str">
        <x:v>CI</x:v>
      </x:c>
      <x:c r="K1263" s="174" t="n">
        <x:v>2</x:v>
      </x:c>
      <x:c r="L1263" s="187" t="str">
        <x:v>Proxy multicedente/multissacado — revisar</x:v>
      </x:c>
    </x:row>
    <x:row r="1264">
      <x:c r="A1264" s="177" t="str">
        <x:v>62.335.320/0001-50</x:v>
      </x:c>
      <x:c r="B1264" s="168" t="str">
        <x:v>ISTAMBUL FUNDO DE INVESTIMENTO EM DIREITOS CREDITÓRIOS</x:v>
      </x:c>
      <x:c r="C1264" s="190" t="n">
        <x:v>79478769.05000001</x:v>
      </x:c>
      <x:c r="D1264" s="168" t="str">
        <x:v>Catálise Investimentos</x:v>
      </x:c>
      <x:c r="E1264" s="168" t="str">
        <x:f>IFERROR(INDEX('Classif Gestoras'!$H$6:$H$462,MATCH(D1264,'Classif Gestoras'!$A$6:$A$462,0)),"Não classificada")</x:f>
        <x:v>Independente</x:v>
      </x:c>
      <x:c r="F1264" s="168" t="str">
        <x:v>CATÁLISE DTVM</x:v>
      </x:c>
      <x:c r="G1264" s="168" t="str">
        <x:v>BANCO DAYCOVAL S.A.</x:v>
      </x:c>
      <x:c r="H1264" s="168" t="str">
        <x:v>Outros</x:v>
      </x:c>
      <x:c r="I1264" s="168" t="str">
        <x:v>Multicarteira Outros</x:v>
      </x:c>
      <x:c r="J1264" s="168" t="str">
        <x:v>CI</x:v>
      </x:c>
      <x:c r="K1264" s="174" t="n">
        <x:v>1</x:v>
      </x:c>
      <x:c r="L1264" s="187" t="str">
        <x:v>Proxy multicedente/multissacado — revisar</x:v>
      </x:c>
    </x:row>
    <x:row r="1265">
      <x:c r="A1265" s="177" t="str">
        <x:v>42.627.599/0001-38</x:v>
      </x:c>
      <x:c r="B1265" s="168" t="str">
        <x:v>COOPERA FUNDO DE INVESTIMENTO EM DIREITOS CREDITÓRIOS - RESPONSABILIDADE LIMITADA</x:v>
      </x:c>
      <x:c r="C1265" s="190" t="n">
        <x:v>79377413.38</x:v>
      </x:c>
      <x:c r="D1265" s="168" t="str">
        <x:v>VALORA RENDA FIXA ESTRUTURADOS LTDA.</x:v>
      </x:c>
      <x:c r="E1265" s="168" t="str">
        <x:f>IFERROR(INDEX('Classif Gestoras'!$H$6:$H$462,MATCH(D1265,'Classif Gestoras'!$A$6:$A$462,0)),"Não classificada")</x:f>
        <x:v>Independente</x:v>
      </x:c>
      <x:c r="F1265" s="168" t="str">
        <x:v>Singulare</x:v>
      </x:c>
      <x:c r="G1265" s="168" t="str">
        <x:v>QI CORRETORA DE TÍTULOS E VALORES MOBILIÁRIOS S.A.</x:v>
      </x:c>
      <x:c r="H1265" s="168" t="str">
        <x:v>Financeiro</x:v>
      </x:c>
      <x:c r="I1265" s="168" t="str">
        <x:v>Financiamento de Veículos</x:v>
      </x:c>
      <x:c r="J1265" s="168" t="str">
        <x:v>CI</x:v>
      </x:c>
      <x:c r="K1265" s="174" t="n">
        <x:v>22</x:v>
      </x:c>
      <x:c r="L1265" s="187" t="str">
        <x:v>Não classificado</x:v>
      </x:c>
    </x:row>
    <x:row r="1266">
      <x:c r="A1266" s="177" t="str">
        <x:v>52.804.600/0001-06</x:v>
      </x:c>
      <x:c r="B1266" s="168" t="str">
        <x:v>FUNDO DE INVESTIMENTO EM DIREITOS CREDITÓRIOS AGRO OPEN GROWTH SILOS RESPONSABILIDADE LIMITADA</x:v>
      </x:c>
      <x:c r="C1266" s="190" t="n">
        <x:v>79348991.39</x:v>
      </x:c>
      <x:c r="D1266" s="168" t="str">
        <x:v>OPEA GESTORA DE RECURSOS</x:v>
      </x:c>
      <x:c r="E1266" s="168" t="str">
        <x:f>IFERROR(INDEX('Classif Gestoras'!$H$6:$H$462,MATCH(D1266,'Classif Gestoras'!$A$6:$A$462,0)),"Não classificada")</x:f>
        <x:v>Independente</x:v>
      </x:c>
      <x:c r="F1266" s="168" t="str">
        <x:v>Singulare</x:v>
      </x:c>
      <x:c r="G1266" s="168" t="str">
        <x:v>QI CORRETORA DE TÍTULOS E VALORES MOBILIÁRIOS S.A.</x:v>
      </x:c>
      <x:c r="H1266" s="168" t="str">
        <x:v>Agro, Indústria e Comércio</x:v>
      </x:c>
      <x:c r="I1266" s="168" t="str">
        <x:v>Agronegócio</x:v>
      </x:c>
      <x:c r="J1266" s="168" t="str">
        <x:v>CI</x:v>
      </x:c>
      <x:c r="K1266" s="174" t="n">
        <x:v>3</x:v>
      </x:c>
      <x:c r="L1266" s="187" t="str">
        <x:v>Não classificado</x:v>
      </x:c>
    </x:row>
    <x:row r="1267">
      <x:c r="A1267" s="177" t="str">
        <x:v>45.880.936/0001-92</x:v>
      </x:c>
      <x:c r="B1267" s="168" t="str">
        <x:v>ABC I FUNDO DE INVESTIMENTO EM DIREITOS CREDITÓRIOS</x:v>
      </x:c>
      <x:c r="C1267" s="190" t="n">
        <x:v>79222381.48</x:v>
      </x:c>
      <x:c r="D1267" s="168" t="str">
        <x:v>BRL TRUST DTVM</x:v>
      </x:c>
      <x:c r="E1267" s="168" t="str">
        <x:f>IFERROR(INDEX('Classif Gestoras'!$H$6:$H$462,MATCH(D1267,'Classif Gestoras'!$A$6:$A$462,0)),"Não classificada")</x:f>
        <x:v>Independente</x:v>
      </x:c>
      <x:c r="F1267" s="168" t="str">
        <x:v>BRL TRUST DTVM</x:v>
      </x:c>
      <x:c r="G1267" s="168" t="str">
        <x:v>OSLO CAPITAL DISTRIBUIDORA DE TITULOS E VALORES MOBILIARIOS S.A.</x:v>
      </x:c>
      <x:c r="H1267" s="168" t="str">
        <x:v>Outros</x:v>
      </x:c>
      <x:c r="I1267" s="168" t="str">
        <x:v>Multicarteira Outros</x:v>
      </x:c>
      <x:c r="J1267" s="168" t="str">
        <x:v>CI</x:v>
      </x:c>
      <x:c r="K1267" s="174" t="n">
        <x:v>1</x:v>
      </x:c>
      <x:c r="L1267" s="187" t="str">
        <x:v>Proxy multicedente/multissacado — revisar</x:v>
      </x:c>
    </x:row>
    <x:row r="1268">
      <x:c r="A1268" s="177" t="str">
        <x:v>15.558.603/0001-80</x:v>
      </x:c>
      <x:c r="B1268" s="168" t="str">
        <x:v>PORTO NP - FUNDO DE INVESTIMENTO EM DIREITOS CREDITÓRIOS NÃO PADRONIZADOS MULTISSETORIAL</x:v>
      </x:c>
      <x:c r="C1268" s="190" t="n">
        <x:v>79018208.88</x:v>
      </x:c>
      <x:c r="D1268" s="168" t="str">
        <x:v>TERCON ASSET MANAGEMENT</x:v>
      </x:c>
      <x:c r="E1268" s="168" t="str">
        <x:f>IFERROR(INDEX('Classif Gestoras'!$H$6:$H$462,MATCH(D1268,'Classif Gestoras'!$A$6:$A$462,0)),"Não classificada")</x:f>
        <x:v>Independente</x:v>
      </x:c>
      <x:c r="F1268" s="168" t="str">
        <x:v>Qore DTVM</x:v>
      </x:c>
      <x:c r="G1268" s="168" t="str">
        <x:v>QORE DISTRIBUIDORA DE TÍTULOS E VALORES MOBILIÁRIOS LTDA.</x:v>
      </x:c>
      <x:c r="H1268" s="168" t="str">
        <x:v>Fomento Mercantil</x:v>
      </x:c>
      <x:c r="I1268" s="168" t="str">
        <x:v>Fomento Mercantil</x:v>
      </x:c>
      <x:c r="J1268" s="168" t="str">
        <x:v>CI</x:v>
      </x:c>
      <x:c r="K1268" s="174" t="n">
        <x:v>2</x:v>
      </x:c>
      <x:c r="L1268" s="187" t="str">
        <x:v>Não classificado</x:v>
      </x:c>
    </x:row>
    <x:row r="1269">
      <x:c r="A1269" s="177" t="str">
        <x:v>57.213.492/0001-10</x:v>
      </x:c>
      <x:c r="B1269" s="168" t="str">
        <x:v>FUNDO DE INVESTIMENTO EM DIREITOS CREDITÓRIOS DE CONSÓRCIOS CONSORCIEI III RESPONSABILIDADE LIMITADA</x:v>
      </x:c>
      <x:c r="C1269" s="190" t="n">
        <x:v>78839897.99</x:v>
      </x:c>
      <x:c r="D1269" s="168" t="str">
        <x:v>TERA CAPITAL</x:v>
      </x:c>
      <x:c r="E1269" s="168" t="str">
        <x:f>IFERROR(INDEX('Classif Gestoras'!$H$6:$H$462,MATCH(D1269,'Classif Gestoras'!$A$6:$A$462,0)),"Não classificada")</x:f>
        <x:v>Independente</x:v>
      </x:c>
      <x:c r="F1269" s="168" t="str">
        <x:v>BANCO DAYCOVAL S/A</x:v>
      </x:c>
      <x:c r="G1269" s="168" t="str">
        <x:v>BANCO DAYCOVAL S.A.</x:v>
      </x:c>
      <x:c r="H1269" s="168" t="str">
        <x:v>Outros</x:v>
      </x:c>
      <x:c r="I1269" s="168" t="str">
        <x:v>Multicarteira Outros</x:v>
      </x:c>
      <x:c r="J1269" s="168" t="str">
        <x:v>CI</x:v>
      </x:c>
      <x:c r="K1269" s="174" t="n">
        <x:v>33</x:v>
      </x:c>
      <x:c r="L1269" s="187" t="str">
        <x:v>Proxy multicedente/multissacado — revisar</x:v>
      </x:c>
    </x:row>
    <x:row r="1270">
      <x:c r="A1270" s="177" t="str">
        <x:v>46.799.305/0001-06</x:v>
      </x:c>
      <x:c r="B1270" s="168" t="str">
        <x:v>INTER BASE FUNDO DE INVESTIMENTO EM DIREITOS CREDITÓRIOS MULTISSETORIAL - RESPONSABILIDADE LIMITADA</x:v>
      </x:c>
      <x:c r="C1270" s="190" t="n">
        <x:v>78669747.54</x:v>
      </x:c>
      <x:c r="D1270" s="168" t="str">
        <x:v>TERCON ASSET MANAGEMENT</x:v>
      </x:c>
      <x:c r="E1270" s="168" t="str">
        <x:f>IFERROR(INDEX('Classif Gestoras'!$H$6:$H$462,MATCH(D1270,'Classif Gestoras'!$A$6:$A$462,0)),"Não classificada")</x:f>
        <x:v>Independente</x:v>
      </x:c>
      <x:c r="F1270" s="168" t="str">
        <x:v>Singulare</x:v>
      </x:c>
      <x:c r="G1270" s="168" t="str">
        <x:v>QI CORRETORA DE TÍTULOS E VALORES MOBILIÁRIOS S.A.</x:v>
      </x:c>
      <x:c r="H1270" s="168" t="str">
        <x:v>Fomento Mercantil</x:v>
      </x:c>
      <x:c r="I1270" s="168" t="str">
        <x:v>Fomento Mercantil</x:v>
      </x:c>
      <x:c r="J1270" s="168" t="str">
        <x:v>CI</x:v>
      </x:c>
      <x:c r="K1270" s="174" t="n">
        <x:v>6</x:v>
      </x:c>
      <x:c r="L1270" s="187" t="str">
        <x:v>Não classificado</x:v>
      </x:c>
    </x:row>
    <x:row r="1271">
      <x:c r="A1271" s="177" t="str">
        <x:v>45.207.108/0001-98</x:v>
      </x:c>
      <x:c r="B1271" s="168" t="str">
        <x:v>KUARÁ SPECIAL SITUATIONS I FUNDO DE INVESTIMENTO EM DIREITOS CREDITÓRIOS NP RESPONSABILIDADE LIMITAD</x:v>
      </x:c>
      <x:c r="C1271" s="190" t="n">
        <x:v>78667659.09999998</x:v>
      </x:c>
      <x:c r="D1271" s="168" t="str">
        <x:v>Kuará Capital</x:v>
      </x:c>
      <x:c r="E1271" s="168" t="str">
        <x:f>IFERROR(INDEX('Classif Gestoras'!$H$6:$H$462,MATCH(D1271,'Classif Gestoras'!$A$6:$A$462,0)),"Não classificada")</x:f>
        <x:v>Independente</x:v>
      </x:c>
      <x:c r="F1271" s="168" t="str">
        <x:v>MONETAR DISTRIBUIDORA DE TITUL</x:v>
      </x:c>
      <x:c r="G1271" s="168" t="str">
        <x:v>TERRA INVESTIMENTOS DISTRIBUIDORA DE TITULOS E VALORES MOBILIARIOS LTDA</x:v>
      </x:c>
      <x:c r="H1271" s="168" t="str">
        <x:v>Outros</x:v>
      </x:c>
      <x:c r="I1271" s="168" t="str">
        <x:v>Multicarteira Outros</x:v>
      </x:c>
      <x:c r="J1271" s="168" t="str">
        <x:v>CI</x:v>
      </x:c>
      <x:c r="K1271" s="174" t="n">
        <x:v>32</x:v>
      </x:c>
      <x:c r="L1271" s="187" t="str">
        <x:v>Proxy multicedente/multissacado — revisar</x:v>
      </x:c>
    </x:row>
    <x:row r="1272">
      <x:c r="A1272" s="177" t="str">
        <x:v>63.882.747/0001-30</x:v>
      </x:c>
      <x:c r="B1272" s="168" t="str">
        <x:v>IFOOD PAGO CRÉDITO IV FUNDO DE INVESTIMENTO EM DIREITOS CREDITÓRIOS DE RESPONSABILIDADE LIMITADA</x:v>
      </x:c>
      <x:c r="C1272" s="190" t="n">
        <x:v>78657379.12</x:v>
      </x:c>
      <x:c r="D1272" s="168" t="str">
        <x:v>GENIAL GESTÃO LTDA.</x:v>
      </x:c>
      <x:c r="E1272" s="168" t="str">
        <x:f>IFERROR(INDEX('Classif Gestoras'!$H$6:$H$462,MATCH(D1272,'Classif Gestoras'!$A$6:$A$462,0)),"Não classificada")</x:f>
        <x:v>Ligada a banco</x:v>
      </x:c>
      <x:c r="F1272" s="168" t="str">
        <x:v>Genial Investimentos Corretora de Valores Mobiliários S.A.</x:v>
      </x:c>
      <x:c r="G1272" s="168" t="str">
        <x:v>BANCO GENIAL S.A.</x:v>
      </x:c>
      <x:c r="H1272" s="168" t="str">
        <x:v>Financeiro</x:v>
      </x:c>
      <x:c r="I1272" s="168" t="str">
        <x:v>Crédito Pessoal</x:v>
      </x:c>
      <x:c r="J1272" s="168" t="str">
        <x:v>CI</x:v>
      </x:c>
      <x:c r="K1272" s="174" t="n">
        <x:v>1</x:v>
      </x:c>
      <x:c r="L1272" s="187" t="str">
        <x:v>Não classificado</x:v>
      </x:c>
    </x:row>
    <x:row r="1273">
      <x:c r="A1273" s="177" t="str">
        <x:v>57.750.780/0001-04</x:v>
      </x:c>
      <x:c r="B1273" s="168" t="str">
        <x:v>CAPITÂNIA PORTFOLIO FUNDO DE INVESTIMENTO EM DIREITOS CREDITÓRIOS RESPONSABILIDADE LIMITADA</x:v>
      </x:c>
      <x:c r="C1273" s="190" t="n">
        <x:v>78640943.91999999</x:v>
      </x:c>
      <x:c r="D1273" s="168" t="str">
        <x:v>Capitânia Alternatives S/A</x:v>
      </x:c>
      <x:c r="E1273" s="168" t="str">
        <x:f>IFERROR(INDEX('Classif Gestoras'!$H$6:$H$462,MATCH(D1273,'Classif Gestoras'!$A$6:$A$462,0)),"Não classificada")</x:f>
        <x:v>Independente</x:v>
      </x:c>
      <x:c r="F1273" s="168" t="str">
        <x:v>BTG Pactual Servicos Financeiros S/A DTVM</x:v>
      </x:c>
      <x:c r="G1273" s="168" t="str">
        <x:v>BANCO BTG PACTUAL S/A</x:v>
      </x:c>
      <x:c r="H1273" s="168" t="str">
        <x:v>Outros</x:v>
      </x:c>
      <x:c r="I1273" s="168" t="str">
        <x:v>Multicarteira Outros</x:v>
      </x:c>
      <x:c r="J1273" s="168" t="str">
        <x:v>CI</x:v>
      </x:c>
      <x:c r="K1273" s="174" t="n">
        <x:v>13</x:v>
      </x:c>
      <x:c r="L1273" s="187" t="str">
        <x:v>Proxy multicedente/multissacado — revisar</x:v>
      </x:c>
    </x:row>
    <x:row r="1274">
      <x:c r="A1274" s="177" t="str">
        <x:v>63.947.144/0001-70</x:v>
      </x:c>
      <x:c r="B1274" s="168" t="str">
        <x:v>ST2 MASTER FUNDO DE INVESTIMENTO EM DIREITOS CREDITÓRIOS</x:v>
      </x:c>
      <x:c r="C1274" s="190" t="n">
        <x:v>78291944.38</x:v>
      </x:c>
      <x:c r="D1274" s="168" t="str">
        <x:v>Strata Capital</x:v>
      </x:c>
      <x:c r="E1274" s="168" t="str">
        <x:f>IFERROR(INDEX('Classif Gestoras'!$H$6:$H$462,MATCH(D1274,'Classif Gestoras'!$A$6:$A$462,0)),"Não classificada")</x:f>
        <x:v>Independente</x:v>
      </x:c>
      <x:c r="F1274" s="168" t="str">
        <x:v>BANCO DAYCOVAL S/A</x:v>
      </x:c>
      <x:c r="G1274" s="168" t="str">
        <x:v>BANCO DAYCOVAL S.A.</x:v>
      </x:c>
      <x:c r="H1274" s="168" t="str">
        <x:v>Outros</x:v>
      </x:c>
      <x:c r="I1274" s="168" t="str">
        <x:v>Multicarteira Outros</x:v>
      </x:c>
      <x:c r="J1274" s="168" t="str">
        <x:v>CI</x:v>
      </x:c>
      <x:c r="K1274" s="174" t="n">
        <x:v>3</x:v>
      </x:c>
      <x:c r="L1274" s="187" t="str">
        <x:v>Proxy multicedente/multissacado — revisar</x:v>
      </x:c>
    </x:row>
    <x:row r="1275">
      <x:c r="A1275" s="177" t="str">
        <x:v>31.368.761/0001-24</x:v>
      </x:c>
      <x:c r="B1275" s="168" t="str">
        <x:v>FUNDO DE INVESTIMENTO EM DIREITOS CREDITÓRIOS PAGBEM</x:v>
      </x:c>
      <x:c r="C1275" s="190" t="n">
        <x:v>78245274.16</x:v>
      </x:c>
      <x:c r="D1275" s="168" t="str">
        <x:v>REAG GESTÃO DE CRÉDITO</x:v>
      </x:c>
      <x:c r="E1275" s="168" t="str">
        <x:f>IFERROR(INDEX('Classif Gestoras'!$H$6:$H$462,MATCH(D1275,'Classif Gestoras'!$A$6:$A$462,0)),"Não classificada")</x:f>
        <x:v>Independente</x:v>
      </x:c>
      <x:c r="F1275" s="168" t="str">
        <x:v>Banvox DTVM</x:v>
      </x:c>
      <x:c r="G1275" s="168" t="str">
        <x:v>BANVOX DISTRIBUIDORA DE TITULOS E VALORES MOBILIARIOS LTDA</x:v>
      </x:c>
      <x:c r="H1275" s="168" t="str">
        <x:v>Agro, Indústria e Comércio</x:v>
      </x:c>
      <x:c r="I1275" s="168" t="str">
        <x:v>Recebíveis Comerciais</x:v>
      </x:c>
      <x:c r="J1275" s="168" t="str">
        <x:v>CI</x:v>
      </x:c>
      <x:c r="K1275" s="174" t="n">
        <x:v>29</x:v>
      </x:c>
      <x:c r="L1275" s="187" t="str">
        <x:v>Não classificado</x:v>
      </x:c>
    </x:row>
    <x:row r="1276">
      <x:c r="A1276" s="177" t="str">
        <x:v>48.967.719/0001-22</x:v>
      </x:c>
      <x:c r="B1276" s="168" t="str">
        <x:v>SOULPAY FUNDO DE INVESTIMENTO EM DIREITOS CREDITÓRIOS</x:v>
      </x:c>
      <x:c r="C1276" s="190" t="n">
        <x:v>78165366.93</x:v>
      </x:c>
      <x:c r="D1276" s="168" t="str">
        <x:v>Bless Capital Gestora de Recursos Ltda.</x:v>
      </x:c>
      <x:c r="E1276" s="168" t="str">
        <x:f>IFERROR(INDEX('Classif Gestoras'!$H$6:$H$462,MATCH(D1276,'Classif Gestoras'!$A$6:$A$462,0)),"Não classificada")</x:f>
        <x:v>Independente</x:v>
      </x:c>
      <x:c r="F1276" s="168" t="str">
        <x:v>Singulare</x:v>
      </x:c>
      <x:c r="G1276" s="168" t="str">
        <x:v>QI CORRETORA DE TÍTULOS E VALORES MOBILIÁRIOS S.A.</x:v>
      </x:c>
      <x:c r="H1276" s="168" t="str">
        <x:v>Agro, Indústria e Comércio</x:v>
      </x:c>
      <x:c r="I1276" s="168" t="str">
        <x:v>Recebíveis Comerciais</x:v>
      </x:c>
      <x:c r="J1276" s="168" t="str">
        <x:v>CI</x:v>
      </x:c>
      <x:c r="K1276" s="174" t="n">
        <x:v>3</x:v>
      </x:c>
      <x:c r="L1276" s="187" t="str">
        <x:v>Não classificado</x:v>
      </x:c>
    </x:row>
    <x:row r="1277">
      <x:c r="A1277" s="177" t="str">
        <x:v>57.584.003/0001-37</x:v>
      </x:c>
      <x:c r="B1277" s="168" t="str">
        <x:v>CACO3 II FUNDO DE INVESTIMENTO EM DIREITOS CREDITÓRIOS DE RESPONSABILIDADE LIMITADA</x:v>
      </x:c>
      <x:c r="C1277" s="190" t="n">
        <x:v>78160705.91000001</x:v>
      </x:c>
      <x:c r="D1277" s="168" t="str">
        <x:v>ORIZ ASSET MANAGEMENT LTDA.</x:v>
      </x:c>
      <x:c r="E1277" s="168" t="str">
        <x:f>IFERROR(INDEX('Classif Gestoras'!$H$6:$H$462,MATCH(D1277,'Classif Gestoras'!$A$6:$A$462,0)),"Não classificada")</x:f>
        <x:v>Independente</x:v>
      </x:c>
      <x:c r="F1277" s="168" t="str">
        <x:v>BANCO DAYCOVAL S/A</x:v>
      </x:c>
      <x:c r="G1277" s="168" t="str">
        <x:v>BANCO DAYCOVAL S.A.</x:v>
      </x:c>
      <x:c r="H1277" s="168" t="str">
        <x:v>Outros</x:v>
      </x:c>
      <x:c r="I1277" s="168" t="str">
        <x:v>Recuperação</x:v>
      </x:c>
      <x:c r="J1277" s="168" t="str">
        <x:v>CI</x:v>
      </x:c>
      <x:c r="K1277" s="174" t="n">
        <x:v>1</x:v>
      </x:c>
      <x:c r="L1277" s="187" t="str">
        <x:v>Não classificado</x:v>
      </x:c>
    </x:row>
    <x:row r="1278">
      <x:c r="A1278" s="177" t="str">
        <x:v>54.326.983/0001-80</x:v>
      </x:c>
      <x:c r="B1278" s="168" t="str">
        <x:v>ST 1007 FUNDO DE INVESTIMENTO EM DIREITOS CREDITÓRIOS RESPONSABILIDADE LIMITADA</x:v>
      </x:c>
      <x:c r="C1278" s="190" t="n">
        <x:v>78019593.68</x:v>
      </x:c>
      <x:c r="D1278" s="168" t="str">
        <x:v>Strata Capital</x:v>
      </x:c>
      <x:c r="E1278" s="168" t="str">
        <x:f>IFERROR(INDEX('Classif Gestoras'!$H$6:$H$462,MATCH(D1278,'Classif Gestoras'!$A$6:$A$462,0)),"Não classificada")</x:f>
        <x:v>Independente</x:v>
      </x:c>
      <x:c r="F1278" s="168" t="str">
        <x:v>BANCO DAYCOVAL S/A</x:v>
      </x:c>
      <x:c r="G1278" s="168" t="str">
        <x:v>BANCO DAYCOVAL S.A.</x:v>
      </x:c>
      <x:c r="H1278" s="168" t="str">
        <x:v>Financeiro</x:v>
      </x:c>
      <x:c r="I1278" s="168" t="str">
        <x:v>Multicarteira Financeiro</x:v>
      </x:c>
      <x:c r="J1278" s="168" t="str">
        <x:v>CI</x:v>
      </x:c>
      <x:c r="K1278" s="174" t="n">
        <x:v>2</x:v>
      </x:c>
      <x:c r="L1278" s="187" t="str">
        <x:v>Proxy multicedente/multissacado — revisar</x:v>
      </x:c>
    </x:row>
    <x:row r="1279">
      <x:c r="A1279" s="177" t="str">
        <x:v>64.156.127/0001-87</x:v>
      </x:c>
      <x:c r="B1279" s="168" t="str">
        <x:v>MEZZUS OPORTUNIDADES PRECATÓRIOS FUNDO DE INVESTIMENTO EM DIREITOS CREDITÓRIOS</x:v>
      </x:c>
      <x:c r="C1279" s="190" t="n">
        <x:v>77882390.71</x:v>
      </x:c>
      <x:c r="D1279" s="168" t="str">
        <x:v>Mezzus Capital</x:v>
      </x:c>
      <x:c r="E1279" s="168" t="str">
        <x:f>IFERROR(INDEX('Classif Gestoras'!$H$6:$H$462,MATCH(D1279,'Classif Gestoras'!$A$6:$A$462,0)),"Não classificada")</x:f>
        <x:v>Independente</x:v>
      </x:c>
      <x:c r="F1279" s="168" t="str">
        <x:v>BRL TRUST DTVM</x:v>
      </x:c>
      <x:c r="G1279" s="168" t="str">
        <x:v>BRL TRUST DISTRIBUIDORA DE TITULOS E VALORES MOBILIARIOS S.A.</x:v>
      </x:c>
      <x:c r="H1279" s="168" t="str">
        <x:v>Outros</x:v>
      </x:c>
      <x:c r="I1279" s="168" t="str">
        <x:v>Multicarteira Outros</x:v>
      </x:c>
      <x:c r="J1279" s="168" t="str">
        <x:v>CI</x:v>
      </x:c>
      <x:c r="K1279" s="174" t="n">
        <x:v>10</x:v>
      </x:c>
      <x:c r="L1279" s="187" t="str">
        <x:v>Proxy multicedente/multissacado — revisar</x:v>
      </x:c>
    </x:row>
    <x:row r="1280">
      <x:c r="A1280" s="177" t="str">
        <x:v>52.259.540/0001-98</x:v>
      </x:c>
      <x:c r="B1280" s="168" t="str">
        <x:v>SFT CI FUNDO DE INVESTIMENTO EM DIREITOS CREDITÓRIOS</x:v>
      </x:c>
      <x:c r="C1280" s="190" t="n">
        <x:v>77873847.02</x:v>
      </x:c>
      <x:c r="D1280" s="168" t="str">
        <x:v>M8 Partners</x:v>
      </x:c>
      <x:c r="E1280" s="168" t="str">
        <x:f>IFERROR(INDEX('Classif Gestoras'!$H$6:$H$462,MATCH(D1280,'Classif Gestoras'!$A$6:$A$462,0)),"Não classificada")</x:f>
        <x:v>Independente</x:v>
      </x:c>
      <x:c r="F1280" s="168" t="str">
        <x:v>Singulare</x:v>
      </x:c>
      <x:c r="G1280" s="168" t="str">
        <x:v>Não identificado</x:v>
      </x:c>
      <x:c r="H1280" s="168" t="str">
        <x:v>Fomento Mercantil</x:v>
      </x:c>
      <x:c r="I1280" s="168" t="str">
        <x:v>Fomento Mercantil</x:v>
      </x:c>
      <x:c r="J1280" s="168" t="str">
        <x:v>CI</x:v>
      </x:c>
      <x:c r="K1280" s="174" t="n">
        <x:v>14</x:v>
      </x:c>
      <x:c r="L1280" s="187" t="str">
        <x:v>Não classificado</x:v>
      </x:c>
    </x:row>
    <x:row r="1281">
      <x:c r="A1281" s="177" t="str">
        <x:v>13.004.286/0001-25</x:v>
      </x:c>
      <x:c r="B1281" s="168" t="str">
        <x:v>APOLO - FUNDO DE INVESTIMENTO EM DIREITOS CREDITÓRIOS MULTISEGMENTOS</x:v>
      </x:c>
      <x:c r="C1281" s="190" t="n">
        <x:v>77680766.63</x:v>
      </x:c>
      <x:c r="D1281" s="168" t="str">
        <x:v>Solis</x:v>
      </x:c>
      <x:c r="E1281" s="168" t="str">
        <x:f>IFERROR(INDEX('Classif Gestoras'!$H$6:$H$462,MATCH(D1281,'Classif Gestoras'!$A$6:$A$462,0)),"Não classificada")</x:f>
        <x:v>Independente</x:v>
      </x:c>
      <x:c r="F1281" s="168" t="str">
        <x:v>HEMERA DTVM</x:v>
      </x:c>
      <x:c r="G1281" s="168" t="str">
        <x:v>HEMERA DISTRIBUIDORA DE TITULOS E VALORES MOBILIARIOS LTDA</x:v>
      </x:c>
      <x:c r="H1281" s="168" t="str">
        <x:v>Fomento Mercantil</x:v>
      </x:c>
      <x:c r="I1281" s="168" t="str">
        <x:v>Fomento Mercantil</x:v>
      </x:c>
      <x:c r="J1281" s="168" t="str">
        <x:v>CI</x:v>
      </x:c>
      <x:c r="K1281" s="174" t="n">
        <x:v>5</x:v>
      </x:c>
      <x:c r="L1281" s="187" t="str">
        <x:v>Não classificado</x:v>
      </x:c>
    </x:row>
    <x:row r="1282">
      <x:c r="A1282" s="177" t="str">
        <x:v>49.815.200/0001-91</x:v>
      </x:c>
      <x:c r="B1282" s="168" t="str">
        <x:v>MSB LONGO PRAZO FUNDO DE INVESTIMENTO EM DIREITOS CREDITÓRIOS NÃO PADRONIZADOS</x:v>
      </x:c>
      <x:c r="C1282" s="190" t="n">
        <x:v>77421312.62</x:v>
      </x:c>
      <x:c r="D1282" s="168" t="str">
        <x:v>Multiplica Capital</x:v>
      </x:c>
      <x:c r="E1282" s="168" t="str">
        <x:f>IFERROR(INDEX('Classif Gestoras'!$H$6:$H$462,MATCH(D1282,'Classif Gestoras'!$A$6:$A$462,0)),"Não classificada")</x:f>
        <x:v>Independente</x:v>
      </x:c>
      <x:c r="F1282" s="168" t="str">
        <x:v>PLANNER CV</x:v>
      </x:c>
      <x:c r="G1282" s="168" t="str">
        <x:v>PLANNER CORRETORA DE VALORES S.A.</x:v>
      </x:c>
      <x:c r="H1282" s="168" t="str">
        <x:v>Fomento Mercantil</x:v>
      </x:c>
      <x:c r="I1282" s="168" t="str">
        <x:v>Fomento Mercantil</x:v>
      </x:c>
      <x:c r="J1282" s="168" t="str">
        <x:v>CI</x:v>
      </x:c>
      <x:c r="K1282" s="174" t="n">
        <x:v>2</x:v>
      </x:c>
      <x:c r="L1282" s="187" t="str">
        <x:v>Não classificado</x:v>
      </x:c>
    </x:row>
    <x:row r="1283">
      <x:c r="A1283" s="177" t="str">
        <x:v>55.304.169/0001-27</x:v>
      </x:c>
      <x:c r="B1283" s="168" t="str">
        <x:v>DIAMANTE 44 CRÉDITOS JUDICIAIS FUNDO DE INVESTIMENTO EM DIREITOS CREDITÓRIOS</x:v>
      </x:c>
      <x:c r="C1283" s="190" t="n">
        <x:v>77169816.22</x:v>
      </x:c>
      <x:c r="D1283" s="168" t="str">
        <x:v>BURITI INVESTIMENTOS</x:v>
      </x:c>
      <x:c r="E1283" s="168" t="str">
        <x:f>IFERROR(INDEX('Classif Gestoras'!$H$6:$H$462,MATCH(D1283,'Classif Gestoras'!$A$6:$A$462,0)),"Não classificada")</x:f>
        <x:v>Independente</x:v>
      </x:c>
      <x:c r="F1283" s="168" t="str">
        <x:v>BTG Pactual Servicos Financeiros S/A DTVM</x:v>
      </x:c>
      <x:c r="G1283" s="168" t="str">
        <x:v>BANCO BTG PACTUAL S/A</x:v>
      </x:c>
      <x:c r="H1283" s="168" t="str">
        <x:v>Outros</x:v>
      </x:c>
      <x:c r="I1283" s="168" t="str">
        <x:v>Poder Público</x:v>
      </x:c>
      <x:c r="J1283" s="168" t="str">
        <x:v>CI</x:v>
      </x:c>
      <x:c r="K1283" s="174" t="n">
        <x:v>4</x:v>
      </x:c>
      <x:c r="L1283" s="187" t="str">
        <x:v>Não classificado</x:v>
      </x:c>
    </x:row>
    <x:row r="1284">
      <x:c r="A1284" s="177" t="str">
        <x:v>63.482.686/0001-14</x:v>
      </x:c>
      <x:c r="B1284" s="168" t="str">
        <x:v>RESOLVE CAPITAL FIDC MULTICARTEIRA FINANCEIRO - RESP LIMITADA</x:v>
      </x:c>
      <x:c r="C1284" s="190" t="n">
        <x:v>76971168.61</x:v>
      </x:c>
      <x:c r="D1284" s="168" t="str">
        <x:v>ARTESANAL FINANCEIRO</x:v>
      </x:c>
      <x:c r="E1284" s="168" t="str">
        <x:f>IFERROR(INDEX('Classif Gestoras'!$H$6:$H$462,MATCH(D1284,'Classif Gestoras'!$A$6:$A$462,0)),"Não classificada")</x:f>
        <x:v>Independente</x:v>
      </x:c>
      <x:c r="F1284" s="168" t="str">
        <x:v>Genial Investimentos Corretora de Valores Mobiliários S.A.</x:v>
      </x:c>
      <x:c r="G1284" s="168" t="str">
        <x:v>BANCO GENIAL S.A.</x:v>
      </x:c>
      <x:c r="H1284" s="168" t="str">
        <x:v>Financeiro</x:v>
      </x:c>
      <x:c r="I1284" s="168" t="str">
        <x:v>Multicarteira Financeiro</x:v>
      </x:c>
      <x:c r="J1284" s="168" t="str">
        <x:v>CI</x:v>
      </x:c>
      <x:c r="K1284" s="174" t="n">
        <x:v>11</x:v>
      </x:c>
      <x:c r="L1284" s="187" t="str">
        <x:v>Proxy multicedente/multissacado — revisar</x:v>
      </x:c>
    </x:row>
    <x:row r="1285">
      <x:c r="A1285" s="177" t="str">
        <x:v>46.285.154/0001-78</x:v>
      </x:c>
      <x:c r="B1285" s="168" t="str">
        <x:v>AZURE CONSIGNADOS FUNDO DE INVESTIMENTO EM DIREITOS CREDITÓRIOS - RESPONSABILIDADE LIMITADA</x:v>
      </x:c>
      <x:c r="C1285" s="190" t="n">
        <x:v>76953288.83999999</x:v>
      </x:c>
      <x:c r="D1285" s="168" t="str">
        <x:v>Apuama Capital</x:v>
      </x:c>
      <x:c r="E1285" s="168" t="str">
        <x:f>IFERROR(INDEX('Classif Gestoras'!$H$6:$H$462,MATCH(D1285,'Classif Gestoras'!$A$6:$A$462,0)),"Não classificada")</x:f>
        <x:v>Independente</x:v>
      </x:c>
      <x:c r="F1285" s="168" t="str">
        <x:v>BANCO DAYCOVAL S/A</x:v>
      </x:c>
      <x:c r="G1285" s="168" t="str">
        <x:v>BANCO DAYCOVAL S.A.</x:v>
      </x:c>
      <x:c r="H1285" s="168" t="str">
        <x:v>Financeiro</x:v>
      </x:c>
      <x:c r="I1285" s="168" t="str">
        <x:v>Crédito Consignado</x:v>
      </x:c>
      <x:c r="J1285" s="168" t="str">
        <x:v>CI</x:v>
      </x:c>
      <x:c r="K1285" s="174" t="n">
        <x:v>48</x:v>
      </x:c>
      <x:c r="L1285" s="187" t="str">
        <x:v>Não classificado</x:v>
      </x:c>
    </x:row>
    <x:row r="1286">
      <x:c r="A1286" s="177" t="str">
        <x:v>32.948.668/0001-51</x:v>
      </x:c>
      <x:c r="B1286" s="168" t="str">
        <x:v>G5 CRÉDITOS CONDOMINIAIS FUNDO DE INVESTIMENTO EM DIREITOS CREDITÓRIOS - NÃO PADRONIZADOS</x:v>
      </x:c>
      <x:c r="C1286" s="190" t="n">
        <x:v>76827853.83</x:v>
      </x:c>
      <x:c r="D1286" s="168" t="str">
        <x:v>G5 Adm. de Recursos</x:v>
      </x:c>
      <x:c r="E1286" s="168" t="str">
        <x:f>IFERROR(INDEX('Classif Gestoras'!$H$6:$H$462,MATCH(D1286,'Classif Gestoras'!$A$6:$A$462,0)),"Não classificada")</x:f>
        <x:v>Independente</x:v>
      </x:c>
      <x:c r="F1286" s="168" t="str">
        <x:v>Singulare</x:v>
      </x:c>
      <x:c r="G1286" s="168" t="str">
        <x:v>QI CORRETORA DE TÍTULOS E VALORES MOBILIÁRIOS S.A.</x:v>
      </x:c>
      <x:c r="H1286" s="168" t="str">
        <x:v>Outros</x:v>
      </x:c>
      <x:c r="I1286" s="168" t="str">
        <x:v>Recuperação</x:v>
      </x:c>
      <x:c r="J1286" s="168" t="str">
        <x:v>CI</x:v>
      </x:c>
      <x:c r="K1286" s="174" t="n">
        <x:v>1</x:v>
      </x:c>
      <x:c r="L1286" s="187" t="str">
        <x:v>Não classificado</x:v>
      </x:c>
    </x:row>
    <x:row r="1287">
      <x:c r="A1287" s="177" t="str">
        <x:v>62.546.276/0001-27</x:v>
      </x:c>
      <x:c r="B1287" s="168" t="str">
        <x:v>ASHER CONSIGNADO FUNDO DE INVESTIMENTOS EM DIREITOS CREDITÓRIOS RESPONSABILIDADE LIMITADA</x:v>
      </x:c>
      <x:c r="C1287" s="190" t="n">
        <x:v>76456754.28</x:v>
      </x:c>
      <x:c r="D1287" s="168" t="str">
        <x:v>EXA CAPITAL ASSET</x:v>
      </x:c>
      <x:c r="E1287" s="168" t="str">
        <x:f>IFERROR(INDEX('Classif Gestoras'!$H$6:$H$462,MATCH(D1287,'Classif Gestoras'!$A$6:$A$462,0)),"Não classificada")</x:f>
        <x:v>Independente</x:v>
      </x:c>
      <x:c r="F1287" s="168" t="str">
        <x:v>BRL TRUST DTVM</x:v>
      </x:c>
      <x:c r="G1287" s="168" t="str">
        <x:v>BRL TRUST DISTRIBUIDORA DE TITULOS E VALORES MOBILIARIOS S.A.</x:v>
      </x:c>
      <x:c r="H1287" s="168" t="str">
        <x:v>Financeiro</x:v>
      </x:c>
      <x:c r="I1287" s="168" t="str">
        <x:v>Crédito Consignado</x:v>
      </x:c>
      <x:c r="J1287" s="168" t="str">
        <x:v>CI</x:v>
      </x:c>
      <x:c r="K1287" s="174" t="n">
        <x:v>24</x:v>
      </x:c>
      <x:c r="L1287" s="187" t="str">
        <x:v>Não classificado</x:v>
      </x:c>
    </x:row>
    <x:row r="1288">
      <x:c r="A1288" s="177" t="str">
        <x:v>61.163.933/0001-94</x:v>
      </x:c>
      <x:c r="B1288" s="168" t="str">
        <x:v>PÁTRIA - G5 CRÉDITO ESTRUTURADO FUNDO DE INVESTIMENTO EM DIREITOS CREDITÓRIOS</x:v>
      </x:c>
      <x:c r="C1288" s="190" t="n">
        <x:v>76324703.86</x:v>
      </x:c>
      <x:c r="D1288" s="168" t="str">
        <x:v>Pátria Investimentos Ltda.</x:v>
      </x:c>
      <x:c r="E1288" s="168" t="str">
        <x:f>IFERROR(INDEX('Classif Gestoras'!$H$6:$H$462,MATCH(D1288,'Classif Gestoras'!$A$6:$A$462,0)),"Não classificada")</x:f>
        <x:v>Independente</x:v>
      </x:c>
      <x:c r="F1288" s="168" t="str">
        <x:v>BTG Pactual Servicos Financeiros S/A DTVM</x:v>
      </x:c>
      <x:c r="G1288" s="168" t="str">
        <x:v>BANCO BTG PACTUAL S/A</x:v>
      </x:c>
      <x:c r="H1288" s="168" t="str">
        <x:v>Outros</x:v>
      </x:c>
      <x:c r="I1288" s="168" t="str">
        <x:v>Multicarteira Outros</x:v>
      </x:c>
      <x:c r="J1288" s="168" t="str">
        <x:v>CI</x:v>
      </x:c>
      <x:c r="K1288" s="174" t="n">
        <x:v>6</x:v>
      </x:c>
      <x:c r="L1288" s="187" t="str">
        <x:v>Proxy multicedente/multissacado — revisar</x:v>
      </x:c>
    </x:row>
    <x:row r="1289">
      <x:c r="A1289" s="177" t="str">
        <x:v>52.322.327/0001-83</x:v>
      </x:c>
      <x:c r="B1289" s="168" t="str">
        <x:v>GOLDEN STONE II FUNDO DE INVESTIMENTO EM DIREITOS CREDITÓRIOS MULTISSETORIAL</x:v>
      </x:c>
      <x:c r="C1289" s="190" t="n">
        <x:v>76315993.38000001</x:v>
      </x:c>
      <x:c r="D1289" s="168" t="str">
        <x:v>NOVA OCCAM BRASIL GESTÃO DE RECURSOS LTDA.</x:v>
      </x:c>
      <x:c r="E1289" s="168" t="str">
        <x:f>IFERROR(INDEX('Classif Gestoras'!$H$6:$H$462,MATCH(D1289,'Classif Gestoras'!$A$6:$A$462,0)),"Não classificada")</x:f>
        <x:v>Independente</x:v>
      </x:c>
      <x:c r="F1289" s="168" t="str">
        <x:v>Singulare</x:v>
      </x:c>
      <x:c r="G1289" s="168" t="str">
        <x:v>QI CORRETORA DE TÍTULOS E VALORES MOBILIÁRIOS S.A.</x:v>
      </x:c>
      <x:c r="H1289" s="168" t="str">
        <x:v>Fomento Mercantil</x:v>
      </x:c>
      <x:c r="I1289" s="168" t="str">
        <x:v>Fomento Mercantil</x:v>
      </x:c>
      <x:c r="J1289" s="168" t="str">
        <x:v>CI</x:v>
      </x:c>
      <x:c r="K1289" s="174" t="n">
        <x:v>1</x:v>
      </x:c>
      <x:c r="L1289" s="187" t="str">
        <x:v>Não classificado</x:v>
      </x:c>
    </x:row>
    <x:row r="1290">
      <x:c r="A1290" s="177" t="str">
        <x:v>57.053.395/0001-08</x:v>
      </x:c>
      <x:c r="B1290" s="168" t="str">
        <x:v>AGROCANA FUNDO DE INVESTIMENTO EM DIREITOS CREDITÓRIOS - RESPONSABILIDADE LIMITADA</x:v>
      </x:c>
      <x:c r="C1290" s="190" t="n">
        <x:v>76315846.62</x:v>
      </x:c>
      <x:c r="D1290" s="168" t="str">
        <x:v>VALORA IMOBILIÁRIO E INFRAESTRUTURA LTDA</x:v>
      </x:c>
      <x:c r="E1290" s="168" t="str">
        <x:f>IFERROR(INDEX('Classif Gestoras'!$H$6:$H$462,MATCH(D1290,'Classif Gestoras'!$A$6:$A$462,0)),"Não classificada")</x:f>
        <x:v>Independente</x:v>
      </x:c>
      <x:c r="F1290" s="168" t="str">
        <x:v>Limine Trust Distribuidora de Titulos e Valores Mobiliá</x:v>
      </x:c>
      <x:c r="G1290" s="168" t="str">
        <x:v>LIMINE TRUST DISTRIBUIDORA DE TITULOS E VALORES MOBILIARIOS LTDA.</x:v>
      </x:c>
      <x:c r="H1290" s="168" t="str">
        <x:v>Agro, Indústria e Comércio</x:v>
      </x:c>
      <x:c r="I1290" s="168" t="str">
        <x:v>Agronegócio</x:v>
      </x:c>
      <x:c r="J1290" s="168" t="str">
        <x:v>CI</x:v>
      </x:c>
      <x:c r="K1290" s="174" t="n">
        <x:v>5</x:v>
      </x:c>
      <x:c r="L1290" s="187" t="str">
        <x:v>Não classificado</x:v>
      </x:c>
    </x:row>
    <x:row r="1291">
      <x:c r="A1291" s="177" t="str">
        <x:v>38.168.015/0001-36</x:v>
      </x:c>
      <x:c r="B1291" s="168" t="str">
        <x:v>AVANTI FUNDO DE INVESTIMENTO EM DIREITOS CREDITÓRIOS</x:v>
      </x:c>
      <x:c r="C1291" s="190" t="n">
        <x:v>76219667.21</x:v>
      </x:c>
      <x:c r="D1291" s="168" t="str">
        <x:v>Milênio Capital</x:v>
      </x:c>
      <x:c r="E1291" s="168" t="str">
        <x:f>IFERROR(INDEX('Classif Gestoras'!$H$6:$H$462,MATCH(D1291,'Classif Gestoras'!$A$6:$A$462,0)),"Não classificada")</x:f>
        <x:v>Independente</x:v>
      </x:c>
      <x:c r="F1291" s="168" t="str">
        <x:v>Singulare</x:v>
      </x:c>
      <x:c r="G1291" s="168" t="str">
        <x:v>QI CORRETORA DE TÍTULOS E VALORES MOBILIÁRIOS S.A.</x:v>
      </x:c>
      <x:c r="H1291" s="168" t="str">
        <x:v>Outros</x:v>
      </x:c>
      <x:c r="I1291" s="168" t="str">
        <x:v>Multicarteira Outros</x:v>
      </x:c>
      <x:c r="J1291" s="168" t="str">
        <x:v>CI</x:v>
      </x:c>
      <x:c r="K1291" s="174" t="n">
        <x:v>13</x:v>
      </x:c>
      <x:c r="L1291" s="187" t="str">
        <x:v>Proxy multicedente/multissacado — revisar</x:v>
      </x:c>
    </x:row>
    <x:row r="1292">
      <x:c r="A1292" s="177" t="str">
        <x:v>48.946.335/0001-23</x:v>
      </x:c>
      <x:c r="B1292" s="168" t="str">
        <x:v>CNPJ 48946335000123</x:v>
      </x:c>
      <x:c r="C1292" s="190" t="n">
        <x:v>76200738.78</x:v>
      </x:c>
      <x:c r="D1292" s="168" t="str">
        <x:v>Oikos Capital</x:v>
      </x:c>
      <x:c r="E1292" s="168" t="str">
        <x:f>IFERROR(INDEX('Classif Gestoras'!$H$6:$H$462,MATCH(D1292,'Classif Gestoras'!$A$6:$A$462,0)),"Não classificada")</x:f>
        <x:v>Independente</x:v>
      </x:c>
      <x:c r="F1292" s="168" t="str">
        <x:v>VÓRTX DTVM</x:v>
      </x:c>
      <x:c r="G1292" s="168" t="str">
        <x:v>Não identificado</x:v>
      </x:c>
      <x:c r="H1292" s="168" t="str">
        <x:v>Agro, Indústria e Comércio</x:v>
      </x:c>
      <x:c r="I1292" s="168" t="str">
        <x:v>Recebíveis Comerciais</x:v>
      </x:c>
      <x:c r="J1292" s="168" t="str">
        <x:v>CI</x:v>
      </x:c>
      <x:c r="K1292" s="174"/>
      <x:c r="L1292" s="187" t="str">
        <x:v>Não classificado</x:v>
      </x:c>
    </x:row>
    <x:row r="1293">
      <x:c r="A1293" s="177" t="str">
        <x:v>39.809.526/0001-52</x:v>
      </x:c>
      <x:c r="B1293" s="168" t="str">
        <x:v>FEGIK FOZ FUNDO DE INVESTIMENTO EM DIREITOS CREDITÓRIOS - RESPONSABILIDADE LIMITADA</x:v>
      </x:c>
      <x:c r="C1293" s="190" t="n">
        <x:v>76144373.1</x:v>
      </x:c>
      <x:c r="D1293" s="168" t="str">
        <x:v>Evolve Capital Gestão de Recursos LTDA</x:v>
      </x:c>
      <x:c r="E1293" s="168" t="str">
        <x:f>IFERROR(INDEX('Classif Gestoras'!$H$6:$H$462,MATCH(D1293,'Classif Gestoras'!$A$6:$A$462,0)),"Não classificada")</x:f>
        <x:v>Independente</x:v>
      </x:c>
      <x:c r="F1293" s="168" t="str">
        <x:v>BANCO DAYCOVAL S/A</x:v>
      </x:c>
      <x:c r="G1293" s="168" t="str">
        <x:v>BANCO DAYCOVAL S.A.</x:v>
      </x:c>
      <x:c r="H1293" s="168" t="str">
        <x:v>Financeiro</x:v>
      </x:c>
      <x:c r="I1293" s="168" t="str">
        <x:v>Crédito Imobiliário</x:v>
      </x:c>
      <x:c r="J1293" s="168" t="str">
        <x:v>CI</x:v>
      </x:c>
      <x:c r="K1293" s="174" t="n">
        <x:v>1</x:v>
      </x:c>
      <x:c r="L1293" s="187" t="str">
        <x:v>Não classificado</x:v>
      </x:c>
    </x:row>
    <x:row r="1294">
      <x:c r="A1294" s="177" t="str">
        <x:v>29.236.389/0001-50</x:v>
      </x:c>
      <x:c r="B1294" s="168" t="str">
        <x:v>TREVYS FUNDO DE INVESTIMENTO EM DIREITOS CREDITORIOS</x:v>
      </x:c>
      <x:c r="C1294" s="190" t="n">
        <x:v>76048020.49999999</x:v>
      </x:c>
      <x:c r="D1294" s="168" t="str">
        <x:v>TERCON ASSET MANAGEMENT</x:v>
      </x:c>
      <x:c r="E1294" s="168" t="str">
        <x:f>IFERROR(INDEX('Classif Gestoras'!$H$6:$H$462,MATCH(D1294,'Classif Gestoras'!$A$6:$A$462,0)),"Não classificada")</x:f>
        <x:v>Independente</x:v>
      </x:c>
      <x:c r="F1294" s="168" t="str">
        <x:v>Singulare</x:v>
      </x:c>
      <x:c r="G1294" s="168" t="str">
        <x:v>QI CORRETORA DE TÍTULOS E VALORES MOBILIÁRIOS S.A.</x:v>
      </x:c>
      <x:c r="H1294" s="168" t="str">
        <x:v>Fomento Mercantil</x:v>
      </x:c>
      <x:c r="I1294" s="168" t="str">
        <x:v>Fomento Mercantil</x:v>
      </x:c>
      <x:c r="J1294" s="168" t="str">
        <x:v>CI</x:v>
      </x:c>
      <x:c r="K1294" s="174" t="n">
        <x:v>19</x:v>
      </x:c>
      <x:c r="L1294" s="187" t="str">
        <x:v>Não classificado</x:v>
      </x:c>
    </x:row>
    <x:row r="1295">
      <x:c r="A1295" s="177" t="str">
        <x:v>28.880.400/0001-58</x:v>
      </x:c>
      <x:c r="B1295" s="168" t="str">
        <x:v>GRAN CAPITAL FUNDO DE INVESTIMENTO EM DIREITOS CREDITÓRIOS RESPONSABILIDADE LIMITADA</x:v>
      </x:c>
      <x:c r="C1295" s="190" t="n">
        <x:v>75924450.69000001</x:v>
      </x:c>
      <x:c r="D1295" s="168" t="str">
        <x:v>Libertas Asset</x:v>
      </x:c>
      <x:c r="E1295" s="168" t="str">
        <x:f>IFERROR(INDEX('Classif Gestoras'!$H$6:$H$462,MATCH(D1295,'Classif Gestoras'!$A$6:$A$462,0)),"Não classificada")</x:f>
        <x:v>Independente</x:v>
      </x:c>
      <x:c r="F1295" s="168" t="str">
        <x:v>ACTUAL DTVM</x:v>
      </x:c>
      <x:c r="G1295" s="168" t="str">
        <x:v>TRUSTEE DISTRIBUIDORA DE TITULOS E VALORES MOBILIARIOS LTDA.</x:v>
      </x:c>
      <x:c r="H1295" s="168" t="str">
        <x:v>Fomento Mercantil</x:v>
      </x:c>
      <x:c r="I1295" s="168" t="str">
        <x:v>Fomento Mercantil</x:v>
      </x:c>
      <x:c r="J1295" s="168" t="str">
        <x:v>CI</x:v>
      </x:c>
      <x:c r="K1295" s="174" t="n">
        <x:v>1</x:v>
      </x:c>
      <x:c r="L1295" s="187" t="str">
        <x:v>Não classificado</x:v>
      </x:c>
    </x:row>
    <x:row r="1296">
      <x:c r="A1296" s="177" t="str">
        <x:v>45.880.965/0001-54</x:v>
      </x:c>
      <x:c r="B1296" s="168" t="str">
        <x:v>FUNDO DE INVESTIMENTO EM DIREITOS CREDITÓRIOS SANTAFUSVE RESPONSABILIDADE LIMITADA</x:v>
      </x:c>
      <x:c r="C1296" s="190" t="n">
        <x:v>75854880.97999999</x:v>
      </x:c>
      <x:c r="D1296" s="168" t="str">
        <x:v>VERT Gestora de Recursos Financeiros Ltda.</x:v>
      </x:c>
      <x:c r="E1296" s="168" t="str">
        <x:f>IFERROR(INDEX('Classif Gestoras'!$H$6:$H$462,MATCH(D1296,'Classif Gestoras'!$A$6:$A$462,0)),"Não classificada")</x:f>
        <x:v>Independente</x:v>
      </x:c>
      <x:c r="F1296" s="168" t="str">
        <x:v>Oliveira Trust DTVM</x:v>
      </x:c>
      <x:c r="G1296" s="168" t="str">
        <x:v>OLIVEIRA TRUST DTVM S.A.</x:v>
      </x:c>
      <x:c r="H1296" s="168" t="str">
        <x:v>Financeiro</x:v>
      </x:c>
      <x:c r="I1296" s="168" t="str">
        <x:v>Crédito Pessoal</x:v>
      </x:c>
      <x:c r="J1296" s="168" t="str">
        <x:v>CI</x:v>
      </x:c>
      <x:c r="K1296" s="174" t="n">
        <x:v>2</x:v>
      </x:c>
      <x:c r="L1296" s="187" t="str">
        <x:v>Não classificado</x:v>
      </x:c>
    </x:row>
    <x:row r="1297">
      <x:c r="A1297" s="177" t="str">
        <x:v>41.196.339/0001-92</x:v>
      </x:c>
      <x:c r="B1297" s="168" t="str">
        <x:v>SYNGENTA TECH I FUNDO DE INVESTIMENTO EM DIREITOS CREDITÓRIOS DE RESPONSABILIDADE ILIMITADA</x:v>
      </x:c>
      <x:c r="C1297" s="190" t="n">
        <x:v>75847096.33999999</x:v>
      </x:c>
      <x:c r="D1297" s="168" t="str">
        <x:v>Eco Gestão de Ativos LTDA.</x:v>
      </x:c>
      <x:c r="E1297" s="168" t="str">
        <x:f>IFERROR(INDEX('Classif Gestoras'!$H$6:$H$462,MATCH(D1297,'Classif Gestoras'!$A$6:$A$462,0)),"Não classificada")</x:f>
        <x:v>Independente</x:v>
      </x:c>
      <x:c r="F1297" s="168" t="str">
        <x:v>BANCO DAYCOVAL S/A</x:v>
      </x:c>
      <x:c r="G1297" s="168" t="str">
        <x:v>BANCO DAYCOVAL S.A.</x:v>
      </x:c>
      <x:c r="H1297" s="168" t="str">
        <x:v>Agro, Indústria e Comércio</x:v>
      </x:c>
      <x:c r="I1297" s="168" t="str">
        <x:v>Agronegócio</x:v>
      </x:c>
      <x:c r="J1297" s="168" t="str">
        <x:v>CI</x:v>
      </x:c>
      <x:c r="K1297" s="174" t="n">
        <x:v>4</x:v>
      </x:c>
      <x:c r="L1297" s="187" t="str">
        <x:v>Não classificado</x:v>
      </x:c>
    </x:row>
    <x:row r="1298">
      <x:c r="A1298" s="177" t="str">
        <x:v>18.387.112/0001-02</x:v>
      </x:c>
      <x:c r="B1298" s="168" t="str">
        <x:v>FUNDO DE INVESTIMENTO EM DIREITOS CREDITORIOS ONIX PRIME</x:v>
      </x:c>
      <x:c r="C1298" s="190" t="n">
        <x:v>75807656.49</x:v>
      </x:c>
      <x:c r="D1298" s="168" t="str">
        <x:v>TERCON ASSET MANAGEMENT</x:v>
      </x:c>
      <x:c r="E1298" s="168" t="str">
        <x:f>IFERROR(INDEX('Classif Gestoras'!$H$6:$H$462,MATCH(D1298,'Classif Gestoras'!$A$6:$A$462,0)),"Não classificada")</x:f>
        <x:v>Independente</x:v>
      </x:c>
      <x:c r="F1298" s="168" t="str">
        <x:v>Singulare</x:v>
      </x:c>
      <x:c r="G1298" s="168" t="str">
        <x:v>QI CORRETORA DE TÍTULOS E VALORES MOBILIÁRIOS S.A.</x:v>
      </x:c>
      <x:c r="H1298" s="168" t="str">
        <x:v>Fomento Mercantil</x:v>
      </x:c>
      <x:c r="I1298" s="168" t="str">
        <x:v>Fomento Mercantil</x:v>
      </x:c>
      <x:c r="J1298" s="168" t="str">
        <x:v>CI</x:v>
      </x:c>
      <x:c r="K1298" s="174" t="n">
        <x:v>58</x:v>
      </x:c>
      <x:c r="L1298" s="187" t="str">
        <x:v>Não classificado</x:v>
      </x:c>
    </x:row>
    <x:row r="1299">
      <x:c r="A1299" s="177" t="str">
        <x:v>42.404.812/0001-42</x:v>
      </x:c>
      <x:c r="B1299" s="168" t="str">
        <x:v>GRUPO H FUNDO DE INVESTIMENTO EM DIREITOS CREDITÓRIOS</x:v>
      </x:c>
      <x:c r="C1299" s="190" t="n">
        <x:v>75688522.36</x:v>
      </x:c>
      <x:c r="D1299" s="168" t="str">
        <x:v>F3 ROCK</x:v>
      </x:c>
      <x:c r="E1299" s="168" t="str">
        <x:f>IFERROR(INDEX('Classif Gestoras'!$H$6:$H$462,MATCH(D1299,'Classif Gestoras'!$A$6:$A$462,0)),"Não classificada")</x:f>
        <x:v>Independente</x:v>
      </x:c>
      <x:c r="F1299" s="168" t="str">
        <x:v>VÓRTX DTVM</x:v>
      </x:c>
      <x:c r="G1299" s="168" t="str">
        <x:v>VORTX DISTRIBUIDORA DE TITULOS E VALORES MOBILIARIOS LTDA.</x:v>
      </x:c>
      <x:c r="H1299" s="168" t="str">
        <x:v>Outros</x:v>
      </x:c>
      <x:c r="I1299" s="168" t="str">
        <x:v>Multicarteira Outros</x:v>
      </x:c>
      <x:c r="J1299" s="168" t="str">
        <x:v>CI</x:v>
      </x:c>
      <x:c r="K1299" s="174" t="n">
        <x:v>5</x:v>
      </x:c>
      <x:c r="L1299" s="187" t="str">
        <x:v>Proxy multicedente/multissacado — revisar</x:v>
      </x:c>
    </x:row>
    <x:row r="1300">
      <x:c r="A1300" s="177" t="str">
        <x:v>53.167.853/0001-89</x:v>
      </x:c>
      <x:c r="B1300" s="168" t="str">
        <x:v>AMENDOEIRA FUNDO DE INVESTIMENTO EM DIREITOS CREDITÓRIOS - RESPONSABILIDADE LIMITADA</x:v>
      </x:c>
      <x:c r="C1300" s="190" t="n">
        <x:v>75399914.99</x:v>
      </x:c>
      <x:c r="D1300" s="168" t="str">
        <x:v>BURITI INVESTIMENTOS</x:v>
      </x:c>
      <x:c r="E1300" s="168" t="str">
        <x:f>IFERROR(INDEX('Classif Gestoras'!$H$6:$H$462,MATCH(D1300,'Classif Gestoras'!$A$6:$A$462,0)),"Não classificada")</x:f>
        <x:v>Independente</x:v>
      </x:c>
      <x:c r="F1300" s="168" t="str">
        <x:v>Singulare</x:v>
      </x:c>
      <x:c r="G1300" s="168" t="str">
        <x:v>QI CORRETORA DE TÍTULOS E VALORES MOBILIÁRIOS S.A.</x:v>
      </x:c>
      <x:c r="H1300" s="168" t="str">
        <x:v>Outros</x:v>
      </x:c>
      <x:c r="I1300" s="168" t="str">
        <x:v>Multicarteira Outros</x:v>
      </x:c>
      <x:c r="J1300" s="168" t="str">
        <x:v>CI</x:v>
      </x:c>
      <x:c r="K1300" s="174" t="n">
        <x:v>7</x:v>
      </x:c>
      <x:c r="L1300" s="187" t="str">
        <x:v>Proxy multicedente/multissacado — revisar</x:v>
      </x:c>
    </x:row>
    <x:row r="1301">
      <x:c r="A1301" s="177" t="str">
        <x:v>37.021.468/0001-72</x:v>
      </x:c>
      <x:c r="B1301" s="168" t="str">
        <x:v>PORTLAND CRÉDITOS JUDICIAIS FUNDO DE INVESTIMENTO EM DIREITOS CREDITÓRIOS</x:v>
      </x:c>
      <x:c r="C1301" s="190" t="n">
        <x:v>75324426.05039999</x:v>
      </x:c>
      <x:c r="D1301" s="168" t="str">
        <x:v>Quadra Gestão de Recursos S.A.</x:v>
      </x:c>
      <x:c r="E1301" s="168" t="str">
        <x:f>IFERROR(INDEX('Classif Gestoras'!$H$6:$H$462,MATCH(D1301,'Classif Gestoras'!$A$6:$A$462,0)),"Não classificada")</x:f>
        <x:v>Independente</x:v>
      </x:c>
      <x:c r="F1301" s="168" t="str">
        <x:v>BTG Pactual Servicos Financeiros S/A DTVM</x:v>
      </x:c>
      <x:c r="G1301" s="168" t="str">
        <x:v>BANCO BTG PACTUAL S/A</x:v>
      </x:c>
      <x:c r="H1301" s="168" t="str">
        <x:v>Outros</x:v>
      </x:c>
      <x:c r="I1301" s="168" t="str">
        <x:v>Multicarteira Outros</x:v>
      </x:c>
      <x:c r="J1301" s="168" t="str">
        <x:v>CI</x:v>
      </x:c>
      <x:c r="K1301" s="174" t="n">
        <x:v>4</x:v>
      </x:c>
      <x:c r="L1301" s="187" t="str">
        <x:v>Proxy multicedente/multissacado — revisar</x:v>
      </x:c>
    </x:row>
    <x:row r="1302">
      <x:c r="A1302" s="177" t="str">
        <x:v>42.273.967/0001-97</x:v>
      </x:c>
      <x:c r="B1302" s="168" t="str">
        <x:v>PLETORA FUNDO DE INVESTIMENTO EM DIREITOS CREDITORIOS</x:v>
      </x:c>
      <x:c r="C1302" s="190" t="n">
        <x:v>75282908.4</x:v>
      </x:c>
      <x:c r="D1302" s="168" t="str">
        <x:v>Renova Gestora</x:v>
      </x:c>
      <x:c r="E1302" s="168" t="str">
        <x:f>IFERROR(INDEX('Classif Gestoras'!$H$6:$H$462,MATCH(D1302,'Classif Gestoras'!$A$6:$A$462,0)),"Não classificada")</x:f>
        <x:v>Independente</x:v>
      </x:c>
      <x:c r="F1302" s="168" t="str">
        <x:v>Limine Trust Distribuidora de Titulos e Valores Mobiliá</x:v>
      </x:c>
      <x:c r="G1302" s="168" t="str">
        <x:v>LIMINE TRUST DISTRIBUIDORA DE TITULOS E VALORES MOBILIARIOS LTDA.</x:v>
      </x:c>
      <x:c r="H1302" s="168" t="str">
        <x:v>Financeiro</x:v>
      </x:c>
      <x:c r="I1302" s="168" t="str">
        <x:v>Multicarteira Financeiro</x:v>
      </x:c>
      <x:c r="J1302" s="168" t="str">
        <x:v>CI</x:v>
      </x:c>
      <x:c r="K1302" s="174" t="n">
        <x:v>28</x:v>
      </x:c>
      <x:c r="L1302" s="187" t="str">
        <x:v>Proxy multicedente/multissacado — revisar</x:v>
      </x:c>
    </x:row>
    <x:row r="1303">
      <x:c r="A1303" s="177" t="str">
        <x:v>57.056.989/0001-72</x:v>
      </x:c>
      <x:c r="B1303" s="168" t="str">
        <x:v>LIFT SO II FUNDO DE INVESTIMENTO EM DIREITOS CREDITÓRIOS</x:v>
      </x:c>
      <x:c r="C1303" s="190" t="n">
        <x:v>74973027.47000001</x:v>
      </x:c>
      <x:c r="D1303" s="168" t="str">
        <x:v>Namari Capital Gestão de Recursos Ltda.</x:v>
      </x:c>
      <x:c r="E1303" s="168" t="str">
        <x:f>IFERROR(INDEX('Classif Gestoras'!$H$6:$H$462,MATCH(D1303,'Classif Gestoras'!$A$6:$A$462,0)),"Não classificada")</x:f>
        <x:v>Independente</x:v>
      </x:c>
      <x:c r="F1303" s="168" t="str">
        <x:v>BRL TRUST DTVM</x:v>
      </x:c>
      <x:c r="G1303" s="168" t="str">
        <x:v>BRL TRUST DISTRIBUIDORA DE TITULOS E VALORES MOBILIARIOS S.A.</x:v>
      </x:c>
      <x:c r="H1303" s="168" t="str">
        <x:v>Outros</x:v>
      </x:c>
      <x:c r="I1303" s="168" t="str">
        <x:v>Multicarteira Outros</x:v>
      </x:c>
      <x:c r="J1303" s="168" t="str">
        <x:v>CI</x:v>
      </x:c>
      <x:c r="K1303" s="174" t="n">
        <x:v>15</x:v>
      </x:c>
      <x:c r="L1303" s="187" t="str">
        <x:v>Proxy multicedente/multissacado — revisar</x:v>
      </x:c>
    </x:row>
    <x:row r="1304">
      <x:c r="A1304" s="177" t="str">
        <x:v>55.932.544/0001-83</x:v>
      </x:c>
      <x:c r="B1304" s="168" t="str">
        <x:v>KIN FUNDO DE INVESTIMENTO EM DIREITOS CREDITÓRIOS RESPONSABILIDADE LIMITADA</x:v>
      </x:c>
      <x:c r="C1304" s="190" t="n">
        <x:v>74862876.59</x:v>
      </x:c>
      <x:c r="D1304" s="168" t="str">
        <x:v>Tyr Gestao de Recursos Ltda</x:v>
      </x:c>
      <x:c r="E1304" s="168" t="str">
        <x:f>IFERROR(INDEX('Classif Gestoras'!$H$6:$H$462,MATCH(D1304,'Classif Gestoras'!$A$6:$A$462,0)),"Não classificada")</x:f>
        <x:v>Independente</x:v>
      </x:c>
      <x:c r="F1304" s="168" t="str">
        <x:v>ID Corretora de Títulos e Valores Mobiliários S.A.</x:v>
      </x:c>
      <x:c r="G1304" s="168" t="str">
        <x:v>ID CORRETORA DE TITULOS E VALORES MOBILIARIOS S.A.</x:v>
      </x:c>
      <x:c r="H1304" s="168" t="str">
        <x:v>Agro, Indústria e Comércio</x:v>
      </x:c>
      <x:c r="I1304" s="168" t="str">
        <x:v>Recebíveis Comerciais</x:v>
      </x:c>
      <x:c r="J1304" s="168" t="str">
        <x:v>CI</x:v>
      </x:c>
      <x:c r="K1304" s="174" t="n">
        <x:v>75</x:v>
      </x:c>
      <x:c r="L1304" s="187" t="str">
        <x:v>Não classificado</x:v>
      </x:c>
    </x:row>
    <x:row r="1305">
      <x:c r="A1305" s="177" t="str">
        <x:v>58.739.374/0001-03</x:v>
      </x:c>
      <x:c r="B1305" s="168" t="str">
        <x:v>SAGEL BANK FUNDO DE INVESTIMENTO DIREITOS CREDITÓRIOS DE RESPONSABILIDADE LIMITADA</x:v>
      </x:c>
      <x:c r="C1305" s="190" t="n">
        <x:v>74772654.57</x:v>
      </x:c>
      <x:c r="D1305" s="168" t="str">
        <x:v>Catálise Investimentos</x:v>
      </x:c>
      <x:c r="E1305" s="168" t="str">
        <x:f>IFERROR(INDEX('Classif Gestoras'!$H$6:$H$462,MATCH(D1305,'Classif Gestoras'!$A$6:$A$462,0)),"Não classificada")</x:f>
        <x:v>Independente</x:v>
      </x:c>
      <x:c r="F1305" s="168" t="str">
        <x:v>CATÁLISE DTVM</x:v>
      </x:c>
      <x:c r="G1305" s="168" t="str">
        <x:v>BANCO DAYCOVAL S.A.</x:v>
      </x:c>
      <x:c r="H1305" s="168" t="str">
        <x:v>Agro, Indústria e Comércio</x:v>
      </x:c>
      <x:c r="I1305" s="168" t="str">
        <x:v>Multicarteira Agro, Indústria e Comércio</x:v>
      </x:c>
      <x:c r="J1305" s="168" t="str">
        <x:v>CI</x:v>
      </x:c>
      <x:c r="K1305" s="174" t="n">
        <x:v>1</x:v>
      </x:c>
      <x:c r="L1305" s="187" t="str">
        <x:v>Proxy multicedente/multissacado — revisar</x:v>
      </x:c>
    </x:row>
    <x:row r="1306">
      <x:c r="A1306" s="177" t="str">
        <x:v>11.823.118/0001-36</x:v>
      </x:c>
      <x:c r="B1306" s="168" t="str">
        <x:v>FUNDO DE INVESTIMENTO EM DIREITOS CREDITÓRIOS MULTISSETORIAL PREVIA</x:v>
      </x:c>
      <x:c r="C1306" s="190" t="n">
        <x:v>74641537.64999999</x:v>
      </x:c>
      <x:c r="D1306" s="168" t="str">
        <x:v>Solis</x:v>
      </x:c>
      <x:c r="E1306" s="168" t="str">
        <x:f>IFERROR(INDEX('Classif Gestoras'!$H$6:$H$462,MATCH(D1306,'Classif Gestoras'!$A$6:$A$462,0)),"Não classificada")</x:f>
        <x:v>Independente</x:v>
      </x:c>
      <x:c r="F1306" s="168" t="str">
        <x:v>HEMERA DTVM</x:v>
      </x:c>
      <x:c r="G1306" s="168" t="str">
        <x:v>HEMERA DISTRIBUIDORA DE TITULOS E VALORES MOBILIARIOS LTDA</x:v>
      </x:c>
      <x:c r="H1306" s="168" t="str">
        <x:v>Fomento Mercantil</x:v>
      </x:c>
      <x:c r="I1306" s="168" t="str">
        <x:v>Fomento Mercantil</x:v>
      </x:c>
      <x:c r="J1306" s="168" t="str">
        <x:v>CI</x:v>
      </x:c>
      <x:c r="K1306" s="174" t="n">
        <x:v>24</x:v>
      </x:c>
      <x:c r="L1306" s="187" t="str">
        <x:v>Não classificado</x:v>
      </x:c>
    </x:row>
    <x:row r="1307">
      <x:c r="A1307" s="177" t="str">
        <x:v>51.655.558/0001-46</x:v>
      </x:c>
      <x:c r="B1307" s="168" t="str">
        <x:v>CREDILOG II FUNDO DE INVESTIMENTO EM DIREITOS CREDITÓRIOS</x:v>
      </x:c>
      <x:c r="C1307" s="190" t="n">
        <x:v>74172237.84</x:v>
      </x:c>
      <x:c r="D1307" s="168" t="str">
        <x:v>Catálise Investimentos</x:v>
      </x:c>
      <x:c r="E1307" s="168" t="str">
        <x:f>IFERROR(INDEX('Classif Gestoras'!$H$6:$H$462,MATCH(D1307,'Classif Gestoras'!$A$6:$A$462,0)),"Não classificada")</x:f>
        <x:v>Independente</x:v>
      </x:c>
      <x:c r="F1307" s="168" t="str">
        <x:v>CATÁLISE DTVM</x:v>
      </x:c>
      <x:c r="G1307" s="168" t="str">
        <x:v>BANCO DAYCOVAL S.A.</x:v>
      </x:c>
      <x:c r="H1307" s="168" t="str">
        <x:v>Outros</x:v>
      </x:c>
      <x:c r="I1307" s="168" t="str">
        <x:v>Multicarteira Outros</x:v>
      </x:c>
      <x:c r="J1307" s="168" t="str">
        <x:v>CI</x:v>
      </x:c>
      <x:c r="K1307" s="174" t="n">
        <x:v>2</x:v>
      </x:c>
      <x:c r="L1307" s="187" t="str">
        <x:v>Proxy multicedente/multissacado — revisar</x:v>
      </x:c>
    </x:row>
    <x:row r="1308">
      <x:c r="A1308" s="177" t="str">
        <x:v>13.416.131/0001-04</x:v>
      </x:c>
      <x:c r="B1308" s="168" t="str">
        <x:v>EGM NP FUNDO DE INVESTIMENTO EM DIREITOS CREDITÓRIOS NÃO PADRONIZADOS MULTISSETORIAL</x:v>
      </x:c>
      <x:c r="C1308" s="190" t="n">
        <x:v>74086143.45</x:v>
      </x:c>
      <x:c r="D1308" s="168" t="str">
        <x:v>TERCON ASSET MANAGEMENT</x:v>
      </x:c>
      <x:c r="E1308" s="168" t="str">
        <x:f>IFERROR(INDEX('Classif Gestoras'!$H$6:$H$462,MATCH(D1308,'Classif Gestoras'!$A$6:$A$462,0)),"Não classificada")</x:f>
        <x:v>Independente</x:v>
      </x:c>
      <x:c r="F1308" s="168" t="str">
        <x:v>Singulare</x:v>
      </x:c>
      <x:c r="G1308" s="168" t="str">
        <x:v>QI CORRETORA DE TÍTULOS E VALORES MOBILIÁRIOS S.A.</x:v>
      </x:c>
      <x:c r="H1308" s="168" t="str">
        <x:v>Fomento Mercantil</x:v>
      </x:c>
      <x:c r="I1308" s="168" t="str">
        <x:v>Fomento Mercantil</x:v>
      </x:c>
      <x:c r="J1308" s="168" t="str">
        <x:v>CI</x:v>
      </x:c>
      <x:c r="K1308" s="174" t="n">
        <x:v>1</x:v>
      </x:c>
      <x:c r="L1308" s="187" t="str">
        <x:v>Não classificado</x:v>
      </x:c>
    </x:row>
    <x:row r="1309">
      <x:c r="A1309" s="177" t="str">
        <x:v>55.234.274/0001-37</x:v>
      </x:c>
      <x:c r="B1309" s="168" t="str">
        <x:v>AZURE CONSIGNADOS II FUNDO DE INVESTIMENTO EM DIREITOS CREDITÓRIOS - RESPONSABILIDADE LIMITADA</x:v>
      </x:c>
      <x:c r="C1309" s="190" t="n">
        <x:v>74061673.93</x:v>
      </x:c>
      <x:c r="D1309" s="168" t="str">
        <x:v>Apuama Capital</x:v>
      </x:c>
      <x:c r="E1309" s="168" t="str">
        <x:f>IFERROR(INDEX('Classif Gestoras'!$H$6:$H$462,MATCH(D1309,'Classif Gestoras'!$A$6:$A$462,0)),"Não classificada")</x:f>
        <x:v>Independente</x:v>
      </x:c>
      <x:c r="F1309" s="168" t="str">
        <x:v>BANCO DAYCOVAL S/A</x:v>
      </x:c>
      <x:c r="G1309" s="168" t="str">
        <x:v>BANCO DAYCOVAL S.A.</x:v>
      </x:c>
      <x:c r="H1309" s="168" t="str">
        <x:v>Financeiro</x:v>
      </x:c>
      <x:c r="I1309" s="168" t="str">
        <x:v>Crédito Consignado</x:v>
      </x:c>
      <x:c r="J1309" s="168" t="str">
        <x:v>CI</x:v>
      </x:c>
      <x:c r="K1309" s="174" t="n">
        <x:v>50</x:v>
      </x:c>
      <x:c r="L1309" s="187" t="str">
        <x:v>Não classificado</x:v>
      </x:c>
    </x:row>
    <x:row r="1310">
      <x:c r="A1310" s="177" t="str">
        <x:v>57.691.429/0001-90</x:v>
      </x:c>
      <x:c r="B1310" s="168" t="str">
        <x:v>VERTIS CAPITAL FUNDO DE INVESTIMENTO EM DIREITOS CREDITÓRIOS - RESPONSABILIDADE LIMITADA</x:v>
      </x:c>
      <x:c r="C1310" s="190" t="n">
        <x:v>73737238.51</x:v>
      </x:c>
      <x:c r="D1310" s="168" t="str">
        <x:v>Solis</x:v>
      </x:c>
      <x:c r="E1310" s="168" t="str">
        <x:f>IFERROR(INDEX('Classif Gestoras'!$H$6:$H$462,MATCH(D1310,'Classif Gestoras'!$A$6:$A$462,0)),"Não classificada")</x:f>
        <x:v>Independente</x:v>
      </x:c>
      <x:c r="F1310" s="168" t="str">
        <x:v>HEMERA DTVM</x:v>
      </x:c>
      <x:c r="G1310" s="168" t="str">
        <x:v>HEMERA DISTRIBUIDORA DE TITULOS E VALORES MOBILIARIOS LTDA</x:v>
      </x:c>
      <x:c r="H1310" s="168" t="str">
        <x:v>Outros</x:v>
      </x:c>
      <x:c r="I1310" s="168" t="str">
        <x:v>Multicarteira Outros</x:v>
      </x:c>
      <x:c r="J1310" s="168" t="str">
        <x:v>CI</x:v>
      </x:c>
      <x:c r="K1310" s="174" t="n">
        <x:v>21</x:v>
      </x:c>
      <x:c r="L1310" s="187" t="str">
        <x:v>Proxy multicedente/multissacado — revisar</x:v>
      </x:c>
    </x:row>
    <x:row r="1311">
      <x:c r="A1311" s="177" t="str">
        <x:v>32.274.415/0001-40</x:v>
      </x:c>
      <x:c r="B1311" s="168" t="str">
        <x:v>DELTA ENERGIA STRATEGY - FUNDO DE INVESTIMENTO EM DIREITOS CREDITÓRIOS</x:v>
      </x:c>
      <x:c r="C1311" s="190" t="n">
        <x:v>73734430.02</x:v>
      </x:c>
      <x:c r="D1311" s="168" t="str">
        <x:v>MODAL ASSET</x:v>
      </x:c>
      <x:c r="E1311" s="168" t="str">
        <x:f>IFERROR(INDEX('Classif Gestoras'!$H$6:$H$462,MATCH(D1311,'Classif Gestoras'!$A$6:$A$462,0)),"Não classificada")</x:f>
        <x:v>Ligada a banco</x:v>
      </x:c>
      <x:c r="F1311" s="168" t="str">
        <x:v>MAF Distribuidora de Títulos e Valores Mobiliários S.A.</x:v>
      </x:c>
      <x:c r="G1311" s="168" t="str">
        <x:v>MAF DISTRIBUIDORA DE TITULOS E VALORES MOBILIARIOS S.A.</x:v>
      </x:c>
      <x:c r="H1311" s="168" t="str">
        <x:v>Agro, Indústria e Comércio</x:v>
      </x:c>
      <x:c r="I1311" s="168" t="str">
        <x:v>Infraestrutura</x:v>
      </x:c>
      <x:c r="J1311" s="168" t="str">
        <x:v>CI</x:v>
      </x:c>
      <x:c r="K1311" s="174" t="n">
        <x:v>1</x:v>
      </x:c>
      <x:c r="L1311" s="187" t="str">
        <x:v>Não classificado</x:v>
      </x:c>
    </x:row>
    <x:row r="1312">
      <x:c r="A1312" s="177" t="str">
        <x:v>64.655.445/0001-92</x:v>
      </x:c>
      <x:c r="B1312" s="168" t="str">
        <x:v>ST 2002 FUNDO DE INVESTIMENTO EM DIREITOS CREDITÓRIOS RESPONSABILIDADE LIMITADA</x:v>
      </x:c>
      <x:c r="C1312" s="190" t="n">
        <x:v>73426583.1</x:v>
      </x:c>
      <x:c r="D1312" s="168" t="str">
        <x:v>Strata Capital</x:v>
      </x:c>
      <x:c r="E1312" s="168" t="str">
        <x:f>IFERROR(INDEX('Classif Gestoras'!$H$6:$H$462,MATCH(D1312,'Classif Gestoras'!$A$6:$A$462,0)),"Não classificada")</x:f>
        <x:v>Independente</x:v>
      </x:c>
      <x:c r="F1312" s="168" t="str">
        <x:v>BANCO DAYCOVAL S/A</x:v>
      </x:c>
      <x:c r="G1312" s="168" t="str">
        <x:v>BANCO DAYCOVAL S.A.</x:v>
      </x:c>
      <x:c r="H1312" s="168" t="str">
        <x:v>Outros</x:v>
      </x:c>
      <x:c r="I1312" s="168" t="str">
        <x:v>Multicarteira Outros</x:v>
      </x:c>
      <x:c r="J1312" s="168" t="str">
        <x:v>CI</x:v>
      </x:c>
      <x:c r="K1312" s="174" t="n">
        <x:v>6</x:v>
      </x:c>
      <x:c r="L1312" s="187" t="str">
        <x:v>Proxy multicedente/multissacado — revisar</x:v>
      </x:c>
    </x:row>
    <x:row r="1313">
      <x:c r="A1313" s="177" t="str">
        <x:v>32.302.296/0001-91</x:v>
      </x:c>
      <x:c r="B1313" s="168" t="str">
        <x:v>FUNDO DE INVESTIMENTO EM DIREITOS CREDITÓRIOS SOLIS EXT CAPITAL</x:v>
      </x:c>
      <x:c r="C1313" s="190" t="n">
        <x:v>73343220.52999999</x:v>
      </x:c>
      <x:c r="D1313" s="168" t="str">
        <x:v>Solis</x:v>
      </x:c>
      <x:c r="E1313" s="168" t="str">
        <x:f>IFERROR(INDEX('Classif Gestoras'!$H$6:$H$462,MATCH(D1313,'Classif Gestoras'!$A$6:$A$462,0)),"Não classificada")</x:f>
        <x:v>Independente</x:v>
      </x:c>
      <x:c r="F1313" s="168" t="str">
        <x:v>HEMERA DTVM</x:v>
      </x:c>
      <x:c r="G1313" s="168" t="str">
        <x:v>HEMERA DISTRIBUIDORA DE TITULOS E VALORES MOBILIARIOS LTDA</x:v>
      </x:c>
      <x:c r="H1313" s="168" t="str">
        <x:v>Financeiro</x:v>
      </x:c>
      <x:c r="I1313" s="168" t="str">
        <x:v>Multicarteira Financeiro</x:v>
      </x:c>
      <x:c r="J1313" s="168" t="str">
        <x:v>CI</x:v>
      </x:c>
      <x:c r="K1313" s="174" t="n">
        <x:v>9</x:v>
      </x:c>
      <x:c r="L1313" s="187" t="str">
        <x:v>Proxy multicedente/multissacado — revisar</x:v>
      </x:c>
    </x:row>
    <x:row r="1314">
      <x:c r="A1314" s="177" t="str">
        <x:v>53.337.453/0001-74</x:v>
      </x:c>
      <x:c r="B1314" s="168" t="str">
        <x:v>CM ESTADUAL II FUNDO DE INVESTIMENTO EM DIREITOS CREDITÓRIOS - RESPONSABILIDADE LIMITADA</x:v>
      </x:c>
      <x:c r="C1314" s="190" t="n">
        <x:v>73339535.55</x:v>
      </x:c>
      <x:c r="D1314" s="168" t="str">
        <x:v>BURITI INVESTIMENTOS</x:v>
      </x:c>
      <x:c r="E1314" s="168" t="str">
        <x:f>IFERROR(INDEX('Classif Gestoras'!$H$6:$H$462,MATCH(D1314,'Classif Gestoras'!$A$6:$A$462,0)),"Não classificada")</x:f>
        <x:v>Independente</x:v>
      </x:c>
      <x:c r="F1314" s="168" t="str">
        <x:v>Singulare</x:v>
      </x:c>
      <x:c r="G1314" s="168" t="str">
        <x:v>QI CORRETORA DE TÍTULOS E VALORES MOBILIÁRIOS S.A.</x:v>
      </x:c>
      <x:c r="H1314" s="168" t="str">
        <x:v>Outros</x:v>
      </x:c>
      <x:c r="I1314" s="168" t="str">
        <x:v>Poder Público</x:v>
      </x:c>
      <x:c r="J1314" s="168" t="str">
        <x:v>CI</x:v>
      </x:c>
      <x:c r="K1314" s="174" t="n">
        <x:v>5</x:v>
      </x:c>
      <x:c r="L1314" s="187" t="str">
        <x:v>Não classificado</x:v>
      </x:c>
    </x:row>
    <x:row r="1315">
      <x:c r="A1315" s="177" t="str">
        <x:v>61.302.922/0001-48</x:v>
      </x:c>
      <x:c r="B1315" s="168" t="str">
        <x:v>NTZ LEVE SAUDE FUNDO DE INVESTIMENTO EM DIREITOS CREDITÓRIOS COMERCIAIS - RESPONSABILIDADE LIMITADA</x:v>
      </x:c>
      <x:c r="C1315" s="190" t="n">
        <x:v>73262591.64999999</x:v>
      </x:c>
      <x:c r="D1315" s="168" t="str">
        <x:v>Netz Asset</x:v>
      </x:c>
      <x:c r="E1315" s="168" t="str">
        <x:f>IFERROR(INDEX('Classif Gestoras'!$H$6:$H$462,MATCH(D1315,'Classif Gestoras'!$A$6:$A$462,0)),"Não classificada")</x:f>
        <x:v>Independente</x:v>
      </x:c>
      <x:c r="F1315" s="168" t="str">
        <x:v>VÓRTX DTVM</x:v>
      </x:c>
      <x:c r="G1315" s="168" t="str">
        <x:v>VORTX DISTRIBUIDORA DE TITULOS E VALORES MOBILIARIOS LTDA.</x:v>
      </x:c>
      <x:c r="H1315" s="168" t="str">
        <x:v>Agro, Indústria e Comércio</x:v>
      </x:c>
      <x:c r="I1315" s="168" t="str">
        <x:v>Recebíveis Comerciais</x:v>
      </x:c>
      <x:c r="J1315" s="168" t="str">
        <x:v>CI</x:v>
      </x:c>
      <x:c r="K1315" s="174" t="n">
        <x:v>680</x:v>
      </x:c>
      <x:c r="L1315" s="187" t="str">
        <x:v>Não classificado</x:v>
      </x:c>
    </x:row>
    <x:row r="1316">
      <x:c r="A1316" s="177" t="str">
        <x:v>63.507.342/0001-12</x:v>
      </x:c>
      <x:c r="B1316" s="168" t="str">
        <x:v>H3 CAPITAL FUNDO DE INVESTIMENTO EM DIREITOS CREDITÓRIOS RESPONSABILIDADE LIMITADA</x:v>
      </x:c>
      <x:c r="C1316" s="190" t="n">
        <x:v>73146914.61</x:v>
      </x:c>
      <x:c r="D1316" s="168" t="str">
        <x:v>GENIAL GESTÃO LTDA.</x:v>
      </x:c>
      <x:c r="E1316" s="168" t="str">
        <x:f>IFERROR(INDEX('Classif Gestoras'!$H$6:$H$462,MATCH(D1316,'Classif Gestoras'!$A$6:$A$462,0)),"Não classificada")</x:f>
        <x:v>Ligada a banco</x:v>
      </x:c>
      <x:c r="F1316" s="168" t="str">
        <x:v>Genial Investimentos Corretora de Valores Mobiliários S.A.</x:v>
      </x:c>
      <x:c r="G1316" s="168" t="str">
        <x:v>BANCO GENIAL S.A.</x:v>
      </x:c>
      <x:c r="H1316" s="168" t="str">
        <x:v>Agro, Indústria e Comércio</x:v>
      </x:c>
      <x:c r="I1316" s="168" t="str">
        <x:v>Recebíveis Comerciais</x:v>
      </x:c>
      <x:c r="J1316" s="168" t="str">
        <x:v>CI</x:v>
      </x:c>
      <x:c r="K1316" s="174" t="n">
        <x:v>2</x:v>
      </x:c>
      <x:c r="L1316" s="187" t="str">
        <x:v>Não classificado</x:v>
      </x:c>
    </x:row>
    <x:row r="1317">
      <x:c r="A1317" s="177" t="str">
        <x:v>17.030.517/0001-26</x:v>
      </x:c>
      <x:c r="B1317" s="168" t="str">
        <x:v>PLATA II FUNDO DE INVESTIMENTO EM DIREITOS CREDITÓRIOS MULTISSEGMENTOS</x:v>
      </x:c>
      <x:c r="C1317" s="190" t="n">
        <x:v>73006593.67</x:v>
      </x:c>
      <x:c r="D1317" s="168" t="str">
        <x:v>Solis</x:v>
      </x:c>
      <x:c r="E1317" s="168" t="str">
        <x:f>IFERROR(INDEX('Classif Gestoras'!$H$6:$H$462,MATCH(D1317,'Classif Gestoras'!$A$6:$A$462,0)),"Não classificada")</x:f>
        <x:v>Independente</x:v>
      </x:c>
      <x:c r="F1317" s="168" t="str">
        <x:v>HEMERA DTVM</x:v>
      </x:c>
      <x:c r="G1317" s="168" t="str">
        <x:v>HEMERA DISTRIBUIDORA DE TITULOS E VALORES MOBILIARIOS LTDA</x:v>
      </x:c>
      <x:c r="H1317" s="168" t="str">
        <x:v>Fomento Mercantil</x:v>
      </x:c>
      <x:c r="I1317" s="168" t="str">
        <x:v>Fomento Mercantil</x:v>
      </x:c>
      <x:c r="J1317" s="168" t="str">
        <x:v>CI</x:v>
      </x:c>
      <x:c r="K1317" s="174" t="n">
        <x:v>15</x:v>
      </x:c>
      <x:c r="L1317" s="187" t="str">
        <x:v>Não classificado</x:v>
      </x:c>
    </x:row>
    <x:row r="1318">
      <x:c r="A1318" s="177" t="str">
        <x:v>40.319.383/0001-80</x:v>
      </x:c>
      <x:c r="B1318" s="168" t="str">
        <x:v>WONEBANK FUNDO DE INVESTIMENTO EM DIREITOS CREDITORIOS NAO-PADRONIZADOS</x:v>
      </x:c>
      <x:c r="C1318" s="190" t="n">
        <x:v>72917101.33</x:v>
      </x:c>
      <x:c r="D1318" s="168" t="str">
        <x:v>FigTree Capital</x:v>
      </x:c>
      <x:c r="E1318" s="168" t="str">
        <x:f>IFERROR(INDEX('Classif Gestoras'!$H$6:$H$462,MATCH(D1318,'Classif Gestoras'!$A$6:$A$462,0)),"Não classificada")</x:f>
        <x:v>Independente</x:v>
      </x:c>
      <x:c r="F1318" s="168" t="str">
        <x:v>BRL TRUST DTVM</x:v>
      </x:c>
      <x:c r="G1318" s="168" t="str">
        <x:v>BRL TRUST DISTRIBUIDORA DE TITULOS E VALORES MOBILIARIOS S.A.</x:v>
      </x:c>
      <x:c r="H1318" s="168" t="str">
        <x:v>Outros</x:v>
      </x:c>
      <x:c r="I1318" s="168" t="str">
        <x:v>Multicarteira Outros</x:v>
      </x:c>
      <x:c r="J1318" s="168" t="str">
        <x:v>CI</x:v>
      </x:c>
      <x:c r="K1318" s="174" t="n">
        <x:v>1</x:v>
      </x:c>
      <x:c r="L1318" s="187" t="str">
        <x:v>Proxy multicedente/multissacado — revisar</x:v>
      </x:c>
    </x:row>
    <x:row r="1319">
      <x:c r="A1319" s="177" t="str">
        <x:v>21.360.609/0001-41</x:v>
      </x:c>
      <x:c r="B1319" s="168" t="str">
        <x:v>ITAÚNA FUNDO DE INVESTIMENTO EM DIREITOS CREDITÓRIOS - RESPONSABILIDADE LIMITADA</x:v>
      </x:c>
      <x:c r="C1319" s="190" t="n">
        <x:v>72816780.28</x:v>
      </x:c>
      <x:c r="D1319" s="168" t="str">
        <x:v>Artesanal Investimentos</x:v>
      </x:c>
      <x:c r="E1319" s="168" t="str">
        <x:f>IFERROR(INDEX('Classif Gestoras'!$H$6:$H$462,MATCH(D1319,'Classif Gestoras'!$A$6:$A$462,0)),"Não classificada")</x:f>
        <x:v>Independente</x:v>
      </x:c>
      <x:c r="F1319" s="168" t="str">
        <x:v>Banco Genial S.A.</x:v>
      </x:c>
      <x:c r="G1319" s="168" t="str">
        <x:v>BANCO B3 S.A.</x:v>
      </x:c>
      <x:c r="H1319" s="168" t="str">
        <x:v>Outros</x:v>
      </x:c>
      <x:c r="I1319" s="168" t="str">
        <x:v>Multicarteira Outros</x:v>
      </x:c>
      <x:c r="J1319" s="168" t="str">
        <x:v>CI</x:v>
      </x:c>
      <x:c r="K1319" s="174" t="n">
        <x:v>63</x:v>
      </x:c>
      <x:c r="L1319" s="187" t="str">
        <x:v>Proxy multicedente/multissacado — revisar</x:v>
      </x:c>
    </x:row>
    <x:row r="1320">
      <x:c r="A1320" s="177" t="str">
        <x:v>54.272.451/0001-07</x:v>
      </x:c>
      <x:c r="B1320" s="168" t="str">
        <x:v>ARP CRÉDITO FUNDO DE INVESTIMENTO EM DIREITOS CREDITÓRIOS RESPONSABILIDADE LIMITADA</x:v>
      </x:c>
      <x:c r="C1320" s="190" t="n">
        <x:v>72810577.56</x:v>
      </x:c>
      <x:c r="D1320" s="168" t="str">
        <x:v>Redwood Asset Management</x:v>
      </x:c>
      <x:c r="E1320" s="168" t="str">
        <x:f>IFERROR(INDEX('Classif Gestoras'!$H$6:$H$462,MATCH(D1320,'Classif Gestoras'!$A$6:$A$462,0)),"Não classificada")</x:f>
        <x:v>Independente</x:v>
      </x:c>
      <x:c r="F1320" s="168" t="str">
        <x:v>PLANNER CV</x:v>
      </x:c>
      <x:c r="G1320" s="168" t="str">
        <x:v>PLANNER CORRETORA DE VALORES S.A.</x:v>
      </x:c>
      <x:c r="H1320" s="168" t="str">
        <x:v>Outros</x:v>
      </x:c>
      <x:c r="I1320" s="168" t="str">
        <x:v>Multicarteira Outros</x:v>
      </x:c>
      <x:c r="J1320" s="168" t="str">
        <x:v>CI</x:v>
      </x:c>
      <x:c r="K1320" s="174" t="n">
        <x:v>2</x:v>
      </x:c>
      <x:c r="L1320" s="187" t="str">
        <x:v>Proxy multicedente/multissacado — revisar</x:v>
      </x:c>
    </x:row>
    <x:row r="1321">
      <x:c r="A1321" s="177" t="str">
        <x:v>40.634.940/0001-57</x:v>
      </x:c>
      <x:c r="B1321" s="168" t="str">
        <x:v>CANAL 86 FUNDO DE INVESTIMENTO EM DIREITOS CREDITÓRIOS NÃO-PADRONIZADOS</x:v>
      </x:c>
      <x:c r="C1321" s="190" t="n">
        <x:v>72794366.72</x:v>
      </x:c>
      <x:c r="D1321" s="168" t="str">
        <x:v>Prisma Claims Ltda.</x:v>
      </x:c>
      <x:c r="E1321" s="168" t="str">
        <x:f>IFERROR(INDEX('Classif Gestoras'!$H$6:$H$462,MATCH(D1321,'Classif Gestoras'!$A$6:$A$462,0)),"Não classificada")</x:f>
        <x:v>Independente</x:v>
      </x:c>
      <x:c r="F1321" s="168" t="str">
        <x:v>Singulare</x:v>
      </x:c>
      <x:c r="G1321" s="168" t="str">
        <x:v>QI CORRETORA DE TÍTULOS E VALORES MOBILIÁRIOS S.A.</x:v>
      </x:c>
      <x:c r="H1321" s="168" t="str">
        <x:v>Outros</x:v>
      </x:c>
      <x:c r="I1321" s="168" t="str">
        <x:v>Multicarteira Outros</x:v>
      </x:c>
      <x:c r="J1321" s="168" t="str">
        <x:v>CI</x:v>
      </x:c>
      <x:c r="K1321" s="174" t="n">
        <x:v>15</x:v>
      </x:c>
      <x:c r="L1321" s="187" t="str">
        <x:v>Proxy multicedente/multissacado — revisar</x:v>
      </x:c>
    </x:row>
    <x:row r="1322">
      <x:c r="A1322" s="177" t="str">
        <x:v>53.270.983/0001-42</x:v>
      </x:c>
      <x:c r="B1322" s="168" t="str">
        <x:v>ANGÁ FGTS +AG FUNDO DE INVESTIMENTO EM DIREITOS CREDITÓRIOS - RESPONSABILIDADE LIMITADA</x:v>
      </x:c>
      <x:c r="C1322" s="190" t="n">
        <x:v>72706039.41</x:v>
      </x:c>
      <x:c r="D1322" s="168" t="str">
        <x:v>ANGÁ ASSET MANAGEMENT</x:v>
      </x:c>
      <x:c r="E1322" s="168" t="str">
        <x:f>IFERROR(INDEX('Classif Gestoras'!$H$6:$H$462,MATCH(D1322,'Classif Gestoras'!$A$6:$A$462,0)),"Não classificada")</x:f>
        <x:v>Independente</x:v>
      </x:c>
      <x:c r="F1322" s="168" t="str">
        <x:v>BANCO DAYCOVAL S/A</x:v>
      </x:c>
      <x:c r="G1322" s="168" t="str">
        <x:v>BANCO DAYCOVAL S.A.</x:v>
      </x:c>
      <x:c r="H1322" s="168" t="str">
        <x:v>Financeiro</x:v>
      </x:c>
      <x:c r="I1322" s="168" t="str">
        <x:v>Crédito Pessoal</x:v>
      </x:c>
      <x:c r="J1322" s="168" t="str">
        <x:v>CI</x:v>
      </x:c>
      <x:c r="K1322" s="174" t="n">
        <x:v>6</x:v>
      </x:c>
      <x:c r="L1322" s="187" t="str">
        <x:v>Não classificado</x:v>
      </x:c>
    </x:row>
    <x:row r="1323">
      <x:c r="A1323" s="177" t="str">
        <x:v>55.122.381/0001-73</x:v>
      </x:c>
      <x:c r="B1323" s="168" t="str">
        <x:v>FUTURO CAPITAL FUNDO DE INVESTIMENTO EM DIREITOS CREDITÓRIOS DE RESPONSABILIDADE LIMITADA</x:v>
      </x:c>
      <x:c r="C1323" s="190" t="n">
        <x:v>72503322.81</x:v>
      </x:c>
      <x:c r="D1323" s="168" t="str">
        <x:v>Catálise Investimentos</x:v>
      </x:c>
      <x:c r="E1323" s="168" t="str">
        <x:f>IFERROR(INDEX('Classif Gestoras'!$H$6:$H$462,MATCH(D1323,'Classif Gestoras'!$A$6:$A$462,0)),"Não classificada")</x:f>
        <x:v>Independente</x:v>
      </x:c>
      <x:c r="F1323" s="168" t="str">
        <x:v>CATÁLISE DTVM</x:v>
      </x:c>
      <x:c r="G1323" s="168" t="str">
        <x:v>BANCO DAYCOVAL S.A.</x:v>
      </x:c>
      <x:c r="H1323" s="168" t="str">
        <x:v>Agro, Indústria e Comércio</x:v>
      </x:c>
      <x:c r="I1323" s="168" t="str">
        <x:v>Recebíveis Comerciais</x:v>
      </x:c>
      <x:c r="J1323" s="168" t="str">
        <x:v>CI</x:v>
      </x:c>
      <x:c r="K1323" s="174" t="n">
        <x:v>4</x:v>
      </x:c>
      <x:c r="L1323" s="187" t="str">
        <x:v>Não classificado</x:v>
      </x:c>
    </x:row>
    <x:row r="1324">
      <x:c r="A1324" s="177" t="str">
        <x:v>61.921.850/0001-17</x:v>
      </x:c>
      <x:c r="B1324" s="168" t="str">
        <x:v>IPO II FUNDO DE INVESTIMENTO EM DIREITOS CREDITÓRIOS - RESPONSABILIDADE LIMITADA</x:v>
      </x:c>
      <x:c r="C1324" s="190" t="n">
        <x:v>72143240.99000001</x:v>
      </x:c>
      <x:c r="D1324" s="168" t="str">
        <x:v>QI GESTAO DE RECURSOS LTDA</x:v>
      </x:c>
      <x:c r="E1324" s="168" t="str">
        <x:f>IFERROR(INDEX('Classif Gestoras'!$H$6:$H$462,MATCH(D1324,'Classif Gestoras'!$A$6:$A$462,0)),"Não classificada")</x:f>
        <x:v>Independente</x:v>
      </x:c>
      <x:c r="F1324" s="168" t="str">
        <x:v>Singulare</x:v>
      </x:c>
      <x:c r="G1324" s="168" t="str">
        <x:v>QI CORRETORA DE TÍTULOS E VALORES MOBILIÁRIOS S.A.</x:v>
      </x:c>
      <x:c r="H1324" s="168" t="str">
        <x:v>Financeiro</x:v>
      </x:c>
      <x:c r="I1324" s="168" t="str">
        <x:v>Crédito Pessoal</x:v>
      </x:c>
      <x:c r="J1324" s="168" t="str">
        <x:v>CI</x:v>
      </x:c>
      <x:c r="K1324" s="174" t="n">
        <x:v>5</x:v>
      </x:c>
      <x:c r="L1324" s="187" t="str">
        <x:v>Não classificado</x:v>
      </x:c>
    </x:row>
    <x:row r="1325">
      <x:c r="A1325" s="177" t="str">
        <x:v>51.852.080/0001-44</x:v>
      </x:c>
      <x:c r="B1325" s="168" t="str">
        <x:v>ANTARES FUNDO DE INVESTIMENTO EM DIREITOS CREDITORIOS - RESPONSABILIDADE LIMITADA</x:v>
      </x:c>
      <x:c r="C1325" s="190" t="n">
        <x:v>72118519.41</x:v>
      </x:c>
      <x:c r="D1325" s="168" t="str">
        <x:v>SOSU CAPITAL GESTÃO DE INVESTIMENTOS LTDA.</x:v>
      </x:c>
      <x:c r="E1325" s="168" t="str">
        <x:f>IFERROR(INDEX('Classif Gestoras'!$H$6:$H$462,MATCH(D1325,'Classif Gestoras'!$A$6:$A$462,0)),"Não classificada")</x:f>
        <x:v>Independente</x:v>
      </x:c>
      <x:c r="F1325" s="168" t="str">
        <x:v>BRL TRUST DTVM</x:v>
      </x:c>
      <x:c r="G1325" s="168" t="str">
        <x:v>BRL TRUST DISTRIBUIDORA DE TITULOS E VALORES MOBILIARIOS S.A.</x:v>
      </x:c>
      <x:c r="H1325" s="168" t="str">
        <x:v>Outros</x:v>
      </x:c>
      <x:c r="I1325" s="168" t="str">
        <x:v>Recuperação</x:v>
      </x:c>
      <x:c r="J1325" s="168" t="str">
        <x:v>CI</x:v>
      </x:c>
      <x:c r="K1325" s="174" t="n">
        <x:v>1</x:v>
      </x:c>
      <x:c r="L1325" s="187" t="str">
        <x:v>Não classificado</x:v>
      </x:c>
    </x:row>
    <x:row r="1326">
      <x:c r="A1326" s="177" t="str">
        <x:v>63.309.002/0001-87</x:v>
      </x:c>
      <x:c r="B1326" s="168" t="str">
        <x:v>KINEA AROEIRA FUNDO DE INVESTIMENTO EM DIREITOS CREDITÓRIOS ABERTO RESPONSABILIDADE LIMITADA</x:v>
      </x:c>
      <x:c r="C1326" s="190" t="n">
        <x:v>71996283.69</x:v>
      </x:c>
      <x:c r="D1326" s="168" t="str">
        <x:v>KINEA INVESTIMENTOS</x:v>
      </x:c>
      <x:c r="E1326" s="168" t="str">
        <x:f>IFERROR(INDEX('Classif Gestoras'!$H$6:$H$462,MATCH(D1326,'Classif Gestoras'!$A$6:$A$462,0)),"Não classificada")</x:f>
        <x:v>Ligada a banco</x:v>
      </x:c>
      <x:c r="F1326" s="168" t="str">
        <x:v>INTRAG DIST. DE TÍTU</x:v>
      </x:c>
      <x:c r="G1326" s="168" t="str">
        <x:v>ITAU UNIBANCO S.A.</x:v>
      </x:c>
      <x:c r="H1326" s="168" t="str">
        <x:v>Outros</x:v>
      </x:c>
      <x:c r="I1326" s="168" t="str">
        <x:v>Multicarteira Outros</x:v>
      </x:c>
      <x:c r="J1326" s="168" t="str">
        <x:v>CIPC</x:v>
      </x:c>
      <x:c r="K1326" s="174" t="n">
        <x:v>1</x:v>
      </x:c>
      <x:c r="L1326" s="187" t="str">
        <x:v>Proxy multicedente/multissacado — revisar</x:v>
      </x:c>
    </x:row>
    <x:row r="1327">
      <x:c r="A1327" s="177" t="str">
        <x:v>55.595.705/0001-90</x:v>
      </x:c>
      <x:c r="B1327" s="168" t="str">
        <x:v>NN FUNDO DE INVESTIMENTO EM DIREITOS CREDITÓRIOS CRÉDITO CORPORATIVO - RESPONSABILIDADE LIMITADA</x:v>
      </x:c>
      <x:c r="C1327" s="190" t="n">
        <x:v>71933974.74</x:v>
      </x:c>
      <x:c r="D1327" s="168" t="str">
        <x:v>Möbius Capital</x:v>
      </x:c>
      <x:c r="E1327" s="168" t="str">
        <x:f>IFERROR(INDEX('Classif Gestoras'!$H$6:$H$462,MATCH(D1327,'Classif Gestoras'!$A$6:$A$462,0)),"Não classificada")</x:f>
        <x:v>Independente</x:v>
      </x:c>
      <x:c r="F1327" s="168" t="str">
        <x:v>BANCO DAYCOVAL S/A</x:v>
      </x:c>
      <x:c r="G1327" s="168" t="str">
        <x:v>BANCO DAYCOVAL S.A.</x:v>
      </x:c>
      <x:c r="H1327" s="168" t="str">
        <x:v>Fomento Mercantil</x:v>
      </x:c>
      <x:c r="I1327" s="168" t="str">
        <x:v>Fomento Mercantil</x:v>
      </x:c>
      <x:c r="J1327" s="168" t="str">
        <x:v>CI</x:v>
      </x:c>
      <x:c r="K1327" s="174" t="n">
        <x:v>15</x:v>
      </x:c>
      <x:c r="L1327" s="187" t="str">
        <x:v>Não classificado</x:v>
      </x:c>
    </x:row>
    <x:row r="1328">
      <x:c r="A1328" s="177" t="str">
        <x:v>42.336.359/0001-84</x:v>
      </x:c>
      <x:c r="B1328" s="168" t="str">
        <x:v>ESTÍMULO BRASIL FUNDO DE INVESTIMENTO EM DIREITOS CREDITORIOS IS DE RESPONSABILIDADE LIMITADA</x:v>
      </x:c>
      <x:c r="C1328" s="190" t="n">
        <x:v>71917854.89999999</x:v>
      </x:c>
      <x:c r="D1328" s="168" t="str">
        <x:v>Galápagos</x:v>
      </x:c>
      <x:c r="E1328" s="168" t="str">
        <x:f>IFERROR(INDEX('Classif Gestoras'!$H$6:$H$462,MATCH(D1328,'Classif Gestoras'!$A$6:$A$462,0)),"Não classificada")</x:f>
        <x:v>Independente</x:v>
      </x:c>
      <x:c r="F1328" s="168" t="str">
        <x:v>Singulare</x:v>
      </x:c>
      <x:c r="G1328" s="168" t="str">
        <x:v>QI CORRETORA DE TÍTULOS E VALORES MOBILIÁRIOS S.A.</x:v>
      </x:c>
      <x:c r="H1328" s="168" t="str">
        <x:v>Outros</x:v>
      </x:c>
      <x:c r="I1328" s="168" t="str">
        <x:v>Multicarteira Outros</x:v>
      </x:c>
      <x:c r="J1328" s="168" t="str">
        <x:v>CI</x:v>
      </x:c>
      <x:c r="K1328" s="174" t="n">
        <x:v>119</x:v>
      </x:c>
      <x:c r="L1328" s="187" t="str">
        <x:v>Proxy multicedente/multissacado — revisar</x:v>
      </x:c>
    </x:row>
    <x:row r="1329">
      <x:c r="A1329" s="177" t="str">
        <x:v>42.462.162/0001-91</x:v>
      </x:c>
      <x:c r="B1329" s="168" t="str">
        <x:v>EXES MÁQUINAS FUNDO DE INVESTIMENTO EM DIREITOS CREDITÓRIOS</x:v>
      </x:c>
      <x:c r="C1329" s="190" t="n">
        <x:v>71885200.24000001</x:v>
      </x:c>
      <x:c r="D1329" s="168" t="str">
        <x:v>Éxes</x:v>
      </x:c>
      <x:c r="E1329" s="168" t="str">
        <x:f>IFERROR(INDEX('Classif Gestoras'!$H$6:$H$462,MATCH(D1329,'Classif Gestoras'!$A$6:$A$462,0)),"Não classificada")</x:f>
        <x:v>Independente</x:v>
      </x:c>
      <x:c r="F1329" s="168" t="str">
        <x:v>Oliveira Trust DTVM</x:v>
      </x:c>
      <x:c r="G1329" s="168" t="str">
        <x:v>OLIVEIRA TRUST DTVM S.A.</x:v>
      </x:c>
      <x:c r="H1329" s="168" t="str">
        <x:v>Outros</x:v>
      </x:c>
      <x:c r="I1329" s="168" t="str">
        <x:v>Multicarteira Outros</x:v>
      </x:c>
      <x:c r="J1329" s="168" t="str">
        <x:v>CI</x:v>
      </x:c>
      <x:c r="K1329" s="174" t="n">
        <x:v>15</x:v>
      </x:c>
      <x:c r="L1329" s="187" t="str">
        <x:v>Proxy multicedente/multissacado — revisar</x:v>
      </x:c>
    </x:row>
    <x:row r="1330">
      <x:c r="A1330" s="177" t="str">
        <x:v>42.888.490/0001-54</x:v>
      </x:c>
      <x:c r="B1330" s="168" t="str">
        <x:v>ICRED OPARÁ FIDC NÃO-PADRONIZADOS - SEGMENTO FINANCEIRO - DE RESPONSABILIDADE LIMITADA</x:v>
      </x:c>
      <x:c r="C1330" s="190" t="n">
        <x:v>71718336.65</x:v>
      </x:c>
      <x:c r="D1330" s="168" t="str">
        <x:v>QI GESTAO DE RECURSOS LTDA</x:v>
      </x:c>
      <x:c r="E1330" s="168" t="str">
        <x:f>IFERROR(INDEX('Classif Gestoras'!$H$6:$H$462,MATCH(D1330,'Classif Gestoras'!$A$6:$A$462,0)),"Não classificada")</x:f>
        <x:v>Independente</x:v>
      </x:c>
      <x:c r="F1330" s="168" t="str">
        <x:v>Singulare</x:v>
      </x:c>
      <x:c r="G1330" s="168" t="str">
        <x:v>QI CORRETORA DE TÍTULOS E VALORES MOBILIÁRIOS S.A.</x:v>
      </x:c>
      <x:c r="H1330" s="168" t="str">
        <x:v>Financeiro</x:v>
      </x:c>
      <x:c r="I1330" s="168" t="str">
        <x:v>Crédito Pessoal</x:v>
      </x:c>
      <x:c r="J1330" s="168" t="str">
        <x:v>CI</x:v>
      </x:c>
      <x:c r="K1330" s="174" t="n">
        <x:v>2</x:v>
      </x:c>
      <x:c r="L1330" s="187" t="str">
        <x:v>Não classificado</x:v>
      </x:c>
    </x:row>
    <x:row r="1331">
      <x:c r="A1331" s="177" t="str">
        <x:v>47.463.389/0001-75</x:v>
      </x:c>
      <x:c r="B1331" s="168" t="str">
        <x:v>LEXIS II FUNDO DE INVESTIMENTO EM DIREITOS CREDITÓRIOS</x:v>
      </x:c>
      <x:c r="C1331" s="190" t="n">
        <x:v>71623074.75</x:v>
      </x:c>
      <x:c r="D1331" s="168" t="str">
        <x:v>Lexis Capital</x:v>
      </x:c>
      <x:c r="E1331" s="168" t="str">
        <x:f>IFERROR(INDEX('Classif Gestoras'!$H$6:$H$462,MATCH(D1331,'Classif Gestoras'!$A$6:$A$462,0)),"Não classificada")</x:f>
        <x:v>Independente</x:v>
      </x:c>
      <x:c r="F1331" s="168" t="str">
        <x:v>Singulare</x:v>
      </x:c>
      <x:c r="G1331" s="168" t="str">
        <x:v>QI CORRETORA DE TÍTULOS E VALORES MOBILIÁRIOS S.A.</x:v>
      </x:c>
      <x:c r="H1331" s="168" t="str">
        <x:v>Outros</x:v>
      </x:c>
      <x:c r="I1331" s="168" t="str">
        <x:v>Poder Público</x:v>
      </x:c>
      <x:c r="J1331" s="168" t="str">
        <x:v>CI</x:v>
      </x:c>
      <x:c r="K1331" s="174" t="n">
        <x:v>1</x:v>
      </x:c>
      <x:c r="L1331" s="187" t="str">
        <x:v>Não classificado</x:v>
      </x:c>
    </x:row>
    <x:row r="1332">
      <x:c r="A1332" s="177" t="str">
        <x:v>44.395.279/0001-25</x:v>
      </x:c>
      <x:c r="B1332" s="168" t="str">
        <x:v>JUGIS FUNDO DE INVESTIMENTO EM DIREITOS CREDITÓRIOS</x:v>
      </x:c>
      <x:c r="C1332" s="190" t="n">
        <x:v>71603011.4</x:v>
      </x:c>
      <x:c r="D1332" s="168" t="str">
        <x:v>JUGIS CAPITAL GESTÃO DE RECURSOS LTDA.</x:v>
      </x:c>
      <x:c r="E1332" s="168" t="str">
        <x:f>IFERROR(INDEX('Classif Gestoras'!$H$6:$H$462,MATCH(D1332,'Classif Gestoras'!$A$6:$A$462,0)),"Não classificada")</x:f>
        <x:v>Independente</x:v>
      </x:c>
      <x:c r="F1332" s="168" t="str">
        <x:v>MAF Distribuidora de Títulos e Valores Mobiliários S.A.</x:v>
      </x:c>
      <x:c r="G1332" s="168" t="str">
        <x:v>MAF DISTRIBUIDORA DE TITULOS E VALORES MOBILIARIOS S.A.</x:v>
      </x:c>
      <x:c r="H1332" s="168" t="str">
        <x:v>Outros</x:v>
      </x:c>
      <x:c r="I1332" s="168" t="str">
        <x:v>Multicarteira Outros</x:v>
      </x:c>
      <x:c r="J1332" s="168" t="str">
        <x:v>CI</x:v>
      </x:c>
      <x:c r="K1332" s="174" t="n">
        <x:v>1</x:v>
      </x:c>
      <x:c r="L1332" s="187" t="str">
        <x:v>Proxy multicedente/multissacado — revisar</x:v>
      </x:c>
    </x:row>
    <x:row r="1333">
      <x:c r="A1333" s="177" t="str">
        <x:v>31.544.287/0001-44</x:v>
      </x:c>
      <x:c r="B1333" s="168" t="str">
        <x:v>DUBLIN FUNDO DE INVESTIMENTO EM DIREITOS CREDITÓRIOS NÃO-PADRONIZADOS</x:v>
      </x:c>
      <x:c r="C1333" s="190" t="n">
        <x:v>71553704.34</x:v>
      </x:c>
      <x:c r="D1333" s="168" t="str">
        <x:v>Acura Gestora de Recursos LTDA.</x:v>
      </x:c>
      <x:c r="E1333" s="168" t="str">
        <x:f>IFERROR(INDEX('Classif Gestoras'!$H$6:$H$462,MATCH(D1333,'Classif Gestoras'!$A$6:$A$462,0)),"Não classificada")</x:f>
        <x:v>Independente</x:v>
      </x:c>
      <x:c r="F1333" s="168" t="str">
        <x:v>SEFER DTVM</x:v>
      </x:c>
      <x:c r="G1333" s="168" t="str">
        <x:v>SEFER INVESTIMENTOS DISTRIBUIDORA DE TÍTULOS E VALORES MOBILIÁRIOS LTDA.</x:v>
      </x:c>
      <x:c r="H1333" s="168" t="str">
        <x:v>Agro, Indústria e Comércio</x:v>
      </x:c>
      <x:c r="I1333" s="168" t="str">
        <x:v>Recebíveis Comerciais</x:v>
      </x:c>
      <x:c r="J1333" s="168" t="str">
        <x:v>CI</x:v>
      </x:c>
      <x:c r="K1333" s="174" t="n">
        <x:v>1</x:v>
      </x:c>
      <x:c r="L1333" s="187" t="str">
        <x:v>Não classificado</x:v>
      </x:c>
    </x:row>
    <x:row r="1334">
      <x:c r="A1334" s="177" t="str">
        <x:v>55.676.289/0001-55</x:v>
      </x:c>
      <x:c r="B1334" s="168" t="str">
        <x:v>MIDCARD FUNDO DE INVESTIMENTO EM DIREITOS CREDITÓRIOS RESPONSABILIDADE LIMITADA</x:v>
      </x:c>
      <x:c r="C1334" s="190" t="n">
        <x:v>71433613.28</x:v>
      </x:c>
      <x:c r="D1334" s="168" t="str">
        <x:v>Brave Asset</x:v>
      </x:c>
      <x:c r="E1334" s="168" t="str">
        <x:f>IFERROR(INDEX('Classif Gestoras'!$H$6:$H$462,MATCH(D1334,'Classif Gestoras'!$A$6:$A$462,0)),"Não classificada")</x:f>
        <x:v>Independente</x:v>
      </x:c>
      <x:c r="F1334" s="168" t="str">
        <x:v>FIDD DISTRIBUIDORA DE TITULOS E VALORES MOBILIARIOS LTD</x:v>
      </x:c>
      <x:c r="G1334" s="168" t="str">
        <x:v>FIDD DISTRIBUIDORA DE TITULOS E VALORES MOBILIARIOS LTDA.</x:v>
      </x:c>
      <x:c r="H1334" s="168" t="str">
        <x:v>Agro, Indústria e Comércio</x:v>
      </x:c>
      <x:c r="I1334" s="168" t="str">
        <x:v>Recebíveis Comerciais</x:v>
      </x:c>
      <x:c r="J1334" s="168" t="str">
        <x:v>CI</x:v>
      </x:c>
      <x:c r="K1334" s="174" t="n">
        <x:v>15</x:v>
      </x:c>
      <x:c r="L1334" s="187" t="str">
        <x:v>Não classificado</x:v>
      </x:c>
    </x:row>
    <x:row r="1335">
      <x:c r="A1335" s="177" t="str">
        <x:v>41.557.655/0001-42</x:v>
      </x:c>
      <x:c r="B1335" s="168" t="str">
        <x:v>PROSPEROUS FUNDO DE INVESTIMENTO EM DIREITOS CREDITÓRIOS NÃO PADRONIZADO</x:v>
      </x:c>
      <x:c r="C1335" s="190" t="n">
        <x:v>71252635.67999999</x:v>
      </x:c>
      <x:c r="D1335" s="168" t="str">
        <x:v>BURITI INVESTIMENTOS</x:v>
      </x:c>
      <x:c r="E1335" s="168" t="str">
        <x:f>IFERROR(INDEX('Classif Gestoras'!$H$6:$H$462,MATCH(D1335,'Classif Gestoras'!$A$6:$A$462,0)),"Não classificada")</x:f>
        <x:v>Independente</x:v>
      </x:c>
      <x:c r="F1335" s="168" t="str">
        <x:v>Singulare</x:v>
      </x:c>
      <x:c r="G1335" s="168" t="str">
        <x:v>BARU DISTRIBUIDORA DE TÍTULOS E VALORES MOBILIÁRIOS LTDA.</x:v>
      </x:c>
      <x:c r="H1335" s="168" t="str">
        <x:v>Outros</x:v>
      </x:c>
      <x:c r="I1335" s="168" t="str">
        <x:v>Poder Público</x:v>
      </x:c>
      <x:c r="J1335" s="168" t="str">
        <x:v>CI</x:v>
      </x:c>
      <x:c r="K1335" s="174" t="n">
        <x:v>1</x:v>
      </x:c>
      <x:c r="L1335" s="187" t="str">
        <x:v>Não classificado</x:v>
      </x:c>
    </x:row>
    <x:row r="1336">
      <x:c r="A1336" s="177" t="str">
        <x:v>64.637.478/0001-00</x:v>
      </x:c>
      <x:c r="B1336" s="168" t="str">
        <x:v>STRUCTURE II FUNDO DE INVESTIMENTO EM DIREITOS CREDITÓRIOS MULTISSETORIAL LP</x:v>
      </x:c>
      <x:c r="C1336" s="190" t="n">
        <x:v>71202879.34</x:v>
      </x:c>
      <x:c r="D1336" s="168" t="str">
        <x:v>Multiplica Capital</x:v>
      </x:c>
      <x:c r="E1336" s="168" t="str">
        <x:f>IFERROR(INDEX('Classif Gestoras'!$H$6:$H$462,MATCH(D1336,'Classif Gestoras'!$A$6:$A$462,0)),"Não classificada")</x:f>
        <x:v>Independente</x:v>
      </x:c>
      <x:c r="F1336" s="168" t="str">
        <x:v>PLANNER CV</x:v>
      </x:c>
      <x:c r="G1336" s="168" t="str">
        <x:v>PLANNER CORRETORA DE VALORES S.A.</x:v>
      </x:c>
      <x:c r="H1336" s="168" t="str">
        <x:v>Fomento Mercantil</x:v>
      </x:c>
      <x:c r="I1336" s="168" t="str">
        <x:v>Fomento Mercantil</x:v>
      </x:c>
      <x:c r="J1336" s="168" t="str">
        <x:v>CI</x:v>
      </x:c>
      <x:c r="K1336" s="174" t="n">
        <x:v>13</x:v>
      </x:c>
      <x:c r="L1336" s="187" t="str">
        <x:v>Não classificado</x:v>
      </x:c>
    </x:row>
    <x:row r="1337">
      <x:c r="A1337" s="177" t="str">
        <x:v>42.583.959/0001-47</x:v>
      </x:c>
      <x:c r="B1337" s="168" t="str">
        <x:v>ISS VII FUNDO DE INVESTIMENTO EM DIREITOS CREDITÓRIOS</x:v>
      </x:c>
      <x:c r="C1337" s="190" t="n">
        <x:v>71192912.39</x:v>
      </x:c>
      <x:c r="D1337" s="168" t="str">
        <x:v>Intrabank Asset</x:v>
      </x:c>
      <x:c r="E1337" s="168" t="str">
        <x:f>IFERROR(INDEX('Classif Gestoras'!$H$6:$H$462,MATCH(D1337,'Classif Gestoras'!$A$6:$A$462,0)),"Não classificada")</x:f>
        <x:v>Independente</x:v>
      </x:c>
      <x:c r="F1337" s="168" t="str">
        <x:v>Finvest Digital</x:v>
      </x:c>
      <x:c r="G1337" s="168" t="str">
        <x:v>FINVEST DISTRIBUIDORA DE TÍTULOS E VALORES MOBILIÁRIOS LTDA.</x:v>
      </x:c>
      <x:c r="H1337" s="168" t="str">
        <x:v>Outros</x:v>
      </x:c>
      <x:c r="I1337" s="168" t="str">
        <x:v>Multicarteira Outros</x:v>
      </x:c>
      <x:c r="J1337" s="168" t="str">
        <x:v>CI</x:v>
      </x:c>
      <x:c r="K1337" s="174" t="n">
        <x:v>1</x:v>
      </x:c>
      <x:c r="L1337" s="187" t="str">
        <x:v>Proxy multicedente/multissacado — revisar</x:v>
      </x:c>
    </x:row>
    <x:row r="1338">
      <x:c r="A1338" s="177" t="str">
        <x:v>51.902.751/0001-34</x:v>
      </x:c>
      <x:c r="B1338" s="168" t="str">
        <x:v>MFDH2 FUNDO DE INVESTIMENTO EM DIREITOS CREDITÓRIOS</x:v>
      </x:c>
      <x:c r="C1338" s="190" t="n">
        <x:v>71175403.81</x:v>
      </x:c>
      <x:c r="D1338" s="168" t="str">
        <x:v>Redwood Asset Management</x:v>
      </x:c>
      <x:c r="E1338" s="168" t="str">
        <x:f>IFERROR(INDEX('Classif Gestoras'!$H$6:$H$462,MATCH(D1338,'Classif Gestoras'!$A$6:$A$462,0)),"Não classificada")</x:f>
        <x:v>Independente</x:v>
      </x:c>
      <x:c r="F1338" s="168" t="str">
        <x:v>PLANNER CV</x:v>
      </x:c>
      <x:c r="G1338" s="168" t="str">
        <x:v>PLANNER CORRETORA DE VALORES S.A.</x:v>
      </x:c>
      <x:c r="H1338" s="168" t="str">
        <x:v>Outros</x:v>
      </x:c>
      <x:c r="I1338" s="168" t="str">
        <x:v>Multicarteira Outros</x:v>
      </x:c>
      <x:c r="J1338" s="168" t="str">
        <x:v>CI</x:v>
      </x:c>
      <x:c r="K1338" s="174" t="n">
        <x:v>3</x:v>
      </x:c>
      <x:c r="L1338" s="187" t="str">
        <x:v>Proxy multicedente/multissacado — revisar</x:v>
      </x:c>
    </x:row>
    <x:row r="1339">
      <x:c r="A1339" s="177" t="str">
        <x:v>51.550.112/0001-57</x:v>
      </x:c>
      <x:c r="B1339" s="168" t="str">
        <x:v>CNPJ 51550112000157</x:v>
      </x:c>
      <x:c r="C1339" s="190" t="n">
        <x:v>71174885.02000001</x:v>
      </x:c>
      <x:c r="D1339" s="168" t="str">
        <x:v>Eco Gestão de Ativos LTDA.</x:v>
      </x:c>
      <x:c r="E1339" s="168" t="str">
        <x:f>IFERROR(INDEX('Classif Gestoras'!$H$6:$H$462,MATCH(D1339,'Classif Gestoras'!$A$6:$A$462,0)),"Não classificada")</x:f>
        <x:v>Independente</x:v>
      </x:c>
      <x:c r="F1339" s="168" t="str">
        <x:v>BANCO DAYCOVAL S/A</x:v>
      </x:c>
      <x:c r="G1339" s="168" t="str">
        <x:v>Não identificado</x:v>
      </x:c>
      <x:c r="H1339" s="168" t="str">
        <x:v>Agro, Indústria e Comércio</x:v>
      </x:c>
      <x:c r="I1339" s="168" t="str">
        <x:v>Agronegócio</x:v>
      </x:c>
      <x:c r="J1339" s="168" t="str">
        <x:v>CI</x:v>
      </x:c>
      <x:c r="K1339" s="174"/>
      <x:c r="L1339" s="187" t="str">
        <x:v>Não classificado</x:v>
      </x:c>
    </x:row>
    <x:row r="1340">
      <x:c r="A1340" s="177" t="str">
        <x:v>66.148.387/0001-36</x:v>
      </x:c>
      <x:c r="B1340" s="168" t="str">
        <x:v>VEGA SPECIAL OPPORTUNITIES GLOBAL FI EM DIREITOS CREDITÓRIOS NÃO PADRONIZADOS RESP LIMITADA</x:v>
      </x:c>
      <x:c r="C1340" s="190" t="n">
        <x:v>71174153.27</x:v>
      </x:c>
      <x:c r="D1340" s="168" t="str">
        <x:v>Vega</x:v>
      </x:c>
      <x:c r="E1340" s="168" t="str">
        <x:f>IFERROR(INDEX('Classif Gestoras'!$H$6:$H$462,MATCH(D1340,'Classif Gestoras'!$A$6:$A$462,0)),"Não classificada")</x:f>
        <x:v>Independente</x:v>
      </x:c>
      <x:c r="F1340" s="168" t="str">
        <x:v>BTG Pactual Servicos Financeiros S/A DTVM</x:v>
      </x:c>
      <x:c r="G1340" s="168" t="str">
        <x:v>BANCO BTG PACTUAL S/A</x:v>
      </x:c>
      <x:c r="H1340" s="168" t="str">
        <x:v>Outros</x:v>
      </x:c>
      <x:c r="I1340" s="168" t="str">
        <x:v>Multicarteira Outros</x:v>
      </x:c>
      <x:c r="J1340" s="168" t="str">
        <x:v>CI</x:v>
      </x:c>
      <x:c r="K1340" s="174" t="n">
        <x:v>1</x:v>
      </x:c>
      <x:c r="L1340" s="187" t="str">
        <x:v>Proxy multicedente/multissacado — revisar</x:v>
      </x:c>
    </x:row>
    <x:row r="1341">
      <x:c r="A1341" s="177" t="str">
        <x:v>18.676.987/0001-24</x:v>
      </x:c>
      <x:c r="B1341" s="168" t="str">
        <x:v>CLM FUNDO DE INVESTIMENTO EM DIREITOS CREDITÓRIOS MULTISSETORIAL</x:v>
      </x:c>
      <x:c r="C1341" s="190" t="n">
        <x:v>71115957.14</x:v>
      </x:c>
      <x:c r="D1341" s="168" t="str">
        <x:v>OURO PRETO INVESTIMENTOS</x:v>
      </x:c>
      <x:c r="E1341" s="168" t="str">
        <x:f>IFERROR(INDEX('Classif Gestoras'!$H$6:$H$462,MATCH(D1341,'Classif Gestoras'!$A$6:$A$462,0)),"Não classificada")</x:f>
        <x:v>Independente</x:v>
      </x:c>
      <x:c r="F1341" s="168" t="str">
        <x:v>Limine Trust Distribuidora de Titulos e Valores Mobiliá</x:v>
      </x:c>
      <x:c r="G1341" s="168" t="str">
        <x:v>LIMINE TRUST DISTRIBUIDORA DE TITULOS E VALORES MOBILIARIOS LTDA.</x:v>
      </x:c>
      <x:c r="H1341" s="168" t="str">
        <x:v>Fomento Mercantil</x:v>
      </x:c>
      <x:c r="I1341" s="168" t="str">
        <x:v>Fomento Mercantil</x:v>
      </x:c>
      <x:c r="J1341" s="168" t="str">
        <x:v>CI</x:v>
      </x:c>
      <x:c r="K1341" s="174" t="n">
        <x:v>10</x:v>
      </x:c>
      <x:c r="L1341" s="187" t="str">
        <x:v>Não classificado</x:v>
      </x:c>
    </x:row>
    <x:row r="1342">
      <x:c r="A1342" s="177" t="str">
        <x:v>45.217.948/0001-31</x:v>
      </x:c>
      <x:c r="B1342" s="168" t="str">
        <x:v>VANGUARD I FUNDO DE INVESTIMENTO EM DIREITOS CREDITÓRIOS</x:v>
      </x:c>
      <x:c r="C1342" s="190" t="n">
        <x:v>71102999.30999999</x:v>
      </x:c>
      <x:c r="D1342" s="168" t="str">
        <x:v>Hinov Capital</x:v>
      </x:c>
      <x:c r="E1342" s="168" t="str">
        <x:f>IFERROR(INDEX('Classif Gestoras'!$H$6:$H$462,MATCH(D1342,'Classif Gestoras'!$A$6:$A$462,0)),"Não classificada")</x:f>
        <x:v>Independente</x:v>
      </x:c>
      <x:c r="F1342" s="168" t="str">
        <x:v>ACTUAL DTVM</x:v>
      </x:c>
      <x:c r="G1342" s="168" t="str">
        <x:v>TRUSTEE DISTRIBUIDORA DE TITULOS E VALORES MOBILIARIOS LTDA.</x:v>
      </x:c>
      <x:c r="H1342" s="168" t="str">
        <x:v>Fomento Mercantil</x:v>
      </x:c>
      <x:c r="I1342" s="168" t="str">
        <x:v>Fomento Mercantil</x:v>
      </x:c>
      <x:c r="J1342" s="168" t="str">
        <x:v>CI</x:v>
      </x:c>
      <x:c r="K1342" s="174" t="n">
        <x:v>70</x:v>
      </x:c>
      <x:c r="L1342" s="187" t="str">
        <x:v>Não classificado</x:v>
      </x:c>
    </x:row>
    <x:row r="1343">
      <x:c r="A1343" s="177" t="str">
        <x:v>57.566.020/0001-41</x:v>
      </x:c>
      <x:c r="B1343" s="168" t="str">
        <x:v>REDEFLEX FUNDO DE INVESTIMENTO EM DIREITOS CREDITÓRIOS RECEBÍVEIS COMERCIAIS RESP. LIMITADA</x:v>
      </x:c>
      <x:c r="C1343" s="190" t="n">
        <x:v>70909381.84</x:v>
      </x:c>
      <x:c r="D1343" s="168" t="str">
        <x:v>Aventis Asset</x:v>
      </x:c>
      <x:c r="E1343" s="168" t="str">
        <x:f>IFERROR(INDEX('Classif Gestoras'!$H$6:$H$462,MATCH(D1343,'Classif Gestoras'!$A$6:$A$462,0)),"Não classificada")</x:f>
        <x:v>Independente</x:v>
      </x:c>
      <x:c r="F1343" s="168" t="str">
        <x:v>Banvox DTVM</x:v>
      </x:c>
      <x:c r="G1343" s="168" t="str">
        <x:v>MERITO DISTRIBUIDORA DE TITULOS E VALORES MOBILIARIOS LTDA.</x:v>
      </x:c>
      <x:c r="H1343" s="168" t="str">
        <x:v>Agro, Indústria e Comércio</x:v>
      </x:c>
      <x:c r="I1343" s="168" t="str">
        <x:v>Recebíveis Comerciais</x:v>
      </x:c>
      <x:c r="J1343" s="168" t="str">
        <x:v>CI</x:v>
      </x:c>
      <x:c r="K1343" s="174" t="n">
        <x:v>12</x:v>
      </x:c>
      <x:c r="L1343" s="187" t="str">
        <x:v>Não classificado</x:v>
      </x:c>
    </x:row>
    <x:row r="1344">
      <x:c r="A1344" s="177" t="str">
        <x:v>41.755.875/0001-80</x:v>
      </x:c>
      <x:c r="B1344" s="168" t="str">
        <x:v>BTZ FUNDO DE INVESTIMENTO EM DIREITOS CREDITÓRIOS RESPONSABILIDADE LIMITADA</x:v>
      </x:c>
      <x:c r="C1344" s="190" t="n">
        <x:v>70858259.88999999</x:v>
      </x:c>
      <x:c r="D1344" s="168" t="str">
        <x:v>Libertas Asset</x:v>
      </x:c>
      <x:c r="E1344" s="168" t="str">
        <x:f>IFERROR(INDEX('Classif Gestoras'!$H$6:$H$462,MATCH(D1344,'Classif Gestoras'!$A$6:$A$462,0)),"Não classificada")</x:f>
        <x:v>Independente</x:v>
      </x:c>
      <x:c r="F1344" s="168" t="str">
        <x:v>ACTUAL DTVM</x:v>
      </x:c>
      <x:c r="G1344" s="168" t="str">
        <x:v>LASTRO RDV DTVM LTDA</x:v>
      </x:c>
      <x:c r="H1344" s="168" t="str">
        <x:v>Fomento Mercantil</x:v>
      </x:c>
      <x:c r="I1344" s="168" t="str">
        <x:v>Fomento Mercantil</x:v>
      </x:c>
      <x:c r="J1344" s="168" t="str">
        <x:v>CI</x:v>
      </x:c>
      <x:c r="K1344" s="174" t="n">
        <x:v>2</x:v>
      </x:c>
      <x:c r="L1344" s="187" t="str">
        <x:v>Não classificado</x:v>
      </x:c>
    </x:row>
    <x:row r="1345">
      <x:c r="A1345" s="177" t="str">
        <x:v>49.409.950/0001-63</x:v>
      </x:c>
      <x:c r="B1345" s="168" t="str">
        <x:v>VERDE AM II FUNDO DE INVESTIMENTO EM DIREITOS CREDITÓRIOS DE RESPONSABILIDADE LIMITADA</x:v>
      </x:c>
      <x:c r="C1345" s="190" t="n">
        <x:v>70756018.47</x:v>
      </x:c>
      <x:c r="D1345" s="168" t="str">
        <x:v>Verde Asset Management S.A.</x:v>
      </x:c>
      <x:c r="E1345" s="168" t="str">
        <x:f>IFERROR(INDEX('Classif Gestoras'!$H$6:$H$462,MATCH(D1345,'Classif Gestoras'!$A$6:$A$462,0)),"Não classificada")</x:f>
        <x:v>Independente</x:v>
      </x:c>
      <x:c r="F1345" s="168" t="str">
        <x:v>BANCO DAYCOVAL S/A</x:v>
      </x:c>
      <x:c r="G1345" s="168" t="str">
        <x:v>BANCO DAYCOVAL S.A.</x:v>
      </x:c>
      <x:c r="H1345" s="168" t="str">
        <x:v>Outros</x:v>
      </x:c>
      <x:c r="I1345" s="168" t="str">
        <x:v>Multicarteira Outros</x:v>
      </x:c>
      <x:c r="J1345" s="168" t="str">
        <x:v>CI</x:v>
      </x:c>
      <x:c r="K1345" s="174" t="n">
        <x:v>1</x:v>
      </x:c>
      <x:c r="L1345" s="187" t="str">
        <x:v>Proxy multicedente/multissacado — revisar</x:v>
      </x:c>
    </x:row>
    <x:row r="1346">
      <x:c r="A1346" s="177" t="str">
        <x:v>58.376.702/0001-54</x:v>
      </x:c>
      <x:c r="B1346" s="168" t="str">
        <x:v>MEDSYSTEMS B24 II FIDC SEGMENTO RECEBÍVEIS COMERCIAIS DE RESPONSABILIDADE LIMITADA</x:v>
      </x:c>
      <x:c r="C1346" s="190" t="n">
        <x:v>70708691.53999999</x:v>
      </x:c>
      <x:c r="D1346" s="168" t="str">
        <x:v>Kanastra</x:v>
      </x:c>
      <x:c r="E1346" s="168" t="str">
        <x:f>IFERROR(INDEX('Classif Gestoras'!$H$6:$H$462,MATCH(D1346,'Classif Gestoras'!$A$6:$A$462,0)),"Não classificada")</x:f>
        <x:v>Independente</x:v>
      </x:c>
      <x:c r="F1346" s="168" t="str">
        <x:v>Genial Investimentos Corretora de Valores Mobiliários S.A.</x:v>
      </x:c>
      <x:c r="G1346" s="168" t="str">
        <x:v>BANCO GENIAL S.A.</x:v>
      </x:c>
      <x:c r="H1346" s="168" t="str">
        <x:v>Agro, Indústria e Comércio</x:v>
      </x:c>
      <x:c r="I1346" s="168" t="str">
        <x:v>Recebíveis Comerciais</x:v>
      </x:c>
      <x:c r="J1346" s="168" t="str">
        <x:v>CI</x:v>
      </x:c>
      <x:c r="K1346" s="174" t="n">
        <x:v>2</x:v>
      </x:c>
      <x:c r="L1346" s="187" t="str">
        <x:v>Não classificado</x:v>
      </x:c>
    </x:row>
    <x:row r="1347">
      <x:c r="A1347" s="177" t="str">
        <x:v>27.326.119/0001-05</x:v>
      </x:c>
      <x:c r="B1347" s="168" t="str">
        <x:v>EVOLUT FUNDO DE INVESTIMENTO EM DIREITOS CREDITÓRIOS MULTISSETORIAL</x:v>
      </x:c>
      <x:c r="C1347" s="190" t="n">
        <x:v>70542358.77000001</x:v>
      </x:c>
      <x:c r="D1347" s="168" t="str">
        <x:v>OURO PRETO INVESTIMENTOS</x:v>
      </x:c>
      <x:c r="E1347" s="168" t="str">
        <x:f>IFERROR(INDEX('Classif Gestoras'!$H$6:$H$462,MATCH(D1347,'Classif Gestoras'!$A$6:$A$462,0)),"Não classificada")</x:f>
        <x:v>Independente</x:v>
      </x:c>
      <x:c r="F1347" s="168" t="str">
        <x:v>Singulare</x:v>
      </x:c>
      <x:c r="G1347" s="168" t="str">
        <x:v>QI CORRETORA DE TÍTULOS E VALORES MOBILIÁRIOS S.A.</x:v>
      </x:c>
      <x:c r="H1347" s="168" t="str">
        <x:v>Fomento Mercantil</x:v>
      </x:c>
      <x:c r="I1347" s="168" t="str">
        <x:v>Fomento Mercantil</x:v>
      </x:c>
      <x:c r="J1347" s="168" t="str">
        <x:v>CI</x:v>
      </x:c>
      <x:c r="K1347" s="174" t="n">
        <x:v>16</x:v>
      </x:c>
      <x:c r="L1347" s="187" t="str">
        <x:v>Não classificado</x:v>
      </x:c>
    </x:row>
    <x:row r="1348">
      <x:c r="A1348" s="177" t="str">
        <x:v>28.549.910/0001-47</x:v>
      </x:c>
      <x:c r="B1348" s="168" t="str">
        <x:v>SGC UT FUNDO DE INVESTIMENTO EM DIREITOS CREDITÓRIOS NÃO-PADRONIZADOS</x:v>
      </x:c>
      <x:c r="C1348" s="190" t="n">
        <x:v>70424784.05</x:v>
      </x:c>
      <x:c r="D1348" s="168" t="str">
        <x:v>Quadra Gestão de Recursos S.A.</x:v>
      </x:c>
      <x:c r="E1348" s="168" t="str">
        <x:f>IFERROR(INDEX('Classif Gestoras'!$H$6:$H$462,MATCH(D1348,'Classif Gestoras'!$A$6:$A$462,0)),"Não classificada")</x:f>
        <x:v>Independente</x:v>
      </x:c>
      <x:c r="F1348" s="168" t="str">
        <x:v>BTG Pactual Servicos Financeiros S/A DTVM</x:v>
      </x:c>
      <x:c r="G1348" s="168" t="str">
        <x:v>BANCO BTG PACTUAL S/A</x:v>
      </x:c>
      <x:c r="H1348" s="168" t="str">
        <x:v>Outros</x:v>
      </x:c>
      <x:c r="I1348" s="168" t="str">
        <x:v>Multicarteira Outros</x:v>
      </x:c>
      <x:c r="J1348" s="168" t="str">
        <x:v>CI</x:v>
      </x:c>
      <x:c r="K1348" s="174" t="n">
        <x:v>2</x:v>
      </x:c>
      <x:c r="L1348" s="187" t="str">
        <x:v>Proxy multicedente/multissacado — revisar</x:v>
      </x:c>
    </x:row>
    <x:row r="1349">
      <x:c r="A1349" s="177" t="str">
        <x:v>51.776.829/0001-11</x:v>
      </x:c>
      <x:c r="B1349" s="168" t="str">
        <x:v>ARKAD MULTIESTRATÉGIA FUNDO DE INVESTIMENTO EM DIREITOS CREDITÓRIOS</x:v>
      </x:c>
      <x:c r="C1349" s="190" t="n">
        <x:v>70420471.92</x:v>
      </x:c>
      <x:c r="D1349" s="168" t="str">
        <x:v>Menestys</x:v>
      </x:c>
      <x:c r="E1349" s="168" t="str">
        <x:f>IFERROR(INDEX('Classif Gestoras'!$H$6:$H$462,MATCH(D1349,'Classif Gestoras'!$A$6:$A$462,0)),"Não classificada")</x:f>
        <x:v>Independente</x:v>
      </x:c>
      <x:c r="F1349" s="168" t="str">
        <x:v>Qore DTVM</x:v>
      </x:c>
      <x:c r="G1349" s="168" t="str">
        <x:v>QORE DISTRIBUIDORA DE TÍTULOS E VALORES MOBILIÁRIOS LTDA.</x:v>
      </x:c>
      <x:c r="H1349" s="168" t="str">
        <x:v>Outros</x:v>
      </x:c>
      <x:c r="I1349" s="168" t="str">
        <x:v>Multicarteira Outros</x:v>
      </x:c>
      <x:c r="J1349" s="168" t="str">
        <x:v>CI</x:v>
      </x:c>
      <x:c r="K1349" s="174" t="n">
        <x:v>16</x:v>
      </x:c>
      <x:c r="L1349" s="187" t="str">
        <x:v>Proxy multicedente/multissacado — revisar</x:v>
      </x:c>
    </x:row>
    <x:row r="1350">
      <x:c r="A1350" s="177" t="str">
        <x:v>50.824.837/0001-23</x:v>
      </x:c>
      <x:c r="B1350" s="168" t="str">
        <x:v>RM FUNDO DE INVESTIMENTO EM DIREITOS CREDITORIOS NAO PADRONIZADO</x:v>
      </x:c>
      <x:c r="C1350" s="190" t="n">
        <x:v>70383191.7</x:v>
      </x:c>
      <x:c r="D1350" s="168" t="str">
        <x:v>Multiplica Capital</x:v>
      </x:c>
      <x:c r="E1350" s="168" t="str">
        <x:f>IFERROR(INDEX('Classif Gestoras'!$H$6:$H$462,MATCH(D1350,'Classif Gestoras'!$A$6:$A$462,0)),"Não classificada")</x:f>
        <x:v>Independente</x:v>
      </x:c>
      <x:c r="F1350" s="168" t="str">
        <x:v>PLANNER CV</x:v>
      </x:c>
      <x:c r="G1350" s="168" t="str">
        <x:v>VORTX DISTRIBUIDORA DE TITULOS E VALORES MOBILIARIOS LTDA.</x:v>
      </x:c>
      <x:c r="H1350" s="168" t="str">
        <x:v>Outros</x:v>
      </x:c>
      <x:c r="I1350" s="168" t="str">
        <x:v>Multicarteira Outros</x:v>
      </x:c>
      <x:c r="J1350" s="168" t="str">
        <x:v>CI</x:v>
      </x:c>
      <x:c r="K1350" s="174" t="n">
        <x:v>1</x:v>
      </x:c>
      <x:c r="L1350" s="187" t="str">
        <x:v>Proxy multicedente/multissacado — revisar</x:v>
      </x:c>
    </x:row>
    <x:row r="1351">
      <x:c r="A1351" s="177" t="str">
        <x:v>42.922.157/0001-14</x:v>
      </x:c>
      <x:c r="B1351" s="168" t="str">
        <x:v>CNPJ 42922157000114</x:v>
      </x:c>
      <x:c r="C1351" s="190" t="n">
        <x:v>70352937.84</x:v>
      </x:c>
      <x:c r="D1351" s="168" t="str">
        <x:v>GENIAL GESTÃO LTDA.</x:v>
      </x:c>
      <x:c r="E1351" s="168" t="str">
        <x:f>IFERROR(INDEX('Classif Gestoras'!$H$6:$H$462,MATCH(D1351,'Classif Gestoras'!$A$6:$A$462,0)),"Não classificada")</x:f>
        <x:v>Ligada a banco</x:v>
      </x:c>
      <x:c r="F1351" s="168" t="str">
        <x:v>BANCO DAYCOVAL S/A</x:v>
      </x:c>
      <x:c r="G1351" s="168" t="str">
        <x:v>Não identificado</x:v>
      </x:c>
      <x:c r="H1351" s="168" t="str">
        <x:v>Agro, Indústria e Comércio</x:v>
      </x:c>
      <x:c r="I1351" s="168" t="str">
        <x:v>Recebíveis Comerciais</x:v>
      </x:c>
      <x:c r="J1351" s="168" t="str">
        <x:v>CI</x:v>
      </x:c>
      <x:c r="K1351" s="174"/>
      <x:c r="L1351" s="187" t="str">
        <x:v>Não classificado</x:v>
      </x:c>
    </x:row>
    <x:row r="1352">
      <x:c r="A1352" s="177" t="str">
        <x:v>52.319.921/0001-15</x:v>
      </x:c>
      <x:c r="B1352" s="168" t="str">
        <x:v>ESTAIADA ÉXES FUNDO DE INVESTIMENTO EM DIREITOS CREDITÓRIOS RESPONSABILIDADE LIMITADA</x:v>
      </x:c>
      <x:c r="C1352" s="190" t="n">
        <x:v>70310403.08999999</x:v>
      </x:c>
      <x:c r="D1352" s="168" t="str">
        <x:v>Éxes</x:v>
      </x:c>
      <x:c r="E1352" s="168" t="str">
        <x:f>IFERROR(INDEX('Classif Gestoras'!$H$6:$H$462,MATCH(D1352,'Classif Gestoras'!$A$6:$A$462,0)),"Não classificada")</x:f>
        <x:v>Independente</x:v>
      </x:c>
      <x:c r="F1352" s="168" t="str">
        <x:v>Oliveira Trust DTVM</x:v>
      </x:c>
      <x:c r="G1352" s="168" t="str">
        <x:v>OLIVEIRA TRUST DTVM S.A.</x:v>
      </x:c>
      <x:c r="H1352" s="168" t="str">
        <x:v>Outros</x:v>
      </x:c>
      <x:c r="I1352" s="168" t="str">
        <x:v>Multicarteira Outros</x:v>
      </x:c>
      <x:c r="J1352" s="168" t="str">
        <x:v>CI</x:v>
      </x:c>
      <x:c r="K1352" s="174" t="n">
        <x:v>25</x:v>
      </x:c>
      <x:c r="L1352" s="187" t="str">
        <x:v>Proxy multicedente/multissacado — revisar</x:v>
      </x:c>
    </x:row>
    <x:row r="1353">
      <x:c r="A1353" s="177" t="str">
        <x:v>42.605.189/0001-96</x:v>
      </x:c>
      <x:c r="B1353" s="168" t="str">
        <x:v>MINASVERDE FUNDO DE INVESTIMENTO EM DIREITOS CREDITÓRIOS</x:v>
      </x:c>
      <x:c r="C1353" s="190" t="n">
        <x:v>70252340.58</x:v>
      </x:c>
      <x:c r="D1353" s="168" t="str">
        <x:v>StoneX Investimentos</x:v>
      </x:c>
      <x:c r="E1353" s="168" t="str">
        <x:f>IFERROR(INDEX('Classif Gestoras'!$H$6:$H$462,MATCH(D1353,'Classif Gestoras'!$A$6:$A$462,0)),"Não classificada")</x:f>
        <x:v>Independente</x:v>
      </x:c>
      <x:c r="F1353" s="168" t="str">
        <x:v>Singulare</x:v>
      </x:c>
      <x:c r="G1353" s="168" t="str">
        <x:v>QI CORRETORA DE TÍTULOS E VALORES MOBILIÁRIOS S.A.</x:v>
      </x:c>
      <x:c r="H1353" s="168" t="str">
        <x:v>Outros</x:v>
      </x:c>
      <x:c r="I1353" s="168" t="str">
        <x:v>Multicarteira Outros</x:v>
      </x:c>
      <x:c r="J1353" s="168" t="str">
        <x:v>CI</x:v>
      </x:c>
      <x:c r="K1353" s="174" t="n">
        <x:v>1</x:v>
      </x:c>
      <x:c r="L1353" s="187" t="str">
        <x:v>Proxy multicedente/multissacado — revisar</x:v>
      </x:c>
    </x:row>
    <x:row r="1354">
      <x:c r="A1354" s="177" t="str">
        <x:v>54.994.993/0001-93</x:v>
      </x:c>
      <x:c r="B1354" s="168" t="str">
        <x:v>DAYCOVAL BOX FUNDO DE INVESTIMENTO EM DIREITOS CREDITÓRIOS DE RESPONSABILIDADE LIMITADA</x:v>
      </x:c>
      <x:c r="C1354" s="190" t="n">
        <x:v>70247093.06</x:v>
      </x:c>
      <x:c r="D1354" s="168" t="str">
        <x:v>DAYCOVAL ASSET MANAG</x:v>
      </x:c>
      <x:c r="E1354" s="168" t="str">
        <x:f>IFERROR(INDEX('Classif Gestoras'!$H$6:$H$462,MATCH(D1354,'Classif Gestoras'!$A$6:$A$462,0)),"Não classificada")</x:f>
        <x:v>Ligada a banco</x:v>
      </x:c>
      <x:c r="F1354" s="168" t="str">
        <x:v>BANCO DAYCOVAL S/A</x:v>
      </x:c>
      <x:c r="G1354" s="168" t="str">
        <x:v>BANCO DAYCOVAL S.A.</x:v>
      </x:c>
      <x:c r="H1354" s="168" t="str">
        <x:v>Outros</x:v>
      </x:c>
      <x:c r="I1354" s="168" t="str">
        <x:v>Multicarteira Outros</x:v>
      </x:c>
      <x:c r="J1354" s="168" t="str">
        <x:v>CI</x:v>
      </x:c>
      <x:c r="K1354" s="174" t="n">
        <x:v>14</x:v>
      </x:c>
      <x:c r="L1354" s="187" t="str">
        <x:v>Proxy multicedente/multissacado — revisar</x:v>
      </x:c>
    </x:row>
    <x:row r="1355">
      <x:c r="A1355" s="177" t="str">
        <x:v>60.292.446/0001-69</x:v>
      </x:c>
      <x:c r="B1355" s="168" t="str">
        <x:v>XP FUNDO DE INVESTIMENTO EM DIREITOS CREDITÓRIOS CRÉDITO IMOBILIÁRIO RESPONSABILIDADE LIMITADA</x:v>
      </x:c>
      <x:c r="C1355" s="190" t="n">
        <x:v>70231480.3</x:v>
      </x:c>
      <x:c r="D1355" s="168" t="str">
        <x:v>Vista Real Estate</x:v>
      </x:c>
      <x:c r="E1355" s="168" t="str">
        <x:f>IFERROR(INDEX('Classif Gestoras'!$H$6:$H$462,MATCH(D1355,'Classif Gestoras'!$A$6:$A$462,0)),"Não classificada")</x:f>
        <x:v>Independente</x:v>
      </x:c>
      <x:c r="F1355" s="168" t="str">
        <x:v>XPI CCTVM S/A</x:v>
      </x:c>
      <x:c r="G1355" s="168" t="str">
        <x:v>OLIVEIRA TRUST DTVM S.A.</x:v>
      </x:c>
      <x:c r="H1355" s="168" t="str">
        <x:v>Outros</x:v>
      </x:c>
      <x:c r="I1355" s="168" t="str">
        <x:v>Multicarteira Outros</x:v>
      </x:c>
      <x:c r="J1355" s="168" t="str">
        <x:v>CI</x:v>
      </x:c>
      <x:c r="K1355" s="174" t="n">
        <x:v>7</x:v>
      </x:c>
      <x:c r="L1355" s="187" t="str">
        <x:v>Proxy multicedente/multissacado — revisar</x:v>
      </x:c>
    </x:row>
    <x:row r="1356">
      <x:c r="A1356" s="177" t="str">
        <x:v>26.984.508/0001-65</x:v>
      </x:c>
      <x:c r="B1356" s="168" t="str">
        <x:v>OCEAN ASSET FUNDO DE INVESTIMENTO EM DIREITOS CREDITORIOS</x:v>
      </x:c>
      <x:c r="C1356" s="190" t="n">
        <x:v>70216194.37</x:v>
      </x:c>
      <x:c r="D1356" s="168" t="str">
        <x:v>TERCON ASSET MANAGEMENT</x:v>
      </x:c>
      <x:c r="E1356" s="168" t="str">
        <x:f>IFERROR(INDEX('Classif Gestoras'!$H$6:$H$462,MATCH(D1356,'Classif Gestoras'!$A$6:$A$462,0)),"Não classificada")</x:f>
        <x:v>Independente</x:v>
      </x:c>
      <x:c r="F1356" s="168" t="str">
        <x:v>Singulare</x:v>
      </x:c>
      <x:c r="G1356" s="168" t="str">
        <x:v>QI CORRETORA DE TÍTULOS E VALORES MOBILIÁRIOS S.A.</x:v>
      </x:c>
      <x:c r="H1356" s="168" t="str">
        <x:v>Fomento Mercantil</x:v>
      </x:c>
      <x:c r="I1356" s="168" t="str">
        <x:v>Fomento Mercantil</x:v>
      </x:c>
      <x:c r="J1356" s="168" t="str">
        <x:v>CI</x:v>
      </x:c>
      <x:c r="K1356" s="174" t="n">
        <x:v>5</x:v>
      </x:c>
      <x:c r="L1356" s="187" t="str">
        <x:v>Não classificado</x:v>
      </x:c>
    </x:row>
    <x:row r="1357">
      <x:c r="A1357" s="177" t="str">
        <x:v>58.486.398/0001-06</x:v>
      </x:c>
      <x:c r="B1357" s="168" t="str">
        <x:v>FUNDO DE INVESTIMENTO EM DIREITOS CREDITÓRIOS BB CONSÓRCIOS RESPONSABILIDADE LIMITADA</x:v>
      </x:c>
      <x:c r="C1357" s="190" t="n">
        <x:v>70187703.17</x:v>
      </x:c>
      <x:c r="D1357" s="168" t="str">
        <x:v>JGP Gestão de Crédito LTDA.</x:v>
      </x:c>
      <x:c r="E1357" s="168" t="str">
        <x:f>IFERROR(INDEX('Classif Gestoras'!$H$6:$H$462,MATCH(D1357,'Classif Gestoras'!$A$6:$A$462,0)),"Não classificada")</x:f>
        <x:v>Independente</x:v>
      </x:c>
      <x:c r="F1357" s="168" t="str">
        <x:v>Genial Investimentos Corretora de Valores Mobiliários S.A.</x:v>
      </x:c>
      <x:c r="G1357" s="168" t="str">
        <x:v>BANCO GENIAL S.A.</x:v>
      </x:c>
      <x:c r="H1357" s="168" t="str">
        <x:v>Financeiro</x:v>
      </x:c>
      <x:c r="I1357" s="168" t="str">
        <x:v>Crédito Consignado</x:v>
      </x:c>
      <x:c r="J1357" s="168" t="str">
        <x:v>CI</x:v>
      </x:c>
      <x:c r="K1357" s="174" t="n">
        <x:v>14</x:v>
      </x:c>
      <x:c r="L1357" s="187" t="str">
        <x:v>Não classificado</x:v>
      </x:c>
    </x:row>
    <x:row r="1358">
      <x:c r="A1358" s="177" t="str">
        <x:v>62.135.992/0001-11</x:v>
      </x:c>
      <x:c r="B1358" s="168" t="str">
        <x:v>FRUCTUS FUNDO DE INVESTIMENTO EM DIREITOS CREDITÓRIOS - RESPONSABILIDADE LIMITADA</x:v>
      </x:c>
      <x:c r="C1358" s="190" t="n">
        <x:v>70013520.55999999</x:v>
      </x:c>
      <x:c r="D1358" s="168" t="str">
        <x:v>RedAsset Gestão de Recursos Ltda.</x:v>
      </x:c>
      <x:c r="E1358" s="168" t="str">
        <x:f>IFERROR(INDEX('Classif Gestoras'!$H$6:$H$462,MATCH(D1358,'Classif Gestoras'!$A$6:$A$462,0)),"Não classificada")</x:f>
        <x:v>Independente</x:v>
      </x:c>
      <x:c r="F1358" s="168" t="str">
        <x:v>HEMERA DTVM</x:v>
      </x:c>
      <x:c r="G1358" s="168" t="str">
        <x:v>HEMERA DISTRIBUIDORA DE TITULOS E VALORES MOBILIARIOS LTDA</x:v>
      </x:c>
      <x:c r="H1358" s="168" t="str">
        <x:v>Fomento Mercantil</x:v>
      </x:c>
      <x:c r="I1358" s="168" t="str">
        <x:v>Fomento Mercantil</x:v>
      </x:c>
      <x:c r="J1358" s="168" t="str">
        <x:v>CI</x:v>
      </x:c>
      <x:c r="K1358" s="174" t="n">
        <x:v>26</x:v>
      </x:c>
      <x:c r="L1358" s="187" t="str">
        <x:v>Não classificado</x:v>
      </x:c>
    </x:row>
    <x:row r="1359">
      <x:c r="A1359" s="177" t="str">
        <x:v>18.114.024/0001-37</x:v>
      </x:c>
      <x:c r="B1359" s="168" t="str">
        <x:v>METROPOLITANA ATIVOS FUNDO DE INVESTIMENTO EM DIREITOS CREDITÓRIOS MULTISSETORIAL</x:v>
      </x:c>
      <x:c r="C1359" s="190" t="n">
        <x:v>69882391.27</x:v>
      </x:c>
      <x:c r="D1359" s="168" t="str">
        <x:v>OURO PRETO INVESTIMENTOS</x:v>
      </x:c>
      <x:c r="E1359" s="168" t="str">
        <x:f>IFERROR(INDEX('Classif Gestoras'!$H$6:$H$462,MATCH(D1359,'Classif Gestoras'!$A$6:$A$462,0)),"Não classificada")</x:f>
        <x:v>Independente</x:v>
      </x:c>
      <x:c r="F1359" s="168" t="str">
        <x:v>Limine Trust Distribuidora de Titulos e Valores Mobiliá</x:v>
      </x:c>
      <x:c r="G1359" s="168" t="str">
        <x:v>LIMINE TRUST DISTRIBUIDORA DE TITULOS E VALORES MOBILIARIOS LTDA.</x:v>
      </x:c>
      <x:c r="H1359" s="168" t="str">
        <x:v>Fomento Mercantil</x:v>
      </x:c>
      <x:c r="I1359" s="168" t="str">
        <x:v>Fomento Mercantil</x:v>
      </x:c>
      <x:c r="J1359" s="168" t="str">
        <x:v>CI</x:v>
      </x:c>
      <x:c r="K1359" s="174" t="n">
        <x:v>1</x:v>
      </x:c>
      <x:c r="L1359" s="187" t="str">
        <x:v>Não classificado</x:v>
      </x:c>
    </x:row>
    <x:row r="1360">
      <x:c r="A1360" s="177" t="str">
        <x:v>58.546.382/0001-33</x:v>
      </x:c>
      <x:c r="B1360" s="168" t="str">
        <x:v>TEXAS FUNDO DE INVESTIMENTO EM DIREITOS CREDITÓRIOS RESPONSABILIDADE LIMITADA</x:v>
      </x:c>
      <x:c r="C1360" s="190" t="n">
        <x:v>69584552.63</x:v>
      </x:c>
      <x:c r="D1360" s="168" t="str">
        <x:v>SH Asset</x:v>
      </x:c>
      <x:c r="E1360" s="168" t="str">
        <x:f>IFERROR(INDEX('Classif Gestoras'!$H$6:$H$462,MATCH(D1360,'Classif Gestoras'!$A$6:$A$462,0)),"Não classificada")</x:f>
        <x:v>Independente</x:v>
      </x:c>
      <x:c r="F1360" s="168" t="str">
        <x:v>Singulare</x:v>
      </x:c>
      <x:c r="G1360" s="168" t="str">
        <x:v>QI CORRETORA DE TÍTULOS E VALORES MOBILIÁRIOS S.A.</x:v>
      </x:c>
      <x:c r="H1360" s="168" t="str">
        <x:v>Outros</x:v>
      </x:c>
      <x:c r="I1360" s="168" t="str">
        <x:v>Poder Público</x:v>
      </x:c>
      <x:c r="J1360" s="168" t="str">
        <x:v>CI</x:v>
      </x:c>
      <x:c r="K1360" s="174" t="n">
        <x:v>9</x:v>
      </x:c>
      <x:c r="L1360" s="187" t="str">
        <x:v>Não classificado</x:v>
      </x:c>
    </x:row>
    <x:row r="1361">
      <x:c r="A1361" s="177" t="str">
        <x:v>16.873.285/0001-05</x:v>
      </x:c>
      <x:c r="B1361" s="168" t="str">
        <x:v>CAUÊ GS FUNDO DE INVESTIMENTO EM DIREITOS CREDITÓRIOS RESPONSABILIDADE LIMITADA</x:v>
      </x:c>
      <x:c r="C1361" s="190" t="n">
        <x:v>69484945.4035</x:v>
      </x:c>
      <x:c r="D1361" s="168" t="str">
        <x:v>TAG Investimentos</x:v>
      </x:c>
      <x:c r="E1361" s="168" t="str">
        <x:f>IFERROR(INDEX('Classif Gestoras'!$H$6:$H$462,MATCH(D1361,'Classif Gestoras'!$A$6:$A$462,0)),"Não classificada")</x:f>
        <x:v>Independente</x:v>
      </x:c>
      <x:c r="F1361" s="168" t="str">
        <x:v>BTG Pactual Servicos Financeiros S/A DTVM</x:v>
      </x:c>
      <x:c r="G1361" s="168" t="str">
        <x:v>BANCO BTG PACTUAL S/A</x:v>
      </x:c>
      <x:c r="H1361" s="168" t="str">
        <x:v>Outros</x:v>
      </x:c>
      <x:c r="I1361" s="168" t="str">
        <x:v>Multicarteira Outros</x:v>
      </x:c>
      <x:c r="J1361" s="168" t="str">
        <x:v>CI</x:v>
      </x:c>
      <x:c r="K1361" s="174" t="n">
        <x:v>2</x:v>
      </x:c>
      <x:c r="L1361" s="187" t="str">
        <x:v>Proxy multicedente/multissacado — revisar</x:v>
      </x:c>
    </x:row>
    <x:row r="1362">
      <x:c r="A1362" s="177" t="str">
        <x:v>53.018.439/0001-08</x:v>
      </x:c>
      <x:c r="B1362" s="168" t="str">
        <x:v>DIAMANTE FUNDO DE INVESTIMENTO EM DIREITOS CREDITÓRIOS RESPONSABILIDADE LIMITADA</x:v>
      </x:c>
      <x:c r="C1362" s="190" t="n">
        <x:v>69441911</x:v>
      </x:c>
      <x:c r="D1362" s="168" t="str">
        <x:v>SOMMA Investimentos</x:v>
      </x:c>
      <x:c r="E1362" s="168" t="str">
        <x:f>IFERROR(INDEX('Classif Gestoras'!$H$6:$H$462,MATCH(D1362,'Classif Gestoras'!$A$6:$A$462,0)),"Não classificada")</x:f>
        <x:v>Independente</x:v>
      </x:c>
      <x:c r="F1362" s="168" t="str">
        <x:v>Singulare</x:v>
      </x:c>
      <x:c r="G1362" s="168" t="str">
        <x:v>QI CORRETORA DE TÍTULOS E VALORES MOBILIÁRIOS S.A.</x:v>
      </x:c>
      <x:c r="H1362" s="168" t="str">
        <x:v>Fomento Mercantil</x:v>
      </x:c>
      <x:c r="I1362" s="168" t="str">
        <x:v>Fomento Mercantil</x:v>
      </x:c>
      <x:c r="J1362" s="168" t="str">
        <x:v>CI</x:v>
      </x:c>
      <x:c r="K1362" s="174" t="n">
        <x:v>1</x:v>
      </x:c>
      <x:c r="L1362" s="187" t="str">
        <x:v>Não classificado</x:v>
      </x:c>
    </x:row>
    <x:row r="1363">
      <x:c r="A1363" s="177" t="str">
        <x:v>59.699.204/0001-05</x:v>
      </x:c>
      <x:c r="B1363" s="168" t="str">
        <x:v>LINK CAPITAL FUNDO DE INVESTIMENTO EM DIREITOS CREDITÓRIOS DE RESPONSABILIDADE LIMITADA</x:v>
      </x:c>
      <x:c r="C1363" s="190" t="n">
        <x:v>69353137.74</x:v>
      </x:c>
      <x:c r="D1363" s="168" t="str">
        <x:v>Catálise Investimentos</x:v>
      </x:c>
      <x:c r="E1363" s="168" t="str">
        <x:f>IFERROR(INDEX('Classif Gestoras'!$H$6:$H$462,MATCH(D1363,'Classif Gestoras'!$A$6:$A$462,0)),"Não classificada")</x:f>
        <x:v>Independente</x:v>
      </x:c>
      <x:c r="F1363" s="168" t="str">
        <x:v>CATÁLISE DTVM</x:v>
      </x:c>
      <x:c r="G1363" s="168" t="str">
        <x:v>BANCO DAYCOVAL S.A.</x:v>
      </x:c>
      <x:c r="H1363" s="168" t="str">
        <x:v>Agro, Indústria e Comércio</x:v>
      </x:c>
      <x:c r="I1363" s="168" t="str">
        <x:v>Multicarteira Agro, Indústria e Comércio</x:v>
      </x:c>
      <x:c r="J1363" s="168" t="str">
        <x:v>CI</x:v>
      </x:c>
      <x:c r="K1363" s="174" t="n">
        <x:v>1</x:v>
      </x:c>
      <x:c r="L1363" s="187" t="str">
        <x:v>Proxy multicedente/multissacado — revisar</x:v>
      </x:c>
    </x:row>
    <x:row r="1364">
      <x:c r="A1364" s="177" t="str">
        <x:v>38.948.969/0001-61</x:v>
      </x:c>
      <x:c r="B1364" s="168" t="str">
        <x:v>FUNDO DE INVESTIMENTO EM DIREITOS CREDITÓRIOS EMPÍRICA RECEBÍVEIS IMOBILIÁRIOS</x:v>
      </x:c>
      <x:c r="C1364" s="190" t="n">
        <x:v>69277633.28</x:v>
      </x:c>
      <x:c r="D1364" s="168" t="str">
        <x:v>REAG GESTÃO DE CRÉDITO</x:v>
      </x:c>
      <x:c r="E1364" s="168" t="str">
        <x:f>IFERROR(INDEX('Classif Gestoras'!$H$6:$H$462,MATCH(D1364,'Classif Gestoras'!$A$6:$A$462,0)),"Não classificada")</x:f>
        <x:v>Independente</x:v>
      </x:c>
      <x:c r="F1364" s="168" t="str">
        <x:v>REAG DTVM</x:v>
      </x:c>
      <x:c r="G1364" s="168" t="str">
        <x:v>FIDD DISTRIBUIDORA DE TITULOS E VALORES MOBILIARIOS LTDA.</x:v>
      </x:c>
      <x:c r="H1364" s="168" t="str">
        <x:v>Financeiro</x:v>
      </x:c>
      <x:c r="I1364" s="168" t="str">
        <x:v>Crédito Imobiliário</x:v>
      </x:c>
      <x:c r="J1364" s="168" t="str">
        <x:v>CI</x:v>
      </x:c>
      <x:c r="K1364" s="174" t="n">
        <x:v>2</x:v>
      </x:c>
      <x:c r="L1364" s="187" t="str">
        <x:v>Não classificado</x:v>
      </x:c>
    </x:row>
    <x:row r="1365">
      <x:c r="A1365" s="177" t="str">
        <x:v>20.403.406/0001-22</x:v>
      </x:c>
      <x:c r="B1365" s="168" t="str">
        <x:v>SG II A FUNDO DE INVESTIMENTO EM DIREITOS CREDITÓRIOS NÃO-PADRONIZADOS</x:v>
      </x:c>
      <x:c r="C1365" s="190" t="n">
        <x:v>69215170.1254</x:v>
      </x:c>
      <x:c r="D1365" s="168" t="str">
        <x:v>PACTUAL CAPITAL PART</x:v>
      </x:c>
      <x:c r="E1365" s="168" t="str">
        <x:f>IFERROR(INDEX('Classif Gestoras'!$H$6:$H$462,MATCH(D1365,'Classif Gestoras'!$A$6:$A$462,0)),"Não classificada")</x:f>
        <x:v>Independente</x:v>
      </x:c>
      <x:c r="F1365" s="168" t="str">
        <x:v>BTG Pactual Servicos Financeiros S/A DTVM</x:v>
      </x:c>
      <x:c r="G1365" s="168" t="str">
        <x:v>BANCO BTG PACTUAL S/A</x:v>
      </x:c>
      <x:c r="H1365" s="168" t="str">
        <x:v>Outros</x:v>
      </x:c>
      <x:c r="I1365" s="168" t="str">
        <x:v>Poder Público</x:v>
      </x:c>
      <x:c r="J1365" s="168" t="str">
        <x:v>CI</x:v>
      </x:c>
      <x:c r="K1365" s="174" t="n">
        <x:v>1</x:v>
      </x:c>
      <x:c r="L1365" s="187" t="str">
        <x:v>Não classificado</x:v>
      </x:c>
    </x:row>
    <x:row r="1366">
      <x:c r="A1366" s="177" t="str">
        <x:v>48.313.744/0001-92</x:v>
      </x:c>
      <x:c r="B1366" s="168" t="str">
        <x:v>CREDX FUNDO DE INVESTIMENTO EM DIREITOS CREDITÓRIOS</x:v>
      </x:c>
      <x:c r="C1366" s="190" t="n">
        <x:v>69206020.34</x:v>
      </x:c>
      <x:c r="D1366" s="168" t="str">
        <x:v>KÖLI CAPITAL</x:v>
      </x:c>
      <x:c r="E1366" s="168" t="str">
        <x:f>IFERROR(INDEX('Classif Gestoras'!$H$6:$H$462,MATCH(D1366,'Classif Gestoras'!$A$6:$A$462,0)),"Não classificada")</x:f>
        <x:v>Independente</x:v>
      </x:c>
      <x:c r="F1366" s="168" t="str">
        <x:v>Singulare</x:v>
      </x:c>
      <x:c r="G1366" s="168" t="str">
        <x:v>QI CORRETORA DE TÍTULOS E VALORES MOBILIÁRIOS S.A.</x:v>
      </x:c>
      <x:c r="H1366" s="168" t="str">
        <x:v>Fomento Mercantil</x:v>
      </x:c>
      <x:c r="I1366" s="168" t="str">
        <x:v>Fomento Mercantil</x:v>
      </x:c>
      <x:c r="J1366" s="168" t="str">
        <x:v>CI</x:v>
      </x:c>
      <x:c r="K1366" s="174" t="n">
        <x:v>7</x:v>
      </x:c>
      <x:c r="L1366" s="187" t="str">
        <x:v>Não classificado</x:v>
      </x:c>
    </x:row>
    <x:row r="1367">
      <x:c r="A1367" s="177" t="str">
        <x:v>51.311.858/0001-08</x:v>
      </x:c>
      <x:c r="B1367" s="168" t="str">
        <x:v>SPECTRA SPECIAL BOX FUNDO DE INVESTIMENTO EM DIREITOS CREDITÓRIOS DE RESPONSABILIDADE LIMITADA</x:v>
      </x:c>
      <x:c r="C1367" s="190" t="n">
        <x:v>69077053.56</x:v>
      </x:c>
      <x:c r="D1367" s="168" t="str">
        <x:v>DAYCOVAL ASSET MANAG</x:v>
      </x:c>
      <x:c r="E1367" s="168" t="str">
        <x:f>IFERROR(INDEX('Classif Gestoras'!$H$6:$H$462,MATCH(D1367,'Classif Gestoras'!$A$6:$A$462,0)),"Não classificada")</x:f>
        <x:v>Ligada a banco</x:v>
      </x:c>
      <x:c r="F1367" s="168" t="str">
        <x:v>BANCO DAYCOVAL S/A</x:v>
      </x:c>
      <x:c r="G1367" s="168" t="str">
        <x:v>BANCO DAYCOVAL S.A.</x:v>
      </x:c>
      <x:c r="H1367" s="168" t="str">
        <x:v>Financeiro</x:v>
      </x:c>
      <x:c r="I1367" s="168" t="str">
        <x:v>Multicarteira Financeiro</x:v>
      </x:c>
      <x:c r="J1367" s="168" t="str">
        <x:v>CI</x:v>
      </x:c>
      <x:c r="K1367" s="174" t="n">
        <x:v>2</x:v>
      </x:c>
      <x:c r="L1367" s="187" t="str">
        <x:v>Proxy multicedente/multissacado — revisar</x:v>
      </x:c>
    </x:row>
    <x:row r="1368">
      <x:c r="A1368" s="177" t="str">
        <x:v>28.912.351/0001-98</x:v>
      </x:c>
      <x:c r="B1368" s="168" t="str">
        <x:v>SADESUL FUNDO DE INVESTIMENTO EM DIREITOS CREDITÓRIOS RESPONSABILIDADE LIMITADA</x:v>
      </x:c>
      <x:c r="C1368" s="190" t="n">
        <x:v>68972918.13000001</x:v>
      </x:c>
      <x:c r="D1368" s="168" t="str">
        <x:v>Redwood Asset Management</x:v>
      </x:c>
      <x:c r="E1368" s="168" t="str">
        <x:f>IFERROR(INDEX('Classif Gestoras'!$H$6:$H$462,MATCH(D1368,'Classif Gestoras'!$A$6:$A$462,0)),"Não classificada")</x:f>
        <x:v>Independente</x:v>
      </x:c>
      <x:c r="F1368" s="168" t="str">
        <x:v>PLANNER CV</x:v>
      </x:c>
      <x:c r="G1368" s="168" t="str">
        <x:v>PLANNER CORRETORA DE VALORES S.A.</x:v>
      </x:c>
      <x:c r="H1368" s="168" t="str">
        <x:v>Outros</x:v>
      </x:c>
      <x:c r="I1368" s="168" t="str">
        <x:v>Multicarteira Outros</x:v>
      </x:c>
      <x:c r="J1368" s="168" t="str">
        <x:v>CI</x:v>
      </x:c>
      <x:c r="K1368" s="174" t="n">
        <x:v>1</x:v>
      </x:c>
      <x:c r="L1368" s="187" t="str">
        <x:v>Proxy multicedente/multissacado — revisar</x:v>
      </x:c>
    </x:row>
    <x:row r="1369">
      <x:c r="A1369" s="177" t="str">
        <x:v>61.669.748/0001-76</x:v>
      </x:c>
      <x:c r="B1369" s="168" t="str">
        <x:v>LAVORO FORNECEDORES FUNDO DE INVESTIMENTO EM DIREITOS CREDITÓRIOS DO AGRONEGÓCIO - RESP LTDA</x:v>
      </x:c>
      <x:c r="C1369" s="190" t="n">
        <x:v>68966191.17</x:v>
      </x:c>
      <x:c r="D1369" s="168" t="str">
        <x:v>Farmtech Gestão de Recursos Ltda.</x:v>
      </x:c>
      <x:c r="E1369" s="168" t="str">
        <x:f>IFERROR(INDEX('Classif Gestoras'!$H$6:$H$462,MATCH(D1369,'Classif Gestoras'!$A$6:$A$462,0)),"Não classificada")</x:f>
        <x:v>Independente</x:v>
      </x:c>
      <x:c r="F1369" s="168" t="str">
        <x:v>Oliveira Trust DTVM</x:v>
      </x:c>
      <x:c r="G1369" s="168" t="str">
        <x:v>OLIVEIRA TRUST DTVM S.A.</x:v>
      </x:c>
      <x:c r="H1369" s="168" t="str">
        <x:v>Agro, Indústria e Comércio</x:v>
      </x:c>
      <x:c r="I1369" s="168" t="str">
        <x:v>Agronegócio</x:v>
      </x:c>
      <x:c r="J1369" s="168" t="str">
        <x:v>CI</x:v>
      </x:c>
      <x:c r="K1369" s="174" t="n">
        <x:v>3</x:v>
      </x:c>
      <x:c r="L1369" s="187" t="str">
        <x:v>Não classificado</x:v>
      </x:c>
    </x:row>
    <x:row r="1370">
      <x:c r="A1370" s="177" t="str">
        <x:v>45.145.657/0001-85</x:v>
      </x:c>
      <x:c r="B1370" s="168" t="str">
        <x:v>LESTE CREDIT PRECATÓRIOS II FUNDO DE INVESTIMENTO EM DIREITOS CREDITÓRIOS RESPONSABILIDADE LIMITADA</x:v>
      </x:c>
      <x:c r="C1370" s="190" t="n">
        <x:v>68965791.97</x:v>
      </x:c>
      <x:c r="D1370" s="168" t="str">
        <x:v>VM Consultoria Empresarial Ltd</x:v>
      </x:c>
      <x:c r="E1370" s="168" t="str">
        <x:f>IFERROR(INDEX('Classif Gestoras'!$H$6:$H$462,MATCH(D1370,'Classif Gestoras'!$A$6:$A$462,0)),"Não classificada")</x:f>
        <x:v>Independente</x:v>
      </x:c>
      <x:c r="F1370" s="168" t="str">
        <x:v>PLANNER CV</x:v>
      </x:c>
      <x:c r="G1370" s="168" t="str">
        <x:v>PLANNER CORRETORA DE VALORES S.A.</x:v>
      </x:c>
      <x:c r="H1370" s="168" t="str">
        <x:v>Outros</x:v>
      </x:c>
      <x:c r="I1370" s="168" t="str">
        <x:v>Poder Público</x:v>
      </x:c>
      <x:c r="J1370" s="168" t="str">
        <x:v>CI</x:v>
      </x:c>
      <x:c r="K1370" s="174" t="n">
        <x:v>80</x:v>
      </x:c>
      <x:c r="L1370" s="187" t="str">
        <x:v>Não classificado</x:v>
      </x:c>
    </x:row>
    <x:row r="1371">
      <x:c r="A1371" s="177" t="str">
        <x:v>52.287.219/0001-17</x:v>
      </x:c>
      <x:c r="B1371" s="168" t="str">
        <x:v>SC CRÉDITOS I FUNDO DE INVESTIMENTO EM DIREITOS CREDITORIOS RESPONSABILIDADE LIMITADA</x:v>
      </x:c>
      <x:c r="C1371" s="190" t="n">
        <x:v>68876439.41</x:v>
      </x:c>
      <x:c r="D1371" s="168" t="str">
        <x:v>Score Capital</x:v>
      </x:c>
      <x:c r="E1371" s="168" t="str">
        <x:f>IFERROR(INDEX('Classif Gestoras'!$H$6:$H$462,MATCH(D1371,'Classif Gestoras'!$A$6:$A$462,0)),"Não classificada")</x:f>
        <x:v>Independente</x:v>
      </x:c>
      <x:c r="F1371" s="168" t="str">
        <x:v>PLANNER CV</x:v>
      </x:c>
      <x:c r="G1371" s="168" t="str">
        <x:v>PLANNER CORRETORA DE VALORES S.A.</x:v>
      </x:c>
      <x:c r="H1371" s="168" t="str">
        <x:v>Outros</x:v>
      </x:c>
      <x:c r="I1371" s="168" t="str">
        <x:v>Multicarteira Outros</x:v>
      </x:c>
      <x:c r="J1371" s="168" t="str">
        <x:v>CI</x:v>
      </x:c>
      <x:c r="K1371" s="174" t="n">
        <x:v>1</x:v>
      </x:c>
      <x:c r="L1371" s="187" t="str">
        <x:v>Proxy multicedente/multissacado — revisar</x:v>
      </x:c>
    </x:row>
    <x:row r="1372">
      <x:c r="A1372" s="177" t="str">
        <x:v>41.332.977/0001-93</x:v>
      </x:c>
      <x:c r="B1372" s="168" t="str">
        <x:v>UP.P CRÉDITO PESSOAL FUNDO DE INVESTIMENTO EM DIREITOS CREDITÓRIOS - RESPONSABILIDADE LIMITADA</x:v>
      </x:c>
      <x:c r="C1372" s="190" t="n">
        <x:v>68760564.91999999</x:v>
      </x:c>
      <x:c r="D1372" s="168" t="str">
        <x:v>ANGÁ ASSET MANAGEMENT</x:v>
      </x:c>
      <x:c r="E1372" s="168" t="str">
        <x:f>IFERROR(INDEX('Classif Gestoras'!$H$6:$H$462,MATCH(D1372,'Classif Gestoras'!$A$6:$A$462,0)),"Não classificada")</x:f>
        <x:v>Independente</x:v>
      </x:c>
      <x:c r="F1372" s="168" t="str">
        <x:v>BANCO DAYCOVAL S/A</x:v>
      </x:c>
      <x:c r="G1372" s="168" t="str">
        <x:v>BANCO DAYCOVAL S.A.</x:v>
      </x:c>
      <x:c r="H1372" s="168" t="str">
        <x:v>Financeiro</x:v>
      </x:c>
      <x:c r="I1372" s="168" t="str">
        <x:v>Multicarteira Financeiro</x:v>
      </x:c>
      <x:c r="J1372" s="168" t="str">
        <x:v>CI</x:v>
      </x:c>
      <x:c r="K1372" s="174" t="n">
        <x:v>117</x:v>
      </x:c>
      <x:c r="L1372" s="187" t="str">
        <x:v>Proxy multicedente/multissacado — revisar</x:v>
      </x:c>
    </x:row>
    <x:row r="1373">
      <x:c r="A1373" s="177" t="str">
        <x:v>38.267.680/0001-87</x:v>
      </x:c>
      <x:c r="B1373" s="168" t="str">
        <x:v>V051 FUNDO DE INVESTIMENTO EM DIREITOS CREDITÓRIOS - RESPONSABILIDADE LIMITADA</x:v>
      </x:c>
      <x:c r="C1373" s="190" t="n">
        <x:v>68693278.08</x:v>
      </x:c>
      <x:c r="D1373" s="168" t="str">
        <x:v>VALORA IMOBILIÁRIO E INFRAESTRUTURA LTDA</x:v>
      </x:c>
      <x:c r="E1373" s="168" t="str">
        <x:f>IFERROR(INDEX('Classif Gestoras'!$H$6:$H$462,MATCH(D1373,'Classif Gestoras'!$A$6:$A$462,0)),"Não classificada")</x:f>
        <x:v>Independente</x:v>
      </x:c>
      <x:c r="F1373" s="168" t="str">
        <x:v>BNY MELLON SERVICOS</x:v>
      </x:c>
      <x:c r="G1373" s="168" t="str">
        <x:v>Não identificado</x:v>
      </x:c>
      <x:c r="H1373" s="168" t="str">
        <x:v>Outros</x:v>
      </x:c>
      <x:c r="I1373" s="168" t="str">
        <x:v>Multicarteira Outros</x:v>
      </x:c>
      <x:c r="J1373" s="168" t="str">
        <x:v>CI</x:v>
      </x:c>
      <x:c r="K1373" s="174" t="n">
        <x:v>1</x:v>
      </x:c>
      <x:c r="L1373" s="187" t="str">
        <x:v>Proxy multicedente/multissacado — revisar</x:v>
      </x:c>
    </x:row>
    <x:row r="1374">
      <x:c r="A1374" s="177" t="str">
        <x:v>20.717.010/0001-50</x:v>
      </x:c>
      <x:c r="B1374" s="168" t="str">
        <x:v>SOLITUDE PRECATÓRIO FUNDO DE INVESTIMENTO EM DIREITOS CREDITÓRIOS NÃO PADRONIZADO</x:v>
      </x:c>
      <x:c r="C1374" s="190" t="n">
        <x:v>68668321.92</x:v>
      </x:c>
      <x:c r="D1374" s="168" t="str">
        <x:v>Patrimonial Gestão</x:v>
      </x:c>
      <x:c r="E1374" s="168" t="str">
        <x:f>IFERROR(INDEX('Classif Gestoras'!$H$6:$H$462,MATCH(D1374,'Classif Gestoras'!$A$6:$A$462,0)),"Não classificada")</x:f>
        <x:v>Independente</x:v>
      </x:c>
      <x:c r="F1374" s="168" t="str">
        <x:v>Singulare</x:v>
      </x:c>
      <x:c r="G1374" s="168" t="str">
        <x:v>QI CORRETORA DE TÍTULOS E VALORES MOBILIÁRIOS S.A.</x:v>
      </x:c>
      <x:c r="H1374" s="168" t="str">
        <x:v>Outros</x:v>
      </x:c>
      <x:c r="I1374" s="168" t="str">
        <x:v>Poder Público</x:v>
      </x:c>
      <x:c r="J1374" s="168" t="str">
        <x:v>CI</x:v>
      </x:c>
      <x:c r="K1374" s="174" t="n">
        <x:v>9</x:v>
      </x:c>
      <x:c r="L1374" s="187" t="str">
        <x:v>Não classificado</x:v>
      </x:c>
    </x:row>
    <x:row r="1375">
      <x:c r="A1375" s="177" t="str">
        <x:v>58.033.643/0001-11</x:v>
      </x:c>
      <x:c r="B1375" s="168" t="str">
        <x:v>RIO BRAVO AGRO RECEBÍVEIS FUNDO DE INVESTIMENTO EM DIREITOS CREDITÓRIOS DE RESPONSABILIDADE LIMITADA</x:v>
      </x:c>
      <x:c r="C1375" s="190" t="n">
        <x:v>68350024.37</x:v>
      </x:c>
      <x:c r="D1375" s="168" t="str">
        <x:v>Rio Bravo</x:v>
      </x:c>
      <x:c r="E1375" s="168" t="str">
        <x:f>IFERROR(INDEX('Classif Gestoras'!$H$6:$H$462,MATCH(D1375,'Classif Gestoras'!$A$6:$A$462,0)),"Não classificada")</x:f>
        <x:v>Independente</x:v>
      </x:c>
      <x:c r="F1375" s="168" t="str">
        <x:v>BANCO DAYCOVAL S/A</x:v>
      </x:c>
      <x:c r="G1375" s="168" t="str">
        <x:v>BANCO DAYCOVAL S.A.</x:v>
      </x:c>
      <x:c r="H1375" s="168" t="str">
        <x:v>Agro, Indústria e Comércio</x:v>
      </x:c>
      <x:c r="I1375" s="168" t="str">
        <x:v>Agronegócio</x:v>
      </x:c>
      <x:c r="J1375" s="168" t="str">
        <x:v>CI</x:v>
      </x:c>
      <x:c r="K1375" s="174" t="n">
        <x:v>8</x:v>
      </x:c>
      <x:c r="L1375" s="187" t="str">
        <x:v>Não classificado</x:v>
      </x:c>
    </x:row>
    <x:row r="1376">
      <x:c r="A1376" s="177" t="str">
        <x:v>32.101.535/0001-45</x:v>
      </x:c>
      <x:c r="B1376" s="168" t="str">
        <x:v>FUNDO DE INVESTIMENTO EM DIREITOS CREDITÓRIOS FINANCEIROS DE RESPONSABILIDADE LIMITADA DMCARD</x:v>
      </x:c>
      <x:c r="C1376" s="190" t="n">
        <x:v>68324510.32</x:v>
      </x:c>
      <x:c r="D1376" s="168" t="str">
        <x:v>Vista Real Estate</x:v>
      </x:c>
      <x:c r="E1376" s="168" t="str">
        <x:f>IFERROR(INDEX('Classif Gestoras'!$H$6:$H$462,MATCH(D1376,'Classif Gestoras'!$A$6:$A$462,0)),"Não classificada")</x:f>
        <x:v>Independente</x:v>
      </x:c>
      <x:c r="F1376" s="168" t="str">
        <x:v>Oliveira Trust DTVM</x:v>
      </x:c>
      <x:c r="G1376" s="168" t="str">
        <x:v>OLIVEIRA TRUST DTVM S.A.</x:v>
      </x:c>
      <x:c r="H1376" s="168" t="str">
        <x:v>Agro, Indústria e Comércio</x:v>
      </x:c>
      <x:c r="I1376" s="168" t="str">
        <x:v>Recebíveis Comerciais</x:v>
      </x:c>
      <x:c r="J1376" s="168" t="str">
        <x:v>CI</x:v>
      </x:c>
      <x:c r="K1376" s="174" t="n">
        <x:v>64</x:v>
      </x:c>
      <x:c r="L1376" s="187" t="str">
        <x:v>Não classificado</x:v>
      </x:c>
    </x:row>
    <x:row r="1377">
      <x:c r="A1377" s="177" t="str">
        <x:v>28.194.790/0001-02</x:v>
      </x:c>
      <x:c r="B1377" s="168" t="str">
        <x:v>ATICCA FUNDO DE INVESTIMENTO EM DIREITOS CREDITORIOS MULTISSETORIAL</x:v>
      </x:c>
      <x:c r="C1377" s="190" t="n">
        <x:v>68037398.36000001</x:v>
      </x:c>
      <x:c r="D1377" s="168" t="str">
        <x:v>OURO PRETO INVESTIMENTOS</x:v>
      </x:c>
      <x:c r="E1377" s="168" t="str">
        <x:f>IFERROR(INDEX('Classif Gestoras'!$H$6:$H$462,MATCH(D1377,'Classif Gestoras'!$A$6:$A$462,0)),"Não classificada")</x:f>
        <x:v>Independente</x:v>
      </x:c>
      <x:c r="F1377" s="168" t="str">
        <x:v>Singulare</x:v>
      </x:c>
      <x:c r="G1377" s="168" t="str">
        <x:v>QI CORRETORA DE TÍTULOS E VALORES MOBILIÁRIOS S.A.</x:v>
      </x:c>
      <x:c r="H1377" s="168" t="str">
        <x:v>Fomento Mercantil</x:v>
      </x:c>
      <x:c r="I1377" s="168" t="str">
        <x:v>Fomento Mercantil</x:v>
      </x:c>
      <x:c r="J1377" s="168" t="str">
        <x:v>CI</x:v>
      </x:c>
      <x:c r="K1377" s="174" t="n">
        <x:v>12</x:v>
      </x:c>
      <x:c r="L1377" s="187" t="str">
        <x:v>Não classificado</x:v>
      </x:c>
    </x:row>
    <x:row r="1378">
      <x:c r="A1378" s="177" t="str">
        <x:v>34.082.112/0001-50</x:v>
      </x:c>
      <x:c r="B1378" s="168" t="str">
        <x:v>NOBEL FUNDO DE INVESTIMENTO EM DIREITOS CREDITORIOS</x:v>
      </x:c>
      <x:c r="C1378" s="190" t="n">
        <x:v>68010550.99</x:v>
      </x:c>
      <x:c r="D1378" s="168" t="str">
        <x:v>OURO PRETO INVESTIMENTOS</x:v>
      </x:c>
      <x:c r="E1378" s="168" t="str">
        <x:f>IFERROR(INDEX('Classif Gestoras'!$H$6:$H$462,MATCH(D1378,'Classif Gestoras'!$A$6:$A$462,0)),"Não classificada")</x:f>
        <x:v>Independente</x:v>
      </x:c>
      <x:c r="F1378" s="168" t="str">
        <x:v>Singulare</x:v>
      </x:c>
      <x:c r="G1378" s="168" t="str">
        <x:v>QI CORRETORA DE TÍTULOS E VALORES MOBILIÁRIOS S.A.</x:v>
      </x:c>
      <x:c r="H1378" s="168" t="str">
        <x:v>Fomento Mercantil</x:v>
      </x:c>
      <x:c r="I1378" s="168" t="str">
        <x:v>Fomento Mercantil</x:v>
      </x:c>
      <x:c r="J1378" s="168" t="str">
        <x:v>CI</x:v>
      </x:c>
      <x:c r="K1378" s="174" t="n">
        <x:v>19</x:v>
      </x:c>
      <x:c r="L1378" s="187" t="str">
        <x:v>Não classificado</x:v>
      </x:c>
    </x:row>
    <x:row r="1379">
      <x:c r="A1379" s="177" t="str">
        <x:v>57.140.603/0001-06</x:v>
      </x:c>
      <x:c r="B1379" s="168" t="str">
        <x:v>CORUJA I FUNDO DE INVESTIMENTO EM DIREITOS CREDITÓRIOS - RESPONSABILIDADE LIMITADA</x:v>
      </x:c>
      <x:c r="C1379" s="190" t="n">
        <x:v>67924976.54</x:v>
      </x:c>
      <x:c r="D1379" s="168" t="str">
        <x:v>Kanastra</x:v>
      </x:c>
      <x:c r="E1379" s="168" t="str">
        <x:f>IFERROR(INDEX('Classif Gestoras'!$H$6:$H$462,MATCH(D1379,'Classif Gestoras'!$A$6:$A$462,0)),"Não classificada")</x:f>
        <x:v>Independente</x:v>
      </x:c>
      <x:c r="F1379" s="168" t="str">
        <x:v>Limine Trust Distribuidora de Titulos e Valores Mobiliá</x:v>
      </x:c>
      <x:c r="G1379" s="168" t="str">
        <x:v>LIMINE TRUST DISTRIBUIDORA DE TITULOS E VALORES MOBILIARIOS LTDA.</x:v>
      </x:c>
      <x:c r="H1379" s="168" t="str">
        <x:v>Outros</x:v>
      </x:c>
      <x:c r="I1379" s="168" t="str">
        <x:v>Multicarteira Outros</x:v>
      </x:c>
      <x:c r="J1379" s="168" t="str">
        <x:v>CI</x:v>
      </x:c>
      <x:c r="K1379" s="174" t="n">
        <x:v>28</x:v>
      </x:c>
      <x:c r="L1379" s="187" t="str">
        <x:v>Proxy multicedente/multissacado — revisar</x:v>
      </x:c>
    </x:row>
    <x:row r="1380">
      <x:c r="A1380" s="177" t="str">
        <x:v>58.568.550/0001-91</x:v>
      </x:c>
      <x:c r="B1380" s="168" t="str">
        <x:v>MENESTYS EDIFICA FUNDO DE INVESTIMENTOS EM DIREITOS CREDITÓRIOS</x:v>
      </x:c>
      <x:c r="C1380" s="190" t="n">
        <x:v>67768739.03999999</x:v>
      </x:c>
      <x:c r="D1380" s="168" t="str">
        <x:v>Menestys</x:v>
      </x:c>
      <x:c r="E1380" s="168" t="str">
        <x:f>IFERROR(INDEX('Classif Gestoras'!$H$6:$H$462,MATCH(D1380,'Classif Gestoras'!$A$6:$A$462,0)),"Não classificada")</x:f>
        <x:v>Independente</x:v>
      </x:c>
      <x:c r="F1380" s="168" t="str">
        <x:v>Qore DTVM</x:v>
      </x:c>
      <x:c r="G1380" s="168" t="str">
        <x:v>QORE DISTRIBUIDORA DE TÍTULOS E VALORES MOBILIÁRIOS LTDA.</x:v>
      </x:c>
      <x:c r="H1380" s="168" t="str">
        <x:v>Outros</x:v>
      </x:c>
      <x:c r="I1380" s="168" t="str">
        <x:v>Multicarteira Outros</x:v>
      </x:c>
      <x:c r="J1380" s="168" t="str">
        <x:v>CI</x:v>
      </x:c>
      <x:c r="K1380" s="174" t="n">
        <x:v>13</x:v>
      </x:c>
      <x:c r="L1380" s="187" t="str">
        <x:v>Proxy multicedente/multissacado — revisar</x:v>
      </x:c>
    </x:row>
    <x:row r="1381">
      <x:c r="A1381" s="177" t="str">
        <x:v>62.637.894/0001-82</x:v>
      </x:c>
      <x:c r="B1381" s="168" t="str">
        <x:v>VERDES CAMPOS FUNDO DE INVESTIMENTO EM DIREITOS CREDITÓRIOS DE RESPONSABILIDADE LIMITADA</x:v>
      </x:c>
      <x:c r="C1381" s="190" t="n">
        <x:v>67754538.58</x:v>
      </x:c>
      <x:c r="D1381" s="168" t="str">
        <x:v>Catálise Investimentos</x:v>
      </x:c>
      <x:c r="E1381" s="168" t="str">
        <x:f>IFERROR(INDEX('Classif Gestoras'!$H$6:$H$462,MATCH(D1381,'Classif Gestoras'!$A$6:$A$462,0)),"Não classificada")</x:f>
        <x:v>Independente</x:v>
      </x:c>
      <x:c r="F1381" s="168" t="str">
        <x:v>CATÁLISE DTVM</x:v>
      </x:c>
      <x:c r="G1381" s="168" t="str">
        <x:v>BANCO DAYCOVAL S.A.</x:v>
      </x:c>
      <x:c r="H1381" s="168" t="str">
        <x:v>Outros</x:v>
      </x:c>
      <x:c r="I1381" s="168" t="str">
        <x:v>Multicarteira Outros</x:v>
      </x:c>
      <x:c r="J1381" s="168" t="str">
        <x:v>CI</x:v>
      </x:c>
      <x:c r="K1381" s="174" t="n">
        <x:v>1</x:v>
      </x:c>
      <x:c r="L1381" s="187" t="str">
        <x:v>Proxy multicedente/multissacado — revisar</x:v>
      </x:c>
    </x:row>
    <x:row r="1382">
      <x:c r="A1382" s="177" t="str">
        <x:v>55.327.697/0001-00</x:v>
      </x:c>
      <x:c r="B1382" s="168" t="str">
        <x:v>POLÍGONO MASTER QUALI FUNDO DE INVESTIMENTO EM DIREITOS CREDITÓRIOS</x:v>
      </x:c>
      <x:c r="C1382" s="190" t="n">
        <x:v>67752225.42</x:v>
      </x:c>
      <x:c r="D1382" s="168" t="str">
        <x:v>POLÍGONO CAPITAL LTDA.</x:v>
      </x:c>
      <x:c r="E1382" s="168" t="str">
        <x:f>IFERROR(INDEX('Classif Gestoras'!$H$6:$H$462,MATCH(D1382,'Classif Gestoras'!$A$6:$A$462,0)),"Não classificada")</x:f>
        <x:v>Independente</x:v>
      </x:c>
      <x:c r="F1382" s="168" t="str">
        <x:v>BTG Pactual Servicos Financeiros S/A DTVM</x:v>
      </x:c>
      <x:c r="G1382" s="168" t="str">
        <x:v>BANCO BTG PACTUAL S/A</x:v>
      </x:c>
      <x:c r="H1382" s="168" t="str">
        <x:v>Outros</x:v>
      </x:c>
      <x:c r="I1382" s="168" t="str">
        <x:v>Multicarteira Outros</x:v>
      </x:c>
      <x:c r="J1382" s="168" t="str">
        <x:v>CI</x:v>
      </x:c>
      <x:c r="K1382" s="174" t="n">
        <x:v>1</x:v>
      </x:c>
      <x:c r="L1382" s="187" t="str">
        <x:v>Proxy multicedente/multissacado — revisar</x:v>
      </x:c>
    </x:row>
    <x:row r="1383">
      <x:c r="A1383" s="177" t="str">
        <x:v>58.188.881/0001-04</x:v>
      </x:c>
      <x:c r="B1383" s="168" t="str">
        <x:v>FUNDO DE INVESTIMENTO EM DIREITOS CREDITÓRIOS MT CARTÃO CONSIGNADO I</x:v>
      </x:c>
      <x:c r="C1383" s="190" t="n">
        <x:v>67519074.60000001</x:v>
      </x:c>
      <x:c r="D1383" s="168" t="str">
        <x:v>BTG Pactual Asset</x:v>
      </x:c>
      <x:c r="E1383" s="168" t="str">
        <x:f>IFERROR(INDEX('Classif Gestoras'!$H$6:$H$462,MATCH(D1383,'Classif Gestoras'!$A$6:$A$462,0)),"Não classificada")</x:f>
        <x:v>Ligada a banco</x:v>
      </x:c>
      <x:c r="F1383" s="168" t="str">
        <x:v>BTG Pactual Servicos Financeiros S/A DTVM</x:v>
      </x:c>
      <x:c r="G1383" s="168" t="str">
        <x:v>BANCO BTG PACTUAL S/A</x:v>
      </x:c>
      <x:c r="H1383" s="168" t="str">
        <x:v>Financeiro</x:v>
      </x:c>
      <x:c r="I1383" s="168" t="str">
        <x:v>Crédito Consignado</x:v>
      </x:c>
      <x:c r="J1383" s="168" t="str">
        <x:v>CI</x:v>
      </x:c>
      <x:c r="K1383" s="174" t="n">
        <x:v>3</x:v>
      </x:c>
      <x:c r="L1383" s="187" t="str">
        <x:v>Não classificado</x:v>
      </x:c>
    </x:row>
    <x:row r="1384">
      <x:c r="A1384" s="177" t="str">
        <x:v>48.359.929/0001-38</x:v>
      </x:c>
      <x:c r="B1384" s="168" t="str">
        <x:v>KYOMI FUNDO DE INVESTIMENTO EM DIREITOS CREDITÓRIOS RESPONSABILIDADE LIMITADA</x:v>
      </x:c>
      <x:c r="C1384" s="190" t="n">
        <x:v>67213961.9239</x:v>
      </x:c>
      <x:c r="D1384" s="168" t="str">
        <x:v>Mainú Investimentos</x:v>
      </x:c>
      <x:c r="E1384" s="168" t="str">
        <x:f>IFERROR(INDEX('Classif Gestoras'!$H$6:$H$462,MATCH(D1384,'Classif Gestoras'!$A$6:$A$462,0)),"Não classificada")</x:f>
        <x:v>Independente</x:v>
      </x:c>
      <x:c r="F1384" s="168" t="str">
        <x:v>BTG Pactual Servicos Financeiros S/A DTVM</x:v>
      </x:c>
      <x:c r="G1384" s="168" t="str">
        <x:v>BANCO BTG PACTUAL S/A</x:v>
      </x:c>
      <x:c r="H1384" s="168" t="str">
        <x:v>Outros</x:v>
      </x:c>
      <x:c r="I1384" s="168" t="str">
        <x:v>Multicarteira Outros</x:v>
      </x:c>
      <x:c r="J1384" s="168" t="str">
        <x:v>CI</x:v>
      </x:c>
      <x:c r="K1384" s="174" t="n">
        <x:v>2</x:v>
      </x:c>
      <x:c r="L1384" s="187" t="str">
        <x:v>Proxy multicedente/multissacado — revisar</x:v>
      </x:c>
    </x:row>
    <x:row r="1385">
      <x:c r="A1385" s="177" t="str">
        <x:v>58.442.027/0001-14</x:v>
      </x:c>
      <x:c r="B1385" s="168" t="str">
        <x:v>BANQI II FUNDO DE INVESTIMENTO EM DIREITOS CREDITÓRIOS</x:v>
      </x:c>
      <x:c r="C1385" s="190" t="n">
        <x:v>67171401.06</x:v>
      </x:c>
      <x:c r="D1385" s="168" t="str">
        <x:v>GENIAL GESTÃO LTDA.</x:v>
      </x:c>
      <x:c r="E1385" s="168" t="str">
        <x:f>IFERROR(INDEX('Classif Gestoras'!$H$6:$H$462,MATCH(D1385,'Classif Gestoras'!$A$6:$A$462,0)),"Não classificada")</x:f>
        <x:v>Ligada a banco</x:v>
      </x:c>
      <x:c r="F1385" s="168" t="str">
        <x:v>Genial Investimentos Corretora de Valores Mobiliários S.A.</x:v>
      </x:c>
      <x:c r="G1385" s="168" t="str">
        <x:v>BANCO GENIAL S.A.</x:v>
      </x:c>
      <x:c r="H1385" s="168" t="str">
        <x:v>Financeiro</x:v>
      </x:c>
      <x:c r="I1385" s="168" t="str">
        <x:v>Crédito Pessoal</x:v>
      </x:c>
      <x:c r="J1385" s="168" t="str">
        <x:v>CI</x:v>
      </x:c>
      <x:c r="K1385" s="174" t="n">
        <x:v>3</x:v>
      </x:c>
      <x:c r="L1385" s="187" t="str">
        <x:v>Não classificado</x:v>
      </x:c>
    </x:row>
    <x:row r="1386">
      <x:c r="A1386" s="177" t="str">
        <x:v>50.640.401/0001-84</x:v>
      </x:c>
      <x:c r="B1386" s="168" t="str">
        <x:v>BELA VISTA FUNDO DE INVESTIMENTO EM DIREITOS CREDITÓRIOS - RESPONSABILIDADE LIMITADA</x:v>
      </x:c>
      <x:c r="C1386" s="190" t="n">
        <x:v>67018032.92</x:v>
      </x:c>
      <x:c r="D1386" s="168" t="str">
        <x:v>Apuama Capital</x:v>
      </x:c>
      <x:c r="E1386" s="168" t="str">
        <x:f>IFERROR(INDEX('Classif Gestoras'!$H$6:$H$462,MATCH(D1386,'Classif Gestoras'!$A$6:$A$462,0)),"Não classificada")</x:f>
        <x:v>Independente</x:v>
      </x:c>
      <x:c r="F1386" s="168" t="str">
        <x:v>Singulare</x:v>
      </x:c>
      <x:c r="G1386" s="168" t="str">
        <x:v>QI CORRETORA DE TÍTULOS E VALORES MOBILIÁRIOS S.A.</x:v>
      </x:c>
      <x:c r="H1386" s="168" t="str">
        <x:v>Fomento Mercantil</x:v>
      </x:c>
      <x:c r="I1386" s="168" t="str">
        <x:v>Fomento Mercantil</x:v>
      </x:c>
      <x:c r="J1386" s="168" t="str">
        <x:v>CI</x:v>
      </x:c>
      <x:c r="K1386" s="174" t="n">
        <x:v>7</x:v>
      </x:c>
      <x:c r="L1386" s="187" t="str">
        <x:v>Não classificado</x:v>
      </x:c>
    </x:row>
    <x:row r="1387">
      <x:c r="A1387" s="177" t="str">
        <x:v>54.775.576/0001-50</x:v>
      </x:c>
      <x:c r="B1387" s="168" t="str">
        <x:v>CHRONOS FUNDO DE INVESTIMENTO EM DIREITOS CREDITÓRIOS</x:v>
      </x:c>
      <x:c r="C1387" s="190" t="n">
        <x:v>66905479.96</x:v>
      </x:c>
      <x:c r="D1387" s="168" t="str">
        <x:v>Redwood Asset Management</x:v>
      </x:c>
      <x:c r="E1387" s="168" t="str">
        <x:f>IFERROR(INDEX('Classif Gestoras'!$H$6:$H$462,MATCH(D1387,'Classif Gestoras'!$A$6:$A$462,0)),"Não classificada")</x:f>
        <x:v>Independente</x:v>
      </x:c>
      <x:c r="F1387" s="168" t="str">
        <x:v>PLANNER CV</x:v>
      </x:c>
      <x:c r="G1387" s="168" t="str">
        <x:v>PLANNER CORRETORA DE VALORES S.A.</x:v>
      </x:c>
      <x:c r="H1387" s="168" t="str">
        <x:v>Outros</x:v>
      </x:c>
      <x:c r="I1387" s="168" t="str">
        <x:v>Multicarteira Outros</x:v>
      </x:c>
      <x:c r="J1387" s="168" t="str">
        <x:v>CI</x:v>
      </x:c>
      <x:c r="K1387" s="174" t="n">
        <x:v>1</x:v>
      </x:c>
      <x:c r="L1387" s="187" t="str">
        <x:v>Proxy multicedente/multissacado — revisar</x:v>
      </x:c>
    </x:row>
    <x:row r="1388">
      <x:c r="A1388" s="177" t="str">
        <x:v>59.060.877/0001-10</x:v>
      </x:c>
      <x:c r="B1388" s="168" t="str">
        <x:v>FIDC HOPE CONSIGNADO I DE RESP LIMITADA</x:v>
      </x:c>
      <x:c r="C1388" s="190" t="n">
        <x:v>66783556.17000001</x:v>
      </x:c>
      <x:c r="D1388" s="168" t="str">
        <x:v>HOPE ASSET</x:v>
      </x:c>
      <x:c r="E1388" s="168" t="str">
        <x:f>IFERROR(INDEX('Classif Gestoras'!$H$6:$H$462,MATCH(D1388,'Classif Gestoras'!$A$6:$A$462,0)),"Não classificada")</x:f>
        <x:v>Independente</x:v>
      </x:c>
      <x:c r="F1388" s="168" t="str">
        <x:v>BANCO DAYCOVAL S/A</x:v>
      </x:c>
      <x:c r="G1388" s="168" t="str">
        <x:v>BANCO DAYCOVAL S.A.</x:v>
      </x:c>
      <x:c r="H1388" s="168" t="str">
        <x:v>Financeiro</x:v>
      </x:c>
      <x:c r="I1388" s="168" t="str">
        <x:v>Crédito Consignado</x:v>
      </x:c>
      <x:c r="J1388" s="168" t="str">
        <x:v>CI</x:v>
      </x:c>
      <x:c r="K1388" s="174" t="n">
        <x:v>16</x:v>
      </x:c>
      <x:c r="L1388" s="187" t="str">
        <x:v>Não classificado</x:v>
      </x:c>
    </x:row>
    <x:row r="1389">
      <x:c r="A1389" s="177" t="str">
        <x:v>22.753.713/0001-69</x:v>
      </x:c>
      <x:c r="B1389" s="168" t="str">
        <x:v>VENTURA FUNDO DE INVESTIMENTO EM DIREITOS CREDITÓRIOS</x:v>
      </x:c>
      <x:c r="C1389" s="190" t="n">
        <x:v>66777516.28999999</x:v>
      </x:c>
      <x:c r="D1389" s="168" t="str">
        <x:v>TERCON ASSET MANAGEMENT</x:v>
      </x:c>
      <x:c r="E1389" s="168" t="str">
        <x:f>IFERROR(INDEX('Classif Gestoras'!$H$6:$H$462,MATCH(D1389,'Classif Gestoras'!$A$6:$A$462,0)),"Não classificada")</x:f>
        <x:v>Independente</x:v>
      </x:c>
      <x:c r="F1389" s="168" t="str">
        <x:v>Singulare</x:v>
      </x:c>
      <x:c r="G1389" s="168" t="str">
        <x:v>QI CORRETORA DE TÍTULOS E VALORES MOBILIÁRIOS S.A.</x:v>
      </x:c>
      <x:c r="H1389" s="168" t="str">
        <x:v>Fomento Mercantil</x:v>
      </x:c>
      <x:c r="I1389" s="168" t="str">
        <x:v>Fomento Mercantil</x:v>
      </x:c>
      <x:c r="J1389" s="168" t="str">
        <x:v>CI</x:v>
      </x:c>
      <x:c r="K1389" s="174" t="n">
        <x:v>56</x:v>
      </x:c>
      <x:c r="L1389" s="187" t="str">
        <x:v>Não classificado</x:v>
      </x:c>
    </x:row>
    <x:row r="1390">
      <x:c r="A1390" s="177" t="str">
        <x:v>59.356.952/0001-95</x:v>
      </x:c>
      <x:c r="B1390" s="168" t="str">
        <x:v>BEFLY FUNDO DE INVESTIMENTO EM DIREITOS CREDITÓRIOS RESPONSABILIDADE LIMITADA</x:v>
      </x:c>
      <x:c r="C1390" s="190" t="n">
        <x:v>66735278.54</x:v>
      </x:c>
      <x:c r="D1390" s="168" t="str">
        <x:v>REAG GESTÃO DE CRÉDITO</x:v>
      </x:c>
      <x:c r="E1390" s="168" t="str">
        <x:f>IFERROR(INDEX('Classif Gestoras'!$H$6:$H$462,MATCH(D1390,'Classif Gestoras'!$A$6:$A$462,0)),"Não classificada")</x:f>
        <x:v>Independente</x:v>
      </x:c>
      <x:c r="F1390" s="168" t="str">
        <x:v>Banvox DTVM</x:v>
      </x:c>
      <x:c r="G1390" s="168" t="str">
        <x:v>BANVOX DISTRIBUIDORA DE TITULOS E VALORES MOBILIARIOS LTDA</x:v>
      </x:c>
      <x:c r="H1390" s="168" t="str">
        <x:v>Outros</x:v>
      </x:c>
      <x:c r="I1390" s="168" t="str">
        <x:v>Multicarteira Outros</x:v>
      </x:c>
      <x:c r="J1390" s="168" t="str">
        <x:v>CI</x:v>
      </x:c>
      <x:c r="K1390" s="174" t="n">
        <x:v>13</x:v>
      </x:c>
      <x:c r="L1390" s="187" t="str">
        <x:v>Proxy multicedente/multissacado — revisar</x:v>
      </x:c>
    </x:row>
    <x:row r="1391">
      <x:c r="A1391" s="177" t="str">
        <x:v>53.328.690/0001-79</x:v>
      </x:c>
      <x:c r="B1391" s="168" t="str">
        <x:v>LATACHE 1962 FUNDO DE INVESTIMENTO EM DIREITOS CREDITÓRIOS</x:v>
      </x:c>
      <x:c r="C1391" s="190" t="n">
        <x:v>66703970</x:v>
      </x:c>
      <x:c r="D1391" s="168" t="str">
        <x:v>Latache Capital</x:v>
      </x:c>
      <x:c r="E1391" s="168" t="str">
        <x:f>IFERROR(INDEX('Classif Gestoras'!$H$6:$H$462,MATCH(D1391,'Classif Gestoras'!$A$6:$A$462,0)),"Não classificada")</x:f>
        <x:v>Independente</x:v>
      </x:c>
      <x:c r="F1391" s="168" t="str">
        <x:v>BRL TRUST DTVM</x:v>
      </x:c>
      <x:c r="G1391" s="168" t="str">
        <x:v>BRL TRUST DISTRIBUIDORA DE TITULOS E VALORES MOBILIARIOS S.A.</x:v>
      </x:c>
      <x:c r="H1391" s="168" t="str">
        <x:v>Outros</x:v>
      </x:c>
      <x:c r="I1391" s="168" t="str">
        <x:v>Multicarteira Outros</x:v>
      </x:c>
      <x:c r="J1391" s="168" t="str">
        <x:v>CI</x:v>
      </x:c>
      <x:c r="K1391" s="174" t="n">
        <x:v>2</x:v>
      </x:c>
      <x:c r="L1391" s="187" t="str">
        <x:v>Proxy multicedente/multissacado — revisar</x:v>
      </x:c>
    </x:row>
    <x:row r="1392">
      <x:c r="A1392" s="177" t="str">
        <x:v>33.512.447/0001-07</x:v>
      </x:c>
      <x:c r="B1392" s="168" t="str">
        <x:v>DESKONT FUNDO DE INVESTIMENTO EM DIREITOS CREDITÓRIOS</x:v>
      </x:c>
      <x:c r="C1392" s="190" t="n">
        <x:v>66677129.72</x:v>
      </x:c>
      <x:c r="D1392" s="168" t="str">
        <x:v>SUESTE CAPITAL GESTÃO DE RECURSOS LTDA.</x:v>
      </x:c>
      <x:c r="E1392" s="168" t="str">
        <x:f>IFERROR(INDEX('Classif Gestoras'!$H$6:$H$462,MATCH(D1392,'Classif Gestoras'!$A$6:$A$462,0)),"Não classificada")</x:f>
        <x:v>Independente</x:v>
      </x:c>
      <x:c r="F1392" s="168" t="str">
        <x:v>Banvox DTVM</x:v>
      </x:c>
      <x:c r="G1392" s="168" t="str">
        <x:v>BANVOX DISTRIBUIDORA DE TITULOS E VALORES MOBILIARIOS LTDA</x:v>
      </x:c>
      <x:c r="H1392" s="168" t="str">
        <x:v>Outros</x:v>
      </x:c>
      <x:c r="I1392" s="168" t="str">
        <x:v>Multicarteira Outros</x:v>
      </x:c>
      <x:c r="J1392" s="168" t="str">
        <x:v>CI</x:v>
      </x:c>
      <x:c r="K1392" s="174" t="n">
        <x:v>1</x:v>
      </x:c>
      <x:c r="L1392" s="187" t="str">
        <x:v>Proxy multicedente/multissacado — revisar</x:v>
      </x:c>
    </x:row>
    <x:row r="1393">
      <x:c r="A1393" s="177" t="str">
        <x:v>13.606.266/0001-24</x:v>
      </x:c>
      <x:c r="B1393" s="168" t="str">
        <x:v>TERRAS RARAS FIDC MULTISETORIAL DE RESPONSABILIDADE ILIMITADA</x:v>
      </x:c>
      <x:c r="C1393" s="190" t="n">
        <x:v>66588906.78</x:v>
      </x:c>
      <x:c r="D1393" s="168" t="str">
        <x:v>Multinvest Capital</x:v>
      </x:c>
      <x:c r="E1393" s="168" t="str">
        <x:f>IFERROR(INDEX('Classif Gestoras'!$H$6:$H$462,MATCH(D1393,'Classif Gestoras'!$A$6:$A$462,0)),"Não classificada")</x:f>
        <x:v>Independente</x:v>
      </x:c>
      <x:c r="F1393" s="168" t="str">
        <x:v>BANCO DAYCOVAL S/A</x:v>
      </x:c>
      <x:c r="G1393" s="168" t="str">
        <x:v>BANCO DAYCOVAL S.A.</x:v>
      </x:c>
      <x:c r="H1393" s="168" t="str">
        <x:v>Outros</x:v>
      </x:c>
      <x:c r="I1393" s="168" t="str">
        <x:v>Multicarteira Outros</x:v>
      </x:c>
      <x:c r="J1393" s="168" t="str">
        <x:v>CI</x:v>
      </x:c>
      <x:c r="K1393" s="174" t="n">
        <x:v>10</x:v>
      </x:c>
      <x:c r="L1393" s="187" t="str">
        <x:v>Proxy multicedente/multissacado — revisar</x:v>
      </x:c>
    </x:row>
    <x:row r="1394">
      <x:c r="A1394" s="177" t="str">
        <x:v>53.405.628/0001-33</x:v>
      </x:c>
      <x:c r="B1394" s="168" t="str">
        <x:v>XP ADDEBITARE FUNDO DE INVESTIMENTO EM DIREITOS CREDITÓRIOS</x:v>
      </x:c>
      <x:c r="C1394" s="190" t="n">
        <x:v>66548986.17999999</x:v>
      </x:c>
      <x:c r="D1394" s="168" t="str">
        <x:v>Vista Real Estate</x:v>
      </x:c>
      <x:c r="E1394" s="168" t="str">
        <x:f>IFERROR(INDEX('Classif Gestoras'!$H$6:$H$462,MATCH(D1394,'Classif Gestoras'!$A$6:$A$462,0)),"Não classificada")</x:f>
        <x:v>Independente</x:v>
      </x:c>
      <x:c r="F1394" s="168" t="str">
        <x:v>BRL TRUST DTVM</x:v>
      </x:c>
      <x:c r="G1394" s="168" t="str">
        <x:v>BRL TRUST DISTRIBUIDORA DE TITULOS E VALORES MOBILIARIOS S.A.</x:v>
      </x:c>
      <x:c r="H1394" s="168" t="str">
        <x:v>Outros</x:v>
      </x:c>
      <x:c r="I1394" s="168" t="str">
        <x:v>Poder Público</x:v>
      </x:c>
      <x:c r="J1394" s="168" t="str">
        <x:v>CI</x:v>
      </x:c>
      <x:c r="K1394" s="174" t="n">
        <x:v>15</x:v>
      </x:c>
      <x:c r="L1394" s="187" t="str">
        <x:v>Não classificado</x:v>
      </x:c>
    </x:row>
    <x:row r="1395">
      <x:c r="A1395" s="177" t="str">
        <x:v>38.455.434/0001-59</x:v>
      </x:c>
      <x:c r="B1395" s="168" t="str">
        <x:v>CAPITÂNIA CORPORATE FUNDO DE INVESTIMENTO EM DIREITOS CREDITÓRIOS RESPONSABILIDADE LIMITADA</x:v>
      </x:c>
      <x:c r="C1395" s="190" t="n">
        <x:v>66454119.8</x:v>
      </x:c>
      <x:c r="D1395" s="168" t="str">
        <x:v>CAPITANIA CAPITAL</x:v>
      </x:c>
      <x:c r="E1395" s="168" t="str">
        <x:f>IFERROR(INDEX('Classif Gestoras'!$H$6:$H$462,MATCH(D1395,'Classif Gestoras'!$A$6:$A$462,0)),"Não classificada")</x:f>
        <x:v>Independente</x:v>
      </x:c>
      <x:c r="F1395" s="168" t="str">
        <x:v>BTG Pactual Servicos Financeiros S/A DTVM</x:v>
      </x:c>
      <x:c r="G1395" s="168" t="str">
        <x:v>BANCO BTG PACTUAL S/A</x:v>
      </x:c>
      <x:c r="H1395" s="168" t="str">
        <x:v>Outros</x:v>
      </x:c>
      <x:c r="I1395" s="168" t="str">
        <x:v>Multicarteira Outros</x:v>
      </x:c>
      <x:c r="J1395" s="168" t="str">
        <x:v>CI</x:v>
      </x:c>
      <x:c r="K1395" s="174" t="n">
        <x:v>10</x:v>
      </x:c>
      <x:c r="L1395" s="187" t="str">
        <x:v>Proxy multicedente/multissacado — revisar</x:v>
      </x:c>
    </x:row>
    <x:row r="1396">
      <x:c r="A1396" s="177" t="str">
        <x:v>63.604.811/0001-11</x:v>
      </x:c>
      <x:c r="B1396" s="168" t="str">
        <x:v>SETE QUATTRO FUNDO DE INVESTIMENTO EM DIREITOS CREDITÓRIOS CRÉDITO CORPORATIVO</x:v>
      </x:c>
      <x:c r="C1396" s="190" t="n">
        <x:v>66330815.24</x:v>
      </x:c>
      <x:c r="D1396" s="168" t="str">
        <x:v>Harbour Capital</x:v>
      </x:c>
      <x:c r="E1396" s="168" t="str">
        <x:f>IFERROR(INDEX('Classif Gestoras'!$H$6:$H$462,MATCH(D1396,'Classif Gestoras'!$A$6:$A$462,0)),"Não classificada")</x:f>
        <x:v>Independente</x:v>
      </x:c>
      <x:c r="F1396" s="168" t="str">
        <x:v>AZUMI DISTRIBUIDORA DE TÍTULOS E VALORES MOBILIÁRIOS LT</x:v>
      </x:c>
      <x:c r="G1396" s="168" t="str">
        <x:v>AZUMI DISTRIBUIDORA DE TÍTULOS E VALORES MOBILIÁRIOS LTDA.</x:v>
      </x:c>
      <x:c r="H1396" s="168" t="str">
        <x:v>Fomento Mercantil</x:v>
      </x:c>
      <x:c r="I1396" s="168" t="str">
        <x:v>Fomento Mercantil</x:v>
      </x:c>
      <x:c r="J1396" s="168" t="str">
        <x:v>CI</x:v>
      </x:c>
      <x:c r="K1396" s="174" t="n">
        <x:v>4</x:v>
      </x:c>
      <x:c r="L1396" s="187" t="str">
        <x:v>Não classificado</x:v>
      </x:c>
    </x:row>
    <x:row r="1397">
      <x:c r="A1397" s="177" t="str">
        <x:v>46.473.452/0001-91</x:v>
      </x:c>
      <x:c r="B1397" s="168" t="str">
        <x:v>MILENIO ATIVY FUNDO DE INVESTIMENTO EM DIREITOS CREDITÓRIOS</x:v>
      </x:c>
      <x:c r="C1397" s="190" t="n">
        <x:v>66072093.36999999</x:v>
      </x:c>
      <x:c r="D1397" s="168" t="str">
        <x:v>Milênio Capital</x:v>
      </x:c>
      <x:c r="E1397" s="168" t="str">
        <x:f>IFERROR(INDEX('Classif Gestoras'!$H$6:$H$462,MATCH(D1397,'Classif Gestoras'!$A$6:$A$462,0)),"Não classificada")</x:f>
        <x:v>Independente</x:v>
      </x:c>
      <x:c r="F1397" s="168" t="str">
        <x:v>BTG Pactual Servicos Financeiros S/A DTVM</x:v>
      </x:c>
      <x:c r="G1397" s="168" t="str">
        <x:v>BANCO BTG PACTUAL S/A</x:v>
      </x:c>
      <x:c r="H1397" s="168" t="str">
        <x:v>Agro, Indústria e Comércio</x:v>
      </x:c>
      <x:c r="I1397" s="168" t="str">
        <x:v>Infraestrutura</x:v>
      </x:c>
      <x:c r="J1397" s="168" t="str">
        <x:v>CI</x:v>
      </x:c>
      <x:c r="K1397" s="174" t="n">
        <x:v>10</x:v>
      </x:c>
      <x:c r="L1397" s="187" t="str">
        <x:v>Não classificado</x:v>
      </x:c>
    </x:row>
    <x:row r="1398">
      <x:c r="A1398" s="177" t="str">
        <x:v>58.211.468/0001-05</x:v>
      </x:c>
      <x:c r="B1398" s="168" t="str">
        <x:v>CREDIPAY FUNDO DE INVESTIMENTO EM DIREITOS CREDITÓRIOS COMERCIAIS DE RESPONSABILIDADE LIMITADA</x:v>
      </x:c>
      <x:c r="C1398" s="190" t="n">
        <x:v>66064053.059999995</x:v>
      </x:c>
      <x:c r="D1398" s="168" t="str">
        <x:v>BTG Pactual Asset</x:v>
      </x:c>
      <x:c r="E1398" s="168" t="str">
        <x:f>IFERROR(INDEX('Classif Gestoras'!$H$6:$H$462,MATCH(D1398,'Classif Gestoras'!$A$6:$A$462,0)),"Não classificada")</x:f>
        <x:v>Ligada a banco</x:v>
      </x:c>
      <x:c r="F1398" s="168" t="str">
        <x:v>BTG Pactual Servicos Financeiros S/A DTVM</x:v>
      </x:c>
      <x:c r="G1398" s="168" t="str">
        <x:v>BANCO BTG PACTUAL S/A</x:v>
      </x:c>
      <x:c r="H1398" s="168" t="str">
        <x:v>Fomento Mercantil</x:v>
      </x:c>
      <x:c r="I1398" s="168" t="str">
        <x:v>Fomento Mercantil</x:v>
      </x:c>
      <x:c r="J1398" s="168" t="str">
        <x:v>CI</x:v>
      </x:c>
      <x:c r="K1398" s="174" t="n">
        <x:v>16</x:v>
      </x:c>
      <x:c r="L1398" s="187" t="str">
        <x:v>Não classificado</x:v>
      </x:c>
    </x:row>
    <x:row r="1399">
      <x:c r="A1399" s="177" t="str">
        <x:v>54.634.742/0001-06</x:v>
      </x:c>
      <x:c r="B1399" s="168" t="str">
        <x:v>LARCA CONSIGNADO II FUNDO DE INVESTIMENTO EM DIREITOS CREDITÓRIOS - RESPONSABILIDADE LIMITADA</x:v>
      </x:c>
      <x:c r="C1399" s="190" t="n">
        <x:v>65913778.55000002</x:v>
      </x:c>
      <x:c r="D1399" s="168" t="str">
        <x:v>KP GESTÃO DE RECURSOS LTDA.</x:v>
      </x:c>
      <x:c r="E1399" s="168" t="str">
        <x:f>IFERROR(INDEX('Classif Gestoras'!$H$6:$H$462,MATCH(D1399,'Classif Gestoras'!$A$6:$A$462,0)),"Não classificada")</x:f>
        <x:v>Independente</x:v>
      </x:c>
      <x:c r="F1399" s="168" t="str">
        <x:v>BANCO DAYCOVAL S/A</x:v>
      </x:c>
      <x:c r="G1399" s="168" t="str">
        <x:v>BANCO DAYCOVAL S.A.</x:v>
      </x:c>
      <x:c r="H1399" s="168" t="str">
        <x:v>Financeiro</x:v>
      </x:c>
      <x:c r="I1399" s="168" t="str">
        <x:v>Multicarteira Financeiro</x:v>
      </x:c>
      <x:c r="J1399" s="168" t="str">
        <x:v>CI</x:v>
      </x:c>
      <x:c r="K1399" s="174" t="n">
        <x:v>36</x:v>
      </x:c>
      <x:c r="L1399" s="187" t="str">
        <x:v>Proxy multicedente/multissacado — revisar</x:v>
      </x:c>
    </x:row>
    <x:row r="1400">
      <x:c r="A1400" s="177" t="str">
        <x:v>65.343.721/0001-40</x:v>
      </x:c>
      <x:c r="B1400" s="168" t="str">
        <x:v>ST 2004 FUNDO DE INVESTIMENTO EM DIREITOS CREDITÓRIOS RESPONSABILIDADE LIMITADA</x:v>
      </x:c>
      <x:c r="C1400" s="190" t="n">
        <x:v>65770616.5</x:v>
      </x:c>
      <x:c r="D1400" s="168" t="str">
        <x:v>Strata Capital</x:v>
      </x:c>
      <x:c r="E1400" s="168" t="str">
        <x:f>IFERROR(INDEX('Classif Gestoras'!$H$6:$H$462,MATCH(D1400,'Classif Gestoras'!$A$6:$A$462,0)),"Não classificada")</x:f>
        <x:v>Independente</x:v>
      </x:c>
      <x:c r="F1400" s="168" t="str">
        <x:v>BANCO DAYCOVAL S/A</x:v>
      </x:c>
      <x:c r="G1400" s="168" t="str">
        <x:v>BANCO DAYCOVAL S.A.</x:v>
      </x:c>
      <x:c r="H1400" s="168" t="str">
        <x:v>Outros</x:v>
      </x:c>
      <x:c r="I1400" s="168" t="str">
        <x:v>Multicarteira Outros</x:v>
      </x:c>
      <x:c r="J1400" s="168" t="str">
        <x:v>CI</x:v>
      </x:c>
      <x:c r="K1400" s="174" t="n">
        <x:v>14</x:v>
      </x:c>
      <x:c r="L1400" s="187" t="str">
        <x:v>Proxy multicedente/multissacado — revisar</x:v>
      </x:c>
    </x:row>
    <x:row r="1401">
      <x:c r="A1401" s="177" t="str">
        <x:v>58.495.913/0001-06</x:v>
      </x:c>
      <x:c r="B1401" s="168" t="str">
        <x:v>ZAB LEGACY FUNDO DE INVESTIMENTO EM DIREITOS CREDITÓRIOS DE RESPONSABILIDADE LIMITADA</x:v>
      </x:c>
      <x:c r="C1401" s="190" t="n">
        <x:v>65639675.04</x:v>
      </x:c>
      <x:c r="D1401" s="168" t="str">
        <x:v>Catálise Investimentos</x:v>
      </x:c>
      <x:c r="E1401" s="168" t="str">
        <x:f>IFERROR(INDEX('Classif Gestoras'!$H$6:$H$462,MATCH(D1401,'Classif Gestoras'!$A$6:$A$462,0)),"Não classificada")</x:f>
        <x:v>Independente</x:v>
      </x:c>
      <x:c r="F1401" s="168" t="str">
        <x:v>CATÁLISE DTVM</x:v>
      </x:c>
      <x:c r="G1401" s="168" t="str">
        <x:v>BANCO DAYCOVAL S.A.</x:v>
      </x:c>
      <x:c r="H1401" s="168" t="str">
        <x:v>Agro, Indústria e Comércio</x:v>
      </x:c>
      <x:c r="I1401" s="168" t="str">
        <x:v>Recebíveis Comerciais</x:v>
      </x:c>
      <x:c r="J1401" s="168" t="str">
        <x:v>CI</x:v>
      </x:c>
      <x:c r="K1401" s="174" t="n">
        <x:v>1</x:v>
      </x:c>
      <x:c r="L1401" s="187" t="str">
        <x:v>Não classificado</x:v>
      </x:c>
    </x:row>
    <x:row r="1402">
      <x:c r="A1402" s="177" t="str">
        <x:v>19.424.674/0001-41</x:v>
      </x:c>
      <x:c r="B1402" s="168" t="str">
        <x:v>MB FUNDO DE INVESTIMENTO EM DIREITOS CREDITORIOS MULTISEGMENTOS</x:v>
      </x:c>
      <x:c r="C1402" s="190" t="n">
        <x:v>65458834.23</x:v>
      </x:c>
      <x:c r="D1402" s="168" t="str">
        <x:v>Petra Capital</x:v>
      </x:c>
      <x:c r="E1402" s="168" t="str">
        <x:f>IFERROR(INDEX('Classif Gestoras'!$H$6:$H$462,MATCH(D1402,'Classif Gestoras'!$A$6:$A$462,0)),"Não classificada")</x:f>
        <x:v>Independente</x:v>
      </x:c>
      <x:c r="F1402" s="168" t="str">
        <x:v>Finaxis Corretora de Títulos e Valores Mobiliários S.A.</x:v>
      </x:c>
      <x:c r="G1402" s="168" t="str">
        <x:v>BANCO FINAXIS S.A.</x:v>
      </x:c>
      <x:c r="H1402" s="168" t="str">
        <x:v>Outros</x:v>
      </x:c>
      <x:c r="I1402" s="168" t="str">
        <x:v>Multicarteira Outros</x:v>
      </x:c>
      <x:c r="J1402" s="168" t="str">
        <x:v>CI</x:v>
      </x:c>
      <x:c r="K1402" s="174" t="n">
        <x:v>1</x:v>
      </x:c>
      <x:c r="L1402" s="187" t="str">
        <x:v>Proxy multicedente/multissacado — revisar</x:v>
      </x:c>
    </x:row>
    <x:row r="1403">
      <x:c r="A1403" s="177" t="str">
        <x:v>07.084.253/0001-30</x:v>
      </x:c>
      <x:c r="B1403" s="168" t="str">
        <x:v>MULTI INFRA FUNDO DE INVESTIMENTO EM DIREITOS CREDITÓRIOS NÃO-PADRONIZADOS</x:v>
      </x:c>
      <x:c r="C1403" s="190" t="n">
        <x:v>65440462.58</x:v>
      </x:c>
      <x:c r="D1403" s="168" t="str">
        <x:v>LAV ASSET MANAGEMENT GESTÃO DE RECURSOS LTDA.</x:v>
      </x:c>
      <x:c r="E1403" s="168" t="str">
        <x:f>IFERROR(INDEX('Classif Gestoras'!$H$6:$H$462,MATCH(D1403,'Classif Gestoras'!$A$6:$A$462,0)),"Não classificada")</x:f>
        <x:v>Independente</x:v>
      </x:c>
      <x:c r="F1403" s="168" t="str">
        <x:v>Singulare</x:v>
      </x:c>
      <x:c r="G1403" s="168" t="str">
        <x:v>QI CORRETORA DE TÍTULOS E VALORES MOBILIÁRIOS S.A.</x:v>
      </x:c>
      <x:c r="H1403" s="168" t="str">
        <x:v>Fomento Mercantil</x:v>
      </x:c>
      <x:c r="I1403" s="168" t="str">
        <x:v>Fomento Mercantil</x:v>
      </x:c>
      <x:c r="J1403" s="168" t="str">
        <x:v>CI</x:v>
      </x:c>
      <x:c r="K1403" s="174" t="n">
        <x:v>5</x:v>
      </x:c>
      <x:c r="L1403" s="187" t="str">
        <x:v>Não classificado</x:v>
      </x:c>
    </x:row>
    <x:row r="1404">
      <x:c r="A1404" s="177" t="str">
        <x:v>54.111.764/0001-83</x:v>
      </x:c>
      <x:c r="B1404" s="168" t="str">
        <x:v>FUNDO DE INVESTIMENTO EM DIREITOS CREDITÓRIOS MULTICRED CONSIGNADO</x:v>
      </x:c>
      <x:c r="C1404" s="190" t="n">
        <x:v>65105763.53</x:v>
      </x:c>
      <x:c r="D1404" s="168" t="str">
        <x:v>Integral Investimentos</x:v>
      </x:c>
      <x:c r="E1404" s="168" t="str">
        <x:f>IFERROR(INDEX('Classif Gestoras'!$H$6:$H$462,MATCH(D1404,'Classif Gestoras'!$A$6:$A$462,0)),"Não classificada")</x:f>
        <x:v>Independente</x:v>
      </x:c>
      <x:c r="F1404" s="168" t="str">
        <x:v>Singulare</x:v>
      </x:c>
      <x:c r="G1404" s="168" t="str">
        <x:v>QI CORRETORA DE TÍTULOS E VALORES MOBILIÁRIOS S.A.</x:v>
      </x:c>
      <x:c r="H1404" s="168" t="str">
        <x:v>Financeiro</x:v>
      </x:c>
      <x:c r="I1404" s="168" t="str">
        <x:v>Crédito Consignado</x:v>
      </x:c>
      <x:c r="J1404" s="168" t="str">
        <x:v>CI</x:v>
      </x:c>
      <x:c r="K1404" s="174" t="n">
        <x:v>1</x:v>
      </x:c>
      <x:c r="L1404" s="187" t="str">
        <x:v>Não classificado</x:v>
      </x:c>
    </x:row>
    <x:row r="1405">
      <x:c r="A1405" s="177" t="str">
        <x:v>64.415.486/0001-01</x:v>
      </x:c>
      <x:c r="B1405" s="168" t="str">
        <x:v>MURALE FUNDO DE INVESTIMENTO EM DIREITOS CREDITÓRIOS</x:v>
      </x:c>
      <x:c r="C1405" s="190" t="n">
        <x:v>65016040.56000001</x:v>
      </x:c>
      <x:c r="D1405" s="168" t="str">
        <x:v>Multiplica Capital</x:v>
      </x:c>
      <x:c r="E1405" s="168" t="str">
        <x:f>IFERROR(INDEX('Classif Gestoras'!$H$6:$H$462,MATCH(D1405,'Classif Gestoras'!$A$6:$A$462,0)),"Não classificada")</x:f>
        <x:v>Independente</x:v>
      </x:c>
      <x:c r="F1405" s="168" t="str">
        <x:v>Singulare</x:v>
      </x:c>
      <x:c r="G1405" s="168" t="str">
        <x:v>QI CORRETORA DE TÍTULOS E VALORES MOBILIÁRIOS S.A.</x:v>
      </x:c>
      <x:c r="H1405" s="168" t="str">
        <x:v>Fomento Mercantil</x:v>
      </x:c>
      <x:c r="I1405" s="168" t="str">
        <x:v>Fomento Mercantil</x:v>
      </x:c>
      <x:c r="J1405" s="168" t="str">
        <x:v>CI</x:v>
      </x:c>
      <x:c r="K1405" s="174" t="n">
        <x:v>9</x:v>
      </x:c>
      <x:c r="L1405" s="187" t="str">
        <x:v>Não classificado</x:v>
      </x:c>
    </x:row>
    <x:row r="1406">
      <x:c r="A1406" s="177" t="str">
        <x:v>39.680.495/0001-82</x:v>
      </x:c>
      <x:c r="B1406" s="168" t="str">
        <x:v>SOLAR VIALOC FUNDO DE INVESTIMENTO EM DIREITOS CREDITÓRIOS</x:v>
      </x:c>
      <x:c r="C1406" s="190" t="n">
        <x:v>64984742.99</x:v>
      </x:c>
      <x:c r="D1406" s="168" t="str">
        <x:v>Iggy Investimentos</x:v>
      </x:c>
      <x:c r="E1406" s="168" t="str">
        <x:f>IFERROR(INDEX('Classif Gestoras'!$H$6:$H$462,MATCH(D1406,'Classif Gestoras'!$A$6:$A$462,0)),"Não classificada")</x:f>
        <x:v>Independente</x:v>
      </x:c>
      <x:c r="F1406" s="168" t="str">
        <x:v>Singulare</x:v>
      </x:c>
      <x:c r="G1406" s="168" t="str">
        <x:v>QI CORRETORA DE TÍTULOS E VALORES MOBILIÁRIOS S.A.</x:v>
      </x:c>
      <x:c r="H1406" s="168" t="str">
        <x:v>Fomento Mercantil</x:v>
      </x:c>
      <x:c r="I1406" s="168" t="str">
        <x:v>Fomento Mercantil</x:v>
      </x:c>
      <x:c r="J1406" s="168" t="str">
        <x:v>CI</x:v>
      </x:c>
      <x:c r="K1406" s="174" t="n">
        <x:v>13</x:v>
      </x:c>
      <x:c r="L1406" s="187" t="str">
        <x:v>Não classificado</x:v>
      </x:c>
    </x:row>
    <x:row r="1407">
      <x:c r="A1407" s="177" t="str">
        <x:v>63.812.908/0001-10</x:v>
      </x:c>
      <x:c r="B1407" s="168" t="str">
        <x:v>SETTE FUNDO DE INVESTIMENTO EM DIREITOS CREDITÓRIOS DE RESPONSABILIDADE LIMITADA</x:v>
      </x:c>
      <x:c r="C1407" s="190" t="n">
        <x:v>64883674.1</x:v>
      </x:c>
      <x:c r="D1407" s="168" t="str">
        <x:v>SVN Gestora de Recursos Ltda.</x:v>
      </x:c>
      <x:c r="E1407" s="168" t="str">
        <x:f>IFERROR(INDEX('Classif Gestoras'!$H$6:$H$462,MATCH(D1407,'Classif Gestoras'!$A$6:$A$462,0)),"Não classificada")</x:f>
        <x:v>Independente</x:v>
      </x:c>
      <x:c r="F1407" s="168" t="str">
        <x:v>Baru DTVM</x:v>
      </x:c>
      <x:c r="G1407" s="168" t="str">
        <x:v>BANCO DAYCOVAL S.A.</x:v>
      </x:c>
      <x:c r="H1407" s="168" t="str">
        <x:v>Outros</x:v>
      </x:c>
      <x:c r="I1407" s="168" t="str">
        <x:v>Multicarteira Outros</x:v>
      </x:c>
      <x:c r="J1407" s="168" t="str">
        <x:v>CI</x:v>
      </x:c>
      <x:c r="K1407" s="174" t="n">
        <x:v>12</x:v>
      </x:c>
      <x:c r="L1407" s="187" t="str">
        <x:v>Proxy multicedente/multissacado — revisar</x:v>
      </x:c>
    </x:row>
    <x:row r="1408">
      <x:c r="A1408" s="177" t="str">
        <x:v>50.637.204/0001-06</x:v>
      </x:c>
      <x:c r="B1408" s="168" t="str">
        <x:v>ALMOUROL FUNDO DE INVESTIMENTO EM DIREITOS CREDITÓRIOS</x:v>
      </x:c>
      <x:c r="C1408" s="190" t="n">
        <x:v>64723721.99</x:v>
      </x:c>
      <x:c r="D1408" s="168" t="str">
        <x:v>MAM ASSET MANAGEMENT</x:v>
      </x:c>
      <x:c r="E1408" s="168" t="str">
        <x:f>IFERROR(INDEX('Classif Gestoras'!$H$6:$H$462,MATCH(D1408,'Classif Gestoras'!$A$6:$A$462,0)),"Não classificada")</x:f>
        <x:v>Independente</x:v>
      </x:c>
      <x:c r="F1408" s="168" t="str">
        <x:v>TRUSTEE DTVM</x:v>
      </x:c>
      <x:c r="G1408" s="168" t="str">
        <x:v>TRUSTEE DISTRIBUIDORA DE TITULOS E VALORES MOBILIARIOS LTDA.</x:v>
      </x:c>
      <x:c r="H1408" s="168" t="str">
        <x:v>Outros</x:v>
      </x:c>
      <x:c r="I1408" s="168" t="str">
        <x:v>Multicarteira Outros</x:v>
      </x:c>
      <x:c r="J1408" s="168" t="str">
        <x:v>CI</x:v>
      </x:c>
      <x:c r="K1408" s="174" t="n">
        <x:v>1</x:v>
      </x:c>
      <x:c r="L1408" s="187" t="str">
        <x:v>Proxy multicedente/multissacado — revisar</x:v>
      </x:c>
    </x:row>
    <x:row r="1409">
      <x:c r="A1409" s="177" t="str">
        <x:v>11.702.303/0001-72</x:v>
      </x:c>
      <x:c r="B1409" s="168" t="str">
        <x:v>CAPITAL ONE FUNDO DE INVESTIMENTO EM COTAS DE FUNDOS DE INVESTIMENTO DIREITOS CREDITÓRIOS</x:v>
      </x:c>
      <x:c r="C1409" s="190" t="n">
        <x:v>64700007.88999999</x:v>
      </x:c>
      <x:c r="D1409" s="168" t="str">
        <x:v>M8 Partners</x:v>
      </x:c>
      <x:c r="E1409" s="168" t="str">
        <x:f>IFERROR(INDEX('Classif Gestoras'!$H$6:$H$462,MATCH(D1409,'Classif Gestoras'!$A$6:$A$462,0)),"Não classificada")</x:f>
        <x:v>Independente</x:v>
      </x:c>
      <x:c r="F1409" s="168" t="str">
        <x:v>BTG Pactual Servicos Financeiros S/A DTVM</x:v>
      </x:c>
      <x:c r="G1409" s="168" t="str">
        <x:v>BANCO BTG PACTUAL S/A</x:v>
      </x:c>
      <x:c r="H1409" s="168" t="str">
        <x:v>Outros</x:v>
      </x:c>
      <x:c r="I1409" s="168" t="str">
        <x:v>Multicarteira Outros</x:v>
      </x:c>
      <x:c r="J1409" s="168" t="str">
        <x:v>CI</x:v>
      </x:c>
      <x:c r="K1409" s="174" t="n">
        <x:v>1</x:v>
      </x:c>
      <x:c r="L1409" s="187" t="str">
        <x:v>Proxy multicedente/multissacado — revisar</x:v>
      </x:c>
    </x:row>
    <x:row r="1410">
      <x:c r="A1410" s="177" t="str">
        <x:v>37.980.187/0001-47</x:v>
      </x:c>
      <x:c r="B1410" s="168" t="str">
        <x:v>QUINTO ANDAR FUNDO DE INVESTIMENTO EM DIREITOS CREDITÓRIOS DE RESPONSABILIDADE LIMITADA</x:v>
      </x:c>
      <x:c r="C1410" s="190" t="n">
        <x:v>64620826.32</x:v>
      </x:c>
      <x:c r="D1410" s="168" t="str">
        <x:v>Oliveira Trust Servicer</x:v>
      </x:c>
      <x:c r="E1410" s="168" t="str">
        <x:f>IFERROR(INDEX('Classif Gestoras'!$H$6:$H$462,MATCH(D1410,'Classif Gestoras'!$A$6:$A$462,0)),"Não classificada")</x:f>
        <x:v>Independente</x:v>
      </x:c>
      <x:c r="F1410" s="168" t="str">
        <x:v>Oliveira Trust DTVM</x:v>
      </x:c>
      <x:c r="G1410" s="168" t="str">
        <x:v>OLIVEIRA TRUST DTVM S.A.</x:v>
      </x:c>
      <x:c r="H1410" s="168" t="str">
        <x:v>Financeiro</x:v>
      </x:c>
      <x:c r="I1410" s="168" t="str">
        <x:v>Multicarteira Financeiro</x:v>
      </x:c>
      <x:c r="J1410" s="168" t="str">
        <x:v>CI</x:v>
      </x:c>
      <x:c r="K1410" s="174" t="n">
        <x:v>1</x:v>
      </x:c>
      <x:c r="L1410" s="187" t="str">
        <x:v>Proxy multicedente/multissacado — revisar</x:v>
      </x:c>
    </x:row>
    <x:row r="1411">
      <x:c r="A1411" s="177" t="str">
        <x:v>47.410.134/0001-44</x:v>
      </x:c>
      <x:c r="B1411" s="168" t="str">
        <x:v>FUNDO DE INVESTIMENTO EM DIREITOS CREDITÓRIOS ALTERNATIVE ASSETS IV - E</x:v>
      </x:c>
      <x:c r="C1411" s="190" t="n">
        <x:v>64579923.989999995</x:v>
      </x:c>
      <x:c r="D1411" s="168" t="str">
        <x:v>PACTUAL CAPITAL PART</x:v>
      </x:c>
      <x:c r="E1411" s="168" t="str">
        <x:f>IFERROR(INDEX('Classif Gestoras'!$H$6:$H$462,MATCH(D1411,'Classif Gestoras'!$A$6:$A$462,0)),"Não classificada")</x:f>
        <x:v>Independente</x:v>
      </x:c>
      <x:c r="F1411" s="168" t="str">
        <x:v>BTG Pactual Servicos Financeiros S/A DTVM</x:v>
      </x:c>
      <x:c r="G1411" s="168" t="str">
        <x:v>BANCO BTG PACTUAL S/A</x:v>
      </x:c>
      <x:c r="H1411" s="168" t="str">
        <x:v>Outros</x:v>
      </x:c>
      <x:c r="I1411" s="168" t="str">
        <x:v>Multicarteira Outros</x:v>
      </x:c>
      <x:c r="J1411" s="168" t="str">
        <x:v>CI</x:v>
      </x:c>
      <x:c r="K1411" s="174" t="n">
        <x:v>1</x:v>
      </x:c>
      <x:c r="L1411" s="187" t="str">
        <x:v>Proxy multicedente/multissacado — revisar</x:v>
      </x:c>
    </x:row>
    <x:row r="1412">
      <x:c r="A1412" s="177" t="str">
        <x:v>57.810.758/0001-02</x:v>
      </x:c>
      <x:c r="B1412" s="168" t="str">
        <x:v>YELLOW CAPITAL FUNDO DE INVESTIMENTO EM DIREITOS CREDITÓRIOS DE RESPONSABILIDADE LIMITADA</x:v>
      </x:c>
      <x:c r="C1412" s="190" t="n">
        <x:v>64555746.1</x:v>
      </x:c>
      <x:c r="D1412" s="168" t="str">
        <x:v>Catálise Investimentos</x:v>
      </x:c>
      <x:c r="E1412" s="168" t="str">
        <x:f>IFERROR(INDEX('Classif Gestoras'!$H$6:$H$462,MATCH(D1412,'Classif Gestoras'!$A$6:$A$462,0)),"Não classificada")</x:f>
        <x:v>Independente</x:v>
      </x:c>
      <x:c r="F1412" s="168" t="str">
        <x:v>FIDD DISTRIBUIDORA DE TITULOS E VALORES MOBILIARIOS LTD</x:v>
      </x:c>
      <x:c r="G1412" s="168" t="str">
        <x:v>FIDD DISTRIBUIDORA DE TITULOS E VALORES MOBILIARIOS LTDA.</x:v>
      </x:c>
      <x:c r="H1412" s="168" t="str">
        <x:v>Agro, Indústria e Comércio</x:v>
      </x:c>
      <x:c r="I1412" s="168" t="str">
        <x:v>Recebíveis Comerciais</x:v>
      </x:c>
      <x:c r="J1412" s="168" t="str">
        <x:v>CI</x:v>
      </x:c>
      <x:c r="K1412" s="174" t="n">
        <x:v>5</x:v>
      </x:c>
      <x:c r="L1412" s="187" t="str">
        <x:v>Não classificado</x:v>
      </x:c>
    </x:row>
    <x:row r="1413">
      <x:c r="A1413" s="177" t="str">
        <x:v>61.975.703/0001-20</x:v>
      </x:c>
      <x:c r="B1413" s="168" t="str">
        <x:v>MOUSTACHE RAPPI FUNDO DE INVESTIMENTO EM DIREITOS CREDITÓRIOS - RESPONSABILIDADE LIMITADA</x:v>
      </x:c>
      <x:c r="C1413" s="190" t="n">
        <x:v>64521318.39</x:v>
      </x:c>
      <x:c r="D1413" s="168" t="str">
        <x:v>OURO PRETO INVESTIMENTOS</x:v>
      </x:c>
      <x:c r="E1413" s="168" t="str">
        <x:f>IFERROR(INDEX('Classif Gestoras'!$H$6:$H$462,MATCH(D1413,'Classif Gestoras'!$A$6:$A$462,0)),"Não classificada")</x:f>
        <x:v>Independente</x:v>
      </x:c>
      <x:c r="F1413" s="168" t="str">
        <x:v>Limine Trust Distribuidora de Titulos e Valores Mobiliá</x:v>
      </x:c>
      <x:c r="G1413" s="168" t="str">
        <x:v>LIMINE TRUST DISTRIBUIDORA DE TITULOS E VALORES MOBILIARIOS LTDA.</x:v>
      </x:c>
      <x:c r="H1413" s="168" t="str">
        <x:v>Outros</x:v>
      </x:c>
      <x:c r="I1413" s="168" t="str">
        <x:v>Multicarteira Outros</x:v>
      </x:c>
      <x:c r="J1413" s="168" t="str">
        <x:v>CI</x:v>
      </x:c>
      <x:c r="K1413" s="174" t="n">
        <x:v>22</x:v>
      </x:c>
      <x:c r="L1413" s="187" t="str">
        <x:v>Proxy multicedente/multissacado — revisar</x:v>
      </x:c>
    </x:row>
    <x:row r="1414">
      <x:c r="A1414" s="177" t="str">
        <x:v>61.753.889/0001-72</x:v>
      </x:c>
      <x:c r="B1414" s="168" t="str">
        <x:v>NACIONAL 2 FUNDO DE INVESTIMENTO EM DIREITOS CREDITORIOS DE RESPONSABILIDADE LIMITADA</x:v>
      </x:c>
      <x:c r="C1414" s="190" t="n">
        <x:v>64359190.989999995</x:v>
      </x:c>
      <x:c r="D1414" s="168" t="str">
        <x:v>Oliveira Trust Servicer</x:v>
      </x:c>
      <x:c r="E1414" s="168" t="str">
        <x:f>IFERROR(INDEX('Classif Gestoras'!$H$6:$H$462,MATCH(D1414,'Classif Gestoras'!$A$6:$A$462,0)),"Não classificada")</x:f>
        <x:v>Independente</x:v>
      </x:c>
      <x:c r="F1414" s="168" t="str">
        <x:v>Oliveira Trust DTVM</x:v>
      </x:c>
      <x:c r="G1414" s="168" t="str">
        <x:v>OLIVEIRA TRUST DTVM S.A.</x:v>
      </x:c>
      <x:c r="H1414" s="168" t="str">
        <x:v>Outros</x:v>
      </x:c>
      <x:c r="I1414" s="168" t="str">
        <x:v>Poder Público</x:v>
      </x:c>
      <x:c r="J1414" s="168" t="str">
        <x:v>CI</x:v>
      </x:c>
      <x:c r="K1414" s="174" t="n">
        <x:v>5</x:v>
      </x:c>
      <x:c r="L1414" s="187" t="str">
        <x:v>Não classificado</x:v>
      </x:c>
    </x:row>
    <x:row r="1415">
      <x:c r="A1415" s="177" t="str">
        <x:v>29.078.652/0001-20</x:v>
      </x:c>
      <x:c r="B1415" s="168" t="str">
        <x:v>XP CRÉDITO ESTRUTURADO DOMINUS FUNDO DE INVESTIMENTO EM DIREITOS CREDITÓRIOS RESPONSABILIDADE LIMITA</x:v>
      </x:c>
      <x:c r="C1415" s="190" t="n">
        <x:v>64318708.06</x:v>
      </x:c>
      <x:c r="D1415" s="168" t="str">
        <x:v>Vista Real Estate</x:v>
      </x:c>
      <x:c r="E1415" s="168" t="str">
        <x:f>IFERROR(INDEX('Classif Gestoras'!$H$6:$H$462,MATCH(D1415,'Classif Gestoras'!$A$6:$A$462,0)),"Não classificada")</x:f>
        <x:v>Independente</x:v>
      </x:c>
      <x:c r="F1415" s="168" t="str">
        <x:v>BNY MELLON SERVICOS</x:v>
      </x:c>
      <x:c r="G1415" s="168" t="str">
        <x:v>BNY MELLON BANCO S.A.</x:v>
      </x:c>
      <x:c r="H1415" s="168" t="str">
        <x:v>Outros</x:v>
      </x:c>
      <x:c r="I1415" s="168" t="str">
        <x:v>Multicarteira Outros</x:v>
      </x:c>
      <x:c r="J1415" s="168" t="str">
        <x:v>CI</x:v>
      </x:c>
      <x:c r="K1415" s="174" t="n">
        <x:v>325</x:v>
      </x:c>
      <x:c r="L1415" s="187" t="str">
        <x:v>Proxy multicedente/multissacado — revisar</x:v>
      </x:c>
    </x:row>
    <x:row r="1416">
      <x:c r="A1416" s="177" t="str">
        <x:v>61.652.960/0001-20</x:v>
      </x:c>
      <x:c r="B1416" s="168" t="str">
        <x:v>HCS VELA I FUNDO DE INVESTIMENTO EM DIREITOS CREDITÓRIOS RESPONSABILIDADE LIMITADA</x:v>
      </x:c>
      <x:c r="C1416" s="190" t="n">
        <x:v>64318510.16</x:v>
      </x:c>
      <x:c r="D1416" s="168" t="str">
        <x:v>HCS</x:v>
      </x:c>
      <x:c r="E1416" s="168" t="str">
        <x:f>IFERROR(INDEX('Classif Gestoras'!$H$6:$H$462,MATCH(D1416,'Classif Gestoras'!$A$6:$A$462,0)),"Não classificada")</x:f>
        <x:v>Independente</x:v>
      </x:c>
      <x:c r="F1416" s="168" t="str">
        <x:v>VÓRTX DTVM</x:v>
      </x:c>
      <x:c r="G1416" s="168" t="str">
        <x:v>VORTX DISTRIBUIDORA DE TITULOS E VALORES MOBILIARIOS LTDA.</x:v>
      </x:c>
      <x:c r="H1416" s="168" t="str">
        <x:v>Outros</x:v>
      </x:c>
      <x:c r="I1416" s="168" t="str">
        <x:v>Multicarteira Outros</x:v>
      </x:c>
      <x:c r="J1416" s="168" t="str">
        <x:v>CI</x:v>
      </x:c>
      <x:c r="K1416" s="174" t="n">
        <x:v>1</x:v>
      </x:c>
      <x:c r="L1416" s="187" t="str">
        <x:v>Proxy multicedente/multissacado — revisar</x:v>
      </x:c>
    </x:row>
    <x:row r="1417">
      <x:c r="A1417" s="177" t="str">
        <x:v>56.822.910/0001-04</x:v>
      </x:c>
      <x:c r="B1417" s="168" t="str">
        <x:v>FUNDO DE INVESTIMENTO EM DIREITOS CREDITÓRIOS CONCRÉDITO II RESPONSABILIDADE LIMITADA</x:v>
      </x:c>
      <x:c r="C1417" s="190" t="n">
        <x:v>64262759.650000006</x:v>
      </x:c>
      <x:c r="D1417" s="168" t="str">
        <x:v>Cultinvest Asset</x:v>
      </x:c>
      <x:c r="E1417" s="168" t="str">
        <x:f>IFERROR(INDEX('Classif Gestoras'!$H$6:$H$462,MATCH(D1417,'Classif Gestoras'!$A$6:$A$462,0)),"Não classificada")</x:f>
        <x:v>Independente</x:v>
      </x:c>
      <x:c r="F1417" s="168" t="str">
        <x:v>BANCO DAYCOVAL S/A</x:v>
      </x:c>
      <x:c r="G1417" s="168" t="str">
        <x:v>BANCO DAYCOVAL S.A.</x:v>
      </x:c>
      <x:c r="H1417" s="168" t="str">
        <x:v>Financeiro</x:v>
      </x:c>
      <x:c r="I1417" s="168" t="str">
        <x:v>Crédito Pessoal</x:v>
      </x:c>
      <x:c r="J1417" s="168" t="str">
        <x:v>CI</x:v>
      </x:c>
      <x:c r="K1417" s="174" t="n">
        <x:v>38</x:v>
      </x:c>
      <x:c r="L1417" s="187" t="str">
        <x:v>Não classificado</x:v>
      </x:c>
    </x:row>
    <x:row r="1418">
      <x:c r="A1418" s="177" t="str">
        <x:v>61.289.317/0001-84</x:v>
      </x:c>
      <x:c r="B1418" s="168" t="str">
        <x:v>CNPJ 61289317000184</x:v>
      </x:c>
      <x:c r="C1418" s="190" t="n">
        <x:v>64239528.77</x:v>
      </x:c>
      <x:c r="D1418" s="168" t="str">
        <x:v>REAG SPECIAL SITUATIONS</x:v>
      </x:c>
      <x:c r="E1418" s="168" t="str">
        <x:f>IFERROR(INDEX('Classif Gestoras'!$H$6:$H$462,MATCH(D1418,'Classif Gestoras'!$A$6:$A$462,0)),"Não classificada")</x:f>
        <x:v>Independente</x:v>
      </x:c>
      <x:c r="F1418" s="168" t="str">
        <x:v>PLANNER CV</x:v>
      </x:c>
      <x:c r="G1418" s="168" t="str">
        <x:v>Não identificado</x:v>
      </x:c>
      <x:c r="H1418" s="168" t="str">
        <x:v>Outros</x:v>
      </x:c>
      <x:c r="I1418" s="168" t="str">
        <x:v>Multicarteira Outros</x:v>
      </x:c>
      <x:c r="J1418" s="168" t="str">
        <x:v>CI</x:v>
      </x:c>
      <x:c r="K1418" s="174"/>
      <x:c r="L1418" s="187" t="str">
        <x:v>Proxy multicedente/multissacado — revisar</x:v>
      </x:c>
    </x:row>
    <x:row r="1419">
      <x:c r="A1419" s="177" t="str">
        <x:v>35.688.072/0001-58</x:v>
      </x:c>
      <x:c r="B1419" s="168" t="str">
        <x:v>VINCI ANTECIPE PLUS FUNDO DE INVESTIMENTO EM DIREITOS CREDITÓRIOS - RESPONSABILIDADE LIMITADA</x:v>
      </x:c>
      <x:c r="C1419" s="190" t="n">
        <x:v>64125770.73</x:v>
      </x:c>
      <x:c r="D1419" s="168" t="str">
        <x:v>Vinci Gestora de Recursos LTDA</x:v>
      </x:c>
      <x:c r="E1419" s="168" t="str">
        <x:f>IFERROR(INDEX('Classif Gestoras'!$H$6:$H$462,MATCH(D1419,'Classif Gestoras'!$A$6:$A$462,0)),"Não classificada")</x:f>
        <x:v>Independente</x:v>
      </x:c>
      <x:c r="F1419" s="168" t="str">
        <x:v>BRL TRUST DTVM</x:v>
      </x:c>
      <x:c r="G1419" s="168" t="str">
        <x:v>BRL TRUST DISTRIBUIDORA DE TITULOS E VALORES MOBILIARIOS S.A.</x:v>
      </x:c>
      <x:c r="H1419" s="168" t="str">
        <x:v>Outros</x:v>
      </x:c>
      <x:c r="I1419" s="168" t="str">
        <x:v>Multicarteira Outros</x:v>
      </x:c>
      <x:c r="J1419" s="168" t="str">
        <x:v>CI</x:v>
      </x:c>
      <x:c r="K1419" s="174" t="n">
        <x:v>1</x:v>
      </x:c>
      <x:c r="L1419" s="187" t="str">
        <x:v>Proxy multicedente/multissacado — revisar</x:v>
      </x:c>
    </x:row>
    <x:row r="1420">
      <x:c r="A1420" s="177" t="str">
        <x:v>42.067.134/0001-70</x:v>
      </x:c>
      <x:c r="B1420" s="168" t="str">
        <x:v>BANQI EP FUNDO DE INVESTIMENTO EM DIREITOS CREDITÓRIOS RESPONSABILIDADE LIMITADA</x:v>
      </x:c>
      <x:c r="C1420" s="190" t="n">
        <x:v>64100630.440000005</x:v>
      </x:c>
      <x:c r="D1420" s="168" t="str">
        <x:v>GENIAL GESTÃO LTDA.</x:v>
      </x:c>
      <x:c r="E1420" s="168" t="str">
        <x:f>IFERROR(INDEX('Classif Gestoras'!$H$6:$H$462,MATCH(D1420,'Classif Gestoras'!$A$6:$A$462,0)),"Não classificada")</x:f>
        <x:v>Ligada a banco</x:v>
      </x:c>
      <x:c r="F1420" s="168" t="str">
        <x:v>Banco Genial S.A.</x:v>
      </x:c>
      <x:c r="G1420" s="168" t="str">
        <x:v>BANCO GENIAL S.A.</x:v>
      </x:c>
      <x:c r="H1420" s="168" t="str">
        <x:v>Financeiro</x:v>
      </x:c>
      <x:c r="I1420" s="168" t="str">
        <x:v>Crédito Pessoal</x:v>
      </x:c>
      <x:c r="J1420" s="168" t="str">
        <x:v>CI</x:v>
      </x:c>
      <x:c r="K1420" s="174" t="n">
        <x:v>17</x:v>
      </x:c>
      <x:c r="L1420" s="187" t="str">
        <x:v>Não classificado</x:v>
      </x:c>
    </x:row>
    <x:row r="1421">
      <x:c r="A1421" s="177" t="str">
        <x:v>41.197.105/0001-60</x:v>
      </x:c>
      <x:c r="B1421" s="168" t="str">
        <x:v>CNPJ 41197105000160</x:v>
      </x:c>
      <x:c r="C1421" s="190" t="n">
        <x:v>64097846.62</x:v>
      </x:c>
      <x:c r="D1421" s="168" t="str">
        <x:v>MAV CAPITAL GESTORA DE RECURSOS SS LTDA</x:v>
      </x:c>
      <x:c r="E1421" s="168" t="str">
        <x:f>IFERROR(INDEX('Classif Gestoras'!$H$6:$H$462,MATCH(D1421,'Classif Gestoras'!$A$6:$A$462,0)),"Não classificada")</x:f>
        <x:v>Independente</x:v>
      </x:c>
      <x:c r="F1421" s="168" t="str">
        <x:v>Banco Genial S.A.</x:v>
      </x:c>
      <x:c r="G1421" s="168" t="str">
        <x:v>Não identificado</x:v>
      </x:c>
      <x:c r="H1421" s="168" t="str">
        <x:v>Agro, Indústria e Comércio</x:v>
      </x:c>
      <x:c r="I1421" s="168" t="str">
        <x:v>Agronegócio</x:v>
      </x:c>
      <x:c r="J1421" s="168" t="str">
        <x:v>CI</x:v>
      </x:c>
      <x:c r="K1421" s="174"/>
      <x:c r="L1421" s="187" t="str">
        <x:v>Não classificado</x:v>
      </x:c>
    </x:row>
    <x:row r="1422">
      <x:c r="A1422" s="177" t="str">
        <x:v>55.658.832/0001-91</x:v>
      </x:c>
      <x:c r="B1422" s="168" t="str">
        <x:v>MOOREA FUNDO DE INVESTIMENTO EM DIREITOS CREDITÓRIOS</x:v>
      </x:c>
      <x:c r="C1422" s="190" t="n">
        <x:v>64075700.83</x:v>
      </x:c>
      <x:c r="D1422" s="168" t="str">
        <x:v>Multiplica Capital</x:v>
      </x:c>
      <x:c r="E1422" s="168" t="str">
        <x:f>IFERROR(INDEX('Classif Gestoras'!$H$6:$H$462,MATCH(D1422,'Classif Gestoras'!$A$6:$A$462,0)),"Não classificada")</x:f>
        <x:v>Independente</x:v>
      </x:c>
      <x:c r="F1422" s="168" t="str">
        <x:v>Singulare</x:v>
      </x:c>
      <x:c r="G1422" s="168" t="str">
        <x:v>QI CORRETORA DE TÍTULOS E VALORES MOBILIÁRIOS S.A.</x:v>
      </x:c>
      <x:c r="H1422" s="168" t="str">
        <x:v>Fomento Mercantil</x:v>
      </x:c>
      <x:c r="I1422" s="168" t="str">
        <x:v>Fomento Mercantil</x:v>
      </x:c>
      <x:c r="J1422" s="168" t="str">
        <x:v>CI</x:v>
      </x:c>
      <x:c r="K1422" s="174" t="n">
        <x:v>1</x:v>
      </x:c>
      <x:c r="L1422" s="187" t="str">
        <x:v>Não classificado</x:v>
      </x:c>
    </x:row>
    <x:row r="1423">
      <x:c r="A1423" s="177" t="str">
        <x:v>52.910.525/0001-68</x:v>
      </x:c>
      <x:c r="B1423" s="168" t="str">
        <x:v>KMRBANK FUNDO DE INVESTIMENTO EM DIREITOS CREDITÓRIOS RESPONSABILIDADE LIMITADA</x:v>
      </x:c>
      <x:c r="C1423" s="190" t="n">
        <x:v>64043534.32</x:v>
      </x:c>
      <x:c r="D1423" s="168" t="str">
        <x:v>Bless Capital Gestora de Recursos Ltda.</x:v>
      </x:c>
      <x:c r="E1423" s="168" t="str">
        <x:f>IFERROR(INDEX('Classif Gestoras'!$H$6:$H$462,MATCH(D1423,'Classif Gestoras'!$A$6:$A$462,0)),"Não classificada")</x:f>
        <x:v>Independente</x:v>
      </x:c>
      <x:c r="F1423" s="168" t="str">
        <x:v>ID Corretora de Títulos e Valores Mobiliários S.A.</x:v>
      </x:c>
      <x:c r="G1423" s="168" t="str">
        <x:v>ID CORRETORA DE TITULOS E VALORES MOBILIARIOS S.A.</x:v>
      </x:c>
      <x:c r="H1423" s="168" t="str">
        <x:v>Outros</x:v>
      </x:c>
      <x:c r="I1423" s="168" t="str">
        <x:v>Multicarteira Outros</x:v>
      </x:c>
      <x:c r="J1423" s="168" t="str">
        <x:v>CI</x:v>
      </x:c>
      <x:c r="K1423" s="174" t="n">
        <x:v>3</x:v>
      </x:c>
      <x:c r="L1423" s="187" t="str">
        <x:v>Proxy multicedente/multissacado — revisar</x:v>
      </x:c>
    </x:row>
    <x:row r="1424">
      <x:c r="A1424" s="177" t="str">
        <x:v>56.660.547/0001-78</x:v>
      </x:c>
      <x:c r="B1424" s="168" t="str">
        <x:v>JC7 FUNDO DE INVESTIMENTO EM DIREITOS CREDITÓRIOS</x:v>
      </x:c>
      <x:c r="C1424" s="190" t="n">
        <x:v>64008907.24999999</x:v>
      </x:c>
      <x:c r="D1424" s="168" t="str">
        <x:v>Patrimonial Gestão</x:v>
      </x:c>
      <x:c r="E1424" s="168" t="str">
        <x:f>IFERROR(INDEX('Classif Gestoras'!$H$6:$H$462,MATCH(D1424,'Classif Gestoras'!$A$6:$A$462,0)),"Não classificada")</x:f>
        <x:v>Independente</x:v>
      </x:c>
      <x:c r="F1424" s="168" t="str">
        <x:v>BTG Pactual Servicos Financeiros S/A DTVM</x:v>
      </x:c>
      <x:c r="G1424" s="168" t="str">
        <x:v>BANCO BTG PACTUAL S/A</x:v>
      </x:c>
      <x:c r="H1424" s="168" t="str">
        <x:v>Outros</x:v>
      </x:c>
      <x:c r="I1424" s="168" t="str">
        <x:v>Poder Público</x:v>
      </x:c>
      <x:c r="J1424" s="168" t="str">
        <x:v>CI</x:v>
      </x:c>
      <x:c r="K1424" s="174" t="n">
        <x:v>38</x:v>
      </x:c>
      <x:c r="L1424" s="187" t="str">
        <x:v>Não classificado</x:v>
      </x:c>
    </x:row>
    <x:row r="1425">
      <x:c r="A1425" s="177" t="str">
        <x:v>58.223.324/0001-79</x:v>
      </x:c>
      <x:c r="B1425" s="168" t="str">
        <x:v>SV FUNDO DE INVESTIMENTO EM DIREITOS CREDITÓRIOS</x:v>
      </x:c>
      <x:c r="C1425" s="190" t="n">
        <x:v>63791137.28999999</x:v>
      </x:c>
      <x:c r="D1425" s="168" t="str">
        <x:v>Veritas Capital Management</x:v>
      </x:c>
      <x:c r="E1425" s="168" t="str">
        <x:f>IFERROR(INDEX('Classif Gestoras'!$H$6:$H$462,MATCH(D1425,'Classif Gestoras'!$A$6:$A$462,0)),"Não classificada")</x:f>
        <x:v>Independente</x:v>
      </x:c>
      <x:c r="F1425" s="168" t="str">
        <x:v>Singulare</x:v>
      </x:c>
      <x:c r="G1425" s="168" t="str">
        <x:v>QI CORRETORA DE TÍTULOS E VALORES MOBILIÁRIOS S.A.</x:v>
      </x:c>
      <x:c r="H1425" s="168" t="str">
        <x:v>Fomento Mercantil</x:v>
      </x:c>
      <x:c r="I1425" s="168" t="str">
        <x:v>Fomento Mercantil</x:v>
      </x:c>
      <x:c r="J1425" s="168" t="str">
        <x:v>CI</x:v>
      </x:c>
      <x:c r="K1425" s="174" t="n">
        <x:v>2</x:v>
      </x:c>
      <x:c r="L1425" s="187" t="str">
        <x:v>Não classificado</x:v>
      </x:c>
    </x:row>
    <x:row r="1426">
      <x:c r="A1426" s="177" t="str">
        <x:v>11.439.669/0001-09</x:v>
      </x:c>
      <x:c r="B1426" s="168" t="str">
        <x:v>CNPJ 11439669000109</x:v>
      </x:c>
      <x:c r="C1426" s="190" t="n">
        <x:v>63756554.83</x:v>
      </x:c>
      <x:c r="D1426" s="168" t="str">
        <x:v>Emerald Gestão de Investimento</x:v>
      </x:c>
      <x:c r="E1426" s="168" t="str">
        <x:f>IFERROR(INDEX('Classif Gestoras'!$H$6:$H$462,MATCH(D1426,'Classif Gestoras'!$A$6:$A$462,0)),"Não classificada")</x:f>
        <x:v>Independente</x:v>
      </x:c>
      <x:c r="F1426" s="168" t="str">
        <x:v>BANCO J. SAFRA S/A</x:v>
      </x:c>
      <x:c r="G1426" s="168" t="str">
        <x:v>Não identificado</x:v>
      </x:c>
      <x:c r="H1426" s="168" t="str">
        <x:v>Outros</x:v>
      </x:c>
      <x:c r="I1426" s="168" t="str">
        <x:v>Multicarteira Outros</x:v>
      </x:c>
      <x:c r="J1426" s="168" t="str">
        <x:v>CI</x:v>
      </x:c>
      <x:c r="K1426" s="174"/>
      <x:c r="L1426" s="187" t="str">
        <x:v>Proxy multicedente/multissacado — revisar</x:v>
      </x:c>
    </x:row>
    <x:row r="1427">
      <x:c r="A1427" s="177" t="str">
        <x:v>51.554.551/0001-38</x:v>
      </x:c>
      <x:c r="B1427" s="168" t="str">
        <x:v>CLASSE ÚNICA DO FIDC CRÉDITO NITRO AGRO - RESPONSABILIDADE LIMITADA</x:v>
      </x:c>
      <x:c r="C1427" s="190" t="n">
        <x:v>63753001.86</x:v>
      </x:c>
      <x:c r="D1427" s="168" t="str">
        <x:v>OPEA GESTORA DE RECURSOS</x:v>
      </x:c>
      <x:c r="E1427" s="168" t="str">
        <x:f>IFERROR(INDEX('Classif Gestoras'!$H$6:$H$462,MATCH(D1427,'Classif Gestoras'!$A$6:$A$462,0)),"Não classificada")</x:f>
        <x:v>Independente</x:v>
      </x:c>
      <x:c r="F1427" s="168" t="str">
        <x:v>VÓRTX DTVM</x:v>
      </x:c>
      <x:c r="G1427" s="168" t="str">
        <x:v>VORTX DISTRIBUIDORA DE TITULOS E VALORES MOBILIARIOS LTDA.</x:v>
      </x:c>
      <x:c r="H1427" s="168" t="str">
        <x:v>Agro, Indústria e Comércio</x:v>
      </x:c>
      <x:c r="I1427" s="168" t="str">
        <x:v>Agronegócio</x:v>
      </x:c>
      <x:c r="J1427" s="168" t="str">
        <x:v>CI</x:v>
      </x:c>
      <x:c r="K1427" s="174" t="n">
        <x:v>19</x:v>
      </x:c>
      <x:c r="L1427" s="187" t="str">
        <x:v>Não classificado</x:v>
      </x:c>
    </x:row>
    <x:row r="1428">
      <x:c r="A1428" s="177" t="str">
        <x:v>62.968.483/0001-70</x:v>
      </x:c>
      <x:c r="B1428" s="168" t="str">
        <x:v>QUATTRO CAPITAL FUNDO DE INVESTIMENTO EM DIREITOS CREDITÓRIOS CRÉDITO CORPORATIVO</x:v>
      </x:c>
      <x:c r="C1428" s="190" t="n">
        <x:v>63740092.38999999</x:v>
      </x:c>
      <x:c r="D1428" s="168" t="str">
        <x:v>Harbour Capital</x:v>
      </x:c>
      <x:c r="E1428" s="168" t="str">
        <x:f>IFERROR(INDEX('Classif Gestoras'!$H$6:$H$462,MATCH(D1428,'Classif Gestoras'!$A$6:$A$462,0)),"Não classificada")</x:f>
        <x:v>Independente</x:v>
      </x:c>
      <x:c r="F1428" s="168" t="str">
        <x:v>AZUMI DISTRIBUIDORA DE TÍTULOS E VALORES MOBILIÁRIOS LT</x:v>
      </x:c>
      <x:c r="G1428" s="168" t="str">
        <x:v>AZUMI DISTRIBUIDORA DE TÍTULOS E VALORES MOBILIÁRIOS LTDA.</x:v>
      </x:c>
      <x:c r="H1428" s="168" t="str">
        <x:v>Fomento Mercantil</x:v>
      </x:c>
      <x:c r="I1428" s="168" t="str">
        <x:v>Fomento Mercantil</x:v>
      </x:c>
      <x:c r="J1428" s="168" t="str">
        <x:v>CI</x:v>
      </x:c>
      <x:c r="K1428" s="174" t="n">
        <x:v>4</x:v>
      </x:c>
      <x:c r="L1428" s="187" t="str">
        <x:v>Não classificado</x:v>
      </x:c>
    </x:row>
    <x:row r="1429">
      <x:c r="A1429" s="177" t="str">
        <x:v>51.475.474/0001-20</x:v>
      </x:c>
      <x:c r="B1429" s="168" t="str">
        <x:v>FIDARA FUNDO DE INVESTIMENTO EM DIREITOS CREDITÓRIOS DE CLASSE ÚNICA FECHADA</x:v>
      </x:c>
      <x:c r="C1429" s="190" t="n">
        <x:v>63732691.5</x:v>
      </x:c>
      <x:c r="D1429" s="168" t="str">
        <x:v>CARMEL GESTORA DE ATIVOS LTDA</x:v>
      </x:c>
      <x:c r="E1429" s="168" t="str">
        <x:f>IFERROR(INDEX('Classif Gestoras'!$H$6:$H$462,MATCH(D1429,'Classif Gestoras'!$A$6:$A$462,0)),"Não classificada")</x:f>
        <x:v>Independente</x:v>
      </x:c>
      <x:c r="F1429" s="168" t="str">
        <x:v>Singulare</x:v>
      </x:c>
      <x:c r="G1429" s="168" t="str">
        <x:v>BRL TRUST DISTRIBUIDORA DE TITULOS E VALORES MOBILIARIOS S.A.</x:v>
      </x:c>
      <x:c r="H1429" s="168" t="str">
        <x:v>Agro, Indústria e Comércio</x:v>
      </x:c>
      <x:c r="I1429" s="168" t="str">
        <x:v>Recebíveis Comerciais</x:v>
      </x:c>
      <x:c r="J1429" s="168" t="str">
        <x:v>CI</x:v>
      </x:c>
      <x:c r="K1429" s="174" t="n">
        <x:v>4</x:v>
      </x:c>
      <x:c r="L1429" s="187" t="str">
        <x:v>Não classificado</x:v>
      </x:c>
    </x:row>
    <x:row r="1430">
      <x:c r="A1430" s="177" t="str">
        <x:v>63.812.703/0001-34</x:v>
      </x:c>
      <x:c r="B1430" s="168" t="str">
        <x:v>RIVELLO FUNDO DE INVESTIMENTO EM DIREITOS CREDITÓRIOS RESPONSABILIDADE LIMITADA</x:v>
      </x:c>
      <x:c r="C1430" s="190" t="n">
        <x:v>63583041.65</x:v>
      </x:c>
      <x:c r="D1430" s="168" t="str">
        <x:v>Quadra Gestão de Recursos S.A.</x:v>
      </x:c>
      <x:c r="E1430" s="168" t="str">
        <x:f>IFERROR(INDEX('Classif Gestoras'!$H$6:$H$462,MATCH(D1430,'Classif Gestoras'!$A$6:$A$462,0)),"Não classificada")</x:f>
        <x:v>Independente</x:v>
      </x:c>
      <x:c r="F1430" s="168" t="str">
        <x:v>BTG Pactual Servicos Financeiros S/A DTVM</x:v>
      </x:c>
      <x:c r="G1430" s="168" t="str">
        <x:v>BANCO BTG PACTUAL S/A</x:v>
      </x:c>
      <x:c r="H1430" s="168" t="str">
        <x:v>Outros</x:v>
      </x:c>
      <x:c r="I1430" s="168" t="str">
        <x:v>Multicarteira Outros</x:v>
      </x:c>
      <x:c r="J1430" s="168" t="str">
        <x:v>CI</x:v>
      </x:c>
      <x:c r="K1430" s="174" t="n">
        <x:v>1</x:v>
      </x:c>
      <x:c r="L1430" s="187" t="str">
        <x:v>Proxy multicedente/multissacado — revisar</x:v>
      </x:c>
    </x:row>
    <x:row r="1431">
      <x:c r="A1431" s="177" t="str">
        <x:v>63.864.746/0001-63</x:v>
      </x:c>
      <x:c r="B1431" s="168" t="str">
        <x:v>PRISMA CAPITAL FUNDO DE INVESTIMENTO EM DIREITOS CREDITORIOS</x:v>
      </x:c>
      <x:c r="C1431" s="190" t="n">
        <x:v>63513860.91</x:v>
      </x:c>
      <x:c r="D1431" s="168" t="str">
        <x:v>EVEREST CAPITAL OFFICE LTDA</x:v>
      </x:c>
      <x:c r="E1431" s="168" t="str">
        <x:f>IFERROR(INDEX('Classif Gestoras'!$H$6:$H$462,MATCH(D1431,'Classif Gestoras'!$A$6:$A$462,0)),"Não classificada")</x:f>
        <x:v>Independente</x:v>
      </x:c>
      <x:c r="F1431" s="168" t="str">
        <x:v>ACTUAL DTVM</x:v>
      </x:c>
      <x:c r="G1431" s="168" t="str">
        <x:v>TRUSTEE DISTRIBUIDORA DE TITULOS E VALORES MOBILIARIOS LTDA.</x:v>
      </x:c>
      <x:c r="H1431" s="168" t="str">
        <x:v>Outros</x:v>
      </x:c>
      <x:c r="I1431" s="168" t="str">
        <x:v>Multicarteira Outros</x:v>
      </x:c>
      <x:c r="J1431" s="168" t="str">
        <x:v>CI</x:v>
      </x:c>
      <x:c r="K1431" s="174" t="n">
        <x:v>7</x:v>
      </x:c>
      <x:c r="L1431" s="187" t="str">
        <x:v>Proxy multicedente/multissacado — revisar</x:v>
      </x:c>
    </x:row>
    <x:row r="1432">
      <x:c r="A1432" s="177" t="str">
        <x:v>36.335.723/0001-99</x:v>
      </x:c>
      <x:c r="B1432" s="168" t="str">
        <x:v>FUNDO DE INVESTIMENTO EM DIREITOS CREDITÓRIOS COMERCIAIS</x:v>
      </x:c>
      <x:c r="C1432" s="190" t="n">
        <x:v>63429738.830000006</x:v>
      </x:c>
      <x:c r="D1432" s="168" t="str">
        <x:v>BRL TRUST DTVM</x:v>
      </x:c>
      <x:c r="E1432" s="168" t="str">
        <x:f>IFERROR(INDEX('Classif Gestoras'!$H$6:$H$462,MATCH(D1432,'Classif Gestoras'!$A$6:$A$462,0)),"Não classificada")</x:f>
        <x:v>Independente</x:v>
      </x:c>
      <x:c r="F1432" s="168" t="str">
        <x:v>BRL TRUST DTVM</x:v>
      </x:c>
      <x:c r="G1432" s="168" t="str">
        <x:v>BRL TRUST DISTRIBUIDORA DE TITULOS E VALORES MOBILIARIOS S.A.</x:v>
      </x:c>
      <x:c r="H1432" s="168" t="str">
        <x:v>Outros</x:v>
      </x:c>
      <x:c r="I1432" s="168" t="str">
        <x:v>Recuperação</x:v>
      </x:c>
      <x:c r="J1432" s="168" t="str">
        <x:v>CIPC</x:v>
      </x:c>
      <x:c r="K1432" s="174" t="n">
        <x:v>1</x:v>
      </x:c>
      <x:c r="L1432" s="187" t="str">
        <x:v>Não classificado</x:v>
      </x:c>
    </x:row>
    <x:row r="1433">
      <x:c r="A1433" s="177" t="str">
        <x:v>30.576.238/0001-20</x:v>
      </x:c>
      <x:c r="B1433" s="168" t="str">
        <x:v>FLORES DO BRASIL FUNDO DE INVESTIMENTO EM DIREITOS CREDITÓRIOS</x:v>
      </x:c>
      <x:c r="C1433" s="190" t="n">
        <x:v>63389310.42</x:v>
      </x:c>
      <x:c r="D1433" s="168" t="str">
        <x:v>Artesanal Investimentos</x:v>
      </x:c>
      <x:c r="E1433" s="168" t="str">
        <x:f>IFERROR(INDEX('Classif Gestoras'!$H$6:$H$462,MATCH(D1433,'Classif Gestoras'!$A$6:$A$462,0)),"Não classificada")</x:f>
        <x:v>Independente</x:v>
      </x:c>
      <x:c r="F1433" s="168" t="str">
        <x:v>Banco Genial S.A.</x:v>
      </x:c>
      <x:c r="G1433" s="168" t="str">
        <x:v>BANCO B3 S.A.</x:v>
      </x:c>
      <x:c r="H1433" s="168" t="str">
        <x:v>Outros</x:v>
      </x:c>
      <x:c r="I1433" s="168" t="str">
        <x:v>Multicarteira Outros</x:v>
      </x:c>
      <x:c r="J1433" s="168" t="str">
        <x:v>CI</x:v>
      </x:c>
      <x:c r="K1433" s="174" t="n">
        <x:v>4</x:v>
      </x:c>
      <x:c r="L1433" s="187" t="str">
        <x:v>Proxy multicedente/multissacado — revisar</x:v>
      </x:c>
    </x:row>
    <x:row r="1434">
      <x:c r="A1434" s="177" t="str">
        <x:v>64.919.562/0001-16</x:v>
      </x:c>
      <x:c r="B1434" s="168" t="str">
        <x:v>BS2 PRECATÓRIOS FUNDO DE INVESTIMENTO EM DIREITOS CREDITÓRIOS</x:v>
      </x:c>
      <x:c r="C1434" s="190" t="n">
        <x:v>63378747.15</x:v>
      </x:c>
      <x:c r="D1434" s="168" t="str">
        <x:v>BS2 ASSET MANAGEMENT – ADMINISTRADORA DE RECURSOS LTDA.</x:v>
      </x:c>
      <x:c r="E1434" s="168" t="str">
        <x:f>IFERROR(INDEX('Classif Gestoras'!$H$6:$H$462,MATCH(D1434,'Classif Gestoras'!$A$6:$A$462,0)),"Não classificada")</x:f>
        <x:v>Independente</x:v>
      </x:c>
      <x:c r="F1434" s="168" t="str">
        <x:v>FIDD DISTRIBUIDORA DE TITULOS E VALORES MOBILIARIOS LTD</x:v>
      </x:c>
      <x:c r="G1434" s="168" t="str">
        <x:v>FIDD DISTRIBUIDORA DE TITULOS E VALORES MOBILIARIOS LTDA.</x:v>
      </x:c>
      <x:c r="H1434" s="168" t="str">
        <x:v>Outros</x:v>
      </x:c>
      <x:c r="I1434" s="168" t="str">
        <x:v>Poder Público</x:v>
      </x:c>
      <x:c r="J1434" s="168" t="str">
        <x:v>CI</x:v>
      </x:c>
      <x:c r="K1434" s="174" t="n">
        <x:v>1</x:v>
      </x:c>
      <x:c r="L1434" s="187" t="str">
        <x:v>Não classificado</x:v>
      </x:c>
    </x:row>
    <x:row r="1435">
      <x:c r="A1435" s="177" t="str">
        <x:v>56.021.813/0001-12</x:v>
      </x:c>
      <x:c r="B1435" s="168" t="str">
        <x:v>RAVENS FUNDO DE INVESTIMENTO EM DIREITOS CREDITÓRIOS</x:v>
      </x:c>
      <x:c r="C1435" s="190" t="n">
        <x:v>63147436.74</x:v>
      </x:c>
      <x:c r="D1435" s="168" t="str">
        <x:v>Perenne Investimentos</x:v>
      </x:c>
      <x:c r="E1435" s="168" t="str">
        <x:f>IFERROR(INDEX('Classif Gestoras'!$H$6:$H$462,MATCH(D1435,'Classif Gestoras'!$A$6:$A$462,0)),"Não classificada")</x:f>
        <x:v>Independente</x:v>
      </x:c>
      <x:c r="F1435" s="168" t="str">
        <x:v>BTG Pactual Servicos Financeiros S/A DTVM</x:v>
      </x:c>
      <x:c r="G1435" s="168" t="str">
        <x:v>BANCO BTG PACTUAL S/A</x:v>
      </x:c>
      <x:c r="H1435" s="168" t="str">
        <x:v>Outros</x:v>
      </x:c>
      <x:c r="I1435" s="168" t="str">
        <x:v>Multicarteira Outros</x:v>
      </x:c>
      <x:c r="J1435" s="168" t="str">
        <x:v>CI</x:v>
      </x:c>
      <x:c r="K1435" s="174" t="n">
        <x:v>1</x:v>
      </x:c>
      <x:c r="L1435" s="187" t="str">
        <x:v>Proxy multicedente/multissacado — revisar</x:v>
      </x:c>
    </x:row>
    <x:row r="1436">
      <x:c r="A1436" s="177" t="str">
        <x:v>60.010.893/0001-88</x:v>
      </x:c>
      <x:c r="B1436" s="168" t="str">
        <x:v>SIMPALA ÁRTICO FEDERAL FIDC FINANCEIRO RESPONSABILIDADE LIMITADA</x:v>
      </x:c>
      <x:c r="C1436" s="190" t="n">
        <x:v>62917684.29</x:v>
      </x:c>
      <x:c r="D1436" s="168" t="str">
        <x:v>VALORA RENDA FIXA ESTRUTURADOS LTDA.</x:v>
      </x:c>
      <x:c r="E1436" s="168" t="str">
        <x:f>IFERROR(INDEX('Classif Gestoras'!$H$6:$H$462,MATCH(D1436,'Classif Gestoras'!$A$6:$A$462,0)),"Não classificada")</x:f>
        <x:v>Independente</x:v>
      </x:c>
      <x:c r="F1436" s="168" t="str">
        <x:v>VERT Distribuidora de Títulos e Valores Mobiliários Ltd</x:v>
      </x:c>
      <x:c r="G1436" s="168" t="str">
        <x:v>VERT DISTRIBUIDORA DE TÍTULOS E VALORES MOBILIÁRIOS LTDA.</x:v>
      </x:c>
      <x:c r="H1436" s="168" t="str">
        <x:v>Financeiro</x:v>
      </x:c>
      <x:c r="I1436" s="168" t="str">
        <x:v>Crédito Consignado</x:v>
      </x:c>
      <x:c r="J1436" s="168" t="str">
        <x:v>CI</x:v>
      </x:c>
      <x:c r="K1436" s="174" t="n">
        <x:v>5</x:v>
      </x:c>
      <x:c r="L1436" s="187" t="str">
        <x:v>Não classificado</x:v>
      </x:c>
    </x:row>
    <x:row r="1437">
      <x:c r="A1437" s="177" t="str">
        <x:v>49.921.110/0001-85</x:v>
      </x:c>
      <x:c r="B1437" s="168" t="str">
        <x:v>VERDE AM I FUNDO DE INVESTIMENTO EM DIREITOS CREDITÓRIOS RESPONSABILIDADE LIMITADA</x:v>
      </x:c>
      <x:c r="C1437" s="190" t="n">
        <x:v>62861636.1083</x:v>
      </x:c>
      <x:c r="D1437" s="168" t="str">
        <x:v>Verde Asset Management S.A.</x:v>
      </x:c>
      <x:c r="E1437" s="168" t="str">
        <x:f>IFERROR(INDEX('Classif Gestoras'!$H$6:$H$462,MATCH(D1437,'Classif Gestoras'!$A$6:$A$462,0)),"Não classificada")</x:f>
        <x:v>Independente</x:v>
      </x:c>
      <x:c r="F1437" s="168" t="str">
        <x:v>BTG Pactual Servicos Financeiros S/A DTVM</x:v>
      </x:c>
      <x:c r="G1437" s="168" t="str">
        <x:v>BANCO BTG PACTUAL S/A</x:v>
      </x:c>
      <x:c r="H1437" s="168" t="str">
        <x:v>Outros</x:v>
      </x:c>
      <x:c r="I1437" s="168" t="str">
        <x:v>Multicarteira Outros</x:v>
      </x:c>
      <x:c r="J1437" s="168" t="str">
        <x:v>CI</x:v>
      </x:c>
      <x:c r="K1437" s="174" t="n">
        <x:v>1</x:v>
      </x:c>
      <x:c r="L1437" s="187" t="str">
        <x:v>Proxy multicedente/multissacado — revisar</x:v>
      </x:c>
    </x:row>
    <x:row r="1438">
      <x:c r="A1438" s="177" t="str">
        <x:v>46.231.978/0001-65</x:v>
      </x:c>
      <x:c r="B1438" s="168" t="str">
        <x:v>CASA DO PRECATÓRIO I FUNDO DE INVESTIMENTO EM DIREITOS CREDITÓRIOS NÃO-PADRONIZADOS</x:v>
      </x:c>
      <x:c r="C1438" s="190" t="n">
        <x:v>62734912.98</x:v>
      </x:c>
      <x:c r="D1438" s="168" t="str">
        <x:v>Lumina</x:v>
      </x:c>
      <x:c r="E1438" s="168" t="str">
        <x:f>IFERROR(INDEX('Classif Gestoras'!$H$6:$H$462,MATCH(D1438,'Classif Gestoras'!$A$6:$A$462,0)),"Não classificada")</x:f>
        <x:v>Independente</x:v>
      </x:c>
      <x:c r="F1438" s="168" t="str">
        <x:v>Singulare</x:v>
      </x:c>
      <x:c r="G1438" s="168" t="str">
        <x:v>QI CORRETORA DE TÍTULOS E VALORES MOBILIÁRIOS S.A.</x:v>
      </x:c>
      <x:c r="H1438" s="168" t="str">
        <x:v>Outros</x:v>
      </x:c>
      <x:c r="I1438" s="168" t="str">
        <x:v>Poder Público</x:v>
      </x:c>
      <x:c r="J1438" s="168" t="str">
        <x:v>CI</x:v>
      </x:c>
      <x:c r="K1438" s="174" t="n">
        <x:v>7</x:v>
      </x:c>
      <x:c r="L1438" s="187" t="str">
        <x:v>Não classificado</x:v>
      </x:c>
    </x:row>
    <x:row r="1439">
      <x:c r="A1439" s="177" t="str">
        <x:v>61.832.072/0001-90</x:v>
      </x:c>
      <x:c r="B1439" s="168" t="str">
        <x:v>FICTOR INVEST FUNDO DE INVESTIMENTO EM DIREITOS CREDITÓRIOS</x:v>
      </x:c>
      <x:c r="C1439" s="190" t="n">
        <x:v>62704228.43</x:v>
      </x:c>
      <x:c r="D1439" s="168" t="str">
        <x:v>FICTOR ASSET</x:v>
      </x:c>
      <x:c r="E1439" s="168" t="str">
        <x:f>IFERROR(INDEX('Classif Gestoras'!$H$6:$H$462,MATCH(D1439,'Classif Gestoras'!$A$6:$A$462,0)),"Não classificada")</x:f>
        <x:v>Independente</x:v>
      </x:c>
      <x:c r="F1439" s="168" t="str">
        <x:v>BRL TRUST DTVM</x:v>
      </x:c>
      <x:c r="G1439" s="168" t="str">
        <x:v>BRL TRUST DISTRIBUIDORA DE TITULOS E VALORES MOBILIARIOS S.A.</x:v>
      </x:c>
      <x:c r="H1439" s="168" t="str">
        <x:v>Outros</x:v>
      </x:c>
      <x:c r="I1439" s="168" t="str">
        <x:v>Multicarteira Outros</x:v>
      </x:c>
      <x:c r="J1439" s="168" t="str">
        <x:v>CI</x:v>
      </x:c>
      <x:c r="K1439" s="174" t="n">
        <x:v>893</x:v>
      </x:c>
      <x:c r="L1439" s="187" t="str">
        <x:v>Proxy multicedente/multissacado — revisar</x:v>
      </x:c>
    </x:row>
    <x:row r="1440">
      <x:c r="A1440" s="177" t="str">
        <x:v>34.644.098/0001-31</x:v>
      </x:c>
      <x:c r="B1440" s="168" t="str">
        <x:v>DELTA ENERGIA PRÉ-PAGAMENTO I - FIDC DE RESPONSABILIDADE LIMITADA</x:v>
      </x:c>
      <x:c r="C1440" s="190" t="n">
        <x:v>62573944.57999999</x:v>
      </x:c>
      <x:c r="D1440" s="168" t="str">
        <x:v>DAYCOVAL ASSET MANAG</x:v>
      </x:c>
      <x:c r="E1440" s="168" t="str">
        <x:f>IFERROR(INDEX('Classif Gestoras'!$H$6:$H$462,MATCH(D1440,'Classif Gestoras'!$A$6:$A$462,0)),"Não classificada")</x:f>
        <x:v>Ligada a banco</x:v>
      </x:c>
      <x:c r="F1440" s="168" t="str">
        <x:v>BANCO DAYCOVAL S/A</x:v>
      </x:c>
      <x:c r="G1440" s="168" t="str">
        <x:v>BANCO DAYCOVAL S.A.</x:v>
      </x:c>
      <x:c r="H1440" s="168" t="str">
        <x:v>Agro, Indústria e Comércio</x:v>
      </x:c>
      <x:c r="I1440" s="168" t="str">
        <x:v>Infraestrutura</x:v>
      </x:c>
      <x:c r="J1440" s="168" t="str">
        <x:v>CI</x:v>
      </x:c>
      <x:c r="K1440" s="174" t="n">
        <x:v>213</x:v>
      </x:c>
      <x:c r="L1440" s="187" t="str">
        <x:v>Não classificado</x:v>
      </x:c>
    </x:row>
    <x:row r="1441">
      <x:c r="A1441" s="177" t="str">
        <x:v>61.794.035/0001-34</x:v>
      </x:c>
      <x:c r="B1441" s="168" t="str">
        <x:v>CRÉDITO IMOBILIÁRIO BL FUNDO DE INVESTIMENTO EM DIREITOS CREDITÓRIOS DE RESPONSABILIDADE LIMITADA</x:v>
      </x:c>
      <x:c r="C1441" s="190" t="n">
        <x:v>62535085.349999994</x:v>
      </x:c>
      <x:c r="D1441" s="168" t="str">
        <x:v>Blue Asset</x:v>
      </x:c>
      <x:c r="E1441" s="168" t="str">
        <x:f>IFERROR(INDEX('Classif Gestoras'!$H$6:$H$462,MATCH(D1441,'Classif Gestoras'!$A$6:$A$462,0)),"Não classificada")</x:f>
        <x:v>Independente</x:v>
      </x:c>
      <x:c r="F1441" s="168" t="str">
        <x:v>VERT Distribuidora de Títulos e Valores Mobiliários Ltd</x:v>
      </x:c>
      <x:c r="G1441" s="168" t="str">
        <x:v>VERT DISTRIBUIDORA DE TÍTULOS E VALORES MOBILIÁRIOS LTDA.</x:v>
      </x:c>
      <x:c r="H1441" s="168" t="str">
        <x:v>Financeiro</x:v>
      </x:c>
      <x:c r="I1441" s="168" t="str">
        <x:v>Crédito Imobiliário</x:v>
      </x:c>
      <x:c r="J1441" s="168" t="str">
        <x:v>CI</x:v>
      </x:c>
      <x:c r="K1441" s="174" t="n">
        <x:v>3</x:v>
      </x:c>
      <x:c r="L1441" s="187" t="str">
        <x:v>Não classificado</x:v>
      </x:c>
    </x:row>
    <x:row r="1442">
      <x:c r="A1442" s="177" t="str">
        <x:v>35.138.000/0001-37</x:v>
      </x:c>
      <x:c r="B1442" s="168" t="str">
        <x:v>HUMACRED FUNDO DE INVESTIMENTO EM DIREITOS CREDITÓRIOS - RESPONSABILIDADE LIMITADA</x:v>
      </x:c>
      <x:c r="C1442" s="190" t="n">
        <x:v>62271914.29</x:v>
      </x:c>
      <x:c r="D1442" s="168" t="str">
        <x:v>ARTESANAL FINANCEIRO</x:v>
      </x:c>
      <x:c r="E1442" s="168" t="str">
        <x:f>IFERROR(INDEX('Classif Gestoras'!$H$6:$H$462,MATCH(D1442,'Classif Gestoras'!$A$6:$A$462,0)),"Não classificada")</x:f>
        <x:v>Independente</x:v>
      </x:c>
      <x:c r="F1442" s="168" t="str">
        <x:v>Singulare</x:v>
      </x:c>
      <x:c r="G1442" s="168" t="str">
        <x:v>QI CORRETORA DE TÍTULOS E VALORES MOBILIÁRIOS S.A.</x:v>
      </x:c>
      <x:c r="H1442" s="168" t="str">
        <x:v>Outros</x:v>
      </x:c>
      <x:c r="I1442" s="168" t="str">
        <x:v>Multicarteira Outros</x:v>
      </x:c>
      <x:c r="J1442" s="168" t="str">
        <x:v>CI</x:v>
      </x:c>
      <x:c r="K1442" s="174" t="n">
        <x:v>7</x:v>
      </x:c>
      <x:c r="L1442" s="187" t="str">
        <x:v>Proxy multicedente/multissacado — revisar</x:v>
      </x:c>
    </x:row>
    <x:row r="1443">
      <x:c r="A1443" s="177" t="str">
        <x:v>41.957.418/0001-79</x:v>
      </x:c>
      <x:c r="B1443" s="168" t="str">
        <x:v>MILENIO MAGENTA FUNDO DE INVESTIMENTO EM DIREITOS CREDITÓRIOS DE RESPONSABILIDADE LIMITADA</x:v>
      </x:c>
      <x:c r="C1443" s="190" t="n">
        <x:v>62210605.690000005</x:v>
      </x:c>
      <x:c r="D1443" s="168" t="str">
        <x:v>Milênio Capital</x:v>
      </x:c>
      <x:c r="E1443" s="168" t="str">
        <x:f>IFERROR(INDEX('Classif Gestoras'!$H$6:$H$462,MATCH(D1443,'Classif Gestoras'!$A$6:$A$462,0)),"Não classificada")</x:f>
        <x:v>Independente</x:v>
      </x:c>
      <x:c r="F1443" s="168" t="str">
        <x:v>Singulare</x:v>
      </x:c>
      <x:c r="G1443" s="168" t="str">
        <x:v>QI CORRETORA DE TÍTULOS E VALORES MOBILIÁRIOS S.A.</x:v>
      </x:c>
      <x:c r="H1443" s="168" t="str">
        <x:v>Outros</x:v>
      </x:c>
      <x:c r="I1443" s="168" t="str">
        <x:v>Multicarteira Outros</x:v>
      </x:c>
      <x:c r="J1443" s="168" t="str">
        <x:v>CI</x:v>
      </x:c>
      <x:c r="K1443" s="174" t="n">
        <x:v>1</x:v>
      </x:c>
      <x:c r="L1443" s="187" t="str">
        <x:v>Proxy multicedente/multissacado — revisar</x:v>
      </x:c>
    </x:row>
    <x:row r="1444">
      <x:c r="A1444" s="177" t="str">
        <x:v>60.851.421/0001-58</x:v>
      </x:c>
      <x:c r="B1444" s="168" t="str">
        <x:v>ARTESANAL CP 90 ION FUNDO DE INVESTIMENTO EM DIREITOS CREDITÓRIOS - RESPONSABILIDADE LIMITADA</x:v>
      </x:c>
      <x:c r="C1444" s="190" t="n">
        <x:v>62123530.66</x:v>
      </x:c>
      <x:c r="D1444" s="168" t="str">
        <x:v>Artesanal Investimentos</x:v>
      </x:c>
      <x:c r="E1444" s="168" t="str">
        <x:f>IFERROR(INDEX('Classif Gestoras'!$H$6:$H$462,MATCH(D1444,'Classif Gestoras'!$A$6:$A$462,0)),"Não classificada")</x:f>
        <x:v>Independente</x:v>
      </x:c>
      <x:c r="F1444" s="168" t="str">
        <x:v>BNY MELLON SERVICOS</x:v>
      </x:c>
      <x:c r="G1444" s="168" t="str">
        <x:v>BNY MELLON BANCO S.A.</x:v>
      </x:c>
      <x:c r="H1444" s="168" t="str">
        <x:v>Outros</x:v>
      </x:c>
      <x:c r="I1444" s="168" t="str">
        <x:v>Multicarteira Outros</x:v>
      </x:c>
      <x:c r="J1444" s="168" t="str">
        <x:v>CI</x:v>
      </x:c>
      <x:c r="K1444" s="174" t="n">
        <x:v>257</x:v>
      </x:c>
      <x:c r="L1444" s="187" t="str">
        <x:v>Proxy multicedente/multissacado — revisar</x:v>
      </x:c>
    </x:row>
    <x:row r="1445">
      <x:c r="A1445" s="177" t="str">
        <x:v>63.735.087/0001-65</x:v>
      </x:c>
      <x:c r="B1445" s="168" t="str">
        <x:v>CALLIS FUNDO DE INVESTIMENTO EM DIREITOS CREDITÓRIOS</x:v>
      </x:c>
      <x:c r="C1445" s="190" t="n">
        <x:v>62119437.66</x:v>
      </x:c>
      <x:c r="D1445" s="168" t="str">
        <x:v>Catálise Investimentos</x:v>
      </x:c>
      <x:c r="E1445" s="168" t="str">
        <x:f>IFERROR(INDEX('Classif Gestoras'!$H$6:$H$462,MATCH(D1445,'Classif Gestoras'!$A$6:$A$462,0)),"Não classificada")</x:f>
        <x:v>Independente</x:v>
      </x:c>
      <x:c r="F1445" s="168" t="str">
        <x:v>CATÁLISE DTVM</x:v>
      </x:c>
      <x:c r="G1445" s="168" t="str">
        <x:v>BANCO DAYCOVAL S.A.</x:v>
      </x:c>
      <x:c r="H1445" s="168" t="str">
        <x:v>Fomento Mercantil</x:v>
      </x:c>
      <x:c r="I1445" s="168" t="str">
        <x:v>Fomento Mercantil</x:v>
      </x:c>
      <x:c r="J1445" s="168" t="str">
        <x:v>CI</x:v>
      </x:c>
      <x:c r="K1445" s="174" t="n">
        <x:v>1</x:v>
      </x:c>
      <x:c r="L1445" s="187" t="str">
        <x:v>Não classificado</x:v>
      </x:c>
    </x:row>
    <x:row r="1446">
      <x:c r="A1446" s="177" t="str">
        <x:v>59.061.264/0001-06</x:v>
      </x:c>
      <x:c r="B1446" s="168" t="str">
        <x:v>ATIVOS ESPECIAIS IV B FUNDO DE INVESTIMENTO EM DIREITOS CREDITÓRIOS</x:v>
      </x:c>
      <x:c r="C1446" s="190" t="n">
        <x:v>62115855.86</x:v>
      </x:c>
      <x:c r="D1446" s="168" t="str">
        <x:v>Vinci SPS Gestão de Recursos Ltda.</x:v>
      </x:c>
      <x:c r="E1446" s="168" t="str">
        <x:f>IFERROR(INDEX('Classif Gestoras'!$H$6:$H$462,MATCH(D1446,'Classif Gestoras'!$A$6:$A$462,0)),"Não classificada")</x:f>
        <x:v>Independente</x:v>
      </x:c>
      <x:c r="F1446" s="168" t="str">
        <x:v>BANCO DAYCOVAL S/A</x:v>
      </x:c>
      <x:c r="G1446" s="168" t="str">
        <x:v>BANCO DAYCOVAL S.A.</x:v>
      </x:c>
      <x:c r="H1446" s="168" t="str">
        <x:v>Outros</x:v>
      </x:c>
      <x:c r="I1446" s="168" t="str">
        <x:v>Multicarteira Outros</x:v>
      </x:c>
      <x:c r="J1446" s="168" t="str">
        <x:v>CI</x:v>
      </x:c>
      <x:c r="K1446" s="174" t="n">
        <x:v>1</x:v>
      </x:c>
      <x:c r="L1446" s="187" t="str">
        <x:v>Proxy multicedente/multissacado — revisar</x:v>
      </x:c>
    </x:row>
    <x:row r="1447">
      <x:c r="A1447" s="177" t="str">
        <x:v>63.079.862/0001-71</x:v>
      </x:c>
      <x:c r="B1447" s="168" t="str">
        <x:v>SB CRÉDITO MULTIESTRATÉGIA II FUNDO DE INVESTIMENTO EM DIREITOS CREDITÓRIOS DE CLASSE ÚNICA FECHADA</x:v>
      </x:c>
      <x:c r="C1447" s="190" t="n">
        <x:v>62105877.129999995</x:v>
      </x:c>
      <x:c r="D1447" s="168" t="str">
        <x:v>CARMEL GESTORA DE ATIVOS LTDA</x:v>
      </x:c>
      <x:c r="E1447" s="168" t="str">
        <x:f>IFERROR(INDEX('Classif Gestoras'!$H$6:$H$462,MATCH(D1447,'Classif Gestoras'!$A$6:$A$462,0)),"Não classificada")</x:f>
        <x:v>Independente</x:v>
      </x:c>
      <x:c r="F1447" s="168" t="str">
        <x:v>BRL TRUST DTVM</x:v>
      </x:c>
      <x:c r="G1447" s="168" t="str">
        <x:v>BRL TRUST DISTRIBUIDORA DE TITULOS E VALORES MOBILIARIOS S.A.</x:v>
      </x:c>
      <x:c r="H1447" s="168" t="str">
        <x:v>Fomento Mercantil</x:v>
      </x:c>
      <x:c r="I1447" s="168" t="str">
        <x:v>Fomento Mercantil</x:v>
      </x:c>
      <x:c r="J1447" s="168" t="str">
        <x:v>CI</x:v>
      </x:c>
      <x:c r="K1447" s="174" t="n">
        <x:v>4</x:v>
      </x:c>
      <x:c r="L1447" s="187" t="str">
        <x:v>Não classificado</x:v>
      </x:c>
    </x:row>
    <x:row r="1448">
      <x:c r="A1448" s="177" t="str">
        <x:v>23.033.778/0001-00</x:v>
      </x:c>
      <x:c r="B1448" s="168" t="str">
        <x:v>ITUPEVA FUNDO DE INVESTIMENTO EM DIREITOS CREDITÓRIOS</x:v>
      </x:c>
      <x:c r="C1448" s="190" t="n">
        <x:v>62000584.25000001</x:v>
      </x:c>
      <x:c r="D1448" s="168" t="str">
        <x:v>Alameda Gestora de Investimentos Ltda</x:v>
      </x:c>
      <x:c r="E1448" s="168" t="str">
        <x:f>IFERROR(INDEX('Classif Gestoras'!$H$6:$H$462,MATCH(D1448,'Classif Gestoras'!$A$6:$A$462,0)),"Não classificada")</x:f>
        <x:v>Independente</x:v>
      </x:c>
      <x:c r="F1448" s="168" t="str">
        <x:v>SEFER DTVM</x:v>
      </x:c>
      <x:c r="G1448" s="168" t="str">
        <x:v>SEFER INVESTIMENTOS DISTRIBUIDORA DE TÍTULOS E VALORES MOBILIÁRIOS LTDA.</x:v>
      </x:c>
      <x:c r="H1448" s="168" t="str">
        <x:v>Outros</x:v>
      </x:c>
      <x:c r="I1448" s="168" t="str">
        <x:v>Multicarteira Outros</x:v>
      </x:c>
      <x:c r="J1448" s="168" t="str">
        <x:v>CI</x:v>
      </x:c>
      <x:c r="K1448" s="174" t="n">
        <x:v>1</x:v>
      </x:c>
      <x:c r="L1448" s="187" t="str">
        <x:v>Proxy multicedente/multissacado — revisar</x:v>
      </x:c>
    </x:row>
    <x:row r="1449">
      <x:c r="A1449" s="177" t="str">
        <x:v>55.469.182/0001-36</x:v>
      </x:c>
      <x:c r="B1449" s="168" t="str">
        <x:v>SC1 FUNDO DE INVESTIMENTO EM DIREITOS CREDITÓRIOS NÃO PADRONIZADOS</x:v>
      </x:c>
      <x:c r="C1449" s="190" t="n">
        <x:v>61889400.96999999</x:v>
      </x:c>
      <x:c r="D1449" s="168" t="str">
        <x:v>SH Asset</x:v>
      </x:c>
      <x:c r="E1449" s="168" t="str">
        <x:f>IFERROR(INDEX('Classif Gestoras'!$H$6:$H$462,MATCH(D1449,'Classif Gestoras'!$A$6:$A$462,0)),"Não classificada")</x:f>
        <x:v>Independente</x:v>
      </x:c>
      <x:c r="F1449" s="168" t="str">
        <x:v>Finvest Digital</x:v>
      </x:c>
      <x:c r="G1449" s="168" t="str">
        <x:v>FINVEST DISTRIBUIDORA DE TÍTULOS E VALORES MOBILIÁRIOS LTDA.</x:v>
      </x:c>
      <x:c r="H1449" s="168" t="str">
        <x:v>Outros</x:v>
      </x:c>
      <x:c r="I1449" s="168" t="str">
        <x:v>Multicarteira Outros</x:v>
      </x:c>
      <x:c r="J1449" s="168" t="str">
        <x:v>CI</x:v>
      </x:c>
      <x:c r="K1449" s="174" t="n">
        <x:v>26</x:v>
      </x:c>
      <x:c r="L1449" s="187" t="str">
        <x:v>Proxy multicedente/multissacado — revisar</x:v>
      </x:c>
    </x:row>
    <x:row r="1450">
      <x:c r="A1450" s="177" t="str">
        <x:v>12.440.789/0001-80</x:v>
      </x:c>
      <x:c r="B1450" s="168" t="str">
        <x:v>LME REC MULTISETORIAL IPCA - FUNDO DE INVESTIMENTO EM DIREITOS CREDITORIOS</x:v>
      </x:c>
      <x:c r="C1450" s="190" t="n">
        <x:v>61880951.07999999</x:v>
      </x:c>
      <x:c r="D1450" s="168" t="str">
        <x:v>GRAPHEN INVESTIMENTOS</x:v>
      </x:c>
      <x:c r="E1450" s="168" t="str">
        <x:f>IFERROR(INDEX('Classif Gestoras'!$H$6:$H$462,MATCH(D1450,'Classif Gestoras'!$A$6:$A$462,0)),"Não classificada")</x:f>
        <x:v>Independente</x:v>
      </x:c>
      <x:c r="F1450" s="168" t="str">
        <x:v>RJI Investimentos</x:v>
      </x:c>
      <x:c r="G1450" s="168" t="str">
        <x:v>RJI CORRETORA DE TÍTULOS E VALORES MOBILIÁRIOS LTDA.</x:v>
      </x:c>
      <x:c r="H1450" s="168" t="str">
        <x:v>Financeiro</x:v>
      </x:c>
      <x:c r="I1450" s="168" t="str">
        <x:v>Multicarteira Financeiro</x:v>
      </x:c>
      <x:c r="J1450" s="168" t="str">
        <x:v>CI</x:v>
      </x:c>
      <x:c r="K1450" s="174" t="n">
        <x:v>71</x:v>
      </x:c>
      <x:c r="L1450" s="187" t="str">
        <x:v>Proxy multicedente/multissacado — revisar</x:v>
      </x:c>
    </x:row>
    <x:row r="1451">
      <x:c r="A1451" s="177" t="str">
        <x:v>60.290.928/0001-80</x:v>
      </x:c>
      <x:c r="B1451" s="168" t="str">
        <x:v>WH CONSIGNADO PÚBLICO FUNDO DE INVESTIMENTO EM DIREITOS CREDITÓRIOS - RESPONSABILIDADE LIMITADA</x:v>
      </x:c>
      <x:c r="C1451" s="190" t="n">
        <x:v>61714474.93000001</x:v>
      </x:c>
      <x:c r="D1451" s="168" t="str">
        <x:v>Apuama Capital</x:v>
      </x:c>
      <x:c r="E1451" s="168" t="str">
        <x:f>IFERROR(INDEX('Classif Gestoras'!$H$6:$H$462,MATCH(D1451,'Classif Gestoras'!$A$6:$A$462,0)),"Não classificada")</x:f>
        <x:v>Independente</x:v>
      </x:c>
      <x:c r="F1451" s="168" t="str">
        <x:v>Singulare</x:v>
      </x:c>
      <x:c r="G1451" s="168" t="str">
        <x:v>QI CORRETORA DE TÍTULOS E VALORES MOBILIÁRIOS S.A.</x:v>
      </x:c>
      <x:c r="H1451" s="168" t="str">
        <x:v>Financeiro</x:v>
      </x:c>
      <x:c r="I1451" s="168" t="str">
        <x:v>Crédito Consignado</x:v>
      </x:c>
      <x:c r="J1451" s="168" t="str">
        <x:v>CI</x:v>
      </x:c>
      <x:c r="K1451" s="174" t="n">
        <x:v>7</x:v>
      </x:c>
      <x:c r="L1451" s="187" t="str">
        <x:v>Não classificado</x:v>
      </x:c>
    </x:row>
    <x:row r="1452">
      <x:c r="A1452" s="177" t="str">
        <x:v>51.045.717/0001-90</x:v>
      </x:c>
      <x:c r="B1452" s="168" t="str">
        <x:v>SOLAR BR FUNDO DE INVESTIMENTO EM DIREITOS CREDITÓRIOS</x:v>
      </x:c>
      <x:c r="C1452" s="190" t="n">
        <x:v>61637408.629999995</x:v>
      </x:c>
      <x:c r="D1452" s="168" t="str">
        <x:v>Fram Capital Gestão de Ativos Ltda</x:v>
      </x:c>
      <x:c r="E1452" s="168" t="str">
        <x:f>IFERROR(INDEX('Classif Gestoras'!$H$6:$H$462,MATCH(D1452,'Classif Gestoras'!$A$6:$A$462,0)),"Não classificada")</x:f>
        <x:v>Independente</x:v>
      </x:c>
      <x:c r="F1452" s="168" t="str">
        <x:v>Singulare</x:v>
      </x:c>
      <x:c r="G1452" s="168" t="str">
        <x:v>QI CORRETORA DE TÍTULOS E VALORES MOBILIÁRIOS S.A.</x:v>
      </x:c>
      <x:c r="H1452" s="168" t="str">
        <x:v>Fomento Mercantil</x:v>
      </x:c>
      <x:c r="I1452" s="168" t="str">
        <x:v>Fomento Mercantil</x:v>
      </x:c>
      <x:c r="J1452" s="168" t="str">
        <x:v>CI</x:v>
      </x:c>
      <x:c r="K1452" s="174" t="n">
        <x:v>4</x:v>
      </x:c>
      <x:c r="L1452" s="187" t="str">
        <x:v>Não classificado</x:v>
      </x:c>
    </x:row>
    <x:row r="1453">
      <x:c r="A1453" s="177" t="str">
        <x:v>08.611.414/0001-69</x:v>
      </x:c>
      <x:c r="B1453" s="168" t="str">
        <x:v>V3 FIDC MULTICARTEIRA - NP</x:v>
      </x:c>
      <x:c r="C1453" s="190" t="n">
        <x:v>61569172.3</x:v>
      </x:c>
      <x:c r="D1453" s="168" t="str">
        <x:v>Vision Brazil</x:v>
      </x:c>
      <x:c r="E1453" s="168" t="str">
        <x:f>IFERROR(INDEX('Classif Gestoras'!$H$6:$H$462,MATCH(D1453,'Classif Gestoras'!$A$6:$A$462,0)),"Não classificada")</x:f>
        <x:v>Independente</x:v>
      </x:c>
      <x:c r="F1453" s="168" t="str">
        <x:v>Singulare</x:v>
      </x:c>
      <x:c r="G1453" s="168" t="str">
        <x:v>QI CORRETORA DE TÍTULOS E VALORES MOBILIÁRIOS S.A.</x:v>
      </x:c>
      <x:c r="H1453" s="168" t="str">
        <x:v>Outros</x:v>
      </x:c>
      <x:c r="I1453" s="168" t="str">
        <x:v>Multicarteira Outros</x:v>
      </x:c>
      <x:c r="J1453" s="168" t="str">
        <x:v>CI</x:v>
      </x:c>
      <x:c r="K1453" s="174" t="n">
        <x:v>1</x:v>
      </x:c>
      <x:c r="L1453" s="187" t="str">
        <x:v>Proxy multicedente/multissacado — revisar</x:v>
      </x:c>
    </x:row>
    <x:row r="1454">
      <x:c r="A1454" s="177" t="str">
        <x:v>63.515.403/0001-93</x:v>
      </x:c>
      <x:c r="B1454" s="168" t="str">
        <x:v>PRECAVIDA EQI FUNDO DE INVESTIMENTO EM DIREITOS CREDITÓRIOS</x:v>
      </x:c>
      <x:c r="C1454" s="190" t="n">
        <x:v>61478353.25000001</x:v>
      </x:c>
      <x:c r="D1454" s="168" t="str">
        <x:v>EuQueroInvestir Gestão de Recursos Ltda.</x:v>
      </x:c>
      <x:c r="E1454" s="168" t="str">
        <x:f>IFERROR(INDEX('Classif Gestoras'!$H$6:$H$462,MATCH(D1454,'Classif Gestoras'!$A$6:$A$462,0)),"Não classificada")</x:f>
        <x:v>Independente</x:v>
      </x:c>
      <x:c r="F1454" s="168" t="str">
        <x:v>BTG Pactual Servicos Financeiros S/A DTVM</x:v>
      </x:c>
      <x:c r="G1454" s="168" t="str">
        <x:v>BANCO BTG PACTUAL S/A</x:v>
      </x:c>
      <x:c r="H1454" s="168" t="str">
        <x:v>Outros</x:v>
      </x:c>
      <x:c r="I1454" s="168" t="str">
        <x:v>Poder Público</x:v>
      </x:c>
      <x:c r="J1454" s="168" t="str">
        <x:v>CI</x:v>
      </x:c>
      <x:c r="K1454" s="174" t="n">
        <x:v>306</x:v>
      </x:c>
      <x:c r="L1454" s="187" t="str">
        <x:v>Não classificado</x:v>
      </x:c>
    </x:row>
    <x:row r="1455">
      <x:c r="A1455" s="177" t="str">
        <x:v>42.793.689/0001-07</x:v>
      </x:c>
      <x:c r="B1455" s="168" t="str">
        <x:v>FUNDO DE INVESTIMENTO EM DIREITOS CREDITÓRIOS SIGA ENERGIA DE RESPONSABILIDADE LIMITADA</x:v>
      </x:c>
      <x:c r="C1455" s="190" t="n">
        <x:v>61454000.57000001</x:v>
      </x:c>
      <x:c r="D1455" s="168" t="str">
        <x:v>SIGA GESTORA DE RECURSOS LTDA</x:v>
      </x:c>
      <x:c r="E1455" s="168" t="str">
        <x:f>IFERROR(INDEX('Classif Gestoras'!$H$6:$H$462,MATCH(D1455,'Classif Gestoras'!$A$6:$A$462,0)),"Não classificada")</x:f>
        <x:v>Independente</x:v>
      </x:c>
      <x:c r="F1455" s="168" t="str">
        <x:v>BANCO DAYCOVAL S/A</x:v>
      </x:c>
      <x:c r="G1455" s="168" t="str">
        <x:v>BANCO DAYCOVAL S.A.</x:v>
      </x:c>
      <x:c r="H1455" s="168" t="str">
        <x:v>Agro, Indústria e Comércio</x:v>
      </x:c>
      <x:c r="I1455" s="168" t="str">
        <x:v>Infraestrutura</x:v>
      </x:c>
      <x:c r="J1455" s="168" t="str">
        <x:v>CI</x:v>
      </x:c>
      <x:c r="K1455" s="174" t="n">
        <x:v>133</x:v>
      </x:c>
      <x:c r="L1455" s="187" t="str">
        <x:v>Não classificado</x:v>
      </x:c>
    </x:row>
    <x:row r="1456">
      <x:c r="A1456" s="177" t="str">
        <x:v>57.752.893/0001-49</x:v>
      </x:c>
      <x:c r="B1456" s="168" t="str">
        <x:v>MINEO FIDC RESPONSABILIDADE LIMITADA</x:v>
      </x:c>
      <x:c r="C1456" s="190" t="n">
        <x:v>61446815.989999995</x:v>
      </x:c>
      <x:c r="D1456" s="168" t="str">
        <x:v>Quadra Gestão de Recursos S.A.</x:v>
      </x:c>
      <x:c r="E1456" s="168" t="str">
        <x:f>IFERROR(INDEX('Classif Gestoras'!$H$6:$H$462,MATCH(D1456,'Classif Gestoras'!$A$6:$A$462,0)),"Não classificada")</x:f>
        <x:v>Independente</x:v>
      </x:c>
      <x:c r="F1456" s="168" t="str">
        <x:v>FIDD DISTRIBUIDORA DE TITULOS E VALORES MOBILIARIOS LTD</x:v>
      </x:c>
      <x:c r="G1456" s="168" t="str">
        <x:v>FIDD DISTRIBUIDORA DE TITULOS E VALORES MOBILIARIOS LTDA.</x:v>
      </x:c>
      <x:c r="H1456" s="168" t="str">
        <x:v>Outros</x:v>
      </x:c>
      <x:c r="I1456" s="168" t="str">
        <x:v>Multicarteira Outros</x:v>
      </x:c>
      <x:c r="J1456" s="168" t="str">
        <x:v>CI</x:v>
      </x:c>
      <x:c r="K1456" s="174" t="n">
        <x:v>1</x:v>
      </x:c>
      <x:c r="L1456" s="187" t="str">
        <x:v>Proxy multicedente/multissacado — revisar</x:v>
      </x:c>
    </x:row>
    <x:row r="1457">
      <x:c r="A1457" s="177" t="str">
        <x:v>40.975.325/0001-04</x:v>
      </x:c>
      <x:c r="B1457" s="168" t="str">
        <x:v>3RD - FUNDO DE INVESTIMENTO EM DIREITOS CREDITÓRIOS</x:v>
      </x:c>
      <x:c r="C1457" s="190" t="n">
        <x:v>61286175.3</x:v>
      </x:c>
      <x:c r="D1457" s="168" t="str">
        <x:v>Catálise Investimentos</x:v>
      </x:c>
      <x:c r="E1457" s="168" t="str">
        <x:f>IFERROR(INDEX('Classif Gestoras'!$H$6:$H$462,MATCH(D1457,'Classif Gestoras'!$A$6:$A$462,0)),"Não classificada")</x:f>
        <x:v>Independente</x:v>
      </x:c>
      <x:c r="F1457" s="168" t="str">
        <x:v>CATÁLISE DTVM</x:v>
      </x:c>
      <x:c r="G1457" s="168" t="str">
        <x:v>BANCO DAYCOVAL S.A.</x:v>
      </x:c>
      <x:c r="H1457" s="168" t="str">
        <x:v>Agro, Indústria e Comércio</x:v>
      </x:c>
      <x:c r="I1457" s="168" t="str">
        <x:v>Recebíveis Comerciais</x:v>
      </x:c>
      <x:c r="J1457" s="168" t="str">
        <x:v>CI</x:v>
      </x:c>
      <x:c r="K1457" s="174" t="n">
        <x:v>3</x:v>
      </x:c>
      <x:c r="L1457" s="187" t="str">
        <x:v>Não classificado</x:v>
      </x:c>
    </x:row>
    <x:row r="1458">
      <x:c r="A1458" s="177" t="str">
        <x:v>27.643.856/0001-31</x:v>
      </x:c>
      <x:c r="B1458" s="168" t="str">
        <x:v>BLACK BELT FUNDO DE INVESTIMENTO EM DIREITOS CREDITÓRIOS RESPONSABILIDADE LIMITADA</x:v>
      </x:c>
      <x:c r="C1458" s="190" t="n">
        <x:v>61176149.11999999</x:v>
      </x:c>
      <x:c r="D1458" s="168" t="str">
        <x:v>Cupertino Capital</x:v>
      </x:c>
      <x:c r="E1458" s="168" t="str">
        <x:f>IFERROR(INDEX('Classif Gestoras'!$H$6:$H$462,MATCH(D1458,'Classif Gestoras'!$A$6:$A$462,0)),"Não classificada")</x:f>
        <x:v>Independente</x:v>
      </x:c>
      <x:c r="F1458" s="168" t="str">
        <x:v>BTG Pactual Servicos Financeiros S/A DTVM</x:v>
      </x:c>
      <x:c r="G1458" s="168" t="str">
        <x:v>BANCO BTG PACTUAL S/A</x:v>
      </x:c>
      <x:c r="H1458" s="168" t="str">
        <x:v>Outros</x:v>
      </x:c>
      <x:c r="I1458" s="168" t="str">
        <x:v>Multicarteira Outros</x:v>
      </x:c>
      <x:c r="J1458" s="168" t="str">
        <x:v>CI</x:v>
      </x:c>
      <x:c r="K1458" s="174" t="n">
        <x:v>1</x:v>
      </x:c>
      <x:c r="L1458" s="187" t="str">
        <x:v>Proxy multicedente/multissacado — revisar</x:v>
      </x:c>
    </x:row>
    <x:row r="1459">
      <x:c r="A1459" s="177" t="str">
        <x:v>32.510.527/0001-52</x:v>
      </x:c>
      <x:c r="B1459" s="168" t="str">
        <x:v>CANAL 56 FUNDO DE INVESTIMENTO EM DIREITOS CREDITORIOS NAO PADRONIZADOS</x:v>
      </x:c>
      <x:c r="C1459" s="190" t="n">
        <x:v>61145127.13</x:v>
      </x:c>
      <x:c r="D1459" s="168" t="str">
        <x:v>Prisma Claims Ltda.</x:v>
      </x:c>
      <x:c r="E1459" s="168" t="str">
        <x:f>IFERROR(INDEX('Classif Gestoras'!$H$6:$H$462,MATCH(D1459,'Classif Gestoras'!$A$6:$A$462,0)),"Não classificada")</x:f>
        <x:v>Independente</x:v>
      </x:c>
      <x:c r="F1459" s="168" t="str">
        <x:v>Singulare</x:v>
      </x:c>
      <x:c r="G1459" s="168" t="str">
        <x:v>QI CORRETORA DE TÍTULOS E VALORES MOBILIÁRIOS S.A.</x:v>
      </x:c>
      <x:c r="H1459" s="168" t="str">
        <x:v>Outros</x:v>
      </x:c>
      <x:c r="I1459" s="168" t="str">
        <x:v>Multicarteira Outros</x:v>
      </x:c>
      <x:c r="J1459" s="168" t="str">
        <x:v>CI</x:v>
      </x:c>
      <x:c r="K1459" s="174" t="n">
        <x:v>1</x:v>
      </x:c>
      <x:c r="L1459" s="187" t="str">
        <x:v>Proxy multicedente/multissacado — revisar</x:v>
      </x:c>
    </x:row>
    <x:row r="1460">
      <x:c r="A1460" s="177" t="str">
        <x:v>55.984.759/0001-48</x:v>
      </x:c>
      <x:c r="B1460" s="168" t="str">
        <x:v>EUCATEX FUNDO DE INVESTIMENTO EM DIREITOS CREDITÓRIOS INDUSTRIAIS DE RESPONSABILIDADE ILIMITADA</x:v>
      </x:c>
      <x:c r="C1460" s="190" t="n">
        <x:v>61139613.75</x:v>
      </x:c>
      <x:c r="D1460" s="168" t="str">
        <x:v>EuQueroInvestir Gestão de Recursos Ltda.</x:v>
      </x:c>
      <x:c r="E1460" s="168" t="str">
        <x:f>IFERROR(INDEX('Classif Gestoras'!$H$6:$H$462,MATCH(D1460,'Classif Gestoras'!$A$6:$A$462,0)),"Não classificada")</x:f>
        <x:v>Independente</x:v>
      </x:c>
      <x:c r="F1460" s="168" t="str">
        <x:v>BANCO DAYCOVAL S/A</x:v>
      </x:c>
      <x:c r="G1460" s="168" t="str">
        <x:v>BANCO DAYCOVAL S.A.</x:v>
      </x:c>
      <x:c r="H1460" s="168" t="str">
        <x:v>Outros</x:v>
      </x:c>
      <x:c r="I1460" s="168" t="str">
        <x:v>Multicarteira Outros</x:v>
      </x:c>
      <x:c r="J1460" s="168" t="str">
        <x:v>CI</x:v>
      </x:c>
      <x:c r="K1460" s="174" t="n">
        <x:v>1</x:v>
      </x:c>
      <x:c r="L1460" s="187" t="str">
        <x:v>Proxy multicedente/multissacado — revisar</x:v>
      </x:c>
    </x:row>
    <x:row r="1461">
      <x:c r="A1461" s="177" t="str">
        <x:v>55.521.594/0001-78</x:v>
      </x:c>
      <x:c r="B1461" s="168" t="str">
        <x:v>BTG EMPRESAS FUNDO DE INVESTIMENTO EM DIREITOS CREDITÓRIOS</x:v>
      </x:c>
      <x:c r="C1461" s="190" t="n">
        <x:v>61038873.49</x:v>
      </x:c>
      <x:c r="D1461" s="168" t="str">
        <x:v>Banco BTG Pactual</x:v>
      </x:c>
      <x:c r="E1461" s="168" t="str">
        <x:f>IFERROR(INDEX('Classif Gestoras'!$H$6:$H$462,MATCH(D1461,'Classif Gestoras'!$A$6:$A$462,0)),"Não classificada")</x:f>
        <x:v>Ligada a banco</x:v>
      </x:c>
      <x:c r="F1461" s="168" t="str">
        <x:v>BTG Pactual Servicos Financeiros S/A DTVM</x:v>
      </x:c>
      <x:c r="G1461" s="168" t="str">
        <x:v>BANCO BTG PACTUAL S/A</x:v>
      </x:c>
      <x:c r="H1461" s="168" t="str">
        <x:v>Outros</x:v>
      </x:c>
      <x:c r="I1461" s="168" t="str">
        <x:v>Multicarteira Outros</x:v>
      </x:c>
      <x:c r="J1461" s="168" t="str">
        <x:v>CI</x:v>
      </x:c>
      <x:c r="K1461" s="174" t="n">
        <x:v>1</x:v>
      </x:c>
      <x:c r="L1461" s="187" t="str">
        <x:v>Proxy multicedente/multissacado — revisar</x:v>
      </x:c>
    </x:row>
    <x:row r="1462">
      <x:c r="A1462" s="177" t="str">
        <x:v>58.944.590/0001-90</x:v>
      </x:c>
      <x:c r="B1462" s="168" t="str">
        <x:v>BONA FIDE - FUNDO DE INVESTIMENTO EM DIREITOS CREDITÓRIOS NÃO PADRONIZADOS RESPONSABILIDADE LIMITADA</x:v>
      </x:c>
      <x:c r="C1462" s="190" t="n">
        <x:v>60962351.51999998</x:v>
      </x:c>
      <x:c r="D1462" s="168" t="str">
        <x:v>Tivio Capital</x:v>
      </x:c>
      <x:c r="E1462" s="168" t="str">
        <x:f>IFERROR(INDEX('Classif Gestoras'!$H$6:$H$462,MATCH(D1462,'Classif Gestoras'!$A$6:$A$462,0)),"Não classificada")</x:f>
        <x:v>Independente</x:v>
      </x:c>
      <x:c r="F1462" s="168" t="str">
        <x:v>Inter Distribuidora de Títulos e Valores Mobiliários Lt</x:v>
      </x:c>
      <x:c r="G1462" s="168" t="str">
        <x:v>INTER DISTRIBUIDORA DE TÍTULOS E VALORES MOBILIÁRIOS</x:v>
      </x:c>
      <x:c r="H1462" s="168" t="str">
        <x:v>Fomento Mercantil</x:v>
      </x:c>
      <x:c r="I1462" s="168" t="str">
        <x:v>Fomento Mercantil</x:v>
      </x:c>
      <x:c r="J1462" s="168" t="str">
        <x:v>CI</x:v>
      </x:c>
      <x:c r="K1462" s="174" t="n">
        <x:v>33</x:v>
      </x:c>
      <x:c r="L1462" s="187" t="str">
        <x:v>Não classificado</x:v>
      </x:c>
    </x:row>
    <x:row r="1463">
      <x:c r="A1463" s="177" t="str">
        <x:v>53.145.978/0001-08</x:v>
      </x:c>
      <x:c r="B1463" s="168" t="str">
        <x:v>CREDI PLUS FUNDO DE INVESTIMENTO EM DIREITOS CREDITÓRIOS</x:v>
      </x:c>
      <x:c r="C1463" s="190" t="n">
        <x:v>60939643</x:v>
      </x:c>
      <x:c r="D1463" s="168" t="str">
        <x:v>Catálise Investimentos</x:v>
      </x:c>
      <x:c r="E1463" s="168" t="str">
        <x:f>IFERROR(INDEX('Classif Gestoras'!$H$6:$H$462,MATCH(D1463,'Classif Gestoras'!$A$6:$A$462,0)),"Não classificada")</x:f>
        <x:v>Independente</x:v>
      </x:c>
      <x:c r="F1463" s="168" t="str">
        <x:v>FIDD DISTRIBUIDORA DE TITULOS E VALORES MOBILIARIOS LTD</x:v>
      </x:c>
      <x:c r="G1463" s="168" t="str">
        <x:v>FIDD DISTRIBUIDORA DE TITULOS E VALORES MOBILIARIOS LTDA.</x:v>
      </x:c>
      <x:c r="H1463" s="168" t="str">
        <x:v>Agro, Indústria e Comércio</x:v>
      </x:c>
      <x:c r="I1463" s="168" t="str">
        <x:v>Multicarteira Agro, Indústria e Comércio</x:v>
      </x:c>
      <x:c r="J1463" s="168" t="str">
        <x:v>CI</x:v>
      </x:c>
      <x:c r="K1463" s="174" t="n">
        <x:v>1</x:v>
      </x:c>
      <x:c r="L1463" s="187" t="str">
        <x:v>Proxy multicedente/multissacado — revisar</x:v>
      </x:c>
    </x:row>
    <x:row r="1464">
      <x:c r="A1464" s="177" t="str">
        <x:v>58.545.400/0001-62</x:v>
      </x:c>
      <x:c r="B1464" s="168" t="str">
        <x:v>AIRA FUNDO DE INVESTIMENTO EM DIREITOS CREDITÓRIOS RESPONSABILIDADE LIMITADA - CRÉDITO CORPORATIVO</x:v>
      </x:c>
      <x:c r="C1464" s="190" t="n">
        <x:v>60857263.07000001</x:v>
      </x:c>
      <x:c r="D1464" s="168" t="str">
        <x:v>Harbour Capital</x:v>
      </x:c>
      <x:c r="E1464" s="168" t="str">
        <x:f>IFERROR(INDEX('Classif Gestoras'!$H$6:$H$462,MATCH(D1464,'Classif Gestoras'!$A$6:$A$462,0)),"Não classificada")</x:f>
        <x:v>Independente</x:v>
      </x:c>
      <x:c r="F1464" s="168" t="str">
        <x:v>AZUMI DISTRIBUIDORA DE TÍTULOS E VALORES MOBILIÁRIOS LT</x:v>
      </x:c>
      <x:c r="G1464" s="168" t="str">
        <x:v>AZUMI DISTRIBUIDORA DE TÍTULOS E VALORES MOBILIÁRIOS LTDA.</x:v>
      </x:c>
      <x:c r="H1464" s="168" t="str">
        <x:v>Fomento Mercantil</x:v>
      </x:c>
      <x:c r="I1464" s="168" t="str">
        <x:v>Fomento Mercantil</x:v>
      </x:c>
      <x:c r="J1464" s="168" t="str">
        <x:v>CI</x:v>
      </x:c>
      <x:c r="K1464" s="174" t="n">
        <x:v>25</x:v>
      </x:c>
      <x:c r="L1464" s="187" t="str">
        <x:v>Não classificado</x:v>
      </x:c>
    </x:row>
    <x:row r="1465">
      <x:c r="A1465" s="177" t="str">
        <x:v>56.197.290/0001-60</x:v>
      </x:c>
      <x:c r="B1465" s="168" t="str">
        <x:v>SMT AGRO FUNDO DE INVESTIMENTO EM DIREITOS CREDITÓRIOS DE RESPONSABILIDADE LIMITADA</x:v>
      </x:c>
      <x:c r="C1465" s="190" t="n">
        <x:v>60849158.94</x:v>
      </x:c>
      <x:c r="D1465" s="168" t="str">
        <x:v>Catálise Investimentos</x:v>
      </x:c>
      <x:c r="E1465" s="168" t="str">
        <x:f>IFERROR(INDEX('Classif Gestoras'!$H$6:$H$462,MATCH(D1465,'Classif Gestoras'!$A$6:$A$462,0)),"Não classificada")</x:f>
        <x:v>Independente</x:v>
      </x:c>
      <x:c r="F1465" s="168" t="str">
        <x:v>CATÁLISE DTVM</x:v>
      </x:c>
      <x:c r="G1465" s="168" t="str">
        <x:v>BANCO DAYCOVAL S.A.</x:v>
      </x:c>
      <x:c r="H1465" s="168" t="str">
        <x:v>Agro, Indústria e Comércio</x:v>
      </x:c>
      <x:c r="I1465" s="168" t="str">
        <x:v>Recebíveis Comerciais</x:v>
      </x:c>
      <x:c r="J1465" s="168" t="str">
        <x:v>CI</x:v>
      </x:c>
      <x:c r="K1465" s="174" t="n">
        <x:v>1</x:v>
      </x:c>
      <x:c r="L1465" s="187" t="str">
        <x:v>Não classificado</x:v>
      </x:c>
    </x:row>
    <x:row r="1466">
      <x:c r="A1466" s="177" t="str">
        <x:v>42.556.229/0001-57</x:v>
      </x:c>
      <x:c r="B1466" s="168" t="str">
        <x:v>SIMONETTI FUNDO DE INVESTIMENTO EM DIREITOS CREDITÓRIOS</x:v>
      </x:c>
      <x:c r="C1466" s="190" t="n">
        <x:v>60820809.16</x:v>
      </x:c>
      <x:c r="D1466" s="168" t="str">
        <x:v>TERCON ASSET MANAGEMENT</x:v>
      </x:c>
      <x:c r="E1466" s="168" t="str">
        <x:f>IFERROR(INDEX('Classif Gestoras'!$H$6:$H$462,MATCH(D1466,'Classif Gestoras'!$A$6:$A$462,0)),"Não classificada")</x:f>
        <x:v>Independente</x:v>
      </x:c>
      <x:c r="F1466" s="168" t="str">
        <x:v>Singulare</x:v>
      </x:c>
      <x:c r="G1466" s="168" t="str">
        <x:v>QI CORRETORA DE TÍTULOS E VALORES MOBILIÁRIOS S.A.</x:v>
      </x:c>
      <x:c r="H1466" s="168" t="str">
        <x:v>Fomento Mercantil</x:v>
      </x:c>
      <x:c r="I1466" s="168" t="str">
        <x:v>Fomento Mercantil</x:v>
      </x:c>
      <x:c r="J1466" s="168" t="str">
        <x:v>CI</x:v>
      </x:c>
      <x:c r="K1466" s="174" t="n">
        <x:v>3</x:v>
      </x:c>
      <x:c r="L1466" s="187" t="str">
        <x:v>Não classificado</x:v>
      </x:c>
    </x:row>
    <x:row r="1467">
      <x:c r="A1467" s="177" t="str">
        <x:v>42.739.077/0001-28</x:v>
      </x:c>
      <x:c r="B1467" s="168" t="str">
        <x:v>FUNDO DE INVESTIMENTO EM DIREITOS CREDITÓRIOS EMPÍRICA LAUNCHPAD</x:v>
      </x:c>
      <x:c r="C1467" s="190" t="n">
        <x:v>60805813.07</x:v>
      </x:c>
      <x:c r="D1467" s="168" t="str">
        <x:v>REAG GESTÃO DE CRÉDITO</x:v>
      </x:c>
      <x:c r="E1467" s="168" t="str">
        <x:f>IFERROR(INDEX('Classif Gestoras'!$H$6:$H$462,MATCH(D1467,'Classif Gestoras'!$A$6:$A$462,0)),"Não classificada")</x:f>
        <x:v>Independente</x:v>
      </x:c>
      <x:c r="F1467" s="168" t="str">
        <x:v>Banvox DTVM</x:v>
      </x:c>
      <x:c r="G1467" s="168" t="str">
        <x:v>MERITO DISTRIBUIDORA DE TITULOS E VALORES MOBILIARIOS LTDA.</x:v>
      </x:c>
      <x:c r="H1467" s="168" t="str">
        <x:v>Outros</x:v>
      </x:c>
      <x:c r="I1467" s="168" t="str">
        <x:v>Multicarteira Outros</x:v>
      </x:c>
      <x:c r="J1467" s="168" t="str">
        <x:v>CI</x:v>
      </x:c>
      <x:c r="K1467" s="174" t="n">
        <x:v>2</x:v>
      </x:c>
      <x:c r="L1467" s="187" t="str">
        <x:v>Proxy multicedente/multissacado — revisar</x:v>
      </x:c>
    </x:row>
    <x:row r="1468">
      <x:c r="A1468" s="177" t="str">
        <x:v>13.039.712/0001-66</x:v>
      </x:c>
      <x:c r="B1468" s="168" t="str">
        <x:v>FUNDO DE INVESTIMENTO EM DIREITOS CREDITÓRIOS PREMIUM SOLIS - RESPONSABILIDADE LIMITADA</x:v>
      </x:c>
      <x:c r="C1468" s="190" t="n">
        <x:v>60665605.77</x:v>
      </x:c>
      <x:c r="D1468" s="168" t="str">
        <x:v>Solis</x:v>
      </x:c>
      <x:c r="E1468" s="168" t="str">
        <x:f>IFERROR(INDEX('Classif Gestoras'!$H$6:$H$462,MATCH(D1468,'Classif Gestoras'!$A$6:$A$462,0)),"Não classificada")</x:f>
        <x:v>Independente</x:v>
      </x:c>
      <x:c r="F1468" s="168" t="str">
        <x:v>HEMERA DTVM</x:v>
      </x:c>
      <x:c r="G1468" s="168" t="str">
        <x:v>HEMERA DISTRIBUIDORA DE TITULOS E VALORES MOBILIARIOS LTDA</x:v>
      </x:c>
      <x:c r="H1468" s="168" t="str">
        <x:v>Outros</x:v>
      </x:c>
      <x:c r="I1468" s="168" t="str">
        <x:v>Multicarteira Outros</x:v>
      </x:c>
      <x:c r="J1468" s="168" t="str">
        <x:v>CI</x:v>
      </x:c>
      <x:c r="K1468" s="174" t="n">
        <x:v>9</x:v>
      </x:c>
      <x:c r="L1468" s="187" t="str">
        <x:v>Proxy multicedente/multissacado — revisar</x:v>
      </x:c>
    </x:row>
    <x:row r="1469">
      <x:c r="A1469" s="177" t="str">
        <x:v>32.933.119/0001-03</x:v>
      </x:c>
      <x:c r="B1469" s="168" t="str">
        <x:v>AMPLIC FUNDO DE INVESTIMENTO EM DIREITOS CREDITÓRIOS</x:v>
      </x:c>
      <x:c r="C1469" s="190" t="n">
        <x:v>60578886.46999999</x:v>
      </x:c>
      <x:c r="D1469" s="168" t="str">
        <x:v>TERCON ASSET MANAGEMENT</x:v>
      </x:c>
      <x:c r="E1469" s="168" t="str">
        <x:f>IFERROR(INDEX('Classif Gestoras'!$H$6:$H$462,MATCH(D1469,'Classif Gestoras'!$A$6:$A$462,0)),"Não classificada")</x:f>
        <x:v>Independente</x:v>
      </x:c>
      <x:c r="F1469" s="168" t="str">
        <x:v>Limine Trust Distribuidora de Titulos e Valores Mobiliá</x:v>
      </x:c>
      <x:c r="G1469" s="168" t="str">
        <x:v>LIMINE TRUST DISTRIBUIDORA DE TITULOS E VALORES MOBILIARIOS LTDA.</x:v>
      </x:c>
      <x:c r="H1469" s="168" t="str">
        <x:v>Fomento Mercantil</x:v>
      </x:c>
      <x:c r="I1469" s="168" t="str">
        <x:v>Fomento Mercantil</x:v>
      </x:c>
      <x:c r="J1469" s="168" t="str">
        <x:v>CI</x:v>
      </x:c>
      <x:c r="K1469" s="174" t="n">
        <x:v>21</x:v>
      </x:c>
      <x:c r="L1469" s="187" t="str">
        <x:v>Não classificado</x:v>
      </x:c>
    </x:row>
    <x:row r="1470">
      <x:c r="A1470" s="177" t="str">
        <x:v>51.774.918/0001-29</x:v>
      </x:c>
      <x:c r="B1470" s="168" t="str">
        <x:v>AF6 FUNDO DE INVESTIMENTO EM DIREITOS CREDITÓRIOS NÃO-PADRONIZADO</x:v>
      </x:c>
      <x:c r="C1470" s="190" t="n">
        <x:v>60562069.84</x:v>
      </x:c>
      <x:c r="D1470" s="168" t="str">
        <x:v>Catálise Investimentos</x:v>
      </x:c>
      <x:c r="E1470" s="168" t="str">
        <x:f>IFERROR(INDEX('Classif Gestoras'!$H$6:$H$462,MATCH(D1470,'Classif Gestoras'!$A$6:$A$462,0)),"Não classificada")</x:f>
        <x:v>Independente</x:v>
      </x:c>
      <x:c r="F1470" s="168" t="str">
        <x:v>CATÁLISE DTVM</x:v>
      </x:c>
      <x:c r="G1470" s="168" t="str">
        <x:v>BANCO DAYCOVAL S.A.</x:v>
      </x:c>
      <x:c r="H1470" s="168" t="str">
        <x:v>Outros</x:v>
      </x:c>
      <x:c r="I1470" s="168" t="str">
        <x:v>Multicarteira Outros</x:v>
      </x:c>
      <x:c r="J1470" s="168" t="str">
        <x:v>CI</x:v>
      </x:c>
      <x:c r="K1470" s="174" t="n">
        <x:v>1</x:v>
      </x:c>
      <x:c r="L1470" s="187" t="str">
        <x:v>Proxy multicedente/multissacado — revisar</x:v>
      </x:c>
    </x:row>
    <x:row r="1471">
      <x:c r="A1471" s="177" t="str">
        <x:v>13.401.155/0001-81</x:v>
      </x:c>
      <x:c r="B1471" s="168" t="str">
        <x:v>IRON FUND II TWC FUNDO DE INVESTIMENTO EM DIREITOS CREDITÓRIOS</x:v>
      </x:c>
      <x:c r="C1471" s="190" t="n">
        <x:v>60510781.756</x:v>
      </x:c>
      <x:c r="D1471" s="168" t="str">
        <x:v>BTG PACTUAL GESTAO E CONSULTORIA DE INVESTIMENTOS</x:v>
      </x:c>
      <x:c r="E1471" s="168" t="str">
        <x:f>IFERROR(INDEX('Classif Gestoras'!$H$6:$H$462,MATCH(D1471,'Classif Gestoras'!$A$6:$A$462,0)),"Não classificada")</x:f>
        <x:v>Ligada a banco</x:v>
      </x:c>
      <x:c r="F1471" s="168" t="str">
        <x:v>BTG Pactual Servicos Financeiros S/A DTVM</x:v>
      </x:c>
      <x:c r="G1471" s="168" t="str">
        <x:v>BANCO BTG PACTUAL S/A</x:v>
      </x:c>
      <x:c r="H1471" s="168" t="str">
        <x:v>Outros</x:v>
      </x:c>
      <x:c r="I1471" s="168" t="str">
        <x:v>Multicarteira Outros</x:v>
      </x:c>
      <x:c r="J1471" s="168" t="str">
        <x:v>CI</x:v>
      </x:c>
      <x:c r="K1471" s="174" t="n">
        <x:v>2</x:v>
      </x:c>
      <x:c r="L1471" s="187" t="str">
        <x:v>Proxy multicedente/multissacado — revisar</x:v>
      </x:c>
    </x:row>
    <x:row r="1472">
      <x:c r="A1472" s="177" t="str">
        <x:v>09.236.210/0001-58</x:v>
      </x:c>
      <x:c r="B1472" s="168" t="str">
        <x:v>FUNDO DE INVESTIMENTO EM DIREITOS CREDITÓRIOS PRECATÓRIOS SELECIONADOS I</x:v>
      </x:c>
      <x:c r="C1472" s="190" t="n">
        <x:v>60465401.4641</x:v>
      </x:c>
      <x:c r="D1472" s="168" t="str">
        <x:v>JIVE INVESTMENTS</x:v>
      </x:c>
      <x:c r="E1472" s="168" t="str">
        <x:f>IFERROR(INDEX('Classif Gestoras'!$H$6:$H$462,MATCH(D1472,'Classif Gestoras'!$A$6:$A$462,0)),"Não classificada")</x:f>
        <x:v>Independente</x:v>
      </x:c>
      <x:c r="F1472" s="168" t="str">
        <x:v>BTG Pactual Servicos Financeiros S/A DTVM</x:v>
      </x:c>
      <x:c r="G1472" s="168" t="str">
        <x:v>BANCO BTG PACTUAL S/A</x:v>
      </x:c>
      <x:c r="H1472" s="168" t="str">
        <x:v>Outros</x:v>
      </x:c>
      <x:c r="I1472" s="168" t="str">
        <x:v>Multicarteira Outros</x:v>
      </x:c>
      <x:c r="J1472" s="168" t="str">
        <x:v>CI</x:v>
      </x:c>
      <x:c r="K1472" s="174" t="n">
        <x:v>2</x:v>
      </x:c>
      <x:c r="L1472" s="187" t="str">
        <x:v>Proxy multicedente/multissacado — revisar</x:v>
      </x:c>
    </x:row>
    <x:row r="1473">
      <x:c r="A1473" s="177" t="str">
        <x:v>42.867.116/0001-72</x:v>
      </x:c>
      <x:c r="B1473" s="168" t="str">
        <x:v>DUBLIN FUNDO INVESTIMENTO EM DIREITOS CREDITÓRIOS</x:v>
      </x:c>
      <x:c r="C1473" s="190" t="n">
        <x:v>60341818.77</x:v>
      </x:c>
      <x:c r="D1473" s="168" t="str">
        <x:v>Redwood Asset Management</x:v>
      </x:c>
      <x:c r="E1473" s="168" t="str">
        <x:f>IFERROR(INDEX('Classif Gestoras'!$H$6:$H$462,MATCH(D1473,'Classif Gestoras'!$A$6:$A$462,0)),"Não classificada")</x:f>
        <x:v>Independente</x:v>
      </x:c>
      <x:c r="F1473" s="168" t="str">
        <x:v>PLANNER CV</x:v>
      </x:c>
      <x:c r="G1473" s="168" t="str">
        <x:v>PLANNER CORRETORA DE VALORES S.A.</x:v>
      </x:c>
      <x:c r="H1473" s="168" t="str">
        <x:v>Outros</x:v>
      </x:c>
      <x:c r="I1473" s="168" t="str">
        <x:v>Multicarteira Outros</x:v>
      </x:c>
      <x:c r="J1473" s="168" t="str">
        <x:v>CI</x:v>
      </x:c>
      <x:c r="K1473" s="174" t="n">
        <x:v>3</x:v>
      </x:c>
      <x:c r="L1473" s="187" t="str">
        <x:v>Proxy multicedente/multissacado — revisar</x:v>
      </x:c>
    </x:row>
    <x:row r="1474">
      <x:c r="A1474" s="177" t="str">
        <x:v>09.221.411/0001-81</x:v>
      </x:c>
      <x:c r="B1474" s="168" t="str">
        <x:v>VERTIGO FUNDO DE INVESTIMENTO EM DIREITOS CREDITÓRIOS MULTISEGMENTOS</x:v>
      </x:c>
      <x:c r="C1474" s="190" t="n">
        <x:v>60321170.29000001</x:v>
      </x:c>
      <x:c r="D1474" s="168" t="str">
        <x:v>Petra Capital</x:v>
      </x:c>
      <x:c r="E1474" s="168" t="str">
        <x:f>IFERROR(INDEX('Classif Gestoras'!$H$6:$H$462,MATCH(D1474,'Classif Gestoras'!$A$6:$A$462,0)),"Não classificada")</x:f>
        <x:v>Independente</x:v>
      </x:c>
      <x:c r="F1474" s="168" t="str">
        <x:v>Banco Finaxis S.A.</x:v>
      </x:c>
      <x:c r="G1474" s="168" t="str">
        <x:v>BANCO FINAXIS S.A.</x:v>
      </x:c>
      <x:c r="H1474" s="168" t="str">
        <x:v>Fomento Mercantil</x:v>
      </x:c>
      <x:c r="I1474" s="168" t="str">
        <x:v>Fomento Mercantil</x:v>
      </x:c>
      <x:c r="J1474" s="168" t="str">
        <x:v>CI</x:v>
      </x:c>
      <x:c r="K1474" s="174" t="n">
        <x:v>7</x:v>
      </x:c>
      <x:c r="L1474" s="187" t="str">
        <x:v>Não classificado</x:v>
      </x:c>
    </x:row>
    <x:row r="1475">
      <x:c r="A1475" s="177" t="str">
        <x:v>28.796.939/0001-23</x:v>
      </x:c>
      <x:c r="B1475" s="168" t="str">
        <x:v>FUNDO DE INVESTIMENTO EM DIREITOS CREDITÓRIOS ANGÁ MULTIESTRATÉGIA I DE RESPONSABILIDADE LIMITADA</x:v>
      </x:c>
      <x:c r="C1475" s="190" t="n">
        <x:v>60226781.34</x:v>
      </x:c>
      <x:c r="D1475" s="168" t="str">
        <x:v>ANGÁ ASSET MANAGEMENT</x:v>
      </x:c>
      <x:c r="E1475" s="168" t="str">
        <x:f>IFERROR(INDEX('Classif Gestoras'!$H$6:$H$462,MATCH(D1475,'Classif Gestoras'!$A$6:$A$462,0)),"Não classificada")</x:f>
        <x:v>Independente</x:v>
      </x:c>
      <x:c r="F1475" s="168" t="str">
        <x:v>BANCO DAYCOVAL S/A</x:v>
      </x:c>
      <x:c r="G1475" s="168" t="str">
        <x:v>BANCO DAYCOVAL S.A.</x:v>
      </x:c>
      <x:c r="H1475" s="168" t="str">
        <x:v>Outros</x:v>
      </x:c>
      <x:c r="I1475" s="168" t="str">
        <x:v>Multicarteira Outros</x:v>
      </x:c>
      <x:c r="J1475" s="168" t="str">
        <x:v>CI</x:v>
      </x:c>
      <x:c r="K1475" s="174" t="n">
        <x:v>36</x:v>
      </x:c>
      <x:c r="L1475" s="187" t="str">
        <x:v>Proxy multicedente/multissacado — revisar</x:v>
      </x:c>
    </x:row>
    <x:row r="1476">
      <x:c r="A1476" s="177" t="str">
        <x:v>46.268.360/0001-70</x:v>
      </x:c>
      <x:c r="B1476" s="168" t="str">
        <x:v>CEDAR OCTANTE FUNDO DE INVESTIMENTO EM DIREITOS CREDITÓRIOS</x:v>
      </x:c>
      <x:c r="C1476" s="190" t="n">
        <x:v>60194833.36</x:v>
      </x:c>
      <x:c r="D1476" s="168" t="str">
        <x:v>Octante Capital</x:v>
      </x:c>
      <x:c r="E1476" s="168" t="str">
        <x:f>IFERROR(INDEX('Classif Gestoras'!$H$6:$H$462,MATCH(D1476,'Classif Gestoras'!$A$6:$A$462,0)),"Não classificada")</x:f>
        <x:v>Independente</x:v>
      </x:c>
      <x:c r="F1476" s="168" t="str">
        <x:v>VÓRTX DTVM</x:v>
      </x:c>
      <x:c r="G1476" s="168" t="str">
        <x:v>VORTX DISTRIBUIDORA DE TITULOS E VALORES MOBILIARIOS LTDA.</x:v>
      </x:c>
      <x:c r="H1476" s="168" t="str">
        <x:v>Agro, Indústria e Comércio</x:v>
      </x:c>
      <x:c r="I1476" s="168" t="str">
        <x:v>Multicarteira Agro, Indústria e Comércio</x:v>
      </x:c>
      <x:c r="J1476" s="168" t="str">
        <x:v>CI</x:v>
      </x:c>
      <x:c r="K1476" s="174" t="n">
        <x:v>66</x:v>
      </x:c>
      <x:c r="L1476" s="187" t="str">
        <x:v>Proxy multicedente/multissacado — revisar</x:v>
      </x:c>
    </x:row>
    <x:row r="1477">
      <x:c r="A1477" s="177" t="str">
        <x:v>54.618.084/0001-50</x:v>
      </x:c>
      <x:c r="B1477" s="168" t="str">
        <x:v>BONTEMPO FUNDO DE INVESTIMENTO EM DIREITOS CREDITÓRIOS DE RESPONSABILIDADE LIMITADA</x:v>
      </x:c>
      <x:c r="C1477" s="190" t="n">
        <x:v>60160312.55</x:v>
      </x:c>
      <x:c r="D1477" s="168" t="str">
        <x:v>Catálise Investimentos</x:v>
      </x:c>
      <x:c r="E1477" s="168" t="str">
        <x:f>IFERROR(INDEX('Classif Gestoras'!$H$6:$H$462,MATCH(D1477,'Classif Gestoras'!$A$6:$A$462,0)),"Não classificada")</x:f>
        <x:v>Independente</x:v>
      </x:c>
      <x:c r="F1477" s="168" t="str">
        <x:v>CATÁLISE DTVM</x:v>
      </x:c>
      <x:c r="G1477" s="168" t="str">
        <x:v>BANCO DAYCOVAL S.A.</x:v>
      </x:c>
      <x:c r="H1477" s="168" t="str">
        <x:v>Agro, Indústria e Comércio</x:v>
      </x:c>
      <x:c r="I1477" s="168" t="str">
        <x:v>Recebíveis Comerciais</x:v>
      </x:c>
      <x:c r="J1477" s="168" t="str">
        <x:v>CI</x:v>
      </x:c>
      <x:c r="K1477" s="174" t="n">
        <x:v>1</x:v>
      </x:c>
      <x:c r="L1477" s="187" t="str">
        <x:v>Não classificado</x:v>
      </x:c>
    </x:row>
    <x:row r="1478">
      <x:c r="A1478" s="177" t="str">
        <x:v>43.143.355/0001-42</x:v>
      </x:c>
      <x:c r="B1478" s="168" t="str">
        <x:v>VLTZ I FUNDO DE INVESTIMENTO EM DIREITOS CREDITÓRIOS NÃO PADRONIZADO</x:v>
      </x:c>
      <x:c r="C1478" s="190" t="n">
        <x:v>60131234.57</x:v>
      </x:c>
      <x:c r="D1478" s="168" t="str">
        <x:v>POLÍGONO CAPITAL LTDA.</x:v>
      </x:c>
      <x:c r="E1478" s="168" t="str">
        <x:f>IFERROR(INDEX('Classif Gestoras'!$H$6:$H$462,MATCH(D1478,'Classif Gestoras'!$A$6:$A$462,0)),"Não classificada")</x:f>
        <x:v>Independente</x:v>
      </x:c>
      <x:c r="F1478" s="168" t="str">
        <x:v>Finvest Digital</x:v>
      </x:c>
      <x:c r="G1478" s="168" t="str">
        <x:v>FINVEST DISTRIBUIDORA DE TÍTULOS E VALORES MOBILIÁRIOS LTDA.</x:v>
      </x:c>
      <x:c r="H1478" s="168" t="str">
        <x:v>Financeiro</x:v>
      </x:c>
      <x:c r="I1478" s="168" t="str">
        <x:v>Multicarteira Financeiro</x:v>
      </x:c>
      <x:c r="J1478" s="168" t="str">
        <x:v>CI</x:v>
      </x:c>
      <x:c r="K1478" s="174" t="n">
        <x:v>2</x:v>
      </x:c>
      <x:c r="L1478" s="187" t="str">
        <x:v>Proxy multicedente/multissacado — revisar</x:v>
      </x:c>
    </x:row>
    <x:row r="1479">
      <x:c r="A1479" s="177" t="str">
        <x:v>61.068.908/0001-21</x:v>
      </x:c>
      <x:c r="B1479" s="168" t="str">
        <x:v>TAXATION MIND FUNDO DE INVESTIMENTO EM DIREITOS CREDITÓRIOS</x:v>
      </x:c>
      <x:c r="C1479" s="190" t="n">
        <x:v>60070621.07</x:v>
      </x:c>
      <x:c r="D1479" s="168" t="str">
        <x:v>Redwood Asset Management</x:v>
      </x:c>
      <x:c r="E1479" s="168" t="str">
        <x:f>IFERROR(INDEX('Classif Gestoras'!$H$6:$H$462,MATCH(D1479,'Classif Gestoras'!$A$6:$A$462,0)),"Não classificada")</x:f>
        <x:v>Independente</x:v>
      </x:c>
      <x:c r="F1479" s="168" t="str">
        <x:v>PLANNER CV</x:v>
      </x:c>
      <x:c r="G1479" s="168" t="str">
        <x:v>PLANNER CORRETORA DE VALORES S.A.</x:v>
      </x:c>
      <x:c r="H1479" s="168" t="str">
        <x:v>Outros</x:v>
      </x:c>
      <x:c r="I1479" s="168" t="str">
        <x:v>Multicarteira Outros</x:v>
      </x:c>
      <x:c r="J1479" s="168" t="str">
        <x:v>CI</x:v>
      </x:c>
      <x:c r="K1479" s="174" t="n">
        <x:v>5</x:v>
      </x:c>
      <x:c r="L1479" s="187" t="str">
        <x:v>Proxy multicedente/multissacado — revisar</x:v>
      </x:c>
    </x:row>
    <x:row r="1480">
      <x:c r="A1480" s="177" t="str">
        <x:v>38.612.809/0001-47</x:v>
      </x:c>
      <x:c r="B1480" s="168" t="str">
        <x:v>GETNET FUNDO DE INVESTIMENTO EM DIREITOS CREDITÓRIOS RESPONSABILIDADE LIMITADA</x:v>
      </x:c>
      <x:c r="C1480" s="190" t="n">
        <x:v>60059733.580000006</x:v>
      </x:c>
      <x:c r="D1480" s="168" t="str">
        <x:v>VERT Gestora de Recursos Financeiros Ltda.</x:v>
      </x:c>
      <x:c r="E1480" s="168" t="str">
        <x:f>IFERROR(INDEX('Classif Gestoras'!$H$6:$H$462,MATCH(D1480,'Classif Gestoras'!$A$6:$A$462,0)),"Não classificada")</x:f>
        <x:v>Independente</x:v>
      </x:c>
      <x:c r="F1480" s="168" t="str">
        <x:v>BRL TRUST DTVM</x:v>
      </x:c>
      <x:c r="G1480" s="168" t="str">
        <x:v>BRL TRUST DISTRIBUIDORA DE TITULOS E VALORES MOBILIARIOS S.A.</x:v>
      </x:c>
      <x:c r="H1480" s="168" t="str">
        <x:v>Agro, Indústria e Comércio</x:v>
      </x:c>
      <x:c r="I1480" s="168" t="str">
        <x:v>Recebíveis Comerciais</x:v>
      </x:c>
      <x:c r="J1480" s="168" t="str">
        <x:v>CI</x:v>
      </x:c>
      <x:c r="K1480" s="174" t="n">
        <x:v>1</x:v>
      </x:c>
      <x:c r="L1480" s="187" t="str">
        <x:v>Não classificado</x:v>
      </x:c>
    </x:row>
    <x:row r="1481">
      <x:c r="A1481" s="177" t="str">
        <x:v>40.155.056/0001-30</x:v>
      </x:c>
      <x:c r="B1481" s="168" t="str">
        <x:v>TERA PERFORMANCE FUNDO DE INVESTIMENTO EM DIREITOS CREDITÓRIOS MULTISSETORIAL LP</x:v>
      </x:c>
      <x:c r="C1481" s="190" t="n">
        <x:v>60033849.41999999</x:v>
      </x:c>
      <x:c r="D1481" s="168" t="str">
        <x:v>TERCON ASSET MANAGEMENT</x:v>
      </x:c>
      <x:c r="E1481" s="168" t="str">
        <x:f>IFERROR(INDEX('Classif Gestoras'!$H$6:$H$462,MATCH(D1481,'Classif Gestoras'!$A$6:$A$462,0)),"Não classificada")</x:f>
        <x:v>Independente</x:v>
      </x:c>
      <x:c r="F1481" s="168" t="str">
        <x:v>Singulare</x:v>
      </x:c>
      <x:c r="G1481" s="168" t="str">
        <x:v>QI CORRETORA DE TÍTULOS E VALORES MOBILIÁRIOS S.A.</x:v>
      </x:c>
      <x:c r="H1481" s="168" t="str">
        <x:v>Fomento Mercantil</x:v>
      </x:c>
      <x:c r="I1481" s="168" t="str">
        <x:v>Fomento Mercantil</x:v>
      </x:c>
      <x:c r="J1481" s="168" t="str">
        <x:v>CI</x:v>
      </x:c>
      <x:c r="K1481" s="174" t="n">
        <x:v>33</x:v>
      </x:c>
      <x:c r="L1481" s="187" t="str">
        <x:v>Não classificado</x:v>
      </x:c>
    </x:row>
    <x:row r="1482">
      <x:c r="A1482" s="177" t="str">
        <x:v>66.282.853/0001-71</x:v>
      </x:c>
      <x:c r="B1482" s="168" t="str">
        <x:v>BTG LEGATO CW II FUNDO DE INVESTIMENTO EM DIREITOS CREDITÓRIOS</x:v>
      </x:c>
      <x:c r="C1482" s="190" t="n">
        <x:v>59933941</x:v>
      </x:c>
      <x:c r="D1482" s="168" t="str">
        <x:v>BTG Pactual Asset</x:v>
      </x:c>
      <x:c r="E1482" s="168" t="str">
        <x:f>IFERROR(INDEX('Classif Gestoras'!$H$6:$H$462,MATCH(D1482,'Classif Gestoras'!$A$6:$A$462,0)),"Não classificada")</x:f>
        <x:v>Ligada a banco</x:v>
      </x:c>
      <x:c r="F1482" s="168" t="str">
        <x:v>BTG Pactual Servicos Financeiros S/A DTVM</x:v>
      </x:c>
      <x:c r="G1482" s="168" t="str">
        <x:v>BANCO BTG PACTUAL S/A</x:v>
      </x:c>
      <x:c r="H1482" s="168" t="str">
        <x:v>Outros</x:v>
      </x:c>
      <x:c r="I1482" s="168" t="str">
        <x:v>Multicarteira Outros</x:v>
      </x:c>
      <x:c r="J1482" s="168" t="str">
        <x:v>CI</x:v>
      </x:c>
      <x:c r="K1482" s="174" t="n">
        <x:v>2</x:v>
      </x:c>
      <x:c r="L1482" s="187" t="str">
        <x:v>Proxy multicedente/multissacado — revisar</x:v>
      </x:c>
    </x:row>
    <x:row r="1483">
      <x:c r="A1483" s="177" t="str">
        <x:v>42.500.440/0001-58</x:v>
      </x:c>
      <x:c r="B1483" s="168" t="str">
        <x:v>CNPJ 42500440000158</x:v>
      </x:c>
      <x:c r="C1483" s="190" t="n">
        <x:v>59789007.96</x:v>
      </x:c>
      <x:c r="D1483" s="168" t="str">
        <x:v>Emerald Gestão de Investimento</x:v>
      </x:c>
      <x:c r="E1483" s="168" t="str">
        <x:f>IFERROR(INDEX('Classif Gestoras'!$H$6:$H$462,MATCH(D1483,'Classif Gestoras'!$A$6:$A$462,0)),"Não classificada")</x:f>
        <x:v>Independente</x:v>
      </x:c>
      <x:c r="F1483" s="168" t="str">
        <x:v>BANCO J. SAFRA S/A</x:v>
      </x:c>
      <x:c r="G1483" s="168" t="str">
        <x:v>Não identificado</x:v>
      </x:c>
      <x:c r="H1483" s="168" t="str">
        <x:v>Outros</x:v>
      </x:c>
      <x:c r="I1483" s="168" t="str">
        <x:v>Poder Público</x:v>
      </x:c>
      <x:c r="J1483" s="168" t="str">
        <x:v>CI</x:v>
      </x:c>
      <x:c r="K1483" s="174"/>
      <x:c r="L1483" s="187" t="str">
        <x:v>Não classificado</x:v>
      </x:c>
    </x:row>
    <x:row r="1484">
      <x:c r="A1484" s="177" t="str">
        <x:v>56.075.525/0001-40</x:v>
      </x:c>
      <x:c r="B1484" s="168" t="str">
        <x:v>RESPLENDOR FUNDO DE INVESTIMENTO EM DIREITOS CREDITÓRIOS - RESPONSABILIDADE LIMITADA</x:v>
      </x:c>
      <x:c r="C1484" s="190" t="n">
        <x:v>59720139.05</x:v>
      </x:c>
      <x:c r="D1484" s="168" t="str">
        <x:v>OURO PRETO INVESTIMENTOS</x:v>
      </x:c>
      <x:c r="E1484" s="168" t="str">
        <x:f>IFERROR(INDEX('Classif Gestoras'!$H$6:$H$462,MATCH(D1484,'Classif Gestoras'!$A$6:$A$462,0)),"Não classificada")</x:f>
        <x:v>Independente</x:v>
      </x:c>
      <x:c r="F1484" s="168" t="str">
        <x:v>Limine Trust Distribuidora de Titulos e Valores Mobiliá</x:v>
      </x:c>
      <x:c r="G1484" s="168" t="str">
        <x:v>LIMINE TRUST DISTRIBUIDORA DE TITULOS E VALORES MOBILIARIOS LTDA.</x:v>
      </x:c>
      <x:c r="H1484" s="168" t="str">
        <x:v>Outros</x:v>
      </x:c>
      <x:c r="I1484" s="168" t="str">
        <x:v>Multicarteira Outros</x:v>
      </x:c>
      <x:c r="J1484" s="168" t="str">
        <x:v>CI</x:v>
      </x:c>
      <x:c r="K1484" s="174" t="n">
        <x:v>1</x:v>
      </x:c>
      <x:c r="L1484" s="187" t="str">
        <x:v>Proxy multicedente/multissacado — revisar</x:v>
      </x:c>
    </x:row>
    <x:row r="1485">
      <x:c r="A1485" s="177" t="str">
        <x:v>58.583.926/0001-37</x:v>
      </x:c>
      <x:c r="B1485" s="168" t="str">
        <x:v>FUNDO DE INVESTIMENTO EM DIREITOS CREDITÓRIOS AMETISTA RESPONSABILIDADE LIMITADA</x:v>
      </x:c>
      <x:c r="C1485" s="190" t="n">
        <x:v>59718035.16</x:v>
      </x:c>
      <x:c r="D1485" s="168" t="str">
        <x:v>PATAGÔNIA CAPITAL</x:v>
      </x:c>
      <x:c r="E1485" s="168" t="str">
        <x:f>IFERROR(INDEX('Classif Gestoras'!$H$6:$H$462,MATCH(D1485,'Classif Gestoras'!$A$6:$A$462,0)),"Não classificada")</x:f>
        <x:v>Independente</x:v>
      </x:c>
      <x:c r="F1485" s="168" t="str">
        <x:v>VÓRTX DTVM</x:v>
      </x:c>
      <x:c r="G1485" s="168" t="str">
        <x:v>VORTX DISTRIBUIDORA DE TITULOS E VALORES MOBILIARIOS LTDA.</x:v>
      </x:c>
      <x:c r="H1485" s="168" t="str">
        <x:v>Outros</x:v>
      </x:c>
      <x:c r="I1485" s="168" t="str">
        <x:v>Multicarteira Outros</x:v>
      </x:c>
      <x:c r="J1485" s="168" t="str">
        <x:v>CI</x:v>
      </x:c>
      <x:c r="K1485" s="174" t="n">
        <x:v>1</x:v>
      </x:c>
      <x:c r="L1485" s="187" t="str">
        <x:v>Proxy multicedente/multissacado — revisar</x:v>
      </x:c>
    </x:row>
    <x:row r="1486">
      <x:c r="A1486" s="177" t="str">
        <x:v>25.248.974/0001-10</x:v>
      </x:c>
      <x:c r="B1486" s="168" t="str">
        <x:v>FUNDO DE INVESTIMENTO EM DIREITOS CREDITÓRIOS ANGÁ SABEMI CONSIGNADOS VI - RESPONSABILIDADE LIMITADA</x:v>
      </x:c>
      <x:c r="C1486" s="190" t="n">
        <x:v>59563305.59</x:v>
      </x:c>
      <x:c r="D1486" s="168" t="str">
        <x:v>ANGÁ ASSET MANAGEMENT</x:v>
      </x:c>
      <x:c r="E1486" s="168" t="str">
        <x:f>IFERROR(INDEX('Classif Gestoras'!$H$6:$H$462,MATCH(D1486,'Classif Gestoras'!$A$6:$A$462,0)),"Não classificada")</x:f>
        <x:v>Independente</x:v>
      </x:c>
      <x:c r="F1486" s="168" t="str">
        <x:v>Oliveira Trust DTVM</x:v>
      </x:c>
      <x:c r="G1486" s="168" t="str">
        <x:v>OLIVEIRA TRUST DTVM S.A.</x:v>
      </x:c>
      <x:c r="H1486" s="168" t="str">
        <x:v>Financeiro</x:v>
      </x:c>
      <x:c r="I1486" s="168" t="str">
        <x:v>Crédito Consignado</x:v>
      </x:c>
      <x:c r="J1486" s="168" t="str">
        <x:v>CI</x:v>
      </x:c>
      <x:c r="K1486" s="174" t="n">
        <x:v>60</x:v>
      </x:c>
      <x:c r="L1486" s="187" t="str">
        <x:v>Não classificado</x:v>
      </x:c>
    </x:row>
    <x:row r="1487">
      <x:c r="A1487" s="177" t="str">
        <x:v>45.963.673/0001-85</x:v>
      </x:c>
      <x:c r="B1487" s="168" t="str">
        <x:v>K-FUNDO DE INVESTIMENTO EM DIREITOS CREDITÓRIOS - RESP LIMITADA CRÉDITO PESSOAL</x:v>
      </x:c>
      <x:c r="C1487" s="190" t="n">
        <x:v>59551338.64</x:v>
      </x:c>
      <x:c r="D1487" s="168" t="str">
        <x:v>VERT Gestora de Recursos Financeiros Ltda.</x:v>
      </x:c>
      <x:c r="E1487" s="168" t="str">
        <x:f>IFERROR(INDEX('Classif Gestoras'!$H$6:$H$462,MATCH(D1487,'Classif Gestoras'!$A$6:$A$462,0)),"Não classificada")</x:f>
        <x:v>Independente</x:v>
      </x:c>
      <x:c r="F1487" s="168" t="str">
        <x:v>Banco Genial S.A.</x:v>
      </x:c>
      <x:c r="G1487" s="168" t="str">
        <x:v>BANCO GENIAL S.A.</x:v>
      </x:c>
      <x:c r="H1487" s="168" t="str">
        <x:v>Financeiro</x:v>
      </x:c>
      <x:c r="I1487" s="168" t="str">
        <x:v>Crédito Pessoal</x:v>
      </x:c>
      <x:c r="J1487" s="168" t="str">
        <x:v>CI</x:v>
      </x:c>
      <x:c r="K1487" s="174" t="n">
        <x:v>27</x:v>
      </x:c>
      <x:c r="L1487" s="187" t="str">
        <x:v>Não classificado</x:v>
      </x:c>
    </x:row>
    <x:row r="1488">
      <x:c r="A1488" s="177" t="str">
        <x:v>59.870.750/0001-67</x:v>
      </x:c>
      <x:c r="B1488" s="168" t="str">
        <x:v>ALOHA FUNDO DE INVESTIMENTO EM DIREITOS CREDITÓRIOS</x:v>
      </x:c>
      <x:c r="C1488" s="190" t="n">
        <x:v>59475743.169999994</x:v>
      </x:c>
      <x:c r="D1488" s="168" t="str">
        <x:v>ASSET MANAGEMENT</x:v>
      </x:c>
      <x:c r="E1488" s="168" t="str">
        <x:f>IFERROR(INDEX('Classif Gestoras'!$H$6:$H$462,MATCH(D1488,'Classif Gestoras'!$A$6:$A$462,0)),"Não classificada")</x:f>
        <x:v>Independente</x:v>
      </x:c>
      <x:c r="F1488" s="168" t="str">
        <x:v>AZUMI DISTRIBUIDORA DE TÍTULOS E VALORES MOBILIÁRIOS LT</x:v>
      </x:c>
      <x:c r="G1488" s="168" t="str">
        <x:v>AZUMI DISTRIBUIDORA DE TÍTULOS E VALORES MOBILIÁRIOS LTDA.</x:v>
      </x:c>
      <x:c r="H1488" s="168" t="str">
        <x:v>Outros</x:v>
      </x:c>
      <x:c r="I1488" s="168" t="str">
        <x:v>Multicarteira Outros</x:v>
      </x:c>
      <x:c r="J1488" s="168" t="str">
        <x:v>CI</x:v>
      </x:c>
      <x:c r="K1488" s="174" t="n">
        <x:v>3</x:v>
      </x:c>
      <x:c r="L1488" s="187" t="str">
        <x:v>Proxy multicedente/multissacado — revisar</x:v>
      </x:c>
    </x:row>
    <x:row r="1489">
      <x:c r="A1489" s="177" t="str">
        <x:v>32.311.976/0001-71</x:v>
      </x:c>
      <x:c r="B1489" s="168" t="str">
        <x:v>FUNDO DE INVESTIMENTO EM DIREITOS CREDITÓRIOS CREDIBLUE-GENIAL</x:v>
      </x:c>
      <x:c r="C1489" s="190" t="n">
        <x:v>59461675.44</x:v>
      </x:c>
      <x:c r="D1489" s="168" t="str">
        <x:v>GENIAL GESTÃO LTDA.</x:v>
      </x:c>
      <x:c r="E1489" s="168" t="str">
        <x:f>IFERROR(INDEX('Classif Gestoras'!$H$6:$H$462,MATCH(D1489,'Classif Gestoras'!$A$6:$A$462,0)),"Não classificada")</x:f>
        <x:v>Ligada a banco</x:v>
      </x:c>
      <x:c r="F1489" s="168" t="str">
        <x:v>Banco Genial S.A.</x:v>
      </x:c>
      <x:c r="G1489" s="168" t="str">
        <x:v>BANCO GENIAL S.A.</x:v>
      </x:c>
      <x:c r="H1489" s="168" t="str">
        <x:v>Financeiro</x:v>
      </x:c>
      <x:c r="I1489" s="168" t="str">
        <x:v>Crédito Imobiliário</x:v>
      </x:c>
      <x:c r="J1489" s="168" t="str">
        <x:v>CI</x:v>
      </x:c>
      <x:c r="K1489" s="174" t="n">
        <x:v>3</x:v>
      </x:c>
      <x:c r="L1489" s="187" t="str">
        <x:v>Não classificado</x:v>
      </x:c>
    </x:row>
    <x:row r="1490">
      <x:c r="A1490" s="177" t="str">
        <x:v>42.479.713/0001-20</x:v>
      </x:c>
      <x:c r="B1490" s="168" t="str">
        <x:v>VELSO FUNDO DE INVESTIMENTO EM DIREITOS CREDITÓRIOS DE RESPONSABILIDADE LIMITADA</x:v>
      </x:c>
      <x:c r="C1490" s="190" t="n">
        <x:v>59403825.2</x:v>
      </x:c>
      <x:c r="D1490" s="168" t="str">
        <x:v>Catálise Investimentos</x:v>
      </x:c>
      <x:c r="E1490" s="168" t="str">
        <x:f>IFERROR(INDEX('Classif Gestoras'!$H$6:$H$462,MATCH(D1490,'Classif Gestoras'!$A$6:$A$462,0)),"Não classificada")</x:f>
        <x:v>Independente</x:v>
      </x:c>
      <x:c r="F1490" s="168" t="str">
        <x:v>CATÁLISE DTVM</x:v>
      </x:c>
      <x:c r="G1490" s="168" t="str">
        <x:v>BANCO DAYCOVAL S.A.</x:v>
      </x:c>
      <x:c r="H1490" s="168" t="str">
        <x:v>Agro, Indústria e Comércio</x:v>
      </x:c>
      <x:c r="I1490" s="168" t="str">
        <x:v>Multicarteira Agro, Indústria e Comércio</x:v>
      </x:c>
      <x:c r="J1490" s="168" t="str">
        <x:v>CI</x:v>
      </x:c>
      <x:c r="K1490" s="174" t="n">
        <x:v>1</x:v>
      </x:c>
      <x:c r="L1490" s="187" t="str">
        <x:v>Proxy multicedente/multissacado — revisar</x:v>
      </x:c>
    </x:row>
    <x:row r="1491">
      <x:c r="A1491" s="177" t="str">
        <x:v>57.506.211/0001-18</x:v>
      </x:c>
      <x:c r="B1491" s="168" t="str">
        <x:v>NOVA FUNDO DE INVESTIMENTO EM DIREITOS CREDITÓRIOS SERVIÇOS RESPONSABILIDADE LIMITADA</x:v>
      </x:c>
      <x:c r="C1491" s="190" t="n">
        <x:v>59281583.669999994</x:v>
      </x:c>
      <x:c r="D1491" s="168" t="str">
        <x:v>VALORA RENDA FIXA ESTRUTURADOS LTDA.</x:v>
      </x:c>
      <x:c r="E1491" s="168" t="str">
        <x:f>IFERROR(INDEX('Classif Gestoras'!$H$6:$H$462,MATCH(D1491,'Classif Gestoras'!$A$6:$A$462,0)),"Não classificada")</x:f>
        <x:v>Independente</x:v>
      </x:c>
      <x:c r="F1491" s="168" t="str">
        <x:v>ID Corretora de Títulos e Valores Mobiliários S.A.</x:v>
      </x:c>
      <x:c r="G1491" s="168" t="str">
        <x:v>BANCO DAYCOVAL S.A.</x:v>
      </x:c>
      <x:c r="H1491" s="168" t="str">
        <x:v>Financeiro</x:v>
      </x:c>
      <x:c r="I1491" s="168" t="str">
        <x:v>Financiamento de Veículos</x:v>
      </x:c>
      <x:c r="J1491" s="168" t="str">
        <x:v>CI</x:v>
      </x:c>
      <x:c r="K1491" s="174" t="n">
        <x:v>16</x:v>
      </x:c>
      <x:c r="L1491" s="187" t="str">
        <x:v>Não classificado</x:v>
      </x:c>
    </x:row>
    <x:row r="1492">
      <x:c r="A1492" s="177" t="str">
        <x:v>43.140.980/0001-30</x:v>
      </x:c>
      <x:c r="B1492" s="168" t="str">
        <x:v>SERRAMBI FUNDO DE INVESTIMENTO EM DIREITOS CREDITÓRIOS RESPONSABILIDADE LIMITADA</x:v>
      </x:c>
      <x:c r="C1492" s="190" t="n">
        <x:v>59166591.19</x:v>
      </x:c>
      <x:c r="D1492" s="168" t="str">
        <x:v>Portofino Multi Family Office</x:v>
      </x:c>
      <x:c r="E1492" s="168" t="str">
        <x:f>IFERROR(INDEX('Classif Gestoras'!$H$6:$H$462,MATCH(D1492,'Classif Gestoras'!$A$6:$A$462,0)),"Não classificada")</x:f>
        <x:v>Independente</x:v>
      </x:c>
      <x:c r="F1492" s="168" t="str">
        <x:v>BANCO DAYCOVAL S/A</x:v>
      </x:c>
      <x:c r="G1492" s="168" t="str">
        <x:v>BANCO DAYCOVAL S.A.</x:v>
      </x:c>
      <x:c r="H1492" s="168" t="str">
        <x:v>Outros</x:v>
      </x:c>
      <x:c r="I1492" s="168" t="str">
        <x:v>Multicarteira Outros</x:v>
      </x:c>
      <x:c r="J1492" s="168" t="str">
        <x:v>CI</x:v>
      </x:c>
      <x:c r="K1492" s="174" t="n">
        <x:v>1</x:v>
      </x:c>
      <x:c r="L1492" s="187" t="str">
        <x:v>Proxy multicedente/multissacado — revisar</x:v>
      </x:c>
    </x:row>
    <x:row r="1493">
      <x:c r="A1493" s="177" t="str">
        <x:v>55.106.451/0001-08</x:v>
      </x:c>
      <x:c r="B1493" s="168" t="str">
        <x:v>CAPITALIZA FUNDO DE INVESTIMENTO EM DIREITOS CREDITÓRIOS DE RESPONSABILIDADE LIMITADA</x:v>
      </x:c>
      <x:c r="C1493" s="190" t="n">
        <x:v>59051359.25</x:v>
      </x:c>
      <x:c r="D1493" s="168" t="str">
        <x:v>Catálise Investimentos</x:v>
      </x:c>
      <x:c r="E1493" s="168" t="str">
        <x:f>IFERROR(INDEX('Classif Gestoras'!$H$6:$H$462,MATCH(D1493,'Classif Gestoras'!$A$6:$A$462,0)),"Não classificada")</x:f>
        <x:v>Independente</x:v>
      </x:c>
      <x:c r="F1493" s="168" t="str">
        <x:v>CATÁLISE DTVM</x:v>
      </x:c>
      <x:c r="G1493" s="168" t="str">
        <x:v>BANCO DAYCOVAL S.A.</x:v>
      </x:c>
      <x:c r="H1493" s="168" t="str">
        <x:v>Agro, Indústria e Comércio</x:v>
      </x:c>
      <x:c r="I1493" s="168" t="str">
        <x:v>Recebíveis Comerciais</x:v>
      </x:c>
      <x:c r="J1493" s="168" t="str">
        <x:v>CI</x:v>
      </x:c>
      <x:c r="K1493" s="174" t="n">
        <x:v>2</x:v>
      </x:c>
      <x:c r="L1493" s="187" t="str">
        <x:v>Não classificado</x:v>
      </x:c>
    </x:row>
    <x:row r="1494">
      <x:c r="A1494" s="177" t="str">
        <x:v>52.766.910/0001-83</x:v>
      </x:c>
      <x:c r="B1494" s="168" t="str">
        <x:v>BELL FUNDO DE INVESTIMENTO EM DIREITOS CREDITÓRIOS</x:v>
      </x:c>
      <x:c r="C1494" s="190" t="n">
        <x:v>58931629.669999994</x:v>
      </x:c>
      <x:c r="D1494" s="168" t="str">
        <x:v>Catálise Investimentos</x:v>
      </x:c>
      <x:c r="E1494" s="168" t="str">
        <x:f>IFERROR(INDEX('Classif Gestoras'!$H$6:$H$462,MATCH(D1494,'Classif Gestoras'!$A$6:$A$462,0)),"Não classificada")</x:f>
        <x:v>Independente</x:v>
      </x:c>
      <x:c r="F1494" s="168" t="str">
        <x:v>CATÁLISE DTVM</x:v>
      </x:c>
      <x:c r="G1494" s="168" t="str">
        <x:v>BANCO DAYCOVAL S.A.</x:v>
      </x:c>
      <x:c r="H1494" s="168" t="str">
        <x:v>Agro, Indústria e Comércio</x:v>
      </x:c>
      <x:c r="I1494" s="168" t="str">
        <x:v>Recebíveis Comerciais</x:v>
      </x:c>
      <x:c r="J1494" s="168" t="str">
        <x:v>CI</x:v>
      </x:c>
      <x:c r="K1494" s="174" t="n">
        <x:v>1</x:v>
      </x:c>
      <x:c r="L1494" s="187" t="str">
        <x:v>Não classificado</x:v>
      </x:c>
    </x:row>
    <x:row r="1495">
      <x:c r="A1495" s="177" t="str">
        <x:v>28.549.975/0001-92</x:v>
      </x:c>
      <x:c r="B1495" s="168" t="str">
        <x:v>AGHI FUNDO DE INVESTIMENTO EM DIREITOS CREDITÓRIOS NÃO-PADRONIZADOS</x:v>
      </x:c>
      <x:c r="C1495" s="190" t="n">
        <x:v>58862523.74999999</x:v>
      </x:c>
      <x:c r="D1495" s="168" t="str">
        <x:v>Quadra Gestão de Recursos S.A.</x:v>
      </x:c>
      <x:c r="E1495" s="168" t="str">
        <x:f>IFERROR(INDEX('Classif Gestoras'!$H$6:$H$462,MATCH(D1495,'Classif Gestoras'!$A$6:$A$462,0)),"Não classificada")</x:f>
        <x:v>Independente</x:v>
      </x:c>
      <x:c r="F1495" s="168" t="str">
        <x:v>BTG Pactual Servicos Financeiros S/A DTVM</x:v>
      </x:c>
      <x:c r="G1495" s="168" t="str">
        <x:v>BANCO BTG PACTUAL S/A</x:v>
      </x:c>
      <x:c r="H1495" s="168" t="str">
        <x:v>Outros</x:v>
      </x:c>
      <x:c r="I1495" s="168" t="str">
        <x:v>Multicarteira Outros</x:v>
      </x:c>
      <x:c r="J1495" s="168" t="str">
        <x:v>CI</x:v>
      </x:c>
      <x:c r="K1495" s="174" t="n">
        <x:v>2</x:v>
      </x:c>
      <x:c r="L1495" s="187" t="str">
        <x:v>Proxy multicedente/multissacado — revisar</x:v>
      </x:c>
    </x:row>
    <x:row r="1496">
      <x:c r="A1496" s="177" t="str">
        <x:v>63.453.304/0001-24</x:v>
      </x:c>
      <x:c r="B1496" s="168" t="str">
        <x:v>GPC FUNDO DE INVESTIMENTO EM DIREITOS CREDITÓRIOS RESPONSABILIDADE LIMITADA</x:v>
      </x:c>
      <x:c r="C1496" s="190" t="n">
        <x:v>58857338.43</x:v>
      </x:c>
      <x:c r="D1496" s="168" t="str">
        <x:v>Guardian Crédito</x:v>
      </x:c>
      <x:c r="E1496" s="168" t="str">
        <x:f>IFERROR(INDEX('Classif Gestoras'!$H$6:$H$462,MATCH(D1496,'Classif Gestoras'!$A$6:$A$462,0)),"Não classificada")</x:f>
        <x:v>Independente</x:v>
      </x:c>
      <x:c r="F1496" s="168" t="str">
        <x:v>BANCO DAYCOVAL S/A</x:v>
      </x:c>
      <x:c r="G1496" s="168" t="str">
        <x:v>BANCO DAYCOVAL S.A.</x:v>
      </x:c>
      <x:c r="H1496" s="168" t="str">
        <x:v>Financeiro</x:v>
      </x:c>
      <x:c r="I1496" s="168" t="str">
        <x:v>Crédito Consignado</x:v>
      </x:c>
      <x:c r="J1496" s="168" t="str">
        <x:v>CI</x:v>
      </x:c>
      <x:c r="K1496" s="174" t="n">
        <x:v>40</x:v>
      </x:c>
      <x:c r="L1496" s="187" t="str">
        <x:v>Não classificado</x:v>
      </x:c>
    </x:row>
    <x:row r="1497">
      <x:c r="A1497" s="177" t="str">
        <x:v>30.144.093/0001-99</x:v>
      </x:c>
      <x:c r="B1497" s="168" t="str">
        <x:v>UTILITY CREDIT FUNDO DE INVESTIMENTO EM DIREITOS CREDITÓRIOS</x:v>
      </x:c>
      <x:c r="C1497" s="190" t="n">
        <x:v>58632775.48000002</x:v>
      </x:c>
      <x:c r="D1497" s="168" t="str">
        <x:v>UC Gestora de Recursos</x:v>
      </x:c>
      <x:c r="E1497" s="168" t="str">
        <x:f>IFERROR(INDEX('Classif Gestoras'!$H$6:$H$462,MATCH(D1497,'Classif Gestoras'!$A$6:$A$462,0)),"Não classificada")</x:f>
        <x:v>Independente</x:v>
      </x:c>
      <x:c r="F1497" s="168" t="str">
        <x:v>Singulare</x:v>
      </x:c>
      <x:c r="G1497" s="168" t="str">
        <x:v>QI CORRETORA DE TÍTULOS E VALORES MOBILIÁRIOS S.A.</x:v>
      </x:c>
      <x:c r="H1497" s="168" t="str">
        <x:v>Fomento Mercantil</x:v>
      </x:c>
      <x:c r="I1497" s="168" t="str">
        <x:v>Fomento Mercantil</x:v>
      </x:c>
      <x:c r="J1497" s="168" t="str">
        <x:v>CI</x:v>
      </x:c>
      <x:c r="K1497" s="174" t="n">
        <x:v>2</x:v>
      </x:c>
      <x:c r="L1497" s="187" t="str">
        <x:v>Não classificado</x:v>
      </x:c>
    </x:row>
    <x:row r="1498">
      <x:c r="A1498" s="177" t="str">
        <x:v>49.460.350/0001-20</x:v>
      </x:c>
      <x:c r="B1498" s="168" t="str">
        <x:v>WCAPITAL FUNDO DE INVESTIMENTO EM DIREITOS CREDITÓRIOS</x:v>
      </x:c>
      <x:c r="C1498" s="190" t="n">
        <x:v>58568051.99</x:v>
      </x:c>
      <x:c r="D1498" s="168" t="str">
        <x:v>Real Investor Asset Management</x:v>
      </x:c>
      <x:c r="E1498" s="168" t="str">
        <x:f>IFERROR(INDEX('Classif Gestoras'!$H$6:$H$462,MATCH(D1498,'Classif Gestoras'!$A$6:$A$462,0)),"Não classificada")</x:f>
        <x:v>Independente</x:v>
      </x:c>
      <x:c r="F1498" s="168" t="str">
        <x:v>Limine Trust Distribuidora de Titulos e Valores Mobiliá</x:v>
      </x:c>
      <x:c r="G1498" s="168" t="str">
        <x:v>LIMINE TRUST DISTRIBUIDORA DE TITULOS E VALORES MOBILIARIOS LTDA.</x:v>
      </x:c>
      <x:c r="H1498" s="168" t="str">
        <x:v>Outros</x:v>
      </x:c>
      <x:c r="I1498" s="168" t="str">
        <x:v>Multicarteira Outros</x:v>
      </x:c>
      <x:c r="J1498" s="168" t="str">
        <x:v>CI</x:v>
      </x:c>
      <x:c r="K1498" s="174" t="n">
        <x:v>3</x:v>
      </x:c>
      <x:c r="L1498" s="187" t="str">
        <x:v>Proxy multicedente/multissacado — revisar</x:v>
      </x:c>
    </x:row>
    <x:row r="1499">
      <x:c r="A1499" s="177" t="str">
        <x:v>46.098.515/0001-77</x:v>
      </x:c>
      <x:c r="B1499" s="168" t="str">
        <x:v>RVC FUNDO DE INVESTIMENTO EM DIREITOS CREDITÓRIOS NÃO-PADRONIZADOS</x:v>
      </x:c>
      <x:c r="C1499" s="190" t="n">
        <x:v>58397998.43</x:v>
      </x:c>
      <x:c r="D1499" s="168" t="str">
        <x:v>Positiva Investimentos Ltda</x:v>
      </x:c>
      <x:c r="E1499" s="168" t="str">
        <x:f>IFERROR(INDEX('Classif Gestoras'!$H$6:$H$462,MATCH(D1499,'Classif Gestoras'!$A$6:$A$462,0)),"Não classificada")</x:f>
        <x:v>Independente</x:v>
      </x:c>
      <x:c r="F1499" s="168" t="str">
        <x:v>AZUMI DISTRIBUIDORA DE TÍTULOS E VALORES MOBILIÁRIOS LT</x:v>
      </x:c>
      <x:c r="G1499" s="168" t="str">
        <x:v>AZUMI DISTRIBUIDORA DE TÍTULOS E VALORES MOBILIÁRIOS LTDA.</x:v>
      </x:c>
      <x:c r="H1499" s="168" t="str">
        <x:v>Outros</x:v>
      </x:c>
      <x:c r="I1499" s="168" t="str">
        <x:v>Poder Público</x:v>
      </x:c>
      <x:c r="J1499" s="168" t="str">
        <x:v>CI</x:v>
      </x:c>
      <x:c r="K1499" s="174" t="n">
        <x:v>1</x:v>
      </x:c>
      <x:c r="L1499" s="187" t="str">
        <x:v>Não classificado</x:v>
      </x:c>
    </x:row>
    <x:row r="1500">
      <x:c r="A1500" s="177" t="str">
        <x:v>59.224.026/0001-66</x:v>
      </x:c>
      <x:c r="B1500" s="168" t="str">
        <x:v>SALUS - FUNDO DE INVESTIMENTO EM DIREITOS CREDITÓRIOS RESPONSABILIDADE LIMITADA</x:v>
      </x:c>
      <x:c r="C1500" s="190" t="n">
        <x:v>58389769.34</x:v>
      </x:c>
      <x:c r="D1500" s="168" t="str">
        <x:v>Milênio Capital</x:v>
      </x:c>
      <x:c r="E1500" s="168" t="str">
        <x:f>IFERROR(INDEX('Classif Gestoras'!$H$6:$H$462,MATCH(D1500,'Classif Gestoras'!$A$6:$A$462,0)),"Não classificada")</x:f>
        <x:v>Independente</x:v>
      </x:c>
      <x:c r="F1500" s="168" t="str">
        <x:v>VÓRTX DTVM</x:v>
      </x:c>
      <x:c r="G1500" s="168" t="str">
        <x:v>VORTX DISTRIBUIDORA DE TITULOS E VALORES MOBILIARIOS LTDA.</x:v>
      </x:c>
      <x:c r="H1500" s="168" t="str">
        <x:v>Agro, Indústria e Comércio</x:v>
      </x:c>
      <x:c r="I1500" s="168" t="str">
        <x:v>Crédito Corporativo</x:v>
      </x:c>
      <x:c r="J1500" s="168" t="str">
        <x:v>CI</x:v>
      </x:c>
      <x:c r="K1500" s="174" t="n">
        <x:v>16</x:v>
      </x:c>
      <x:c r="L1500" s="187" t="str">
        <x:v>Não classificado</x:v>
      </x:c>
    </x:row>
    <x:row r="1501">
      <x:c r="A1501" s="177" t="str">
        <x:v>51.388.629/0001-91</x:v>
      </x:c>
      <x:c r="B1501" s="168" t="str">
        <x:v>GRUPOSC - FUNDO DE INVESTIMENTO EM DIREITOS CREDITÓRIOS</x:v>
      </x:c>
      <x:c r="C1501" s="190" t="n">
        <x:v>58246128.23</x:v>
      </x:c>
      <x:c r="D1501" s="168" t="str">
        <x:v>GV ATACAMA CAPITAL LTDA.</x:v>
      </x:c>
      <x:c r="E1501" s="168" t="str">
        <x:f>IFERROR(INDEX('Classif Gestoras'!$H$6:$H$462,MATCH(D1501,'Classif Gestoras'!$A$6:$A$462,0)),"Não classificada")</x:f>
        <x:v>Independente</x:v>
      </x:c>
      <x:c r="F1501" s="168" t="str">
        <x:v>Singulare</x:v>
      </x:c>
      <x:c r="G1501" s="168" t="str">
        <x:v>QI CORRETORA DE TÍTULOS E VALORES MOBILIÁRIOS S.A.</x:v>
      </x:c>
      <x:c r="H1501" s="168" t="str">
        <x:v>Fomento Mercantil</x:v>
      </x:c>
      <x:c r="I1501" s="168" t="str">
        <x:v>Fomento Mercantil</x:v>
      </x:c>
      <x:c r="J1501" s="168" t="str">
        <x:v>CI</x:v>
      </x:c>
      <x:c r="K1501" s="174" t="n">
        <x:v>1</x:v>
      </x:c>
      <x:c r="L1501" s="187" t="str">
        <x:v>Não classificado</x:v>
      </x:c>
    </x:row>
    <x:row r="1502">
      <x:c r="A1502" s="177" t="str">
        <x:v>33.447.973/0001-22</x:v>
      </x:c>
      <x:c r="B1502" s="168" t="str">
        <x:v>LEGACY A FUNDO DE INVESTIMENTO EM DIREITOS CREDITÓRIOS</x:v>
      </x:c>
      <x:c r="C1502" s="190" t="n">
        <x:v>57951196.92</x:v>
      </x:c>
      <x:c r="D1502" s="168" t="str">
        <x:v>Multiplica Capital</x:v>
      </x:c>
      <x:c r="E1502" s="168" t="str">
        <x:f>IFERROR(INDEX('Classif Gestoras'!$H$6:$H$462,MATCH(D1502,'Classif Gestoras'!$A$6:$A$462,0)),"Não classificada")</x:f>
        <x:v>Independente</x:v>
      </x:c>
      <x:c r="F1502" s="168" t="str">
        <x:v>PLANNER CV</x:v>
      </x:c>
      <x:c r="G1502" s="168" t="str">
        <x:v>PLANNER CORRETORA DE VALORES S.A.</x:v>
      </x:c>
      <x:c r="H1502" s="168" t="str">
        <x:v>Outros</x:v>
      </x:c>
      <x:c r="I1502" s="168" t="str">
        <x:v>Multicarteira Outros</x:v>
      </x:c>
      <x:c r="J1502" s="168" t="str">
        <x:v>CI</x:v>
      </x:c>
      <x:c r="K1502" s="174" t="n">
        <x:v>1</x:v>
      </x:c>
      <x:c r="L1502" s="187" t="str">
        <x:v>Proxy multicedente/multissacado — revisar</x:v>
      </x:c>
    </x:row>
    <x:row r="1503">
      <x:c r="A1503" s="177" t="str">
        <x:v>57.660.765/0001-75</x:v>
      </x:c>
      <x:c r="B1503" s="168" t="str">
        <x:v>ORIGINAL FUNDO DE INVESTIMENTO EM DIREITOS CREDITÓRIOS</x:v>
      </x:c>
      <x:c r="C1503" s="190" t="n">
        <x:v>57749891.92</x:v>
      </x:c>
      <x:c r="D1503" s="168" t="str">
        <x:v>M8 Partners</x:v>
      </x:c>
      <x:c r="E1503" s="168" t="str">
        <x:f>IFERROR(INDEX('Classif Gestoras'!$H$6:$H$462,MATCH(D1503,'Classif Gestoras'!$A$6:$A$462,0)),"Não classificada")</x:f>
        <x:v>Independente</x:v>
      </x:c>
      <x:c r="F1503" s="168" t="str">
        <x:v>HEMERA DTVM</x:v>
      </x:c>
      <x:c r="G1503" s="168" t="str">
        <x:v>HEMERA DISTRIBUIDORA DE TITULOS E VALORES MOBILIARIOS LTDA</x:v>
      </x:c>
      <x:c r="H1503" s="168" t="str">
        <x:v>Fomento Mercantil</x:v>
      </x:c>
      <x:c r="I1503" s="168" t="str">
        <x:v>Fomento Mercantil</x:v>
      </x:c>
      <x:c r="J1503" s="168" t="str">
        <x:v>CI</x:v>
      </x:c>
      <x:c r="K1503" s="174" t="n">
        <x:v>1</x:v>
      </x:c>
      <x:c r="L1503" s="187" t="str">
        <x:v>Não classificado</x:v>
      </x:c>
    </x:row>
    <x:row r="1504">
      <x:c r="A1504" s="177" t="str">
        <x:v>60.373.177/0001-65</x:v>
      </x:c>
      <x:c r="B1504" s="168" t="str">
        <x:v>PLGN K FUNDO DE INVESTIMENTO EM DIREITOS CREDITÓRIOS</x:v>
      </x:c>
      <x:c r="C1504" s="190" t="n">
        <x:v>57688614.86</x:v>
      </x:c>
      <x:c r="D1504" s="168" t="str">
        <x:v>POLÍGONO CAPITAL LTDA.</x:v>
      </x:c>
      <x:c r="E1504" s="168" t="str">
        <x:f>IFERROR(INDEX('Classif Gestoras'!$H$6:$H$462,MATCH(D1504,'Classif Gestoras'!$A$6:$A$462,0)),"Não classificada")</x:f>
        <x:v>Independente</x:v>
      </x:c>
      <x:c r="F1504" s="168" t="str">
        <x:v>BTG Pactual Servicos Financeiros S/A DTVM</x:v>
      </x:c>
      <x:c r="G1504" s="168" t="str">
        <x:v>BANCO BTG PACTUAL S/A</x:v>
      </x:c>
      <x:c r="H1504" s="168" t="str">
        <x:v>Outros</x:v>
      </x:c>
      <x:c r="I1504" s="168" t="str">
        <x:v>Multicarteira Outros</x:v>
      </x:c>
      <x:c r="J1504" s="168" t="str">
        <x:v>CI</x:v>
      </x:c>
      <x:c r="K1504" s="174" t="n">
        <x:v>1</x:v>
      </x:c>
      <x:c r="L1504" s="187" t="str">
        <x:v>Proxy multicedente/multissacado — revisar</x:v>
      </x:c>
    </x:row>
    <x:row r="1505">
      <x:c r="A1505" s="177" t="str">
        <x:v>60.315.519/0001-90</x:v>
      </x:c>
      <x:c r="B1505" s="168" t="str">
        <x:v>CUPERTINO KAYA PRECATÓRIOS FIDC DE RESPONSABILIDADE LIMITADA</x:v>
      </x:c>
      <x:c r="C1505" s="190" t="n">
        <x:v>57672044.45</x:v>
      </x:c>
      <x:c r="D1505" s="168" t="str">
        <x:v>Cupertino Capital</x:v>
      </x:c>
      <x:c r="E1505" s="168" t="str">
        <x:f>IFERROR(INDEX('Classif Gestoras'!$H$6:$H$462,MATCH(D1505,'Classif Gestoras'!$A$6:$A$462,0)),"Não classificada")</x:f>
        <x:v>Independente</x:v>
      </x:c>
      <x:c r="F1505" s="168" t="str">
        <x:v>BANCO DAYCOVAL S/A</x:v>
      </x:c>
      <x:c r="G1505" s="168" t="str">
        <x:v>BANCO DAYCOVAL S.A.</x:v>
      </x:c>
      <x:c r="H1505" s="168" t="str">
        <x:v>Outros</x:v>
      </x:c>
      <x:c r="I1505" s="168" t="str">
        <x:v>Poder Público</x:v>
      </x:c>
      <x:c r="J1505" s="168" t="str">
        <x:v>CI</x:v>
      </x:c>
      <x:c r="K1505" s="174" t="n">
        <x:v>25</x:v>
      </x:c>
      <x:c r="L1505" s="187" t="str">
        <x:v>Não classificado</x:v>
      </x:c>
    </x:row>
    <x:row r="1506">
      <x:c r="A1506" s="177" t="str">
        <x:v>53.073.677/0001-16</x:v>
      </x:c>
      <x:c r="B1506" s="168" t="str">
        <x:v>ALBAREDO FUNDO DE INVESTIMENTO EM DIREITOS CREDITÓRIOS RESPONSABILIDADE ILIMITADA</x:v>
      </x:c>
      <x:c r="C1506" s="190" t="n">
        <x:v>57658174.63999999</x:v>
      </x:c>
      <x:c r="D1506" s="168" t="str">
        <x:v>Catálise Investimentos</x:v>
      </x:c>
      <x:c r="E1506" s="168" t="str">
        <x:f>IFERROR(INDEX('Classif Gestoras'!$H$6:$H$462,MATCH(D1506,'Classif Gestoras'!$A$6:$A$462,0)),"Não classificada")</x:f>
        <x:v>Independente</x:v>
      </x:c>
      <x:c r="F1506" s="168" t="str">
        <x:v>CATÁLISE DTVM</x:v>
      </x:c>
      <x:c r="G1506" s="168" t="str">
        <x:v>BANCO DAYCOVAL S.A.</x:v>
      </x:c>
      <x:c r="H1506" s="168" t="str">
        <x:v>Agro, Indústria e Comércio</x:v>
      </x:c>
      <x:c r="I1506" s="168" t="str">
        <x:v>Recebíveis Comerciais</x:v>
      </x:c>
      <x:c r="J1506" s="168" t="str">
        <x:v>CI</x:v>
      </x:c>
      <x:c r="K1506" s="174" t="n">
        <x:v>1</x:v>
      </x:c>
      <x:c r="L1506" s="187" t="str">
        <x:v>Não classificado</x:v>
      </x:c>
    </x:row>
    <x:row r="1507">
      <x:c r="A1507" s="177" t="str">
        <x:v>57.204.749/0001-78</x:v>
      </x:c>
      <x:c r="B1507" s="168" t="str">
        <x:v>MULTIMAX FUNDO DE INVESTIMENTO EM DIREITOS CREDITÓRIOS - RESPONSABILIDADE LIMITADA</x:v>
      </x:c>
      <x:c r="C1507" s="190" t="n">
        <x:v>57547338.58662</x:v>
      </x:c>
      <x:c r="D1507" s="168" t="str">
        <x:v>Paraguaçu Investimentos</x:v>
      </x:c>
      <x:c r="E1507" s="168" t="str">
        <x:f>IFERROR(INDEX('Classif Gestoras'!$H$6:$H$462,MATCH(D1507,'Classif Gestoras'!$A$6:$A$462,0)),"Não classificada")</x:f>
        <x:v>Independente</x:v>
      </x:c>
      <x:c r="F1507" s="168" t="str">
        <x:v>Singulare</x:v>
      </x:c>
      <x:c r="G1507" s="168" t="str">
        <x:v>QI CORRETORA DE TÍTULOS E VALORES MOBILIÁRIOS S.A.</x:v>
      </x:c>
      <x:c r="H1507" s="168" t="str">
        <x:v>Fomento Mercantil</x:v>
      </x:c>
      <x:c r="I1507" s="168" t="str">
        <x:v>Fomento Mercantil</x:v>
      </x:c>
      <x:c r="J1507" s="168" t="str">
        <x:v>CI</x:v>
      </x:c>
      <x:c r="K1507" s="174" t="n">
        <x:v>13</x:v>
      </x:c>
      <x:c r="L1507" s="187" t="str">
        <x:v>Não classificado</x:v>
      </x:c>
    </x:row>
    <x:row r="1508">
      <x:c r="A1508" s="177" t="str">
        <x:v>57.326.317/0001-30</x:v>
      </x:c>
      <x:c r="B1508" s="168" t="str">
        <x:v>LCM ODYSSEY M2 FUNDO DE INVESTIMENTO EM DIREITOS CREDITÓRIOS RESPONSABILIDADE LIMITADA</x:v>
      </x:c>
      <x:c r="C1508" s="190" t="n">
        <x:v>57450465.93</x:v>
      </x:c>
      <x:c r="D1508" s="168" t="str">
        <x:v>Lumina</x:v>
      </x:c>
      <x:c r="E1508" s="168" t="str">
        <x:f>IFERROR(INDEX('Classif Gestoras'!$H$6:$H$462,MATCH(D1508,'Classif Gestoras'!$A$6:$A$462,0)),"Não classificada")</x:f>
        <x:v>Independente</x:v>
      </x:c>
      <x:c r="F1508" s="168" t="str">
        <x:v>BTG Pactual Servicos Financeiros S/A DTVM</x:v>
      </x:c>
      <x:c r="G1508" s="168" t="str">
        <x:v>BANCO BTG PACTUAL S/A</x:v>
      </x:c>
      <x:c r="H1508" s="168" t="str">
        <x:v>Outros</x:v>
      </x:c>
      <x:c r="I1508" s="168" t="str">
        <x:v>Multicarteira Outros</x:v>
      </x:c>
      <x:c r="J1508" s="168" t="str">
        <x:v>CI</x:v>
      </x:c>
      <x:c r="K1508" s="174" t="n">
        <x:v>1</x:v>
      </x:c>
      <x:c r="L1508" s="187" t="str">
        <x:v>Proxy multicedente/multissacado — revisar</x:v>
      </x:c>
    </x:row>
    <x:row r="1509">
      <x:c r="A1509" s="177" t="str">
        <x:v>60.026.040/0001-34</x:v>
      </x:c>
      <x:c r="B1509" s="168" t="str">
        <x:v>VIP II FGTS FUNDO DE INVESTIMENTO EM DIREITOS CREDITORIOS DE RESPONSABILIDADE LIMITADA</x:v>
      </x:c>
      <x:c r="C1509" s="190" t="n">
        <x:v>57449682.49</x:v>
      </x:c>
      <x:c r="D1509" s="168" t="str">
        <x:v>Oliveira Trust Servicer</x:v>
      </x:c>
      <x:c r="E1509" s="168" t="str">
        <x:f>IFERROR(INDEX('Classif Gestoras'!$H$6:$H$462,MATCH(D1509,'Classif Gestoras'!$A$6:$A$462,0)),"Não classificada")</x:f>
        <x:v>Independente</x:v>
      </x:c>
      <x:c r="F1509" s="168" t="str">
        <x:v>Oliveira Trust DTVM</x:v>
      </x:c>
      <x:c r="G1509" s="168" t="str">
        <x:v>OLIVEIRA TRUST DTVM S.A.</x:v>
      </x:c>
      <x:c r="H1509" s="168" t="str">
        <x:v>Financeiro</x:v>
      </x:c>
      <x:c r="I1509" s="168" t="str">
        <x:v>Crédito Pessoal</x:v>
      </x:c>
      <x:c r="J1509" s="168" t="str">
        <x:v>CI</x:v>
      </x:c>
      <x:c r="K1509" s="174" t="n">
        <x:v>4</x:v>
      </x:c>
      <x:c r="L1509" s="187" t="str">
        <x:v>Não classificado</x:v>
      </x:c>
    </x:row>
    <x:row r="1510">
      <x:c r="A1510" s="177" t="str">
        <x:v>40.063.188/0001-31</x:v>
      </x:c>
      <x:c r="B1510" s="168" t="str">
        <x:v>ASA DISTRESSED FUNDO DE INVESTIMENTO EM DIREITOS CREDITÓRIOS NÃO-PADRONIZADOS</x:v>
      </x:c>
      <x:c r="C1510" s="190" t="n">
        <x:v>57386815.09000001</x:v>
      </x:c>
      <x:c r="D1510" s="168" t="str">
        <x:v>ASA Investments</x:v>
      </x:c>
      <x:c r="E1510" s="168" t="str">
        <x:f>IFERROR(INDEX('Classif Gestoras'!$H$6:$H$462,MATCH(D1510,'Classif Gestoras'!$A$6:$A$462,0)),"Não classificada")</x:f>
        <x:v>Independente</x:v>
      </x:c>
      <x:c r="F1510" s="168" t="str">
        <x:v>MAF Distribuidora de Títulos e Valores Mobiliários S.A.</x:v>
      </x:c>
      <x:c r="G1510" s="168" t="str">
        <x:v>MAF DISTRIBUIDORA DE TITULOS E VALORES MOBILIARIOS S.A.</x:v>
      </x:c>
      <x:c r="H1510" s="168" t="str">
        <x:v>Outros</x:v>
      </x:c>
      <x:c r="I1510" s="168" t="str">
        <x:v>Recuperação</x:v>
      </x:c>
      <x:c r="J1510" s="168" t="str">
        <x:v>CI</x:v>
      </x:c>
      <x:c r="K1510" s="174" t="n">
        <x:v>19</x:v>
      </x:c>
      <x:c r="L1510" s="187" t="str">
        <x:v>Não classificado</x:v>
      </x:c>
    </x:row>
    <x:row r="1511">
      <x:c r="A1511" s="177" t="str">
        <x:v>55.064.095/0001-07</x:v>
      </x:c>
      <x:c r="B1511" s="168" t="str">
        <x:v>PACKERS FUNDO DE INVESTIMENTO EM DIREITOS CREDITÓRIOS</x:v>
      </x:c>
      <x:c r="C1511" s="190" t="n">
        <x:v>57371879.96000001</x:v>
      </x:c>
      <x:c r="D1511" s="168" t="str">
        <x:v>PACTUAL CAPITAL PART</x:v>
      </x:c>
      <x:c r="E1511" s="168" t="str">
        <x:f>IFERROR(INDEX('Classif Gestoras'!$H$6:$H$462,MATCH(D1511,'Classif Gestoras'!$A$6:$A$462,0)),"Não classificada")</x:f>
        <x:v>Independente</x:v>
      </x:c>
      <x:c r="F1511" s="168" t="str">
        <x:v>BTG Pactual Servicos Financeiros S/A DTVM</x:v>
      </x:c>
      <x:c r="G1511" s="168" t="str">
        <x:v>BANCO BTG PACTUAL S/A</x:v>
      </x:c>
      <x:c r="H1511" s="168" t="str">
        <x:v>Outros</x:v>
      </x:c>
      <x:c r="I1511" s="168" t="str">
        <x:v>Multicarteira Outros</x:v>
      </x:c>
      <x:c r="J1511" s="168" t="str">
        <x:v>CI</x:v>
      </x:c>
      <x:c r="K1511" s="174" t="n">
        <x:v>1</x:v>
      </x:c>
      <x:c r="L1511" s="187" t="str">
        <x:v>Proxy multicedente/multissacado — revisar</x:v>
      </x:c>
    </x:row>
    <x:row r="1512">
      <x:c r="A1512" s="177" t="str">
        <x:v>55.051.705/0001-20</x:v>
      </x:c>
      <x:c r="B1512" s="168" t="str">
        <x:v>REASON X FUNDO DE INVESTIMENTO EM DIREITOS CREDITÓRIOS - RESPONSABILIDADE LIMITADA</x:v>
      </x:c>
      <x:c r="C1512" s="190" t="n">
        <x:v>57318373.12</x:v>
      </x:c>
      <x:c r="D1512" s="168" t="str">
        <x:v>BURITI INVESTIMENTOS</x:v>
      </x:c>
      <x:c r="E1512" s="168" t="str">
        <x:f>IFERROR(INDEX('Classif Gestoras'!$H$6:$H$462,MATCH(D1512,'Classif Gestoras'!$A$6:$A$462,0)),"Não classificada")</x:f>
        <x:v>Independente</x:v>
      </x:c>
      <x:c r="F1512" s="168" t="str">
        <x:v>Baru DTVM</x:v>
      </x:c>
      <x:c r="G1512" s="168" t="str">
        <x:v>BARU DISTRIBUIDORA DE TÍTULOS E VALORES MOBILIÁRIOS LTDA.</x:v>
      </x:c>
      <x:c r="H1512" s="168" t="str">
        <x:v>Outros</x:v>
      </x:c>
      <x:c r="I1512" s="168" t="str">
        <x:v>Poder Público</x:v>
      </x:c>
      <x:c r="J1512" s="168" t="str">
        <x:v>CI</x:v>
      </x:c>
      <x:c r="K1512" s="174" t="n">
        <x:v>3</x:v>
      </x:c>
      <x:c r="L1512" s="187" t="str">
        <x:v>Não classificado</x:v>
      </x:c>
    </x:row>
    <x:row r="1513">
      <x:c r="A1513" s="177" t="str">
        <x:v>59.473.971/0001-00</x:v>
      </x:c>
      <x:c r="B1513" s="168" t="str">
        <x:v>4P FUNDO DE INVESTIMENTO EM DIREITOS CREDITÓRIOS RESPONSABILIDADE LIMITADA</x:v>
      </x:c>
      <x:c r="C1513" s="190" t="n">
        <x:v>57310678.809999995</x:v>
      </x:c>
      <x:c r="D1513" s="168" t="str">
        <x:v>Bless Capital Gestora de Recursos Ltda.</x:v>
      </x:c>
      <x:c r="E1513" s="168" t="str">
        <x:f>IFERROR(INDEX('Classif Gestoras'!$H$6:$H$462,MATCH(D1513,'Classif Gestoras'!$A$6:$A$462,0)),"Não classificada")</x:f>
        <x:v>Independente</x:v>
      </x:c>
      <x:c r="F1513" s="168" t="str">
        <x:v>ID Corretora de Títulos e Valores Mobiliários S.A.</x:v>
      </x:c>
      <x:c r="G1513" s="168" t="str">
        <x:v>ID CORRETORA DE TITULOS E VALORES MOBILIARIOS S.A.</x:v>
      </x:c>
      <x:c r="H1513" s="168" t="str">
        <x:v>Outros</x:v>
      </x:c>
      <x:c r="I1513" s="168" t="str">
        <x:v>Multicarteira Outros</x:v>
      </x:c>
      <x:c r="J1513" s="168" t="str">
        <x:v>CI</x:v>
      </x:c>
      <x:c r="K1513" s="174" t="n">
        <x:v>3</x:v>
      </x:c>
      <x:c r="L1513" s="187" t="str">
        <x:v>Proxy multicedente/multissacado — revisar</x:v>
      </x:c>
    </x:row>
    <x:row r="1514">
      <x:c r="A1514" s="177" t="str">
        <x:v>63.637.082/0001-08</x:v>
      </x:c>
      <x:c r="B1514" s="168" t="str">
        <x:v>KIJANI DESENVOLVE SP FUNDO DE INVESTIMENTO EM DIREITOS CREDITÓRIOS DE RESPONSABILIDADE LIMITADA</x:v>
      </x:c>
      <x:c r="C1514" s="190" t="n">
        <x:v>57300890.46</x:v>
      </x:c>
      <x:c r="D1514" s="168" t="str">
        <x:v>KIJANI GESTORA DE RECURSOS LTDA.</x:v>
      </x:c>
      <x:c r="E1514" s="168" t="str">
        <x:f>IFERROR(INDEX('Classif Gestoras'!$H$6:$H$462,MATCH(D1514,'Classif Gestoras'!$A$6:$A$462,0)),"Não classificada")</x:f>
        <x:v>Independente</x:v>
      </x:c>
      <x:c r="F1514" s="168" t="str">
        <x:v>BANCO DAYCOVAL S/A</x:v>
      </x:c>
      <x:c r="G1514" s="168" t="str">
        <x:v>BANCO DAYCOVAL S.A.</x:v>
      </x:c>
      <x:c r="H1514" s="168" t="str">
        <x:v>Agro, Indústria e Comércio</x:v>
      </x:c>
      <x:c r="I1514" s="168" t="str">
        <x:v>Agronegócio</x:v>
      </x:c>
      <x:c r="J1514" s="168" t="str">
        <x:v>CI</x:v>
      </x:c>
      <x:c r="K1514" s="174" t="n">
        <x:v>3</x:v>
      </x:c>
      <x:c r="L1514" s="187" t="str">
        <x:v>Não classificado</x:v>
      </x:c>
    </x:row>
    <x:row r="1515">
      <x:c r="A1515" s="177" t="str">
        <x:v>52.259.591/0001-10</x:v>
      </x:c>
      <x:c r="B1515" s="168" t="str">
        <x:v>F18 FUNDO DE INVESTIMENTO EM DIREITOS CREDITÓRIOS</x:v>
      </x:c>
      <x:c r="C1515" s="190" t="n">
        <x:v>57286382.74</x:v>
      </x:c>
      <x:c r="D1515" s="168" t="str">
        <x:v>M8 Partners</x:v>
      </x:c>
      <x:c r="E1515" s="168" t="str">
        <x:f>IFERROR(INDEX('Classif Gestoras'!$H$6:$H$462,MATCH(D1515,'Classif Gestoras'!$A$6:$A$462,0)),"Não classificada")</x:f>
        <x:v>Independente</x:v>
      </x:c>
      <x:c r="F1515" s="168" t="str">
        <x:v>Singulare</x:v>
      </x:c>
      <x:c r="G1515" s="168" t="str">
        <x:v>QI CORRETORA DE TÍTULOS E VALORES MOBILIÁRIOS S.A.</x:v>
      </x:c>
      <x:c r="H1515" s="168" t="str">
        <x:v>Fomento Mercantil</x:v>
      </x:c>
      <x:c r="I1515" s="168" t="str">
        <x:v>Fomento Mercantil</x:v>
      </x:c>
      <x:c r="J1515" s="168" t="str">
        <x:v>CI</x:v>
      </x:c>
      <x:c r="K1515" s="174" t="n">
        <x:v>22</x:v>
      </x:c>
      <x:c r="L1515" s="187" t="str">
        <x:v>Não classificado</x:v>
      </x:c>
    </x:row>
    <x:row r="1516">
      <x:c r="A1516" s="177" t="str">
        <x:v>64.447.553/0001-70</x:v>
      </x:c>
      <x:c r="B1516" s="168" t="str">
        <x:v>FUNDO DE INVESTIMENTOS EM DIREITOS CREDITÓRIOS GCB CRÉDITO MULTIESTRATÉGIA II RESP LIMITADA</x:v>
      </x:c>
      <x:c r="C1516" s="190" t="n">
        <x:v>57284828.34</x:v>
      </x:c>
      <x:c r="D1516" s="168" t="str">
        <x:v>GCB Capital</x:v>
      </x:c>
      <x:c r="E1516" s="168" t="str">
        <x:f>IFERROR(INDEX('Classif Gestoras'!$H$6:$H$462,MATCH(D1516,'Classif Gestoras'!$A$6:$A$462,0)),"Não classificada")</x:f>
        <x:v>Independente</x:v>
      </x:c>
      <x:c r="F1516" s="168" t="str">
        <x:v>BANCO DAYCOVAL S/A</x:v>
      </x:c>
      <x:c r="G1516" s="168" t="str">
        <x:v>BANCO DAYCOVAL S.A.</x:v>
      </x:c>
      <x:c r="H1516" s="168" t="str">
        <x:v>Outros</x:v>
      </x:c>
      <x:c r="I1516" s="168" t="str">
        <x:v>Multicarteira Outros</x:v>
      </x:c>
      <x:c r="J1516" s="168" t="str">
        <x:v>CI</x:v>
      </x:c>
      <x:c r="K1516" s="174" t="n">
        <x:v>2</x:v>
      </x:c>
      <x:c r="L1516" s="187" t="str">
        <x:v>Proxy multicedente/multissacado — revisar</x:v>
      </x:c>
    </x:row>
    <x:row r="1517">
      <x:c r="A1517" s="177" t="str">
        <x:v>58.533.096/0001-33</x:v>
      </x:c>
      <x:c r="B1517" s="168" t="str">
        <x:v>RAYO FUNDO DE INVESTIMENTO EM DIREITOS CREDITÓRIOS</x:v>
      </x:c>
      <x:c r="C1517" s="190" t="n">
        <x:v>57278542.77</x:v>
      </x:c>
      <x:c r="D1517" s="168" t="str">
        <x:v>BRZ Gestão de Recursos</x:v>
      </x:c>
      <x:c r="E1517" s="168" t="str">
        <x:f>IFERROR(INDEX('Classif Gestoras'!$H$6:$H$462,MATCH(D1517,'Classif Gestoras'!$A$6:$A$462,0)),"Não classificada")</x:f>
        <x:v>Independente</x:v>
      </x:c>
      <x:c r="F1517" s="168" t="str">
        <x:v>Singulare</x:v>
      </x:c>
      <x:c r="G1517" s="168" t="str">
        <x:v>QI CORRETORA DE TÍTULOS E VALORES MOBILIÁRIOS S.A.</x:v>
      </x:c>
      <x:c r="H1517" s="168" t="str">
        <x:v>Financeiro</x:v>
      </x:c>
      <x:c r="I1517" s="168" t="str">
        <x:v>Crédito Imobiliário</x:v>
      </x:c>
      <x:c r="J1517" s="168" t="str">
        <x:v>CI</x:v>
      </x:c>
      <x:c r="K1517" s="174" t="n">
        <x:v>18</x:v>
      </x:c>
      <x:c r="L1517" s="187" t="str">
        <x:v>Não classificado</x:v>
      </x:c>
    </x:row>
    <x:row r="1518">
      <x:c r="A1518" s="177" t="str">
        <x:v>61.753.072/0001-02</x:v>
      </x:c>
      <x:c r="B1518" s="168" t="str">
        <x:v>SOSU OPPORTUNITIES III FUNDO DE INVESTIMENTO EM DIREITOS CREDITÓRIOS RESPONSABILIDADE LIMITADA</x:v>
      </x:c>
      <x:c r="C1518" s="190" t="n">
        <x:v>57218476.72999999</x:v>
      </x:c>
      <x:c r="D1518" s="168" t="str">
        <x:v>SOSU CAPITAL GESTÃO DE INVESTIMENTOS LTDA.</x:v>
      </x:c>
      <x:c r="E1518" s="168" t="str">
        <x:f>IFERROR(INDEX('Classif Gestoras'!$H$6:$H$462,MATCH(D1518,'Classif Gestoras'!$A$6:$A$462,0)),"Não classificada")</x:f>
        <x:v>Independente</x:v>
      </x:c>
      <x:c r="F1518" s="168" t="str">
        <x:v>BRL TRUST DTVM</x:v>
      </x:c>
      <x:c r="G1518" s="168" t="str">
        <x:v>BRL TRUST DISTRIBUIDORA DE TITULOS E VALORES MOBILIARIOS S.A.</x:v>
      </x:c>
      <x:c r="H1518" s="168" t="str">
        <x:v>Outros</x:v>
      </x:c>
      <x:c r="I1518" s="168" t="str">
        <x:v>Multicarteira Outros</x:v>
      </x:c>
      <x:c r="J1518" s="168" t="str">
        <x:v>CI</x:v>
      </x:c>
      <x:c r="K1518" s="174" t="n">
        <x:v>47</x:v>
      </x:c>
      <x:c r="L1518" s="187" t="str">
        <x:v>Proxy multicedente/multissacado — revisar</x:v>
      </x:c>
    </x:row>
    <x:row r="1519">
      <x:c r="A1519" s="177" t="str">
        <x:v>11.261.368/0001-20</x:v>
      </x:c>
      <x:c r="B1519" s="168" t="str">
        <x:v>FLUXASSET FUNDO DE INVESTIMENTO EM DIREITOS CREDITÓRIOS MULTISSETORIAL</x:v>
      </x:c>
      <x:c r="C1519" s="190" t="n">
        <x:v>57065947.849999994</x:v>
      </x:c>
      <x:c r="D1519" s="168" t="str">
        <x:v>Solis</x:v>
      </x:c>
      <x:c r="E1519" s="168" t="str">
        <x:f>IFERROR(INDEX('Classif Gestoras'!$H$6:$H$462,MATCH(D1519,'Classif Gestoras'!$A$6:$A$462,0)),"Não classificada")</x:f>
        <x:v>Independente</x:v>
      </x:c>
      <x:c r="F1519" s="168" t="str">
        <x:v>Singulare</x:v>
      </x:c>
      <x:c r="G1519" s="168" t="str">
        <x:v>QI CORRETORA DE TÍTULOS E VALORES MOBILIÁRIOS S.A.</x:v>
      </x:c>
      <x:c r="H1519" s="168" t="str">
        <x:v>Fomento Mercantil</x:v>
      </x:c>
      <x:c r="I1519" s="168" t="str">
        <x:v>Fomento Mercantil</x:v>
      </x:c>
      <x:c r="J1519" s="168" t="str">
        <x:v>CI</x:v>
      </x:c>
      <x:c r="K1519" s="174" t="n">
        <x:v>18</x:v>
      </x:c>
      <x:c r="L1519" s="187" t="str">
        <x:v>Não classificado</x:v>
      </x:c>
    </x:row>
    <x:row r="1520">
      <x:c r="A1520" s="177" t="str">
        <x:v>08.270.249/0001-29</x:v>
      </x:c>
      <x:c r="B1520" s="168" t="str">
        <x:v>MACCRED FUNDO DE INVESTIMENTO EM DIREITOS CREDITÓRIOS</x:v>
      </x:c>
      <x:c r="C1520" s="190" t="n">
        <x:v>56994881.57</x:v>
      </x:c>
      <x:c r="D1520" s="168" t="str">
        <x:v>TERCON ASSET MANAGEMENT</x:v>
      </x:c>
      <x:c r="E1520" s="168" t="str">
        <x:f>IFERROR(INDEX('Classif Gestoras'!$H$6:$H$462,MATCH(D1520,'Classif Gestoras'!$A$6:$A$462,0)),"Não classificada")</x:f>
        <x:v>Independente</x:v>
      </x:c>
      <x:c r="F1520" s="168" t="str">
        <x:v>Singulare</x:v>
      </x:c>
      <x:c r="G1520" s="168" t="str">
        <x:v>QI CORRETORA DE TÍTULOS E VALORES MOBILIÁRIOS S.A.</x:v>
      </x:c>
      <x:c r="H1520" s="168" t="str">
        <x:v>Fomento Mercantil</x:v>
      </x:c>
      <x:c r="I1520" s="168" t="str">
        <x:v>Fomento Mercantil</x:v>
      </x:c>
      <x:c r="J1520" s="168" t="str">
        <x:v>CI</x:v>
      </x:c>
      <x:c r="K1520" s="174" t="n">
        <x:v>1</x:v>
      </x:c>
      <x:c r="L1520" s="187" t="str">
        <x:v>Não classificado</x:v>
      </x:c>
    </x:row>
    <x:row r="1521">
      <x:c r="A1521" s="177" t="str">
        <x:v>42.085.799/0001-06</x:v>
      </x:c>
      <x:c r="B1521" s="168" t="str">
        <x:v>LESTE HIGH YIELD FIDC DE RESPONSABILIDADE LIMITADA</x:v>
      </x:c>
      <x:c r="C1521" s="190" t="n">
        <x:v>56911348.080000006</x:v>
      </x:c>
      <x:c r="D1521" s="168" t="str">
        <x:v>Leste Credit Gestão de Recursos LTDA.</x:v>
      </x:c>
      <x:c r="E1521" s="168" t="str">
        <x:f>IFERROR(INDEX('Classif Gestoras'!$H$6:$H$462,MATCH(D1521,'Classif Gestoras'!$A$6:$A$462,0)),"Não classificada")</x:f>
        <x:v>Independente</x:v>
      </x:c>
      <x:c r="F1521" s="168" t="str">
        <x:v>Banco Genial S.A.</x:v>
      </x:c>
      <x:c r="G1521" s="168" t="str">
        <x:v>BANCO GENIAL S.A.</x:v>
      </x:c>
      <x:c r="H1521" s="168" t="str">
        <x:v>Agro, Indústria e Comércio</x:v>
      </x:c>
      <x:c r="I1521" s="168" t="str">
        <x:v>Multicarteira Agro, Indústria e Comércio</x:v>
      </x:c>
      <x:c r="J1521" s="168" t="str">
        <x:v>CI</x:v>
      </x:c>
      <x:c r="K1521" s="174" t="n">
        <x:v>1</x:v>
      </x:c>
      <x:c r="L1521" s="187" t="str">
        <x:v>Proxy multicedente/multissacado — revisar</x:v>
      </x:c>
    </x:row>
    <x:row r="1522">
      <x:c r="A1522" s="177" t="str">
        <x:v>34.850.033/0001-42</x:v>
      </x:c>
      <x:c r="B1522" s="168" t="str">
        <x:v>AGROCRED FUNDO DE INVESTIMENTO EM DIREITOS CREDITÓRIOS</x:v>
      </x:c>
      <x:c r="C1522" s="190" t="n">
        <x:v>56827244.09</x:v>
      </x:c>
      <x:c r="D1522" s="168" t="str">
        <x:v>Brave Asset</x:v>
      </x:c>
      <x:c r="E1522" s="168" t="str">
        <x:f>IFERROR(INDEX('Classif Gestoras'!$H$6:$H$462,MATCH(D1522,'Classif Gestoras'!$A$6:$A$462,0)),"Não classificada")</x:f>
        <x:v>Independente</x:v>
      </x:c>
      <x:c r="F1522" s="168" t="str">
        <x:v>Singulare</x:v>
      </x:c>
      <x:c r="G1522" s="168" t="str">
        <x:v>QI CORRETORA DE TÍTULOS E VALORES MOBILIÁRIOS S.A.</x:v>
      </x:c>
      <x:c r="H1522" s="168" t="str">
        <x:v>Agro, Indústria e Comércio</x:v>
      </x:c>
      <x:c r="I1522" s="168" t="str">
        <x:v>Recebíveis Comerciais</x:v>
      </x:c>
      <x:c r="J1522" s="168" t="str">
        <x:v>CI</x:v>
      </x:c>
      <x:c r="K1522" s="174" t="n">
        <x:v>27</x:v>
      </x:c>
      <x:c r="L1522" s="187" t="str">
        <x:v>Não classificado</x:v>
      </x:c>
    </x:row>
    <x:row r="1523">
      <x:c r="A1523" s="177" t="str">
        <x:v>34.691.408/0001-79</x:v>
      </x:c>
      <x:c r="B1523" s="168" t="str">
        <x:v>BRIT FUNDO DE INVESTIMENTO EM DIREITOS CREDITÓRIOS</x:v>
      </x:c>
      <x:c r="C1523" s="190" t="n">
        <x:v>56680915.6</x:v>
      </x:c>
      <x:c r="D1523" s="168" t="str">
        <x:v>Multiplica Capital</x:v>
      </x:c>
      <x:c r="E1523" s="168" t="str">
        <x:f>IFERROR(INDEX('Classif Gestoras'!$H$6:$H$462,MATCH(D1523,'Classif Gestoras'!$A$6:$A$462,0)),"Não classificada")</x:f>
        <x:v>Independente</x:v>
      </x:c>
      <x:c r="F1523" s="168" t="str">
        <x:v>PLANNER CV</x:v>
      </x:c>
      <x:c r="G1523" s="168" t="str">
        <x:v>PLANNER CORRETORA DE VALORES S.A.</x:v>
      </x:c>
      <x:c r="H1523" s="168" t="str">
        <x:v>Outros</x:v>
      </x:c>
      <x:c r="I1523" s="168" t="str">
        <x:v>Multicarteira Outros</x:v>
      </x:c>
      <x:c r="J1523" s="168" t="str">
        <x:v>CI</x:v>
      </x:c>
      <x:c r="K1523" s="174" t="n">
        <x:v>3</x:v>
      </x:c>
      <x:c r="L1523" s="187" t="str">
        <x:v>Proxy multicedente/multissacado — revisar</x:v>
      </x:c>
    </x:row>
    <x:row r="1524">
      <x:c r="A1524" s="177" t="str">
        <x:v>53.358.983/0001-07</x:v>
      </x:c>
      <x:c r="B1524" s="168" t="str">
        <x:v>TRAPP FUNDO DE INVESTIMENTO EM DIREITOS CREDITÓRIOS INDUSTRIAIS DE RESPONSABILIDADE ILIMITADA</x:v>
      </x:c>
      <x:c r="C1524" s="190" t="n">
        <x:v>56519504.01</x:v>
      </x:c>
      <x:c r="D1524" s="168" t="str">
        <x:v>EuQueroInvestir Gestão de Recursos Ltda.</x:v>
      </x:c>
      <x:c r="E1524" s="168" t="str">
        <x:f>IFERROR(INDEX('Classif Gestoras'!$H$6:$H$462,MATCH(D1524,'Classif Gestoras'!$A$6:$A$462,0)),"Não classificada")</x:f>
        <x:v>Independente</x:v>
      </x:c>
      <x:c r="F1524" s="168" t="str">
        <x:v>BANCO DAYCOVAL S/A</x:v>
      </x:c>
      <x:c r="G1524" s="168" t="str">
        <x:v>BANCO DAYCOVAL S.A.</x:v>
      </x:c>
      <x:c r="H1524" s="168" t="str">
        <x:v>Agro, Indústria e Comércio</x:v>
      </x:c>
      <x:c r="I1524" s="168" t="str">
        <x:v>Recebíveis Comerciais</x:v>
      </x:c>
      <x:c r="J1524" s="168" t="str">
        <x:v>CI</x:v>
      </x:c>
      <x:c r="K1524" s="174" t="n">
        <x:v>5</x:v>
      </x:c>
      <x:c r="L1524" s="187" t="str">
        <x:v>Não classificado</x:v>
      </x:c>
    </x:row>
    <x:row r="1525">
      <x:c r="A1525" s="177" t="str">
        <x:v>08.930.397/0001-22</x:v>
      </x:c>
      <x:c r="B1525" s="168" t="str">
        <x:v>FUNDO DE INVESTIMENTO EM DIREITOS CREDITORIOS MULTISETORIAL PROSPECTA LP</x:v>
      </x:c>
      <x:c r="C1525" s="190" t="n">
        <x:v>56491907.30000002</x:v>
      </x:c>
      <x:c r="D1525" s="168" t="str">
        <x:v>Everest Capital</x:v>
      </x:c>
      <x:c r="E1525" s="168" t="str">
        <x:f>IFERROR(INDEX('Classif Gestoras'!$H$6:$H$462,MATCH(D1525,'Classif Gestoras'!$A$6:$A$462,0)),"Não classificada")</x:f>
        <x:v>Independente</x:v>
      </x:c>
      <x:c r="F1525" s="168" t="str">
        <x:v>Singulare</x:v>
      </x:c>
      <x:c r="G1525" s="168" t="str">
        <x:v>QI CORRETORA DE TÍTULOS E VALORES MOBILIÁRIOS S.A.</x:v>
      </x:c>
      <x:c r="H1525" s="168" t="str">
        <x:v>Fomento Mercantil</x:v>
      </x:c>
      <x:c r="I1525" s="168" t="str">
        <x:v>Fomento Mercantil</x:v>
      </x:c>
      <x:c r="J1525" s="168" t="str">
        <x:v>CI</x:v>
      </x:c>
      <x:c r="K1525" s="174" t="n">
        <x:v>10</x:v>
      </x:c>
      <x:c r="L1525" s="187" t="str">
        <x:v>Não classificado</x:v>
      </x:c>
    </x:row>
    <x:row r="1526">
      <x:c r="A1526" s="177" t="str">
        <x:v>36.566.311/0001-60</x:v>
      </x:c>
      <x:c r="B1526" s="168" t="str">
        <x:v>OBSIDE FUNDO DE INVESTIMENTO EM DIREITOS CREDITORIOS</x:v>
      </x:c>
      <x:c r="C1526" s="190" t="n">
        <x:v>56325648.96</x:v>
      </x:c>
      <x:c r="D1526" s="168" t="str">
        <x:v>PLANNER CV</x:v>
      </x:c>
      <x:c r="E1526" s="168" t="str">
        <x:f>IFERROR(INDEX('Classif Gestoras'!$H$6:$H$462,MATCH(D1526,'Classif Gestoras'!$A$6:$A$462,0)),"Não classificada")</x:f>
        <x:v>Independente</x:v>
      </x:c>
      <x:c r="F1526" s="168" t="str">
        <x:v>PLANNER CV</x:v>
      </x:c>
      <x:c r="G1526" s="168" t="str">
        <x:v>PLANNER CORRETORA DE VALORES S.A.</x:v>
      </x:c>
      <x:c r="H1526" s="168" t="str">
        <x:v>Outros</x:v>
      </x:c>
      <x:c r="I1526" s="168" t="str">
        <x:v>Multicarteira Outros</x:v>
      </x:c>
      <x:c r="J1526" s="168" t="str">
        <x:v>CI</x:v>
      </x:c>
      <x:c r="K1526" s="174" t="n">
        <x:v>1</x:v>
      </x:c>
      <x:c r="L1526" s="187" t="str">
        <x:v>Proxy multicedente/multissacado — revisar</x:v>
      </x:c>
    </x:row>
    <x:row r="1527">
      <x:c r="A1527" s="177" t="str">
        <x:v>30.332.581/0001-20</x:v>
      </x:c>
      <x:c r="B1527" s="168" t="str">
        <x:v>QUATA ARCEL NPL I FUNDO DE INVESTIMENTO EM DIREITOS CREDITORIOS NÃO PADRONIZADOS</x:v>
      </x:c>
      <x:c r="C1527" s="190" t="n">
        <x:v>56267422.38</x:v>
      </x:c>
      <x:c r="D1527" s="168" t="str">
        <x:v>Quatá Investimentos</x:v>
      </x:c>
      <x:c r="E1527" s="168" t="str">
        <x:f>IFERROR(INDEX('Classif Gestoras'!$H$6:$H$462,MATCH(D1527,'Classif Gestoras'!$A$6:$A$462,0)),"Não classificada")</x:f>
        <x:v>Independente</x:v>
      </x:c>
      <x:c r="F1527" s="168" t="str">
        <x:v>Singulare</x:v>
      </x:c>
      <x:c r="G1527" s="168" t="str">
        <x:v>QI CORRETORA DE TÍTULOS E VALORES MOBILIÁRIOS S.A.</x:v>
      </x:c>
      <x:c r="H1527" s="168" t="str">
        <x:v>Outros</x:v>
      </x:c>
      <x:c r="I1527" s="168" t="str">
        <x:v>Multicarteira Outros</x:v>
      </x:c>
      <x:c r="J1527" s="168" t="str">
        <x:v>CI</x:v>
      </x:c>
      <x:c r="K1527" s="174" t="n">
        <x:v>2</x:v>
      </x:c>
      <x:c r="L1527" s="187" t="str">
        <x:v>Proxy multicedente/multissacado — revisar</x:v>
      </x:c>
    </x:row>
    <x:row r="1528">
      <x:c r="A1528" s="177" t="str">
        <x:v>41.575.962/0001-56</x:v>
      </x:c>
      <x:c r="B1528" s="168" t="str">
        <x:v>HAWK FUNDO DE INVESTIMENTO EM DIREITOS CREDITÓRIOS NÃO PADRONIZADOS</x:v>
      </x:c>
      <x:c r="C1528" s="190" t="n">
        <x:v>56255595.58999999</x:v>
      </x:c>
      <x:c r="D1528" s="168" t="str">
        <x:v>Everest Capital</x:v>
      </x:c>
      <x:c r="E1528" s="168" t="str">
        <x:f>IFERROR(INDEX('Classif Gestoras'!$H$6:$H$462,MATCH(D1528,'Classif Gestoras'!$A$6:$A$462,0)),"Não classificada")</x:f>
        <x:v>Independente</x:v>
      </x:c>
      <x:c r="F1528" s="168" t="str">
        <x:v>Singulare</x:v>
      </x:c>
      <x:c r="G1528" s="168" t="str">
        <x:v>TERRA INVESTIMENTOS DISTRIBUIDORA DE TITULOS E VALORES MOBILIARIOS LTDA</x:v>
      </x:c>
      <x:c r="H1528" s="168" t="str">
        <x:v>Outros</x:v>
      </x:c>
      <x:c r="I1528" s="168" t="str">
        <x:v>Multicarteira Outros</x:v>
      </x:c>
      <x:c r="J1528" s="168" t="str">
        <x:v>CI</x:v>
      </x:c>
      <x:c r="K1528" s="174" t="n">
        <x:v>24</x:v>
      </x:c>
      <x:c r="L1528" s="187" t="str">
        <x:v>Proxy multicedente/multissacado — revisar</x:v>
      </x:c>
    </x:row>
    <x:row r="1529">
      <x:c r="A1529" s="177" t="str">
        <x:v>41.575.924/0001-01</x:v>
      </x:c>
      <x:c r="B1529" s="168" t="str">
        <x:v>FINANCE ASSET FUNDO DE INVESTIMENTO EM DIREITOS CREDITÓRIOS NÃO PADRONIZADOS</x:v>
      </x:c>
      <x:c r="C1529" s="190" t="n">
        <x:v>56051032.080000006</x:v>
      </x:c>
      <x:c r="D1529" s="168" t="str">
        <x:v>ASSET MANAGEMENT</x:v>
      </x:c>
      <x:c r="E1529" s="168" t="str">
        <x:f>IFERROR(INDEX('Classif Gestoras'!$H$6:$H$462,MATCH(D1529,'Classif Gestoras'!$A$6:$A$462,0)),"Não classificada")</x:f>
        <x:v>Independente</x:v>
      </x:c>
      <x:c r="F1529" s="168" t="str">
        <x:v>AZUMI DISTRIBUIDORA DE TÍTULOS E VALORES MOBILIÁRIOS LT</x:v>
      </x:c>
      <x:c r="G1529" s="168" t="str">
        <x:v>AZUMI DISTRIBUIDORA DE TÍTULOS E VALORES MOBILIÁRIOS LTDA.</x:v>
      </x:c>
      <x:c r="H1529" s="168" t="str">
        <x:v>Outros</x:v>
      </x:c>
      <x:c r="I1529" s="168" t="str">
        <x:v>Multicarteira Outros</x:v>
      </x:c>
      <x:c r="J1529" s="168" t="str">
        <x:v>CI</x:v>
      </x:c>
      <x:c r="K1529" s="174" t="n">
        <x:v>4</x:v>
      </x:c>
      <x:c r="L1529" s="187" t="str">
        <x:v>Proxy multicedente/multissacado — revisar</x:v>
      </x:c>
    </x:row>
    <x:row r="1530">
      <x:c r="A1530" s="177" t="str">
        <x:v>47.293.897/0001-52</x:v>
      </x:c>
      <x:c r="B1530" s="168" t="str">
        <x:v>SPECIALE MILENIO MASTER FUNDO DE INVESTIMENTO EM DIREITOS CREDITÓRIOS RESPONSABILIDADE LIMITADA</x:v>
      </x:c>
      <x:c r="C1530" s="190" t="n">
        <x:v>55945725.5536</x:v>
      </x:c>
      <x:c r="D1530" s="168" t="str">
        <x:v>Milênio Capital</x:v>
      </x:c>
      <x:c r="E1530" s="168" t="str">
        <x:f>IFERROR(INDEX('Classif Gestoras'!$H$6:$H$462,MATCH(D1530,'Classif Gestoras'!$A$6:$A$462,0)),"Não classificada")</x:f>
        <x:v>Independente</x:v>
      </x:c>
      <x:c r="F1530" s="168" t="str">
        <x:v>BTG Pactual Servicos Financeiros S/A DTVM</x:v>
      </x:c>
      <x:c r="G1530" s="168" t="str">
        <x:v>BANCO BTG PACTUAL S/A</x:v>
      </x:c>
      <x:c r="H1530" s="168" t="str">
        <x:v>Outros</x:v>
      </x:c>
      <x:c r="I1530" s="168" t="str">
        <x:v>Multicarteira Outros</x:v>
      </x:c>
      <x:c r="J1530" s="168" t="str">
        <x:v>CI</x:v>
      </x:c>
      <x:c r="K1530" s="174" t="n">
        <x:v>1</x:v>
      </x:c>
      <x:c r="L1530" s="187" t="str">
        <x:v>Proxy multicedente/multissacado — revisar</x:v>
      </x:c>
    </x:row>
    <x:row r="1531">
      <x:c r="A1531" s="177" t="str">
        <x:v>61.134.294/0001-39</x:v>
      </x:c>
      <x:c r="B1531" s="168" t="str">
        <x:v>SANTA CLARA FUNDO DE INVESTIMENTO EM DIREITOS CREDITÓRIOS DE RESPONSABILIDADE LIMITADA</x:v>
      </x:c>
      <x:c r="C1531" s="190" t="n">
        <x:v>55840087.22</x:v>
      </x:c>
      <x:c r="D1531" s="168" t="str">
        <x:v>Plural Investimentos Gestão de Recursos Ltda.</x:v>
      </x:c>
      <x:c r="E1531" s="168" t="str">
        <x:f>IFERROR(INDEX('Classif Gestoras'!$H$6:$H$462,MATCH(D1531,'Classif Gestoras'!$A$6:$A$462,0)),"Não classificada")</x:f>
        <x:v>Ligada a banco</x:v>
      </x:c>
      <x:c r="F1531" s="168" t="str">
        <x:v>Genial Investimentos Corretora de Valores Mobiliários S.A.</x:v>
      </x:c>
      <x:c r="G1531" s="168" t="str">
        <x:v>BANCO GENIAL S.A.</x:v>
      </x:c>
      <x:c r="H1531" s="168" t="str">
        <x:v>Outros</x:v>
      </x:c>
      <x:c r="I1531" s="168" t="str">
        <x:v>Multicarteira Outros</x:v>
      </x:c>
      <x:c r="J1531" s="168" t="str">
        <x:v>CI</x:v>
      </x:c>
      <x:c r="K1531" s="174" t="n">
        <x:v>36</x:v>
      </x:c>
      <x:c r="L1531" s="187" t="str">
        <x:v>Proxy multicedente/multissacado — revisar</x:v>
      </x:c>
    </x:row>
    <x:row r="1532">
      <x:c r="A1532" s="177" t="str">
        <x:v>57.340.272/0001-58</x:v>
      </x:c>
      <x:c r="B1532" s="168" t="str">
        <x:v>ESTÍMULO RETOMADA RIO GRANDE DO SUL FIDC IS DE RESPONSABILIDADE LIMITADA</x:v>
      </x:c>
      <x:c r="C1532" s="190" t="n">
        <x:v>55685715.48</x:v>
      </x:c>
      <x:c r="D1532" s="168" t="str">
        <x:v>Galápagos</x:v>
      </x:c>
      <x:c r="E1532" s="168" t="str">
        <x:f>IFERROR(INDEX('Classif Gestoras'!$H$6:$H$462,MATCH(D1532,'Classif Gestoras'!$A$6:$A$462,0)),"Não classificada")</x:f>
        <x:v>Independente</x:v>
      </x:c>
      <x:c r="F1532" s="168" t="str">
        <x:v>Singulare</x:v>
      </x:c>
      <x:c r="G1532" s="168" t="str">
        <x:v>QI CORRETORA DE TÍTULOS E VALORES MOBILIÁRIOS S.A.</x:v>
      </x:c>
      <x:c r="H1532" s="168" t="str">
        <x:v>Outros</x:v>
      </x:c>
      <x:c r="I1532" s="168" t="str">
        <x:v>Multicarteira Outros</x:v>
      </x:c>
      <x:c r="J1532" s="168" t="str">
        <x:v>CI</x:v>
      </x:c>
      <x:c r="K1532" s="174" t="n">
        <x:v>8</x:v>
      </x:c>
      <x:c r="L1532" s="187" t="str">
        <x:v>Proxy multicedente/multissacado — revisar</x:v>
      </x:c>
    </x:row>
    <x:row r="1533">
      <x:c r="A1533" s="177" t="str">
        <x:v>40.676.423/0001-40</x:v>
      </x:c>
      <x:c r="B1533" s="168" t="str">
        <x:v>ADJUD I FUNDO DE INVESTIMENTOS EM DIREITOS CREDITÓRIOS</x:v>
      </x:c>
      <x:c r="C1533" s="190" t="n">
        <x:v>55663843.13</x:v>
      </x:c>
      <x:c r="D1533" s="168" t="str">
        <x:v>Vista Real Estate</x:v>
      </x:c>
      <x:c r="E1533" s="168" t="str">
        <x:f>IFERROR(INDEX('Classif Gestoras'!$H$6:$H$462,MATCH(D1533,'Classif Gestoras'!$A$6:$A$462,0)),"Não classificada")</x:f>
        <x:v>Independente</x:v>
      </x:c>
      <x:c r="F1533" s="168" t="str">
        <x:v>BRL TRUST DTVM</x:v>
      </x:c>
      <x:c r="G1533" s="168" t="str">
        <x:v>BRL TRUST DISTRIBUIDORA DE TITULOS E VALORES MOBILIARIOS S.A.</x:v>
      </x:c>
      <x:c r="H1533" s="168" t="str">
        <x:v>Outros</x:v>
      </x:c>
      <x:c r="I1533" s="168" t="str">
        <x:v>Poder Público</x:v>
      </x:c>
      <x:c r="J1533" s="168" t="str">
        <x:v>CI</x:v>
      </x:c>
      <x:c r="K1533" s="174" t="n">
        <x:v>29</x:v>
      </x:c>
      <x:c r="L1533" s="187" t="str">
        <x:v>Não classificado</x:v>
      </x:c>
    </x:row>
    <x:row r="1534">
      <x:c r="A1534" s="177" t="str">
        <x:v>54.994.858/0001-48</x:v>
      </x:c>
      <x:c r="B1534" s="168" t="str">
        <x:v>MILÊNIO PFN FUNDO DE INVESTIMENTO EM DIREITOS CREDITÓRIOS DE RESPONSABILIDADE LIMITADA</x:v>
      </x:c>
      <x:c r="C1534" s="190" t="n">
        <x:v>55624360.29000001</x:v>
      </x:c>
      <x:c r="D1534" s="168" t="str">
        <x:v>Milênio Capital</x:v>
      </x:c>
      <x:c r="E1534" s="168" t="str">
        <x:f>IFERROR(INDEX('Classif Gestoras'!$H$6:$H$462,MATCH(D1534,'Classif Gestoras'!$A$6:$A$462,0)),"Não classificada")</x:f>
        <x:v>Independente</x:v>
      </x:c>
      <x:c r="F1534" s="168" t="str">
        <x:v>BANCO DAYCOVAL S/A</x:v>
      </x:c>
      <x:c r="G1534" s="168" t="str">
        <x:v>BANCO DAYCOVAL S.A.</x:v>
      </x:c>
      <x:c r="H1534" s="168" t="str">
        <x:v>Outros</x:v>
      </x:c>
      <x:c r="I1534" s="168" t="str">
        <x:v>Multicarteira Outros</x:v>
      </x:c>
      <x:c r="J1534" s="168" t="str">
        <x:v>CI</x:v>
      </x:c>
      <x:c r="K1534" s="174" t="n">
        <x:v>2</x:v>
      </x:c>
      <x:c r="L1534" s="187" t="str">
        <x:v>Proxy multicedente/multissacado — revisar</x:v>
      </x:c>
    </x:row>
    <x:row r="1535">
      <x:c r="A1535" s="177" t="str">
        <x:v>63.492.452/0001-58</x:v>
      </x:c>
      <x:c r="B1535" s="168" t="str">
        <x:v>CERUS NP FUNDO DE INVESTIMENTO EM DIREITOS CREDITÓRIOS</x:v>
      </x:c>
      <x:c r="C1535" s="190" t="n">
        <x:v>55619443.67999999</x:v>
      </x:c>
      <x:c r="D1535" s="168" t="str">
        <x:v>POLÍGONO CAPITAL LTDA.</x:v>
      </x:c>
      <x:c r="E1535" s="168" t="str">
        <x:f>IFERROR(INDEX('Classif Gestoras'!$H$6:$H$462,MATCH(D1535,'Classif Gestoras'!$A$6:$A$462,0)),"Não classificada")</x:f>
        <x:v>Independente</x:v>
      </x:c>
      <x:c r="F1535" s="168" t="str">
        <x:v>FIDD DISTRIBUIDORA DE TITULOS E VALORES MOBILIARIOS LTD</x:v>
      </x:c>
      <x:c r="G1535" s="168" t="str">
        <x:v>FIDD DISTRIBUIDORA DE TITULOS E VALORES MOBILIARIOS LTDA.</x:v>
      </x:c>
      <x:c r="H1535" s="168" t="str">
        <x:v>Agro, Indústria e Comércio</x:v>
      </x:c>
      <x:c r="I1535" s="168" t="str">
        <x:v>Recebíveis Comerciais</x:v>
      </x:c>
      <x:c r="J1535" s="168" t="str">
        <x:v>CI</x:v>
      </x:c>
      <x:c r="K1535" s="174" t="n">
        <x:v>16</x:v>
      </x:c>
      <x:c r="L1535" s="187" t="str">
        <x:v>Não classificado</x:v>
      </x:c>
    </x:row>
    <x:row r="1536">
      <x:c r="A1536" s="177" t="str">
        <x:v>40.782.833/0001-76</x:v>
      </x:c>
      <x:c r="B1536" s="168" t="str">
        <x:v>FUNDO DE INVESTIMENTO EM DIREITOS CREDITORIOS GO KENERSON RESPONSABILIDADE LIMITADA</x:v>
      </x:c>
      <x:c r="C1536" s="190" t="n">
        <x:v>55608463.91826999</x:v>
      </x:c>
      <x:c r="D1536" s="168" t="str">
        <x:v>Multiplica Capital</x:v>
      </x:c>
      <x:c r="E1536" s="168" t="str">
        <x:f>IFERROR(INDEX('Classif Gestoras'!$H$6:$H$462,MATCH(D1536,'Classif Gestoras'!$A$6:$A$462,0)),"Não classificada")</x:f>
        <x:v>Independente</x:v>
      </x:c>
      <x:c r="F1536" s="168" t="str">
        <x:v>Singulare</x:v>
      </x:c>
      <x:c r="G1536" s="168" t="str">
        <x:v>QI CORRETORA DE TÍTULOS E VALORES MOBILIÁRIOS S.A.</x:v>
      </x:c>
      <x:c r="H1536" s="168" t="str">
        <x:v>Fomento Mercantil</x:v>
      </x:c>
      <x:c r="I1536" s="168" t="str">
        <x:v>Fomento Mercantil</x:v>
      </x:c>
      <x:c r="J1536" s="168" t="str">
        <x:v>CI</x:v>
      </x:c>
      <x:c r="K1536" s="174" t="n">
        <x:v>12</x:v>
      </x:c>
      <x:c r="L1536" s="187" t="str">
        <x:v>Não classificado</x:v>
      </x:c>
    </x:row>
    <x:row r="1537">
      <x:c r="A1537" s="177" t="str">
        <x:v>45.953.246/0001-16</x:v>
      </x:c>
      <x:c r="B1537" s="168" t="str">
        <x:v>RUMOS DISTRIBUIDORA DE PETRÓLEO FUNDO DE INVESTIMENTO EM DIREITOS CREDITÓRIOS</x:v>
      </x:c>
      <x:c r="C1537" s="190" t="n">
        <x:v>55579531.4</x:v>
      </x:c>
      <x:c r="D1537" s="168" t="str">
        <x:v>VALORA RENDA FIXA LTDA.</x:v>
      </x:c>
      <x:c r="E1537" s="168" t="str">
        <x:f>IFERROR(INDEX('Classif Gestoras'!$H$6:$H$462,MATCH(D1537,'Classif Gestoras'!$A$6:$A$462,0)),"Não classificada")</x:f>
        <x:v>Independente</x:v>
      </x:c>
      <x:c r="F1537" s="168" t="str">
        <x:v>Banco Genial S.A.</x:v>
      </x:c>
      <x:c r="G1537" s="168" t="str">
        <x:v>BANCO GENIAL S.A.</x:v>
      </x:c>
      <x:c r="H1537" s="168" t="str">
        <x:v>Agro, Indústria e Comércio</x:v>
      </x:c>
      <x:c r="I1537" s="168" t="str">
        <x:v>Recebíveis Comerciais</x:v>
      </x:c>
      <x:c r="J1537" s="168" t="str">
        <x:v>CI</x:v>
      </x:c>
      <x:c r="K1537" s="174" t="n">
        <x:v>1</x:v>
      </x:c>
      <x:c r="L1537" s="187" t="str">
        <x:v>Não classificado</x:v>
      </x:c>
    </x:row>
    <x:row r="1538">
      <x:c r="A1538" s="177" t="str">
        <x:v>47.629.727/0001-04</x:v>
      </x:c>
      <x:c r="B1538" s="168" t="str">
        <x:v>CORES I FUNDO DE INVESTIMENTO EM DIREITOS CREDITÓRIOS</x:v>
      </x:c>
      <x:c r="C1538" s="190" t="n">
        <x:v>55550221.620000005</x:v>
      </x:c>
      <x:c r="D1538" s="168" t="str">
        <x:v>SUESTE CAPITAL GESTÃO DE RECURSOS LTDA.</x:v>
      </x:c>
      <x:c r="E1538" s="168" t="str">
        <x:f>IFERROR(INDEX('Classif Gestoras'!$H$6:$H$462,MATCH(D1538,'Classif Gestoras'!$A$6:$A$462,0)),"Não classificada")</x:f>
        <x:v>Independente</x:v>
      </x:c>
      <x:c r="F1538" s="168" t="str">
        <x:v>XPI CCTVM S/A</x:v>
      </x:c>
      <x:c r="G1538" s="168" t="str">
        <x:v>OLIVEIRA TRUST DTVM S.A.</x:v>
      </x:c>
      <x:c r="H1538" s="168" t="str">
        <x:v>Financeiro</x:v>
      </x:c>
      <x:c r="I1538" s="168" t="str">
        <x:v>Crédito Pessoal</x:v>
      </x:c>
      <x:c r="J1538" s="168" t="str">
        <x:v>CI</x:v>
      </x:c>
      <x:c r="K1538" s="174" t="n">
        <x:v>1</x:v>
      </x:c>
      <x:c r="L1538" s="187" t="str">
        <x:v>Não classificado</x:v>
      </x:c>
    </x:row>
    <x:row r="1539">
      <x:c r="A1539" s="177" t="str">
        <x:v>55.586.406/0001-90</x:v>
      </x:c>
      <x:c r="B1539" s="168" t="str">
        <x:v>LEPTA SPECIAL FUNDO DE INVESTIMENTO EM DIREITOS CREDITÓRIOS</x:v>
      </x:c>
      <x:c r="C1539" s="190" t="n">
        <x:v>55536169.17</x:v>
      </x:c>
      <x:c r="D1539" s="168" t="str">
        <x:v>M8 Partners</x:v>
      </x:c>
      <x:c r="E1539" s="168" t="str">
        <x:f>IFERROR(INDEX('Classif Gestoras'!$H$6:$H$462,MATCH(D1539,'Classif Gestoras'!$A$6:$A$462,0)),"Não classificada")</x:f>
        <x:v>Independente</x:v>
      </x:c>
      <x:c r="F1539" s="168" t="str">
        <x:v>HEMERA DTVM</x:v>
      </x:c>
      <x:c r="G1539" s="168" t="str">
        <x:v>HEMERA DISTRIBUIDORA DE TITULOS E VALORES MOBILIARIOS LTDA</x:v>
      </x:c>
      <x:c r="H1539" s="168" t="str">
        <x:v>Financeiro</x:v>
      </x:c>
      <x:c r="I1539" s="168" t="str">
        <x:v>Multicarteira Financeiro</x:v>
      </x:c>
      <x:c r="J1539" s="168" t="str">
        <x:v>CI</x:v>
      </x:c>
      <x:c r="K1539" s="174" t="n">
        <x:v>21</x:v>
      </x:c>
      <x:c r="L1539" s="187" t="str">
        <x:v>Proxy multicedente/multissacado — revisar</x:v>
      </x:c>
    </x:row>
    <x:row r="1540">
      <x:c r="A1540" s="177" t="str">
        <x:v>63.677.254/0001-69</x:v>
      </x:c>
      <x:c r="B1540" s="168" t="str">
        <x:v>LC2M FUNDO DE INVESTIMENTO EM DIREITOS CREDITÓRIOS - DE RESPONSABILIDADE LIMITADA</x:v>
      </x:c>
      <x:c r="C1540" s="190" t="n">
        <x:v>55440887.54</x:v>
      </x:c>
      <x:c r="D1540" s="168" t="str">
        <x:v>Éxes</x:v>
      </x:c>
      <x:c r="E1540" s="168" t="str">
        <x:f>IFERROR(INDEX('Classif Gestoras'!$H$6:$H$462,MATCH(D1540,'Classif Gestoras'!$A$6:$A$462,0)),"Não classificada")</x:f>
        <x:v>Independente</x:v>
      </x:c>
      <x:c r="F1540" s="168" t="str">
        <x:v>Oliveira Trust DTVM</x:v>
      </x:c>
      <x:c r="G1540" s="168" t="str">
        <x:v>OLIVEIRA TRUST DTVM S.A.</x:v>
      </x:c>
      <x:c r="H1540" s="168" t="str">
        <x:v>Agro, Indústria e Comércio</x:v>
      </x:c>
      <x:c r="I1540" s="168" t="str">
        <x:v>Crédito Corporativo</x:v>
      </x:c>
      <x:c r="J1540" s="168" t="str">
        <x:v>CI</x:v>
      </x:c>
      <x:c r="K1540" s="174" t="n">
        <x:v>5</x:v>
      </x:c>
      <x:c r="L1540" s="187" t="str">
        <x:v>Não classificado</x:v>
      </x:c>
    </x:row>
    <x:row r="1541">
      <x:c r="A1541" s="177" t="str">
        <x:v>55.074.368/0001-96</x:v>
      </x:c>
      <x:c r="B1541" s="168" t="str">
        <x:v>PRIMATO FUNDO DE INVESTIMENTO EM DIREITOS CREDITÓRIOS DO AGRONEGÓCIO DE RESPONSABILIDADE LIMITADA</x:v>
      </x:c>
      <x:c r="C1541" s="190" t="n">
        <x:v>55391761.23</x:v>
      </x:c>
      <x:c r="D1541" s="168" t="str">
        <x:v>Kanastra</x:v>
      </x:c>
      <x:c r="E1541" s="168" t="str">
        <x:f>IFERROR(INDEX('Classif Gestoras'!$H$6:$H$462,MATCH(D1541,'Classif Gestoras'!$A$6:$A$462,0)),"Não classificada")</x:f>
        <x:v>Independente</x:v>
      </x:c>
      <x:c r="F1541" s="168" t="str">
        <x:v>Limine Trust Distribuidora de Titulos e Valores Mobiliá</x:v>
      </x:c>
      <x:c r="G1541" s="168" t="str">
        <x:v>LIMINE TRUST DISTRIBUIDORA DE TITULOS E VALORES MOBILIARIOS LTDA.</x:v>
      </x:c>
      <x:c r="H1541" s="168" t="str">
        <x:v>Agro, Indústria e Comércio</x:v>
      </x:c>
      <x:c r="I1541" s="168" t="str">
        <x:v>Recebíveis Comerciais</x:v>
      </x:c>
      <x:c r="J1541" s="168" t="str">
        <x:v>CI</x:v>
      </x:c>
      <x:c r="K1541" s="174" t="n">
        <x:v>2</x:v>
      </x:c>
      <x:c r="L1541" s="187" t="str">
        <x:v>Não classificado</x:v>
      </x:c>
    </x:row>
    <x:row r="1542">
      <x:c r="A1542" s="177" t="str">
        <x:v>57.334.752/0001-06</x:v>
      </x:c>
      <x:c r="B1542" s="168" t="str">
        <x:v>DOLPHIN FUNDO DE INVESTIMENTO EM DIREITOS CREDITÓRIOS - RESPONSABILIDADE LIMITADA</x:v>
      </x:c>
      <x:c r="C1542" s="190" t="n">
        <x:v>55199761.08</x:v>
      </x:c>
      <x:c r="D1542" s="168" t="str">
        <x:v>JIVE INVESTMENTS</x:v>
      </x:c>
      <x:c r="E1542" s="168" t="str">
        <x:f>IFERROR(INDEX('Classif Gestoras'!$H$6:$H$462,MATCH(D1542,'Classif Gestoras'!$A$6:$A$462,0)),"Não classificada")</x:f>
        <x:v>Independente</x:v>
      </x:c>
      <x:c r="F1542" s="168" t="str">
        <x:v>MAF Distribuidora de Títulos e Valores Mobiliários S.A.</x:v>
      </x:c>
      <x:c r="G1542" s="168" t="str">
        <x:v>MAF DISTRIBUIDORA DE TITULOS E VALORES MOBILIARIOS S.A.</x:v>
      </x:c>
      <x:c r="H1542" s="168" t="str">
        <x:v>Outros</x:v>
      </x:c>
      <x:c r="I1542" s="168" t="str">
        <x:v>Recuperação</x:v>
      </x:c>
      <x:c r="J1542" s="168" t="str">
        <x:v>CI</x:v>
      </x:c>
      <x:c r="K1542" s="174" t="n">
        <x:v>4</x:v>
      </x:c>
      <x:c r="L1542" s="187" t="str">
        <x:v>Não classificado</x:v>
      </x:c>
    </x:row>
    <x:row r="1543">
      <x:c r="A1543" s="177" t="str">
        <x:v>66.886.906/0001-63</x:v>
      </x:c>
      <x:c r="B1543" s="168" t="str">
        <x:v>CNPJ 66886906000163</x:v>
      </x:c>
      <x:c r="C1543" s="190" t="n">
        <x:v>55170314.650000006</x:v>
      </x:c>
      <x:c r="D1543" s="168" t="str">
        <x:v>CVPAR Investimentos ltda</x:v>
      </x:c>
      <x:c r="E1543" s="168" t="str">
        <x:f>IFERROR(INDEX('Classif Gestoras'!$H$6:$H$462,MATCH(D1543,'Classif Gestoras'!$A$6:$A$462,0)),"Não classificada")</x:f>
        <x:v>Independente</x:v>
      </x:c>
      <x:c r="F1543" s="168" t="str">
        <x:v>Singulare</x:v>
      </x:c>
      <x:c r="G1543" s="168" t="str">
        <x:v>Não identificado</x:v>
      </x:c>
      <x:c r="H1543" s="168" t="str">
        <x:v>Outros</x:v>
      </x:c>
      <x:c r="I1543" s="168" t="str">
        <x:v>Multicarteira Outros</x:v>
      </x:c>
      <x:c r="J1543" s="168" t="str">
        <x:v>CI</x:v>
      </x:c>
      <x:c r="K1543" s="174"/>
      <x:c r="L1543" s="187" t="str">
        <x:v>Proxy multicedente/multissacado — revisar</x:v>
      </x:c>
    </x:row>
    <x:row r="1544">
      <x:c r="A1544" s="177" t="str">
        <x:v>50.434.429/0001-65</x:v>
      </x:c>
      <x:c r="B1544" s="168" t="str">
        <x:v>ALVORADA I FUNDO DE INVESTIMENTO EM DIREITOS CREDITÓRIOS</x:v>
      </x:c>
      <x:c r="C1544" s="190" t="n">
        <x:v>55154535.67</x:v>
      </x:c>
      <x:c r="D1544" s="168" t="str">
        <x:v>BS2 ASSET MANAGEMENT – ADMINISTRADORA DE RECURSOS LTDA.</x:v>
      </x:c>
      <x:c r="E1544" s="168" t="str">
        <x:f>IFERROR(INDEX('Classif Gestoras'!$H$6:$H$462,MATCH(D1544,'Classif Gestoras'!$A$6:$A$462,0)),"Não classificada")</x:f>
        <x:v>Independente</x:v>
      </x:c>
      <x:c r="F1544" s="168" t="str">
        <x:v>Singulare</x:v>
      </x:c>
      <x:c r="G1544" s="168" t="str">
        <x:v>QI CORRETORA DE TÍTULOS E VALORES MOBILIÁRIOS S.A.</x:v>
      </x:c>
      <x:c r="H1544" s="168" t="str">
        <x:v>Fomento Mercantil</x:v>
      </x:c>
      <x:c r="I1544" s="168" t="str">
        <x:v>Fomento Mercantil</x:v>
      </x:c>
      <x:c r="J1544" s="168" t="str">
        <x:v>CI</x:v>
      </x:c>
      <x:c r="K1544" s="174" t="n">
        <x:v>16</x:v>
      </x:c>
      <x:c r="L1544" s="187" t="str">
        <x:v>Não classificado</x:v>
      </x:c>
    </x:row>
    <x:row r="1545">
      <x:c r="A1545" s="177" t="str">
        <x:v>58.114.311/0001-61</x:v>
      </x:c>
      <x:c r="B1545" s="168" t="str">
        <x:v>CORAL FUNDO DE INVESTIMENTO EM DIREITOS CREDITÓRIOS</x:v>
      </x:c>
      <x:c r="C1545" s="190" t="n">
        <x:v>54986740.489999995</x:v>
      </x:c>
      <x:c r="D1545" s="168" t="str">
        <x:v>Kanastra</x:v>
      </x:c>
      <x:c r="E1545" s="168" t="str">
        <x:f>IFERROR(INDEX('Classif Gestoras'!$H$6:$H$462,MATCH(D1545,'Classif Gestoras'!$A$6:$A$462,0)),"Não classificada")</x:f>
        <x:v>Independente</x:v>
      </x:c>
      <x:c r="F1545" s="168" t="str">
        <x:v>Limine Trust Distribuidora de Titulos e Valores Mobiliá</x:v>
      </x:c>
      <x:c r="G1545" s="168" t="str">
        <x:v>LIMINE TRUST DISTRIBUIDORA DE TITULOS E VALORES MOBILIARIOS LTDA.</x:v>
      </x:c>
      <x:c r="H1545" s="168" t="str">
        <x:v>Outros</x:v>
      </x:c>
      <x:c r="I1545" s="168" t="str">
        <x:v>Multicarteira Outros</x:v>
      </x:c>
      <x:c r="J1545" s="168" t="str">
        <x:v>CI</x:v>
      </x:c>
      <x:c r="K1545" s="174" t="n">
        <x:v>1</x:v>
      </x:c>
      <x:c r="L1545" s="187" t="str">
        <x:v>Proxy multicedente/multissacado — revisar</x:v>
      </x:c>
    </x:row>
    <x:row r="1546">
      <x:c r="A1546" s="177" t="str">
        <x:v>12.712.606/0001-39</x:v>
      </x:c>
      <x:c r="B1546" s="168" t="str">
        <x:v>IGUANA FUNDO DE INVESTIMENTO EM DIREITOS CREDITÓRIOS</x:v>
      </x:c>
      <x:c r="C1546" s="190" t="n">
        <x:v>54977630.18</x:v>
      </x:c>
      <x:c r="D1546" s="168" t="str">
        <x:v>TERCON ASSET MANAGEMENT</x:v>
      </x:c>
      <x:c r="E1546" s="168" t="str">
        <x:f>IFERROR(INDEX('Classif Gestoras'!$H$6:$H$462,MATCH(D1546,'Classif Gestoras'!$A$6:$A$462,0)),"Não classificada")</x:f>
        <x:v>Independente</x:v>
      </x:c>
      <x:c r="F1546" s="168" t="str">
        <x:v>Singulare</x:v>
      </x:c>
      <x:c r="G1546" s="168" t="str">
        <x:v>QI CORRETORA DE TÍTULOS E VALORES MOBILIÁRIOS S.A.</x:v>
      </x:c>
      <x:c r="H1546" s="168" t="str">
        <x:v>Fomento Mercantil</x:v>
      </x:c>
      <x:c r="I1546" s="168" t="str">
        <x:v>Fomento Mercantil</x:v>
      </x:c>
      <x:c r="J1546" s="168" t="str">
        <x:v>CI</x:v>
      </x:c>
      <x:c r="K1546" s="174" t="n">
        <x:v>1</x:v>
      </x:c>
      <x:c r="L1546" s="187" t="str">
        <x:v>Não classificado</x:v>
      </x:c>
    </x:row>
    <x:row r="1547">
      <x:c r="A1547" s="177" t="str">
        <x:v>53.205.572/0001-73</x:v>
      </x:c>
      <x:c r="B1547" s="168" t="str">
        <x:v>PEDRA AZUL FUNDO DE INVESTIMENTO EM DIREITOS CREDITÓRIOS</x:v>
      </x:c>
      <x:c r="C1547" s="190" t="n">
        <x:v>54890368.39</x:v>
      </x:c>
      <x:c r="D1547" s="168" t="str">
        <x:v>REAG LEGAL CLAIMS GESTÃO DE ATIVOS</x:v>
      </x:c>
      <x:c r="E1547" s="168" t="str">
        <x:f>IFERROR(INDEX('Classif Gestoras'!$H$6:$H$462,MATCH(D1547,'Classif Gestoras'!$A$6:$A$462,0)),"Não classificada")</x:f>
        <x:v>Independente</x:v>
      </x:c>
      <x:c r="F1547" s="168" t="str">
        <x:v>PLANNER CV</x:v>
      </x:c>
      <x:c r="G1547" s="168" t="str">
        <x:v>PLANNER CORRETORA DE VALORES S.A.</x:v>
      </x:c>
      <x:c r="H1547" s="168" t="str">
        <x:v>Outros</x:v>
      </x:c>
      <x:c r="I1547" s="168" t="str">
        <x:v>Multicarteira Outros</x:v>
      </x:c>
      <x:c r="J1547" s="168" t="str">
        <x:v>CI</x:v>
      </x:c>
      <x:c r="K1547" s="174" t="n">
        <x:v>26</x:v>
      </x:c>
      <x:c r="L1547" s="187" t="str">
        <x:v>Proxy multicedente/multissacado — revisar</x:v>
      </x:c>
    </x:row>
    <x:row r="1548">
      <x:c r="A1548" s="177" t="str">
        <x:v>31.772.126/0001-08</x:v>
      </x:c>
      <x:c r="B1548" s="168" t="str">
        <x:v>IRLA FUNDO DE INVESTIMENTO EM DIREITOS CREDITORIOS MULTISSETORIAL</x:v>
      </x:c>
      <x:c r="C1548" s="190" t="n">
        <x:v>54820486.37</x:v>
      </x:c>
      <x:c r="D1548" s="168" t="str">
        <x:v>OURO PRETO INVESTIMENTOS</x:v>
      </x:c>
      <x:c r="E1548" s="168" t="str">
        <x:f>IFERROR(INDEX('Classif Gestoras'!$H$6:$H$462,MATCH(D1548,'Classif Gestoras'!$A$6:$A$462,0)),"Não classificada")</x:f>
        <x:v>Independente</x:v>
      </x:c>
      <x:c r="F1548" s="168" t="str">
        <x:v>Singulare</x:v>
      </x:c>
      <x:c r="G1548" s="168" t="str">
        <x:v>QI CORRETORA DE TÍTULOS E VALORES MOBILIÁRIOS S.A.</x:v>
      </x:c>
      <x:c r="H1548" s="168" t="str">
        <x:v>Fomento Mercantil</x:v>
      </x:c>
      <x:c r="I1548" s="168" t="str">
        <x:v>Fomento Mercantil</x:v>
      </x:c>
      <x:c r="J1548" s="168" t="str">
        <x:v>CI</x:v>
      </x:c>
      <x:c r="K1548" s="174" t="n">
        <x:v>7</x:v>
      </x:c>
      <x:c r="L1548" s="187" t="str">
        <x:v>Não classificado</x:v>
      </x:c>
    </x:row>
    <x:row r="1549">
      <x:c r="A1549" s="177" t="str">
        <x:v>57.456.281/0001-09</x:v>
      </x:c>
      <x:c r="B1549" s="168" t="str">
        <x:v>MPA FUNDO DE INVESTIMENTO EM DIREITOS CREDITÓRIOS NÃO PADRONIZADOS</x:v>
      </x:c>
      <x:c r="C1549" s="190" t="n">
        <x:v>54814046.2</x:v>
      </x:c>
      <x:c r="D1549" s="168" t="str">
        <x:v>Sabrina Ribeiro Molina</x:v>
      </x:c>
      <x:c r="E1549" s="168" t="str">
        <x:f>IFERROR(INDEX('Classif Gestoras'!$H$6:$H$462,MATCH(D1549,'Classif Gestoras'!$A$6:$A$462,0)),"Não classificada")</x:f>
        <x:v>Independente</x:v>
      </x:c>
      <x:c r="F1549" s="168" t="str">
        <x:v>Singulare</x:v>
      </x:c>
      <x:c r="G1549" s="168" t="str">
        <x:v>QI CORRETORA DE TÍTULOS E VALORES MOBILIÁRIOS S.A.</x:v>
      </x:c>
      <x:c r="H1549" s="168" t="str">
        <x:v>Outros</x:v>
      </x:c>
      <x:c r="I1549" s="168" t="str">
        <x:v>Multicarteira Outros</x:v>
      </x:c>
      <x:c r="J1549" s="168" t="str">
        <x:v>CI</x:v>
      </x:c>
      <x:c r="K1549" s="174" t="n">
        <x:v>1</x:v>
      </x:c>
      <x:c r="L1549" s="187" t="str">
        <x:v>Proxy multicedente/multissacado — revisar</x:v>
      </x:c>
    </x:row>
    <x:row r="1550">
      <x:c r="A1550" s="177" t="str">
        <x:v>47.425.691/0001-39</x:v>
      </x:c>
      <x:c r="B1550" s="168" t="str">
        <x:v>INUIT FUNDO DE INVESTIMENTO EM DIREITOS CREDITÓRIOS</x:v>
      </x:c>
      <x:c r="C1550" s="190" t="n">
        <x:v>54779110.59</x:v>
      </x:c>
      <x:c r="D1550" s="168" t="str">
        <x:v>SOSU CAPITAL GESTÃO DE INVESTIMENTOS LTDA.</x:v>
      </x:c>
      <x:c r="E1550" s="168" t="str">
        <x:f>IFERROR(INDEX('Classif Gestoras'!$H$6:$H$462,MATCH(D1550,'Classif Gestoras'!$A$6:$A$462,0)),"Não classificada")</x:f>
        <x:v>Independente</x:v>
      </x:c>
      <x:c r="F1550" s="168" t="str">
        <x:v>BTG Pactual Servicos Financeiros S/A DTVM</x:v>
      </x:c>
      <x:c r="G1550" s="168" t="str">
        <x:v>BANCO BTG PACTUAL S/A</x:v>
      </x:c>
      <x:c r="H1550" s="168" t="str">
        <x:v>Outros</x:v>
      </x:c>
      <x:c r="I1550" s="168" t="str">
        <x:v>Poder Público</x:v>
      </x:c>
      <x:c r="J1550" s="168" t="str">
        <x:v>CI</x:v>
      </x:c>
      <x:c r="K1550" s="174" t="n">
        <x:v>3</x:v>
      </x:c>
      <x:c r="L1550" s="187" t="str">
        <x:v>Não classificado</x:v>
      </x:c>
    </x:row>
    <x:row r="1551">
      <x:c r="A1551" s="177" t="str">
        <x:v>44.900.271/0001-79</x:v>
      </x:c>
      <x:c r="B1551" s="168" t="str">
        <x:v>DVNP FUNDO DE INVESTIMENTO EM DIREITOS CREDITÓRIOS NÃO PADRONIZADOS DE RESPONSABILIDADE ILIMITADA</x:v>
      </x:c>
      <x:c r="C1551" s="190" t="n">
        <x:v>54718081.85</x:v>
      </x:c>
      <x:c r="D1551" s="168" t="str">
        <x:v>G5 Adm. de Recursos</x:v>
      </x:c>
      <x:c r="E1551" s="168" t="str">
        <x:f>IFERROR(INDEX('Classif Gestoras'!$H$6:$H$462,MATCH(D1551,'Classif Gestoras'!$A$6:$A$462,0)),"Não classificada")</x:f>
        <x:v>Independente</x:v>
      </x:c>
      <x:c r="F1551" s="168" t="str">
        <x:v>Oliveira Trust DTVM</x:v>
      </x:c>
      <x:c r="G1551" s="168" t="str">
        <x:v>OLIVEIRA TRUST DTVM S.A.</x:v>
      </x:c>
      <x:c r="H1551" s="168" t="str">
        <x:v>Outros</x:v>
      </x:c>
      <x:c r="I1551" s="168" t="str">
        <x:v>Multicarteira Outros</x:v>
      </x:c>
      <x:c r="J1551" s="168" t="str">
        <x:v>CI</x:v>
      </x:c>
      <x:c r="K1551" s="174" t="n">
        <x:v>1</x:v>
      </x:c>
      <x:c r="L1551" s="187" t="str">
        <x:v>Proxy multicedente/multissacado — revisar</x:v>
      </x:c>
    </x:row>
    <x:row r="1552">
      <x:c r="A1552" s="177" t="str">
        <x:v>63.442.029/0001-43</x:v>
      </x:c>
      <x:c r="B1552" s="168" t="str">
        <x:v>FIDELIS FUNDO DE INVESTIMENTO EM DIREITOS CREDITÓRIOS</x:v>
      </x:c>
      <x:c r="C1552" s="190" t="n">
        <x:v>54704209.14</x:v>
      </x:c>
      <x:c r="D1552" s="168" t="str">
        <x:v>Catálise Investimentos</x:v>
      </x:c>
      <x:c r="E1552" s="168" t="str">
        <x:f>IFERROR(INDEX('Classif Gestoras'!$H$6:$H$462,MATCH(D1552,'Classif Gestoras'!$A$6:$A$462,0)),"Não classificada")</x:f>
        <x:v>Independente</x:v>
      </x:c>
      <x:c r="F1552" s="168" t="str">
        <x:v>CATÁLISE DTVM</x:v>
      </x:c>
      <x:c r="G1552" s="168" t="str">
        <x:v>BANCO DAYCOVAL S.A.</x:v>
      </x:c>
      <x:c r="H1552" s="168" t="str">
        <x:v>Outros</x:v>
      </x:c>
      <x:c r="I1552" s="168" t="str">
        <x:v>Multicarteira Outros</x:v>
      </x:c>
      <x:c r="J1552" s="168" t="str">
        <x:v>CI</x:v>
      </x:c>
      <x:c r="K1552" s="174" t="n">
        <x:v>1</x:v>
      </x:c>
      <x:c r="L1552" s="187" t="str">
        <x:v>Proxy multicedente/multissacado — revisar</x:v>
      </x:c>
    </x:row>
    <x:row r="1553">
      <x:c r="A1553" s="177" t="str">
        <x:v>35.946.113/0001-69</x:v>
      </x:c>
      <x:c r="B1553" s="168" t="str">
        <x:v>FIDC FINANCEIROS FACTA CONSIGNADO INSS DE RESPONSABILIDADE LIMITADA</x:v>
      </x:c>
      <x:c r="C1553" s="190" t="n">
        <x:v>54684415.18</x:v>
      </x:c>
      <x:c r="D1553" s="168" t="str">
        <x:v>Integral Investimentos</x:v>
      </x:c>
      <x:c r="E1553" s="168" t="str">
        <x:f>IFERROR(INDEX('Classif Gestoras'!$H$6:$H$462,MATCH(D1553,'Classif Gestoras'!$A$6:$A$462,0)),"Não classificada")</x:f>
        <x:v>Independente</x:v>
      </x:c>
      <x:c r="F1553" s="168" t="str">
        <x:v>Oliveira Trust DTVM</x:v>
      </x:c>
      <x:c r="G1553" s="168" t="str">
        <x:v>OLIVEIRA TRUST DTVM S.A.</x:v>
      </x:c>
      <x:c r="H1553" s="168" t="str">
        <x:v>Financeiro</x:v>
      </x:c>
      <x:c r="I1553" s="168" t="str">
        <x:v>Crédito Consignado</x:v>
      </x:c>
      <x:c r="J1553" s="168" t="str">
        <x:v>CI</x:v>
      </x:c>
      <x:c r="K1553" s="174" t="n">
        <x:v>73</x:v>
      </x:c>
      <x:c r="L1553" s="187" t="str">
        <x:v>Não classificado</x:v>
      </x:c>
    </x:row>
    <x:row r="1554">
      <x:c r="A1554" s="177" t="str">
        <x:v>42.867.211/0001-76</x:v>
      </x:c>
      <x:c r="B1554" s="168" t="str">
        <x:v>CW FUNDO DE INVESTIMENTO EM DIREITOS CREDITORIOS NAO PADRONIZADO</x:v>
      </x:c>
      <x:c r="C1554" s="190" t="n">
        <x:v>54658836.16</x:v>
      </x:c>
      <x:c r="D1554" s="168" t="str">
        <x:v>BPS CAPITAL</x:v>
      </x:c>
      <x:c r="E1554" s="168" t="str">
        <x:f>IFERROR(INDEX('Classif Gestoras'!$H$6:$H$462,MATCH(D1554,'Classif Gestoras'!$A$6:$A$462,0)),"Não classificada")</x:f>
        <x:v>Independente</x:v>
      </x:c>
      <x:c r="F1554" s="168" t="str">
        <x:v>ID Corretora de Títulos e Valores Mobiliários S.A.</x:v>
      </x:c>
      <x:c r="G1554" s="168" t="str">
        <x:v>Não identificado</x:v>
      </x:c>
      <x:c r="H1554" s="168" t="str">
        <x:v>Outros</x:v>
      </x:c>
      <x:c r="I1554" s="168" t="str">
        <x:v>Multicarteira Outros</x:v>
      </x:c>
      <x:c r="J1554" s="168" t="str">
        <x:v>CI</x:v>
      </x:c>
      <x:c r="K1554" s="174" t="n">
        <x:v>0</x:v>
      </x:c>
      <x:c r="L1554" s="187" t="str">
        <x:v>Proxy multicedente/multissacado — revisar</x:v>
      </x:c>
    </x:row>
    <x:row r="1555">
      <x:c r="A1555" s="177" t="str">
        <x:v>15.578.550/0001-60</x:v>
      </x:c>
      <x:c r="B1555" s="168" t="str">
        <x:v>FUNDO DE INVESTIMENTO EM DIREITOS CREDITÓRIOS MULTISSETORIAL MILÊNIO RECEBÍVEIS LP</x:v>
      </x:c>
      <x:c r="C1555" s="190" t="n">
        <x:v>54564985.93</x:v>
      </x:c>
      <x:c r="D1555" s="168" t="str">
        <x:v>Solis</x:v>
      </x:c>
      <x:c r="E1555" s="168" t="str">
        <x:f>IFERROR(INDEX('Classif Gestoras'!$H$6:$H$462,MATCH(D1555,'Classif Gestoras'!$A$6:$A$462,0)),"Não classificada")</x:f>
        <x:v>Independente</x:v>
      </x:c>
      <x:c r="F1555" s="168" t="str">
        <x:v>HEMERA DTVM</x:v>
      </x:c>
      <x:c r="G1555" s="168" t="str">
        <x:v>HEMERA DISTRIBUIDORA DE TITULOS E VALORES MOBILIARIOS LTDA</x:v>
      </x:c>
      <x:c r="H1555" s="168" t="str">
        <x:v>Fomento Mercantil</x:v>
      </x:c>
      <x:c r="I1555" s="168" t="str">
        <x:v>Fomento Mercantil</x:v>
      </x:c>
      <x:c r="J1555" s="168" t="str">
        <x:v>CI</x:v>
      </x:c>
      <x:c r="K1555" s="174" t="n">
        <x:v>33</x:v>
      </x:c>
      <x:c r="L1555" s="187" t="str">
        <x:v>Não classificado</x:v>
      </x:c>
    </x:row>
    <x:row r="1556">
      <x:c r="A1556" s="177" t="str">
        <x:v>56.938.161/0001-85</x:v>
      </x:c>
      <x:c r="B1556" s="168" t="str">
        <x:v>PODIUM FUNDO DE INVESTIMENTO EM DIREITOS CREDITÓRIOS RESPONSABILIDADE LIMITADA</x:v>
      </x:c>
      <x:c r="C1556" s="190" t="n">
        <x:v>54433751.73</x:v>
      </x:c>
      <x:c r="D1556" s="168" t="str">
        <x:v>Bless Capital Gestora de Recursos Ltda.</x:v>
      </x:c>
      <x:c r="E1556" s="168" t="str">
        <x:f>IFERROR(INDEX('Classif Gestoras'!$H$6:$H$462,MATCH(D1556,'Classif Gestoras'!$A$6:$A$462,0)),"Não classificada")</x:f>
        <x:v>Independente</x:v>
      </x:c>
      <x:c r="F1556" s="168" t="str">
        <x:v>ID Corretora de Títulos e Valores Mobiliários S.A.</x:v>
      </x:c>
      <x:c r="G1556" s="168" t="str">
        <x:v>ID CORRETORA DE TITULOS E VALORES MOBILIARIOS S.A.</x:v>
      </x:c>
      <x:c r="H1556" s="168" t="str">
        <x:v>Outros</x:v>
      </x:c>
      <x:c r="I1556" s="168" t="str">
        <x:v>Multicarteira Outros</x:v>
      </x:c>
      <x:c r="J1556" s="168" t="str">
        <x:v>CI</x:v>
      </x:c>
      <x:c r="K1556" s="174" t="n">
        <x:v>1</x:v>
      </x:c>
      <x:c r="L1556" s="187" t="str">
        <x:v>Proxy multicedente/multissacado — revisar</x:v>
      </x:c>
    </x:row>
    <x:row r="1557">
      <x:c r="A1557" s="177" t="str">
        <x:v>54.083.491/0001-00</x:v>
      </x:c>
      <x:c r="B1557" s="168" t="str">
        <x:v>FUNDO DE INVESTIMENTOS EM DIREITOS CREDITÓRIOS GCB CRÉDITO MULTIESTRATÉGIA RESPONSABILIDADE LIMITADA</x:v>
      </x:c>
      <x:c r="C1557" s="190" t="n">
        <x:v>54410149.58</x:v>
      </x:c>
      <x:c r="D1557" s="168" t="str">
        <x:v>GBM BRASIL DTVM S.A.</x:v>
      </x:c>
      <x:c r="E1557" s="168" t="str">
        <x:f>IFERROR(INDEX('Classif Gestoras'!$H$6:$H$462,MATCH(D1557,'Classif Gestoras'!$A$6:$A$462,0)),"Não classificada")</x:f>
        <x:v>Independente</x:v>
      </x:c>
      <x:c r="F1557" s="168" t="str">
        <x:v>BANCO DAYCOVAL S/A</x:v>
      </x:c>
      <x:c r="G1557" s="168" t="str">
        <x:v>BANCO DAYCOVAL S.A.</x:v>
      </x:c>
      <x:c r="H1557" s="168" t="str">
        <x:v>Outros</x:v>
      </x:c>
      <x:c r="I1557" s="168" t="str">
        <x:v>Multicarteira Outros</x:v>
      </x:c>
      <x:c r="J1557" s="168" t="str">
        <x:v>CI</x:v>
      </x:c>
      <x:c r="K1557" s="174" t="n">
        <x:v>23</x:v>
      </x:c>
      <x:c r="L1557" s="187" t="str">
        <x:v>Proxy multicedente/multissacado — revisar</x:v>
      </x:c>
    </x:row>
    <x:row r="1558">
      <x:c r="A1558" s="177" t="str">
        <x:v>64.352.617/0001-59</x:v>
      </x:c>
      <x:c r="B1558" s="168" t="str">
        <x:v>COBUCCIO FUNDO DE INVESTIMENTO EM DIREITOS CREDITÓRIOS CONSIGNADO PRIVADO - RESP LIMITADA</x:v>
      </x:c>
      <x:c r="C1558" s="190" t="n">
        <x:v>54314560.08</x:v>
      </x:c>
      <x:c r="D1558" s="168" t="str">
        <x:v>ANGÁ ASSET MANAGEMENT</x:v>
      </x:c>
      <x:c r="E1558" s="168" t="str">
        <x:f>IFERROR(INDEX('Classif Gestoras'!$H$6:$H$462,MATCH(D1558,'Classif Gestoras'!$A$6:$A$462,0)),"Não classificada")</x:f>
        <x:v>Independente</x:v>
      </x:c>
      <x:c r="F1558" s="168" t="str">
        <x:v>BANCO DAYCOVAL S/A</x:v>
      </x:c>
      <x:c r="G1558" s="168" t="str">
        <x:v>BANCO DAYCOVAL S.A.</x:v>
      </x:c>
      <x:c r="H1558" s="168" t="str">
        <x:v>Financeiro</x:v>
      </x:c>
      <x:c r="I1558" s="168" t="str">
        <x:v>Crédito Consignado</x:v>
      </x:c>
      <x:c r="J1558" s="168" t="str">
        <x:v>CI</x:v>
      </x:c>
      <x:c r="K1558" s="174" t="n">
        <x:v>36</x:v>
      </x:c>
      <x:c r="L1558" s="187" t="str">
        <x:v>Não classificado</x:v>
      </x:c>
    </x:row>
    <x:row r="1559">
      <x:c r="A1559" s="177" t="str">
        <x:v>31.405.473/0001-00</x:v>
      </x:c>
      <x:c r="B1559" s="168" t="str">
        <x:v>BDI NPL FUNDO DE INVESTIMENTO EM DIREITOS CREDITÓRIOS DE RESPONSABILIDADE LIMITADA</x:v>
      </x:c>
      <x:c r="C1559" s="190" t="n">
        <x:v>54284521.559999995</x:v>
      </x:c>
      <x:c r="D1559" s="168" t="str">
        <x:v>VM Consultoria Empresarial Ltd</x:v>
      </x:c>
      <x:c r="E1559" s="168" t="str">
        <x:f>IFERROR(INDEX('Classif Gestoras'!$H$6:$H$462,MATCH(D1559,'Classif Gestoras'!$A$6:$A$462,0)),"Não classificada")</x:f>
        <x:v>Independente</x:v>
      </x:c>
      <x:c r="F1559" s="168" t="str">
        <x:v>Banco Genial S.A.</x:v>
      </x:c>
      <x:c r="G1559" s="168" t="str">
        <x:v>BANCO GENIAL S.A.</x:v>
      </x:c>
      <x:c r="H1559" s="168" t="str">
        <x:v>Outros</x:v>
      </x:c>
      <x:c r="I1559" s="168" t="str">
        <x:v>Recuperação</x:v>
      </x:c>
      <x:c r="J1559" s="168" t="str">
        <x:v>CI</x:v>
      </x:c>
      <x:c r="K1559" s="174" t="n">
        <x:v>1</x:v>
      </x:c>
      <x:c r="L1559" s="187" t="str">
        <x:v>Não classificado</x:v>
      </x:c>
    </x:row>
    <x:row r="1560">
      <x:c r="A1560" s="177" t="str">
        <x:v>62.309.202/0001-77</x:v>
      </x:c>
      <x:c r="B1560" s="168" t="str">
        <x:v>ROOT CAPITAL HIGH YIELD RADICE T180 FUNDO DE INVESTIMENTO EM DIREITOS CREDITÓRIOS</x:v>
      </x:c>
      <x:c r="C1560" s="190" t="n">
        <x:v>54146253.11</x:v>
      </x:c>
      <x:c r="D1560" s="168" t="str">
        <x:v>ROOT CAPITAL</x:v>
      </x:c>
      <x:c r="E1560" s="168" t="str">
        <x:f>IFERROR(INDEX('Classif Gestoras'!$H$6:$H$462,MATCH(D1560,'Classif Gestoras'!$A$6:$A$462,0)),"Não classificada")</x:f>
        <x:v>Independente</x:v>
      </x:c>
      <x:c r="F1560" s="168" t="str">
        <x:v>BTG Pactual Servicos Financeiros S/A DTVM</x:v>
      </x:c>
      <x:c r="G1560" s="168" t="str">
        <x:v>BANCO BTG PACTUAL S/A</x:v>
      </x:c>
      <x:c r="H1560" s="168" t="str">
        <x:v>Outros</x:v>
      </x:c>
      <x:c r="I1560" s="168" t="str">
        <x:v>Multicarteira Outros</x:v>
      </x:c>
      <x:c r="J1560" s="168" t="str">
        <x:v>CI</x:v>
      </x:c>
      <x:c r="K1560" s="174" t="n">
        <x:v>2</x:v>
      </x:c>
      <x:c r="L1560" s="187" t="str">
        <x:v>Proxy multicedente/multissacado — revisar</x:v>
      </x:c>
    </x:row>
    <x:row r="1561">
      <x:c r="A1561" s="177" t="str">
        <x:v>33.823.914/0001-01</x:v>
      </x:c>
      <x:c r="B1561" s="168" t="str">
        <x:v>CROWN FUNDO DE INVESTIMENTO EM DIREITOS CREDITÓRIOS NÃO PADRONIZADOS</x:v>
      </x:c>
      <x:c r="C1561" s="190" t="n">
        <x:v>54136497.260000005</x:v>
      </x:c>
      <x:c r="D1561" s="168" t="str">
        <x:v>Multiplica Capital</x:v>
      </x:c>
      <x:c r="E1561" s="168" t="str">
        <x:f>IFERROR(INDEX('Classif Gestoras'!$H$6:$H$462,MATCH(D1561,'Classif Gestoras'!$A$6:$A$462,0)),"Não classificada")</x:f>
        <x:v>Independente</x:v>
      </x:c>
      <x:c r="F1561" s="168" t="str">
        <x:v>Singulare</x:v>
      </x:c>
      <x:c r="G1561" s="168" t="str">
        <x:v>QI CORRETORA DE TÍTULOS E VALORES MOBILIÁRIOS S.A.</x:v>
      </x:c>
      <x:c r="H1561" s="168" t="str">
        <x:v>Fomento Mercantil</x:v>
      </x:c>
      <x:c r="I1561" s="168" t="str">
        <x:v>Fomento Mercantil</x:v>
      </x:c>
      <x:c r="J1561" s="168" t="str">
        <x:v>CI</x:v>
      </x:c>
      <x:c r="K1561" s="174" t="n">
        <x:v>1</x:v>
      </x:c>
      <x:c r="L1561" s="187" t="str">
        <x:v>Não classificado</x:v>
      </x:c>
    </x:row>
    <x:row r="1562">
      <x:c r="A1562" s="177" t="str">
        <x:v>50.041.229/0001-42</x:v>
      </x:c>
      <x:c r="B1562" s="168" t="str">
        <x:v>MOMENTO PRECATÓRIOS I FUNDO DE INVESTIMENTO EM DIREITOS CREDITÓRIOS DE RESPONSABILIDADE LIMITADA</x:v>
      </x:c>
      <x:c r="C1562" s="190" t="n">
        <x:v>54089079.57</x:v>
      </x:c>
      <x:c r="D1562" s="168" t="str">
        <x:v>Aventis Asset</x:v>
      </x:c>
      <x:c r="E1562" s="168" t="str">
        <x:f>IFERROR(INDEX('Classif Gestoras'!$H$6:$H$462,MATCH(D1562,'Classif Gestoras'!$A$6:$A$462,0)),"Não classificada")</x:f>
        <x:v>Independente</x:v>
      </x:c>
      <x:c r="F1562" s="168" t="str">
        <x:v>BANCO DAYCOVAL S/A</x:v>
      </x:c>
      <x:c r="G1562" s="168" t="str">
        <x:v>BANCO DAYCOVAL S.A.</x:v>
      </x:c>
      <x:c r="H1562" s="168" t="str">
        <x:v>Outros</x:v>
      </x:c>
      <x:c r="I1562" s="168" t="str">
        <x:v>Poder Público</x:v>
      </x:c>
      <x:c r="J1562" s="168" t="str">
        <x:v>CI</x:v>
      </x:c>
      <x:c r="K1562" s="174" t="n">
        <x:v>48</x:v>
      </x:c>
      <x:c r="L1562" s="187" t="str">
        <x:v>Não classificado</x:v>
      </x:c>
    </x:row>
    <x:row r="1563">
      <x:c r="A1563" s="177" t="str">
        <x:v>56.973.948/0001-88</x:v>
      </x:c>
      <x:c r="B1563" s="168" t="str">
        <x:v>TORONTO FUNDO DE INVESTIMENTO DIREITOS CREDITÓRIOS DE RESPONSABILIDADE LIMITADA</x:v>
      </x:c>
      <x:c r="C1563" s="190" t="n">
        <x:v>53940591.26</x:v>
      </x:c>
      <x:c r="D1563" s="168" t="str">
        <x:v>Catálise Investimentos</x:v>
      </x:c>
      <x:c r="E1563" s="168" t="str">
        <x:f>IFERROR(INDEX('Classif Gestoras'!$H$6:$H$462,MATCH(D1563,'Classif Gestoras'!$A$6:$A$462,0)),"Não classificada")</x:f>
        <x:v>Independente</x:v>
      </x:c>
      <x:c r="F1563" s="168" t="str">
        <x:v>FIDD DISTRIBUIDORA DE TITULOS E VALORES MOBILIARIOS LTD</x:v>
      </x:c>
      <x:c r="G1563" s="168" t="str">
        <x:v>FIDD DISTRIBUIDORA DE TITULOS E VALORES MOBILIARIOS LTDA.</x:v>
      </x:c>
      <x:c r="H1563" s="168" t="str">
        <x:v>Agro, Indústria e Comércio</x:v>
      </x:c>
      <x:c r="I1563" s="168" t="str">
        <x:v>Recebíveis Comerciais</x:v>
      </x:c>
      <x:c r="J1563" s="168" t="str">
        <x:v>CI</x:v>
      </x:c>
      <x:c r="K1563" s="174" t="n">
        <x:v>6</x:v>
      </x:c>
      <x:c r="L1563" s="187" t="str">
        <x:v>Não classificado</x:v>
      </x:c>
    </x:row>
    <x:row r="1564">
      <x:c r="A1564" s="177" t="str">
        <x:v>21.053.720/0001-95</x:v>
      </x:c>
      <x:c r="B1564" s="168" t="str">
        <x:v>GLOBALCASH FUNDO DE INVESTIMENTO EM DIREITOS CREDITORIOS MULTISSETORIAL - RESPONSABILIDADE LIMITA</x:v>
      </x:c>
      <x:c r="C1564" s="190" t="n">
        <x:v>53667901.791729994</x:v>
      </x:c>
      <x:c r="D1564" s="168" t="str">
        <x:v>TERCON ASSET MANAGEMENT</x:v>
      </x:c>
      <x:c r="E1564" s="168" t="str">
        <x:f>IFERROR(INDEX('Classif Gestoras'!$H$6:$H$462,MATCH(D1564,'Classif Gestoras'!$A$6:$A$462,0)),"Não classificada")</x:f>
        <x:v>Independente</x:v>
      </x:c>
      <x:c r="F1564" s="168" t="str">
        <x:v>Singulare</x:v>
      </x:c>
      <x:c r="G1564" s="168" t="str">
        <x:v>QI CORRETORA DE TÍTULOS E VALORES MOBILIÁRIOS S.A.</x:v>
      </x:c>
      <x:c r="H1564" s="168" t="str">
        <x:v>Fomento Mercantil</x:v>
      </x:c>
      <x:c r="I1564" s="168" t="str">
        <x:v>Fomento Mercantil</x:v>
      </x:c>
      <x:c r="J1564" s="168" t="str">
        <x:v>CI</x:v>
      </x:c>
      <x:c r="K1564" s="174" t="n">
        <x:v>38</x:v>
      </x:c>
      <x:c r="L1564" s="187" t="str">
        <x:v>Não classificado</x:v>
      </x:c>
    </x:row>
    <x:row r="1565">
      <x:c r="A1565" s="177" t="str">
        <x:v>58.506.369/0001-50</x:v>
      </x:c>
      <x:c r="B1565" s="168" t="str">
        <x:v>ESTALEIRO I FUNDO DE INVESTIMENTO EM DIREITOS CREDITÓRIOS</x:v>
      </x:c>
      <x:c r="C1565" s="190" t="n">
        <x:v>53612317.65</x:v>
      </x:c>
      <x:c r="D1565" s="168" t="str">
        <x:v>EuQueroInvestir Gestão de Recursos Ltda.</x:v>
      </x:c>
      <x:c r="E1565" s="168" t="str">
        <x:f>IFERROR(INDEX('Classif Gestoras'!$H$6:$H$462,MATCH(D1565,'Classif Gestoras'!$A$6:$A$462,0)),"Não classificada")</x:f>
        <x:v>Independente</x:v>
      </x:c>
      <x:c r="F1565" s="168" t="str">
        <x:v>BTG Pactual Servicos Financeiros S/A DTVM</x:v>
      </x:c>
      <x:c r="G1565" s="168" t="str">
        <x:v>BANCO BTG PACTUAL S/A</x:v>
      </x:c>
      <x:c r="H1565" s="168" t="str">
        <x:v>Outros</x:v>
      </x:c>
      <x:c r="I1565" s="168" t="str">
        <x:v>Multicarteira Outros</x:v>
      </x:c>
      <x:c r="J1565" s="168" t="str">
        <x:v>CI</x:v>
      </x:c>
      <x:c r="K1565" s="174" t="n">
        <x:v>64</x:v>
      </x:c>
      <x:c r="L1565" s="187" t="str">
        <x:v>Proxy multicedente/multissacado — revisar</x:v>
      </x:c>
    </x:row>
    <x:row r="1566">
      <x:c r="A1566" s="177" t="str">
        <x:v>58.507.210/0001-50</x:v>
      </x:c>
      <x:c r="B1566" s="168" t="str">
        <x:v>ESTALEIRO II FUNDO DE INVESTIMENTO EM DIREITOS CREDITÓRIOS</x:v>
      </x:c>
      <x:c r="C1566" s="190" t="n">
        <x:v>53611701.77</x:v>
      </x:c>
      <x:c r="D1566" s="168" t="str">
        <x:v>EuQueroInvestir Gestão de Recursos Ltda.</x:v>
      </x:c>
      <x:c r="E1566" s="168" t="str">
        <x:f>IFERROR(INDEX('Classif Gestoras'!$H$6:$H$462,MATCH(D1566,'Classif Gestoras'!$A$6:$A$462,0)),"Não classificada")</x:f>
        <x:v>Independente</x:v>
      </x:c>
      <x:c r="F1566" s="168" t="str">
        <x:v>BTG Pactual Servicos Financeiros S/A DTVM</x:v>
      </x:c>
      <x:c r="G1566" s="168" t="str">
        <x:v>BANCO BTG PACTUAL S/A</x:v>
      </x:c>
      <x:c r="H1566" s="168" t="str">
        <x:v>Outros</x:v>
      </x:c>
      <x:c r="I1566" s="168" t="str">
        <x:v>Multicarteira Outros</x:v>
      </x:c>
      <x:c r="J1566" s="168" t="str">
        <x:v>CI</x:v>
      </x:c>
      <x:c r="K1566" s="174" t="n">
        <x:v>64</x:v>
      </x:c>
      <x:c r="L1566" s="187" t="str">
        <x:v>Proxy multicedente/multissacado — revisar</x:v>
      </x:c>
    </x:row>
    <x:row r="1567">
      <x:c r="A1567" s="177" t="str">
        <x:v>63.673.464/0001-89</x:v>
      </x:c>
      <x:c r="B1567" s="168" t="str">
        <x:v>BEB (BEM ESTAR BRASIL) FUNDO DE INVESTIMENTO EM DIREITOS CREDITÓRIOS DE RESPONSABILIDADE LIMITADA</x:v>
      </x:c>
      <x:c r="C1567" s="190" t="n">
        <x:v>53462514.84</x:v>
      </x:c>
      <x:c r="D1567" s="168" t="str">
        <x:v>DAYCOVAL ASSET MANAG</x:v>
      </x:c>
      <x:c r="E1567" s="168" t="str">
        <x:f>IFERROR(INDEX('Classif Gestoras'!$H$6:$H$462,MATCH(D1567,'Classif Gestoras'!$A$6:$A$462,0)),"Não classificada")</x:f>
        <x:v>Ligada a banco</x:v>
      </x:c>
      <x:c r="F1567" s="168" t="str">
        <x:v>BANCO DAYCOVAL S/A</x:v>
      </x:c>
      <x:c r="G1567" s="168" t="str">
        <x:v>BANCO DAYCOVAL S.A.</x:v>
      </x:c>
      <x:c r="H1567" s="168" t="str">
        <x:v>Agro, Indústria e Comércio</x:v>
      </x:c>
      <x:c r="I1567" s="168" t="str">
        <x:v>Recebíveis Comerciais</x:v>
      </x:c>
      <x:c r="J1567" s="168" t="str">
        <x:v>CI</x:v>
      </x:c>
      <x:c r="K1567" s="174" t="n">
        <x:v>2</x:v>
      </x:c>
      <x:c r="L1567" s="187" t="str">
        <x:v>Não classificado</x:v>
      </x:c>
    </x:row>
    <x:row r="1568">
      <x:c r="A1568" s="177" t="str">
        <x:v>62.351.597/0001-76</x:v>
      </x:c>
      <x:c r="B1568" s="168" t="str">
        <x:v>LIVRAMENTO FUNDO DE INVESTIMENTO EM DIREITOS CREDITÓRIOS RESPONSABILIDADE LIMITADA</x:v>
      </x:c>
      <x:c r="C1568" s="190" t="n">
        <x:v>53438554.03</x:v>
      </x:c>
      <x:c r="D1568" s="168" t="str">
        <x:v>SUESTE CAPITAL GESTÃO DE RECURSOS LTDA.</x:v>
      </x:c>
      <x:c r="E1568" s="168" t="str">
        <x:f>IFERROR(INDEX('Classif Gestoras'!$H$6:$H$462,MATCH(D1568,'Classif Gestoras'!$A$6:$A$462,0)),"Não classificada")</x:f>
        <x:v>Independente</x:v>
      </x:c>
      <x:c r="F1568" s="168" t="str">
        <x:v>BTG Pactual Servicos Financeiros S/A DTVM</x:v>
      </x:c>
      <x:c r="G1568" s="168" t="str">
        <x:v>BANCO BTG PACTUAL S/A</x:v>
      </x:c>
      <x:c r="H1568" s="168" t="str">
        <x:v>Outros</x:v>
      </x:c>
      <x:c r="I1568" s="168" t="str">
        <x:v>Multicarteira Outros</x:v>
      </x:c>
      <x:c r="J1568" s="168" t="str">
        <x:v>CI</x:v>
      </x:c>
      <x:c r="K1568" s="174" t="n">
        <x:v>1</x:v>
      </x:c>
      <x:c r="L1568" s="187" t="str">
        <x:v>Proxy multicedente/multissacado — revisar</x:v>
      </x:c>
    </x:row>
    <x:row r="1569">
      <x:c r="A1569" s="177" t="str">
        <x:v>63.884.724/0001-65</x:v>
      </x:c>
      <x:c r="B1569" s="168" t="str">
        <x:v>3HM FUNDO DE INVESTIMENTO EM DIREITOS CREDITÓRIOS</x:v>
      </x:c>
      <x:c r="C1569" s="190" t="n">
        <x:v>53391421.84</x:v>
      </x:c>
      <x:c r="D1569" s="168" t="str">
        <x:v>NEBRASKA CAPITAL</x:v>
      </x:c>
      <x:c r="E1569" s="168" t="str">
        <x:f>IFERROR(INDEX('Classif Gestoras'!$H$6:$H$462,MATCH(D1569,'Classif Gestoras'!$A$6:$A$462,0)),"Não classificada")</x:f>
        <x:v>Independente</x:v>
      </x:c>
      <x:c r="F1569" s="168" t="str">
        <x:v>BTG Pactual Servicos Financeiros S/A DTVM</x:v>
      </x:c>
      <x:c r="G1569" s="168" t="str">
        <x:v>BANCO BTG PACTUAL S/A</x:v>
      </x:c>
      <x:c r="H1569" s="168" t="str">
        <x:v>Outros</x:v>
      </x:c>
      <x:c r="I1569" s="168" t="str">
        <x:v>Multicarteira Outros</x:v>
      </x:c>
      <x:c r="J1569" s="168" t="str">
        <x:v>CI</x:v>
      </x:c>
      <x:c r="K1569" s="174" t="n">
        <x:v>9</x:v>
      </x:c>
      <x:c r="L1569" s="187" t="str">
        <x:v>Proxy multicedente/multissacado — revisar</x:v>
      </x:c>
    </x:row>
    <x:row r="1570">
      <x:c r="A1570" s="177" t="str">
        <x:v>55.559.261/0001-38</x:v>
      </x:c>
      <x:c r="B1570" s="168" t="str">
        <x:v>ITAPIRA FUNDO DE INVESTIMENTO EM DIREITOS CREDITÓRIOS</x:v>
      </x:c>
      <x:c r="C1570" s="190" t="n">
        <x:v>53339777.63</x:v>
      </x:c>
      <x:c r="D1570" s="168" t="str">
        <x:v>SOSU CAPITAL GESTÃO DE INVESTIMENTOS LTDA.</x:v>
      </x:c>
      <x:c r="E1570" s="168" t="str">
        <x:f>IFERROR(INDEX('Classif Gestoras'!$H$6:$H$462,MATCH(D1570,'Classif Gestoras'!$A$6:$A$462,0)),"Não classificada")</x:f>
        <x:v>Independente</x:v>
      </x:c>
      <x:c r="F1570" s="168" t="str">
        <x:v>BTG Pactual Servicos Financeiros S/A DTVM</x:v>
      </x:c>
      <x:c r="G1570" s="168" t="str">
        <x:v>BANCO BTG PACTUAL S/A</x:v>
      </x:c>
      <x:c r="H1570" s="168" t="str">
        <x:v>Outros</x:v>
      </x:c>
      <x:c r="I1570" s="168" t="str">
        <x:v>Multicarteira Outros</x:v>
      </x:c>
      <x:c r="J1570" s="168" t="str">
        <x:v>CI</x:v>
      </x:c>
      <x:c r="K1570" s="174" t="n">
        <x:v>27</x:v>
      </x:c>
      <x:c r="L1570" s="187" t="str">
        <x:v>Proxy multicedente/multissacado — revisar</x:v>
      </x:c>
    </x:row>
    <x:row r="1571">
      <x:c r="A1571" s="177" t="str">
        <x:v>57.270.666/0001-87</x:v>
      </x:c>
      <x:c r="B1571" s="168" t="str">
        <x:v>MOBILITAS FUNDO DE INVESTIMENTO EM DIREITOS CREDITÓRIOS - RESPONSABILIDADE LIMITADA</x:v>
      </x:c>
      <x:c r="C1571" s="190" t="n">
        <x:v>53325266.75999999</x:v>
      </x:c>
      <x:c r="D1571" s="168" t="str">
        <x:v>Kanastra</x:v>
      </x:c>
      <x:c r="E1571" s="168" t="str">
        <x:f>IFERROR(INDEX('Classif Gestoras'!$H$6:$H$462,MATCH(D1571,'Classif Gestoras'!$A$6:$A$462,0)),"Não classificada")</x:f>
        <x:v>Independente</x:v>
      </x:c>
      <x:c r="F1571" s="168" t="str">
        <x:v>Limine Trust Distribuidora de Titulos e Valores Mobiliá</x:v>
      </x:c>
      <x:c r="G1571" s="168" t="str">
        <x:v>LIMINE TRUST DISTRIBUIDORA DE TITULOS E VALORES MOBILIARIOS LTDA.</x:v>
      </x:c>
      <x:c r="H1571" s="168" t="str">
        <x:v>Agro, Indústria e Comércio</x:v>
      </x:c>
      <x:c r="I1571" s="168" t="str">
        <x:v>Recebíveis Comerciais</x:v>
      </x:c>
      <x:c r="J1571" s="168" t="str">
        <x:v>CI</x:v>
      </x:c>
      <x:c r="K1571" s="174" t="n">
        <x:v>2</x:v>
      </x:c>
      <x:c r="L1571" s="187" t="str">
        <x:v>Não classificado</x:v>
      </x:c>
    </x:row>
    <x:row r="1572">
      <x:c r="A1572" s="177" t="str">
        <x:v>57.584.525/0001-39</x:v>
      </x:c>
      <x:c r="B1572" s="168" t="str">
        <x:v>ST 1015 FUNDO DE INVESTIMENTO EM DIREITOS CREDITÓRIOS RESPONSABILIDADE LIMITADA</x:v>
      </x:c>
      <x:c r="C1572" s="190" t="n">
        <x:v>53224488.349999994</x:v>
      </x:c>
      <x:c r="D1572" s="168" t="str">
        <x:v>Strata Capital</x:v>
      </x:c>
      <x:c r="E1572" s="168" t="str">
        <x:f>IFERROR(INDEX('Classif Gestoras'!$H$6:$H$462,MATCH(D1572,'Classif Gestoras'!$A$6:$A$462,0)),"Não classificada")</x:f>
        <x:v>Independente</x:v>
      </x:c>
      <x:c r="F1572" s="168" t="str">
        <x:v>BANCO DAYCOVAL S/A</x:v>
      </x:c>
      <x:c r="G1572" s="168" t="str">
        <x:v>BANCO DAYCOVAL S.A.</x:v>
      </x:c>
      <x:c r="H1572" s="168" t="str">
        <x:v>Outros</x:v>
      </x:c>
      <x:c r="I1572" s="168" t="str">
        <x:v>Multicarteira Outros</x:v>
      </x:c>
      <x:c r="J1572" s="168" t="str">
        <x:v>CI</x:v>
      </x:c>
      <x:c r="K1572" s="174" t="n">
        <x:v>9</x:v>
      </x:c>
      <x:c r="L1572" s="187" t="str">
        <x:v>Proxy multicedente/multissacado — revisar</x:v>
      </x:c>
    </x:row>
    <x:row r="1573">
      <x:c r="A1573" s="177" t="str">
        <x:v>34.081.563/0001-73</x:v>
      </x:c>
      <x:c r="B1573" s="168" t="str">
        <x:v>HECTARE II - FUNDO DE INVESTIMENTO EM DIREITOS CREDITÓRIOS</x:v>
      </x:c>
      <x:c r="C1573" s="190" t="n">
        <x:v>53118459.34</x:v>
      </x:c>
      <x:c r="D1573" s="168" t="str">
        <x:v>Hectare Capital Gestora de Recursos Ltda</x:v>
      </x:c>
      <x:c r="E1573" s="168" t="str">
        <x:f>IFERROR(INDEX('Classif Gestoras'!$H$6:$H$462,MATCH(D1573,'Classif Gestoras'!$A$6:$A$462,0)),"Não classificada")</x:f>
        <x:v>Independente</x:v>
      </x:c>
      <x:c r="F1573" s="168" t="str">
        <x:v>VÓRTX DTVM</x:v>
      </x:c>
      <x:c r="G1573" s="168" t="str">
        <x:v>VORTX DISTRIBUIDORA DE TITULOS E VALORES MOBILIARIOS LTDA.</x:v>
      </x:c>
      <x:c r="H1573" s="168" t="str">
        <x:v>Financeiro</x:v>
      </x:c>
      <x:c r="I1573" s="168" t="str">
        <x:v>Crédito Imobiliário</x:v>
      </x:c>
      <x:c r="J1573" s="168" t="str">
        <x:v>CI</x:v>
      </x:c>
      <x:c r="K1573" s="174" t="n">
        <x:v>1</x:v>
      </x:c>
      <x:c r="L1573" s="187" t="str">
        <x:v>Não classificado</x:v>
      </x:c>
    </x:row>
    <x:row r="1574">
      <x:c r="A1574" s="177" t="str">
        <x:v>41.609.394/0001-67</x:v>
      </x:c>
      <x:c r="B1574" s="168" t="str">
        <x:v>VERSATILE FUNDO DE INVESTIMENTO EM DIREITOS CREDITÓRIOS RESPONSABILIDADE LIMITADA</x:v>
      </x:c>
      <x:c r="C1574" s="190" t="n">
        <x:v>53100029.82000002</x:v>
      </x:c>
      <x:c r="D1574" s="168" t="str">
        <x:v>CONTEA CAPITAL</x:v>
      </x:c>
      <x:c r="E1574" s="168" t="str">
        <x:f>IFERROR(INDEX('Classif Gestoras'!$H$6:$H$462,MATCH(D1574,'Classif Gestoras'!$A$6:$A$462,0)),"Não classificada")</x:f>
        <x:v>Independente</x:v>
      </x:c>
      <x:c r="F1574" s="168" t="str">
        <x:v>VÓRTX DTVM</x:v>
      </x:c>
      <x:c r="G1574" s="168" t="str">
        <x:v>VORTX DISTRIBUIDORA DE TITULOS E VALORES MOBILIARIOS LTDA.</x:v>
      </x:c>
      <x:c r="H1574" s="168" t="str">
        <x:v>Financeiro</x:v>
      </x:c>
      <x:c r="I1574" s="168" t="str">
        <x:v>Crédito Consignado</x:v>
      </x:c>
      <x:c r="J1574" s="168" t="str">
        <x:v>CI</x:v>
      </x:c>
      <x:c r="K1574" s="174" t="n">
        <x:v>51</x:v>
      </x:c>
      <x:c r="L1574" s="187" t="str">
        <x:v>Não classificado</x:v>
      </x:c>
    </x:row>
    <x:row r="1575">
      <x:c r="A1575" s="177" t="str">
        <x:v>55.466.785/0001-84</x:v>
      </x:c>
      <x:c r="B1575" s="168" t="str">
        <x:v>RM 2 FUNDO DE INVESTIMENTO EM DIREITOS CREDITÓRIOS NÃO PADRONIZADO</x:v>
      </x:c>
      <x:c r="C1575" s="190" t="n">
        <x:v>53075034.35</x:v>
      </x:c>
      <x:c r="D1575" s="168" t="str">
        <x:v>Redwood Asset Management</x:v>
      </x:c>
      <x:c r="E1575" s="168" t="str">
        <x:f>IFERROR(INDEX('Classif Gestoras'!$H$6:$H$462,MATCH(D1575,'Classif Gestoras'!$A$6:$A$462,0)),"Não classificada")</x:f>
        <x:v>Independente</x:v>
      </x:c>
      <x:c r="F1575" s="168" t="str">
        <x:v>PLANNER CV</x:v>
      </x:c>
      <x:c r="G1575" s="168" t="str">
        <x:v>PLANNER CORRETORA DE VALORES S.A.</x:v>
      </x:c>
      <x:c r="H1575" s="168" t="str">
        <x:v>Outros</x:v>
      </x:c>
      <x:c r="I1575" s="168" t="str">
        <x:v>Multicarteira Outros</x:v>
      </x:c>
      <x:c r="J1575" s="168" t="str">
        <x:v>CI</x:v>
      </x:c>
      <x:c r="K1575" s="174" t="n">
        <x:v>1</x:v>
      </x:c>
      <x:c r="L1575" s="187" t="str">
        <x:v>Proxy multicedente/multissacado — revisar</x:v>
      </x:c>
    </x:row>
    <x:row r="1576">
      <x:c r="A1576" s="177" t="str">
        <x:v>52.997.828/0001-60</x:v>
      </x:c>
      <x:c r="B1576" s="168" t="str">
        <x:v>USECORP CATÁLISE FUNDO DE INVESTIMENTO EM DIREITOS CREDITÓRIOS SEGMENTO COMERCIAL DE RESP LIMITADA</x:v>
      </x:c>
      <x:c r="C1576" s="190" t="n">
        <x:v>53070267.12</x:v>
      </x:c>
      <x:c r="D1576" s="168" t="str">
        <x:v>Catálise Investimentos</x:v>
      </x:c>
      <x:c r="E1576" s="168" t="str">
        <x:f>IFERROR(INDEX('Classif Gestoras'!$H$6:$H$462,MATCH(D1576,'Classif Gestoras'!$A$6:$A$462,0)),"Não classificada")</x:f>
        <x:v>Independente</x:v>
      </x:c>
      <x:c r="F1576" s="168" t="str">
        <x:v>BANCO DAYCOVAL S/A</x:v>
      </x:c>
      <x:c r="G1576" s="168" t="str">
        <x:v>BANCO DAYCOVAL S.A.</x:v>
      </x:c>
      <x:c r="H1576" s="168" t="str">
        <x:v>Agro, Indústria e Comércio</x:v>
      </x:c>
      <x:c r="I1576" s="168" t="str">
        <x:v>Recebíveis Comerciais</x:v>
      </x:c>
      <x:c r="J1576" s="168" t="str">
        <x:v>CI</x:v>
      </x:c>
      <x:c r="K1576" s="174" t="n">
        <x:v>20</x:v>
      </x:c>
      <x:c r="L1576" s="187" t="str">
        <x:v>Não classificado</x:v>
      </x:c>
    </x:row>
    <x:row r="1577">
      <x:c r="A1577" s="177" t="str">
        <x:v>60.871.114/0001-39</x:v>
      </x:c>
      <x:c r="B1577" s="168" t="str">
        <x:v>COBUCCIO I FIDC - SEGMENTO MEIOS DE PAGAMENTO RESPONSABILIDADE LIMITADA.</x:v>
      </x:c>
      <x:c r="C1577" s="190" t="n">
        <x:v>53001889.22</x:v>
      </x:c>
      <x:c r="D1577" s="168" t="str">
        <x:v>GENIAL GESTÃO LTDA.</x:v>
      </x:c>
      <x:c r="E1577" s="168" t="str">
        <x:f>IFERROR(INDEX('Classif Gestoras'!$H$6:$H$462,MATCH(D1577,'Classif Gestoras'!$A$6:$A$462,0)),"Não classificada")</x:f>
        <x:v>Ligada a banco</x:v>
      </x:c>
      <x:c r="F1577" s="168" t="str">
        <x:v>Genial Investimentos Corretora de Valores Mobiliários S.A.</x:v>
      </x:c>
      <x:c r="G1577" s="168" t="str">
        <x:v>BANCO GENIAL S.A.</x:v>
      </x:c>
      <x:c r="H1577" s="168" t="str">
        <x:v>Agro, Indústria e Comércio</x:v>
      </x:c>
      <x:c r="I1577" s="168" t="str">
        <x:v>Recebíveis Comerciais</x:v>
      </x:c>
      <x:c r="J1577" s="168" t="str">
        <x:v>CI</x:v>
      </x:c>
      <x:c r="K1577" s="174" t="n">
        <x:v>1</x:v>
      </x:c>
      <x:c r="L1577" s="187" t="str">
        <x:v>Não classificado</x:v>
      </x:c>
    </x:row>
    <x:row r="1578">
      <x:c r="A1578" s="177" t="str">
        <x:v>40.211.648/0001-21</x:v>
      </x:c>
      <x:c r="B1578" s="168" t="str">
        <x:v>CRÉDITO ENERGIA FUNDO DE INVESTIMENTO EM DIREITOS CREDITÓRIOS RESPONSABILIDADE LIMITADA</x:v>
      </x:c>
      <x:c r="C1578" s="190" t="n">
        <x:v>52793121.79</x:v>
      </x:c>
      <x:c r="D1578" s="168" t="str">
        <x:v>Capitânia Invest</x:v>
      </x:c>
      <x:c r="E1578" s="168" t="str">
        <x:f>IFERROR(INDEX('Classif Gestoras'!$H$6:$H$462,MATCH(D1578,'Classif Gestoras'!$A$6:$A$462,0)),"Não classificada")</x:f>
        <x:v>Independente</x:v>
      </x:c>
      <x:c r="F1578" s="168" t="str">
        <x:v>Singulare</x:v>
      </x:c>
      <x:c r="G1578" s="168" t="str">
        <x:v>QI CORRETORA DE TÍTULOS E VALORES MOBILIÁRIOS S.A.</x:v>
      </x:c>
      <x:c r="H1578" s="168" t="str">
        <x:v>Outros</x:v>
      </x:c>
      <x:c r="I1578" s="168" t="str">
        <x:v>Multicarteira Outros</x:v>
      </x:c>
      <x:c r="J1578" s="168" t="str">
        <x:v>CI</x:v>
      </x:c>
      <x:c r="K1578" s="174" t="n">
        <x:v>16</x:v>
      </x:c>
      <x:c r="L1578" s="187" t="str">
        <x:v>Proxy multicedente/multissacado — revisar</x:v>
      </x:c>
    </x:row>
    <x:row r="1579">
      <x:c r="A1579" s="177" t="str">
        <x:v>54.105.228/0001-75</x:v>
      </x:c>
      <x:c r="B1579" s="168" t="str">
        <x:v>ERGA OMNES II FUNDO DE INVESTIMENTO EM DIREITOS CREDITÓRIOS NÃO-PADRONIZADO</x:v>
      </x:c>
      <x:c r="C1579" s="190" t="n">
        <x:v>52734384.17999999</x:v>
      </x:c>
      <x:c r="D1579" s="168" t="str">
        <x:v>REAG LEGAL CLAIMS GESTÃO DE ATIVOS</x:v>
      </x:c>
      <x:c r="E1579" s="168" t="str">
        <x:f>IFERROR(INDEX('Classif Gestoras'!$H$6:$H$462,MATCH(D1579,'Classif Gestoras'!$A$6:$A$462,0)),"Não classificada")</x:f>
        <x:v>Independente</x:v>
      </x:c>
      <x:c r="F1579" s="168" t="str">
        <x:v>PLANNER CV</x:v>
      </x:c>
      <x:c r="G1579" s="168" t="str">
        <x:v>PLANNER CORRETORA DE VALORES S.A.</x:v>
      </x:c>
      <x:c r="H1579" s="168" t="str">
        <x:v>Outros</x:v>
      </x:c>
      <x:c r="I1579" s="168" t="str">
        <x:v>Poder Público</x:v>
      </x:c>
      <x:c r="J1579" s="168" t="str">
        <x:v>CI</x:v>
      </x:c>
      <x:c r="K1579" s="174" t="n">
        <x:v>34</x:v>
      </x:c>
      <x:c r="L1579" s="187" t="str">
        <x:v>Não classificado</x:v>
      </x:c>
    </x:row>
    <x:row r="1580">
      <x:c r="A1580" s="177" t="str">
        <x:v>47.167.977/0001-61</x:v>
      </x:c>
      <x:c r="B1580" s="168" t="str">
        <x:v>FMD INVESTIMENTOS FUNDO DE INVESTIMENTO EM DIREITOS CREDITÓRIOS</x:v>
      </x:c>
      <x:c r="C1580" s="190" t="n">
        <x:v>52693715.83</x:v>
      </x:c>
      <x:c r="D1580" s="168" t="str">
        <x:v>TERCON ASSET MANAGEMENT</x:v>
      </x:c>
      <x:c r="E1580" s="168" t="str">
        <x:f>IFERROR(INDEX('Classif Gestoras'!$H$6:$H$462,MATCH(D1580,'Classif Gestoras'!$A$6:$A$462,0)),"Não classificada")</x:f>
        <x:v>Independente</x:v>
      </x:c>
      <x:c r="F1580" s="168" t="str">
        <x:v>Singulare</x:v>
      </x:c>
      <x:c r="G1580" s="168" t="str">
        <x:v>QI CORRETORA DE TÍTULOS E VALORES MOBILIÁRIOS S.A.</x:v>
      </x:c>
      <x:c r="H1580" s="168" t="str">
        <x:v>Outros</x:v>
      </x:c>
      <x:c r="I1580" s="168" t="str">
        <x:v>Multicarteira Outros</x:v>
      </x:c>
      <x:c r="J1580" s="168" t="str">
        <x:v>CI</x:v>
      </x:c>
      <x:c r="K1580" s="174" t="n">
        <x:v>4</x:v>
      </x:c>
      <x:c r="L1580" s="187" t="str">
        <x:v>Proxy multicedente/multissacado — revisar</x:v>
      </x:c>
    </x:row>
    <x:row r="1581">
      <x:c r="A1581" s="177" t="str">
        <x:v>52.511.479/0001-24</x:v>
      </x:c>
      <x:c r="B1581" s="168" t="str">
        <x:v>ALGARVE BETA FUNDO DE INVESTIMENTO EM DIREITOS CREDITÓRIOS</x:v>
      </x:c>
      <x:c r="C1581" s="190" t="n">
        <x:v>52687605.43</x:v>
      </x:c>
      <x:c r="D1581" s="168" t="str">
        <x:v>Algarve Capital</x:v>
      </x:c>
      <x:c r="E1581" s="168" t="str">
        <x:f>IFERROR(INDEX('Classif Gestoras'!$H$6:$H$462,MATCH(D1581,'Classif Gestoras'!$A$6:$A$462,0)),"Não classificada")</x:f>
        <x:v>Independente</x:v>
      </x:c>
      <x:c r="F1581" s="168" t="str">
        <x:v>BANCO DAYCOVAL S/A</x:v>
      </x:c>
      <x:c r="G1581" s="168" t="str">
        <x:v>BANCO DAYCOVAL S.A.</x:v>
      </x:c>
      <x:c r="H1581" s="168" t="str">
        <x:v>Outros</x:v>
      </x:c>
      <x:c r="I1581" s="168" t="str">
        <x:v>Multicarteira Outros</x:v>
      </x:c>
      <x:c r="J1581" s="168" t="str">
        <x:v>CI</x:v>
      </x:c>
      <x:c r="K1581" s="174" t="n">
        <x:v>2</x:v>
      </x:c>
      <x:c r="L1581" s="187" t="str">
        <x:v>Proxy multicedente/multissacado — revisar</x:v>
      </x:c>
    </x:row>
    <x:row r="1582">
      <x:c r="A1582" s="177" t="str">
        <x:v>54.048.775/0001-66</x:v>
      </x:c>
      <x:c r="B1582" s="168" t="str">
        <x:v>LOGIC FUNDO DE INVESTIMENTO EM DIREITOS CREDITÓRIOS</x:v>
      </x:c>
      <x:c r="C1582" s="190" t="n">
        <x:v>52518721.65</x:v>
      </x:c>
      <x:c r="D1582" s="168" t="str">
        <x:v>Multiplica Capital</x:v>
      </x:c>
      <x:c r="E1582" s="168" t="str">
        <x:f>IFERROR(INDEX('Classif Gestoras'!$H$6:$H$462,MATCH(D1582,'Classif Gestoras'!$A$6:$A$462,0)),"Não classificada")</x:f>
        <x:v>Independente</x:v>
      </x:c>
      <x:c r="F1582" s="168" t="str">
        <x:v>PLANNER CV</x:v>
      </x:c>
      <x:c r="G1582" s="168" t="str">
        <x:v>PLANNER CORRETORA DE VALORES S.A.</x:v>
      </x:c>
      <x:c r="H1582" s="168" t="str">
        <x:v>Outros</x:v>
      </x:c>
      <x:c r="I1582" s="168" t="str">
        <x:v>Multicarteira Outros</x:v>
      </x:c>
      <x:c r="J1582" s="168" t="str">
        <x:v>CI</x:v>
      </x:c>
      <x:c r="K1582" s="174" t="n">
        <x:v>1</x:v>
      </x:c>
      <x:c r="L1582" s="187" t="str">
        <x:v>Proxy multicedente/multissacado — revisar</x:v>
      </x:c>
    </x:row>
    <x:row r="1583">
      <x:c r="A1583" s="177" t="str">
        <x:v>57.704.202/0001-31</x:v>
      </x:c>
      <x:c r="B1583" s="168" t="str">
        <x:v>KRONOS PERFORMANCE FUNDO DE INVESTIMENTO EM DIREITOS CREDITÓRIOS DE RESPONSABILIDADE LIMITADA</x:v>
      </x:c>
      <x:c r="C1583" s="190" t="n">
        <x:v>52461475.77</x:v>
      </x:c>
      <x:c r="D1583" s="168" t="str">
        <x:v>Catálise Investimentos</x:v>
      </x:c>
      <x:c r="E1583" s="168" t="str">
        <x:f>IFERROR(INDEX('Classif Gestoras'!$H$6:$H$462,MATCH(D1583,'Classif Gestoras'!$A$6:$A$462,0)),"Não classificada")</x:f>
        <x:v>Independente</x:v>
      </x:c>
      <x:c r="F1583" s="168" t="str">
        <x:v>CATÁLISE DTVM</x:v>
      </x:c>
      <x:c r="G1583" s="168" t="str">
        <x:v>BANCO DAYCOVAL S.A.</x:v>
      </x:c>
      <x:c r="H1583" s="168" t="str">
        <x:v>Agro, Indústria e Comércio</x:v>
      </x:c>
      <x:c r="I1583" s="168" t="str">
        <x:v>Multicarteira Agro, Indústria e Comércio</x:v>
      </x:c>
      <x:c r="J1583" s="168" t="str">
        <x:v>CI</x:v>
      </x:c>
      <x:c r="K1583" s="174" t="n">
        <x:v>1</x:v>
      </x:c>
      <x:c r="L1583" s="187" t="str">
        <x:v>Proxy multicedente/multissacado — revisar</x:v>
      </x:c>
    </x:row>
    <x:row r="1584">
      <x:c r="A1584" s="177" t="str">
        <x:v>54.875.483/0001-05</x:v>
      </x:c>
      <x:c r="B1584" s="168" t="str">
        <x:v>CHIMERA ALTERNATIVE ASSETS VIII FUNDO DE INVESTIMENTO EM DIREITOS CREDITÓRIOS NP DE RESP LIMITADA</x:v>
      </x:c>
      <x:c r="C1584" s="190" t="n">
        <x:v>52316511.06</x:v>
      </x:c>
      <x:c r="D1584" s="168" t="str">
        <x:v>Chimera Capital Asset Management Ltda.</x:v>
      </x:c>
      <x:c r="E1584" s="168" t="str">
        <x:f>IFERROR(INDEX('Classif Gestoras'!$H$6:$H$462,MATCH(D1584,'Classif Gestoras'!$A$6:$A$462,0)),"Não classificada")</x:f>
        <x:v>Independente</x:v>
      </x:c>
      <x:c r="F1584" s="168" t="str">
        <x:v>MONETAR DISTRIBUIDORA DE TITUL</x:v>
      </x:c>
      <x:c r="G1584" s="168" t="str">
        <x:v>TERRA INVESTIMENTOS DISTRIBUIDORA DE TITULOS E VALORES MOBILIARIOS LTDA</x:v>
      </x:c>
      <x:c r="H1584" s="168" t="str">
        <x:v>Outros</x:v>
      </x:c>
      <x:c r="I1584" s="168" t="str">
        <x:v>Multicarteira Outros</x:v>
      </x:c>
      <x:c r="J1584" s="168" t="str">
        <x:v>CI</x:v>
      </x:c>
      <x:c r="K1584" s="174" t="n">
        <x:v>1</x:v>
      </x:c>
      <x:c r="L1584" s="187" t="str">
        <x:v>Proxy multicedente/multissacado — revisar</x:v>
      </x:c>
    </x:row>
    <x:row r="1585">
      <x:c r="A1585" s="177" t="str">
        <x:v>47.410.122/0001-10</x:v>
      </x:c>
      <x:c r="B1585" s="168" t="str">
        <x:v>MÖBIUS VD TOTAL RETURN 1 - FIDC MULTICARTEIRA OUTROS - RESP LIMITADA</x:v>
      </x:c>
      <x:c r="C1585" s="190" t="n">
        <x:v>52162642.11</x:v>
      </x:c>
      <x:c r="D1585" s="168" t="str">
        <x:v>Möbius Capital</x:v>
      </x:c>
      <x:c r="E1585" s="168" t="str">
        <x:f>IFERROR(INDEX('Classif Gestoras'!$H$6:$H$462,MATCH(D1585,'Classif Gestoras'!$A$6:$A$462,0)),"Não classificada")</x:f>
        <x:v>Independente</x:v>
      </x:c>
      <x:c r="F1585" s="168" t="str">
        <x:v>BANCO DAYCOVAL S/A</x:v>
      </x:c>
      <x:c r="G1585" s="168" t="str">
        <x:v>BANCO DAYCOVAL S.A.</x:v>
      </x:c>
      <x:c r="H1585" s="168" t="str">
        <x:v>Outros</x:v>
      </x:c>
      <x:c r="I1585" s="168" t="str">
        <x:v>Multicarteira Outros</x:v>
      </x:c>
      <x:c r="J1585" s="168" t="str">
        <x:v>CI</x:v>
      </x:c>
      <x:c r="K1585" s="174" t="n">
        <x:v>1</x:v>
      </x:c>
      <x:c r="L1585" s="187" t="str">
        <x:v>Proxy multicedente/multissacado — revisar</x:v>
      </x:c>
    </x:row>
    <x:row r="1586">
      <x:c r="A1586" s="177" t="str">
        <x:v>53.622.208/0001-09</x:v>
      </x:c>
      <x:c r="B1586" s="168" t="str">
        <x:v>IC PRECATÓRIOS ESTADUAIS II FUNDO DE INVESTIMENTO EM DIREITOS CREDITÓRIOS - DE RESP LTDA</x:v>
      </x:c>
      <x:c r="C1586" s="190" t="n">
        <x:v>52133855.24</x:v>
      </x:c>
      <x:c r="D1586" s="168" t="str">
        <x:v>Iron Capital</x:v>
      </x:c>
      <x:c r="E1586" s="168" t="str">
        <x:f>IFERROR(INDEX('Classif Gestoras'!$H$6:$H$462,MATCH(D1586,'Classif Gestoras'!$A$6:$A$462,0)),"Não classificada")</x:f>
        <x:v>Independente</x:v>
      </x:c>
      <x:c r="F1586" s="168" t="str">
        <x:v>Oliveira Trust DTVM</x:v>
      </x:c>
      <x:c r="G1586" s="168" t="str">
        <x:v>OLIVEIRA TRUST DTVM S.A.</x:v>
      </x:c>
      <x:c r="H1586" s="168" t="str">
        <x:v>Outros</x:v>
      </x:c>
      <x:c r="I1586" s="168" t="str">
        <x:v>Poder Público</x:v>
      </x:c>
      <x:c r="J1586" s="168" t="str">
        <x:v>CI</x:v>
      </x:c>
      <x:c r="K1586" s="174" t="n">
        <x:v>20</x:v>
      </x:c>
      <x:c r="L1586" s="187" t="str">
        <x:v>Não classificado</x:v>
      </x:c>
    </x:row>
    <x:row r="1587">
      <x:c r="A1587" s="177" t="str">
        <x:v>60.736.775/0001-51</x:v>
      </x:c>
      <x:c r="B1587" s="168" t="str">
        <x:v>FACIO 3 FUNDO DE INVESTIMENTO EM DIREITOS CREDITÓRIOS RESPONSABILIDADE LIMITADA</x:v>
      </x:c>
      <x:c r="C1587" s="190" t="n">
        <x:v>52120538.31</x:v>
      </x:c>
      <x:c r="D1587" s="168" t="str">
        <x:v>CONTEA CAPITAL</x:v>
      </x:c>
      <x:c r="E1587" s="168" t="str">
        <x:f>IFERROR(INDEX('Classif Gestoras'!$H$6:$H$462,MATCH(D1587,'Classif Gestoras'!$A$6:$A$462,0)),"Não classificada")</x:f>
        <x:v>Independente</x:v>
      </x:c>
      <x:c r="F1587" s="168" t="str">
        <x:v>Singulare</x:v>
      </x:c>
      <x:c r="G1587" s="168" t="str">
        <x:v>QI CORRETORA DE TÍTULOS E VALORES MOBILIÁRIOS S.A.</x:v>
      </x:c>
      <x:c r="H1587" s="168" t="str">
        <x:v>Outros</x:v>
      </x:c>
      <x:c r="I1587" s="168" t="str">
        <x:v>Multicarteira Outros</x:v>
      </x:c>
      <x:c r="J1587" s="168" t="str">
        <x:v>CI</x:v>
      </x:c>
      <x:c r="K1587" s="174" t="n">
        <x:v>90</x:v>
      </x:c>
      <x:c r="L1587" s="187" t="str">
        <x:v>Proxy multicedente/multissacado — revisar</x:v>
      </x:c>
    </x:row>
    <x:row r="1588">
      <x:c r="A1588" s="177" t="str">
        <x:v>21.397.791/0001-05</x:v>
      </x:c>
      <x:c r="B1588" s="168" t="str">
        <x:v>FP POLO PETROS 2 RECUPERAÇÃO DE CRÉDITO FUNDO DE INVESTIMENTO EM DIREITOS CREDITÓRIOS</x:v>
      </x:c>
      <x:c r="C1588" s="190" t="n">
        <x:v>52059904.15</x:v>
      </x:c>
      <x:c r="D1588" s="168" t="str">
        <x:v>Polo Capital Gestão de Recurso</x:v>
      </x:c>
      <x:c r="E1588" s="168" t="str">
        <x:f>IFERROR(INDEX('Classif Gestoras'!$H$6:$H$462,MATCH(D1588,'Classif Gestoras'!$A$6:$A$462,0)),"Não classificada")</x:f>
        <x:v>Independente</x:v>
      </x:c>
      <x:c r="F1588" s="168" t="str">
        <x:v>Singulare</x:v>
      </x:c>
      <x:c r="G1588" s="168" t="str">
        <x:v>QI CORRETORA DE TÍTULOS E VALORES MOBILIÁRIOS S.A.</x:v>
      </x:c>
      <x:c r="H1588" s="168" t="str">
        <x:v>Outros</x:v>
      </x:c>
      <x:c r="I1588" s="168" t="str">
        <x:v>Poder Público</x:v>
      </x:c>
      <x:c r="J1588" s="168" t="str">
        <x:v>CI</x:v>
      </x:c>
      <x:c r="K1588" s="174" t="n">
        <x:v>10</x:v>
      </x:c>
      <x:c r="L1588" s="187" t="str">
        <x:v>Não classificado</x:v>
      </x:c>
    </x:row>
    <x:row r="1589">
      <x:c r="A1589" s="177" t="str">
        <x:v>53.996.774/0001-80</x:v>
      </x:c>
      <x:c r="B1589" s="168" t="str">
        <x:v>FICRED FUNDO DE INVESTIMENTO EM DIREITOS CREDITÓRIOS</x:v>
      </x:c>
      <x:c r="C1589" s="190" t="n">
        <x:v>52058377.58</x:v>
      </x:c>
      <x:c r="D1589" s="168" t="str">
        <x:v>Integral Investimentos</x:v>
      </x:c>
      <x:c r="E1589" s="168" t="str">
        <x:f>IFERROR(INDEX('Classif Gestoras'!$H$6:$H$462,MATCH(D1589,'Classif Gestoras'!$A$6:$A$462,0)),"Não classificada")</x:f>
        <x:v>Independente</x:v>
      </x:c>
      <x:c r="F1589" s="168" t="str">
        <x:v>INTEGRAL ACCESS DTVM</x:v>
      </x:c>
      <x:c r="G1589" s="168" t="str">
        <x:v>OLIVEIRA TRUST DTVM S.A.</x:v>
      </x:c>
      <x:c r="H1589" s="168" t="str">
        <x:v>Outros</x:v>
      </x:c>
      <x:c r="I1589" s="168" t="str">
        <x:v>Multicarteira Outros</x:v>
      </x:c>
      <x:c r="J1589" s="168" t="str">
        <x:v>CI</x:v>
      </x:c>
      <x:c r="K1589" s="174" t="n">
        <x:v>4</x:v>
      </x:c>
      <x:c r="L1589" s="187" t="str">
        <x:v>Proxy multicedente/multissacado — revisar</x:v>
      </x:c>
    </x:row>
    <x:row r="1590">
      <x:c r="A1590" s="177" t="str">
        <x:v>38.137.153/0001-58</x:v>
      </x:c>
      <x:c r="B1590" s="168" t="str">
        <x:v>FIDC DE LOCAÇÃO DE VEÍCULOS KOVI I RESPONSABILIDADE LIMITADA</x:v>
      </x:c>
      <x:c r="C1590" s="190" t="n">
        <x:v>51995372.37</x:v>
      </x:c>
      <x:c r="D1590" s="168" t="str">
        <x:v>Integral Investimentos</x:v>
      </x:c>
      <x:c r="E1590" s="168" t="str">
        <x:f>IFERROR(INDEX('Classif Gestoras'!$H$6:$H$462,MATCH(D1590,'Classif Gestoras'!$A$6:$A$462,0)),"Não classificada")</x:f>
        <x:v>Independente</x:v>
      </x:c>
      <x:c r="F1590" s="168" t="str">
        <x:v>BANCO DAYCOVAL S/A</x:v>
      </x:c>
      <x:c r="G1590" s="168" t="str">
        <x:v>BANCO DAYCOVAL S.A.</x:v>
      </x:c>
      <x:c r="H1590" s="168" t="str">
        <x:v>Agro, Indústria e Comércio</x:v>
      </x:c>
      <x:c r="I1590" s="168" t="str">
        <x:v>Recebíveis Comerciais</x:v>
      </x:c>
      <x:c r="J1590" s="168" t="str">
        <x:v>CI</x:v>
      </x:c>
      <x:c r="K1590" s="174" t="n">
        <x:v>85</x:v>
      </x:c>
      <x:c r="L1590" s="187" t="str">
        <x:v>Não classificado</x:v>
      </x:c>
    </x:row>
    <x:row r="1591">
      <x:c r="A1591" s="177" t="str">
        <x:v>64.168.221/0001-56</x:v>
      </x:c>
      <x:c r="B1591" s="168" t="str">
        <x:v>PAIOL FUNDO DE INVESTIMENTO EM DIREITOS CREDITÓRIOS</x:v>
      </x:c>
      <x:c r="C1591" s="190" t="n">
        <x:v>51629148.71</x:v>
      </x:c>
      <x:c r="D1591" s="168" t="str">
        <x:v>CERES ASSET</x:v>
      </x:c>
      <x:c r="E1591" s="168" t="str">
        <x:f>IFERROR(INDEX('Classif Gestoras'!$H$6:$H$462,MATCH(D1591,'Classif Gestoras'!$A$6:$A$462,0)),"Não classificada")</x:f>
        <x:v>Independente</x:v>
      </x:c>
      <x:c r="F1591" s="168" t="str">
        <x:v>Singulare</x:v>
      </x:c>
      <x:c r="G1591" s="168" t="str">
        <x:v>QI CORRETORA DE TÍTULOS E VALORES MOBILIÁRIOS S.A.</x:v>
      </x:c>
      <x:c r="H1591" s="168" t="str">
        <x:v>Agro, Indústria e Comércio</x:v>
      </x:c>
      <x:c r="I1591" s="168" t="str">
        <x:v>Multicarteira Agro, Indústria e Comércio</x:v>
      </x:c>
      <x:c r="J1591" s="168" t="str">
        <x:v>CI</x:v>
      </x:c>
      <x:c r="K1591" s="174" t="n">
        <x:v>1</x:v>
      </x:c>
      <x:c r="L1591" s="187" t="str">
        <x:v>Proxy multicedente/multissacado — revisar</x:v>
      </x:c>
    </x:row>
    <x:row r="1592">
      <x:c r="A1592" s="177" t="str">
        <x:v>64.113.643/0001-24</x:v>
      </x:c>
      <x:c r="B1592" s="168" t="str">
        <x:v>PLANNER FUNDO DE INVESTIMENTO EM DIREITOS CREDITÓRIOS</x:v>
      </x:c>
      <x:c r="C1592" s="190" t="n">
        <x:v>51621156.94</x:v>
      </x:c>
      <x:c r="D1592" s="168" t="str">
        <x:v>Redwood Asset Management</x:v>
      </x:c>
      <x:c r="E1592" s="168" t="str">
        <x:f>IFERROR(INDEX('Classif Gestoras'!$H$6:$H$462,MATCH(D1592,'Classif Gestoras'!$A$6:$A$462,0)),"Não classificada")</x:f>
        <x:v>Independente</x:v>
      </x:c>
      <x:c r="F1592" s="168" t="str">
        <x:v>PLANNER CV</x:v>
      </x:c>
      <x:c r="G1592" s="168" t="str">
        <x:v>PLANNER CORRETORA DE VALORES S.A.</x:v>
      </x:c>
      <x:c r="H1592" s="168" t="str">
        <x:v>Outros</x:v>
      </x:c>
      <x:c r="I1592" s="168" t="str">
        <x:v>Multicarteira Outros</x:v>
      </x:c>
      <x:c r="J1592" s="168" t="str">
        <x:v>CI</x:v>
      </x:c>
      <x:c r="K1592" s="174" t="n">
        <x:v>3</x:v>
      </x:c>
      <x:c r="L1592" s="187" t="str">
        <x:v>Proxy multicedente/multissacado — revisar</x:v>
      </x:c>
    </x:row>
    <x:row r="1593">
      <x:c r="A1593" s="177" t="str">
        <x:v>41.579.637/0001-61</x:v>
      </x:c>
      <x:c r="B1593" s="168" t="str">
        <x:v>MGW ATIVOS FUNDO DE INVESTIMENTO EM DIREITOS CREDITÓRIOS RESPONSABILIDADE LIMITADA</x:v>
      </x:c>
      <x:c r="C1593" s="190" t="n">
        <x:v>51576158.52</x:v>
      </x:c>
      <x:c r="D1593" s="168" t="str">
        <x:v>Hyperion</x:v>
      </x:c>
      <x:c r="E1593" s="168" t="str">
        <x:f>IFERROR(INDEX('Classif Gestoras'!$H$6:$H$462,MATCH(D1593,'Classif Gestoras'!$A$6:$A$462,0)),"Não classificada")</x:f>
        <x:v>Independente</x:v>
      </x:c>
      <x:c r="F1593" s="168" t="str">
        <x:v>ID Corretora de Títulos e Valores Mobiliários S.A.</x:v>
      </x:c>
      <x:c r="G1593" s="168" t="str">
        <x:v>ID CORRETORA DE TITULOS E VALORES MOBILIARIOS S.A.</x:v>
      </x:c>
      <x:c r="H1593" s="168" t="str">
        <x:v>Outros</x:v>
      </x:c>
      <x:c r="I1593" s="168" t="str">
        <x:v>Multicarteira Outros</x:v>
      </x:c>
      <x:c r="J1593" s="168" t="str">
        <x:v>CI</x:v>
      </x:c>
      <x:c r="K1593" s="174" t="n">
        <x:v>7</x:v>
      </x:c>
      <x:c r="L1593" s="187" t="str">
        <x:v>Proxy multicedente/multissacado — revisar</x:v>
      </x:c>
    </x:row>
    <x:row r="1594">
      <x:c r="A1594" s="177" t="str">
        <x:v>33.003.417/0001-67</x:v>
      </x:c>
      <x:c r="B1594" s="168" t="str">
        <x:v>VASTA FUNDO DE INVESTIMENTO EM DIREITOS CREDITÓRIOS</x:v>
      </x:c>
      <x:c r="C1594" s="190" t="n">
        <x:v>51460408.190000005</x:v>
      </x:c>
      <x:c r="D1594" s="168" t="str">
        <x:v>TERCON ASSET MANAGEMENT</x:v>
      </x:c>
      <x:c r="E1594" s="168" t="str">
        <x:f>IFERROR(INDEX('Classif Gestoras'!$H$6:$H$462,MATCH(D1594,'Classif Gestoras'!$A$6:$A$462,0)),"Não classificada")</x:f>
        <x:v>Independente</x:v>
      </x:c>
      <x:c r="F1594" s="168" t="str">
        <x:v>Singulare</x:v>
      </x:c>
      <x:c r="G1594" s="168" t="str">
        <x:v>QI CORRETORA DE TÍTULOS E VALORES MOBILIÁRIOS S.A.</x:v>
      </x:c>
      <x:c r="H1594" s="168" t="str">
        <x:v>Fomento Mercantil</x:v>
      </x:c>
      <x:c r="I1594" s="168" t="str">
        <x:v>Fomento Mercantil</x:v>
      </x:c>
      <x:c r="J1594" s="168" t="str">
        <x:v>CI</x:v>
      </x:c>
      <x:c r="K1594" s="174" t="n">
        <x:v>4</x:v>
      </x:c>
      <x:c r="L1594" s="187" t="str">
        <x:v>Não classificado</x:v>
      </x:c>
    </x:row>
    <x:row r="1595">
      <x:c r="A1595" s="177" t="str">
        <x:v>54.049.164/0001-32</x:v>
      </x:c>
      <x:c r="B1595" s="168" t="str">
        <x:v>FUNDO DE INVESTIMENTO EM DIREITOS CREDITÓRIOS TAG SSI RESPONSABILIDADE LIMITADA</x:v>
      </x:c>
      <x:c r="C1595" s="190" t="n">
        <x:v>51447025.989999995</x:v>
      </x:c>
      <x:c r="D1595" s="168" t="str">
        <x:v>TAG Investimentos</x:v>
      </x:c>
      <x:c r="E1595" s="168" t="str">
        <x:f>IFERROR(INDEX('Classif Gestoras'!$H$6:$H$462,MATCH(D1595,'Classif Gestoras'!$A$6:$A$462,0)),"Não classificada")</x:f>
        <x:v>Independente</x:v>
      </x:c>
      <x:c r="F1595" s="168" t="str">
        <x:v>VÓRTX DTVM</x:v>
      </x:c>
      <x:c r="G1595" s="168" t="str">
        <x:v>VORTX DISTRIBUIDORA DE TITULOS E VALORES MOBILIARIOS LTDA.</x:v>
      </x:c>
      <x:c r="H1595" s="168" t="str">
        <x:v>Outros</x:v>
      </x:c>
      <x:c r="I1595" s="168" t="str">
        <x:v>Multicarteira Outros</x:v>
      </x:c>
      <x:c r="J1595" s="168" t="str">
        <x:v>CI</x:v>
      </x:c>
      <x:c r="K1595" s="174" t="n">
        <x:v>1</x:v>
      </x:c>
      <x:c r="L1595" s="187" t="str">
        <x:v>Proxy multicedente/multissacado — revisar</x:v>
      </x:c>
    </x:row>
    <x:row r="1596">
      <x:c r="A1596" s="177" t="str">
        <x:v>64.125.992/0001-66</x:v>
      </x:c>
      <x:c r="B1596" s="168" t="str">
        <x:v>FBS FUNDO DE INVESTIMENTO EM DIREITOS CREDITÓRIOS RESPONSABILIDADE LIMITADA</x:v>
      </x:c>
      <x:c r="C1596" s="190" t="n">
        <x:v>51405399.36</x:v>
      </x:c>
      <x:c r="D1596" s="168" t="str">
        <x:v>FigTree Capital</x:v>
      </x:c>
      <x:c r="E1596" s="168" t="str">
        <x:f>IFERROR(INDEX('Classif Gestoras'!$H$6:$H$462,MATCH(D1596,'Classif Gestoras'!$A$6:$A$462,0)),"Não classificada")</x:f>
        <x:v>Independente</x:v>
      </x:c>
      <x:c r="F1596" s="168" t="str">
        <x:v>BRL TRUST DTVM</x:v>
      </x:c>
      <x:c r="G1596" s="168" t="str">
        <x:v>BRL TRUST DISTRIBUIDORA DE TITULOS E VALORES MOBILIARIOS S.A.</x:v>
      </x:c>
      <x:c r="H1596" s="168" t="str">
        <x:v>Outros</x:v>
      </x:c>
      <x:c r="I1596" s="168" t="str">
        <x:v>Multicarteira Outros</x:v>
      </x:c>
      <x:c r="J1596" s="168" t="str">
        <x:v>CI</x:v>
      </x:c>
      <x:c r="K1596" s="174" t="n">
        <x:v>4</x:v>
      </x:c>
      <x:c r="L1596" s="187" t="str">
        <x:v>Proxy multicedente/multissacado — revisar</x:v>
      </x:c>
    </x:row>
    <x:row r="1597">
      <x:c r="A1597" s="177" t="str">
        <x:v>53.160.371/0001-05</x:v>
      </x:c>
      <x:c r="B1597" s="168" t="str">
        <x:v>Z INVEST FUNDO DE INVESTIMENTO EM DIREITOS CREDITÓRIOS RESPONSABILIDADE ILIMITADA</x:v>
      </x:c>
      <x:c r="C1597" s="190" t="n">
        <x:v>51271529.5</x:v>
      </x:c>
      <x:c r="D1597" s="168" t="str">
        <x:v>Catálise Investimentos</x:v>
      </x:c>
      <x:c r="E1597" s="168" t="str">
        <x:f>IFERROR(INDEX('Classif Gestoras'!$H$6:$H$462,MATCH(D1597,'Classif Gestoras'!$A$6:$A$462,0)),"Não classificada")</x:f>
        <x:v>Independente</x:v>
      </x:c>
      <x:c r="F1597" s="168" t="str">
        <x:v>BANCO DAYCOVAL S/A</x:v>
      </x:c>
      <x:c r="G1597" s="168" t="str">
        <x:v>BANCO DAYCOVAL S.A.</x:v>
      </x:c>
      <x:c r="H1597" s="168" t="str">
        <x:v>Agro, Indústria e Comércio</x:v>
      </x:c>
      <x:c r="I1597" s="168" t="str">
        <x:v>Recebíveis Comerciais</x:v>
      </x:c>
      <x:c r="J1597" s="168" t="str">
        <x:v>CI</x:v>
      </x:c>
      <x:c r="K1597" s="174" t="n">
        <x:v>1</x:v>
      </x:c>
      <x:c r="L1597" s="187" t="str">
        <x:v>Não classificado</x:v>
      </x:c>
    </x:row>
    <x:row r="1598">
      <x:c r="A1598" s="177" t="str">
        <x:v>54.996.578/0001-79</x:v>
      </x:c>
      <x:c r="B1598" s="168" t="str">
        <x:v>SANREMO FUNDO DE INVESTIMENTO EM DIREITOS CREDITÓRIOS</x:v>
      </x:c>
      <x:c r="C1598" s="190" t="n">
        <x:v>51266648.3</x:v>
      </x:c>
      <x:c r="D1598" s="168" t="str">
        <x:v>H2 CAPITAL</x:v>
      </x:c>
      <x:c r="E1598" s="168" t="str">
        <x:f>IFERROR(INDEX('Classif Gestoras'!$H$6:$H$462,MATCH(D1598,'Classif Gestoras'!$A$6:$A$462,0)),"Não classificada")</x:f>
        <x:v>Independente</x:v>
      </x:c>
      <x:c r="F1598" s="168" t="str">
        <x:v>Singulare</x:v>
      </x:c>
      <x:c r="G1598" s="168" t="str">
        <x:v>QI CORRETORA DE TÍTULOS E VALORES MOBILIÁRIOS S.A.</x:v>
      </x:c>
      <x:c r="H1598" s="168" t="str">
        <x:v>Agro, Indústria e Comércio</x:v>
      </x:c>
      <x:c r="I1598" s="168" t="str">
        <x:v>Recebíveis Comerciais</x:v>
      </x:c>
      <x:c r="J1598" s="168" t="str">
        <x:v>CI</x:v>
      </x:c>
      <x:c r="K1598" s="174" t="n">
        <x:v>1</x:v>
      </x:c>
      <x:c r="L1598" s="187" t="str">
        <x:v>Não classificado</x:v>
      </x:c>
    </x:row>
    <x:row r="1599">
      <x:c r="A1599" s="177" t="str">
        <x:v>52.258.572/0001-79</x:v>
      </x:c>
      <x:c r="B1599" s="168" t="str">
        <x:v>ALGARVE TETRA FUNDO DE INVESTIMENTO EM DIREITOS CREDITÓRIOS</x:v>
      </x:c>
      <x:c r="C1599" s="190" t="n">
        <x:v>51255889.83</x:v>
      </x:c>
      <x:c r="D1599" s="168" t="str">
        <x:v>Algarve Capital</x:v>
      </x:c>
      <x:c r="E1599" s="168" t="str">
        <x:f>IFERROR(INDEX('Classif Gestoras'!$H$6:$H$462,MATCH(D1599,'Classif Gestoras'!$A$6:$A$462,0)),"Não classificada")</x:f>
        <x:v>Independente</x:v>
      </x:c>
      <x:c r="F1599" s="168" t="str">
        <x:v>BANCO DAYCOVAL S/A</x:v>
      </x:c>
      <x:c r="G1599" s="168" t="str">
        <x:v>BANCO DAYCOVAL S.A.</x:v>
      </x:c>
      <x:c r="H1599" s="168" t="str">
        <x:v>Outros</x:v>
      </x:c>
      <x:c r="I1599" s="168" t="str">
        <x:v>Multicarteira Outros</x:v>
      </x:c>
      <x:c r="J1599" s="168" t="str">
        <x:v>CI</x:v>
      </x:c>
      <x:c r="K1599" s="174" t="n">
        <x:v>5</x:v>
      </x:c>
      <x:c r="L1599" s="187" t="str">
        <x:v>Proxy multicedente/multissacado — revisar</x:v>
      </x:c>
    </x:row>
    <x:row r="1600">
      <x:c r="A1600" s="177" t="str">
        <x:v>52.680.835/0001-33</x:v>
      </x:c>
      <x:c r="B1600" s="168" t="str">
        <x:v>ATVOS ENERGIA FUNDO DE INVESTIMENTO EM DIREITOS CREDITÓRIOS RESPONSABILIDADE LIMITADA</x:v>
      </x:c>
      <x:c r="C1600" s="190" t="n">
        <x:v>51231488.64</x:v>
      </x:c>
      <x:c r="D1600" s="168" t="str">
        <x:v>Eco Gestão de Ativos LTDA.</x:v>
      </x:c>
      <x:c r="E1600" s="168" t="str">
        <x:f>IFERROR(INDEX('Classif Gestoras'!$H$6:$H$462,MATCH(D1600,'Classif Gestoras'!$A$6:$A$462,0)),"Não classificada")</x:f>
        <x:v>Independente</x:v>
      </x:c>
      <x:c r="F1600" s="168" t="str">
        <x:v>BANCO DAYCOVAL S/A</x:v>
      </x:c>
      <x:c r="G1600" s="168" t="str">
        <x:v>BANCO DAYCOVAL S.A.</x:v>
      </x:c>
      <x:c r="H1600" s="168" t="str">
        <x:v>Agro, Indústria e Comércio</x:v>
      </x:c>
      <x:c r="I1600" s="168" t="str">
        <x:v>Agronegócio</x:v>
      </x:c>
      <x:c r="J1600" s="168" t="str">
        <x:v>CI</x:v>
      </x:c>
      <x:c r="K1600" s="174" t="n">
        <x:v>1</x:v>
      </x:c>
      <x:c r="L1600" s="187" t="str">
        <x:v>Não classificado</x:v>
      </x:c>
    </x:row>
    <x:row r="1601">
      <x:c r="A1601" s="177" t="str">
        <x:v>34.661.403/0001-01</x:v>
      </x:c>
      <x:c r="B1601" s="168" t="str">
        <x:v>FUNDO DE INVESTIMENTO EM DIREITOS CREDITÓRIOS FISERV - RESPONSABILIDADE LIMITADA</x:v>
      </x:c>
      <x:c r="C1601" s="190" t="n">
        <x:v>51230143.89</x:v>
      </x:c>
      <x:c r="D1601" s="168" t="str">
        <x:v>Oliveira Trust Servicer</x:v>
      </x:c>
      <x:c r="E1601" s="168" t="str">
        <x:f>IFERROR(INDEX('Classif Gestoras'!$H$6:$H$462,MATCH(D1601,'Classif Gestoras'!$A$6:$A$462,0)),"Não classificada")</x:f>
        <x:v>Independente</x:v>
      </x:c>
      <x:c r="F1601" s="168" t="str">
        <x:v>Oliveira Trust DTVM</x:v>
      </x:c>
      <x:c r="G1601" s="168" t="str">
        <x:v>OLIVEIRA TRUST DTVM S.A.</x:v>
      </x:c>
      <x:c r="H1601" s="168" t="str">
        <x:v>Fomento Mercantil</x:v>
      </x:c>
      <x:c r="I1601" s="168" t="str">
        <x:v>Fomento Mercantil</x:v>
      </x:c>
      <x:c r="J1601" s="168" t="str">
        <x:v>CI</x:v>
      </x:c>
      <x:c r="K1601" s="174" t="n">
        <x:v>1</x:v>
      </x:c>
      <x:c r="L1601" s="187" t="str">
        <x:v>Não classificado</x:v>
      </x:c>
    </x:row>
    <x:row r="1602">
      <x:c r="A1602" s="177" t="str">
        <x:v>58.426.775/0001-03</x:v>
      </x:c>
      <x:c r="B1602" s="168" t="str">
        <x:v>CVPAR NC FUNDO DE INVESTIMENTO EM DIREITOS CREDITÓRIOS RESPONSABILIDADE LIMITADA</x:v>
      </x:c>
      <x:c r="C1602" s="190" t="n">
        <x:v>51122458.8</x:v>
      </x:c>
      <x:c r="D1602" s="168" t="str">
        <x:v>CVPAR Investimentos ltda</x:v>
      </x:c>
      <x:c r="E1602" s="168" t="str">
        <x:f>IFERROR(INDEX('Classif Gestoras'!$H$6:$H$462,MATCH(D1602,'Classif Gestoras'!$A$6:$A$462,0)),"Não classificada")</x:f>
        <x:v>Independente</x:v>
      </x:c>
      <x:c r="F1602" s="168" t="str">
        <x:v>Singulare</x:v>
      </x:c>
      <x:c r="G1602" s="168" t="str">
        <x:v>QI CORRETORA DE TÍTULOS E VALORES MOBILIÁRIOS S.A.</x:v>
      </x:c>
      <x:c r="H1602" s="168" t="str">
        <x:v>Outros</x:v>
      </x:c>
      <x:c r="I1602" s="168" t="str">
        <x:v>Multicarteira Outros</x:v>
      </x:c>
      <x:c r="J1602" s="168" t="str">
        <x:v>CI</x:v>
      </x:c>
      <x:c r="K1602" s="174" t="n">
        <x:v>6</x:v>
      </x:c>
      <x:c r="L1602" s="187" t="str">
        <x:v>Proxy multicedente/multissacado — revisar</x:v>
      </x:c>
    </x:row>
    <x:row r="1603">
      <x:c r="A1603" s="177" t="str">
        <x:v>51.769.350/0001-58</x:v>
      </x:c>
      <x:c r="B1603" s="168" t="str">
        <x:v>WBL FUNDO DE INVESTIMENTO EM DIREITOS CREDITÓRIOS MULTISEGMENTOS</x:v>
      </x:c>
      <x:c r="C1603" s="190" t="n">
        <x:v>51083132.92</x:v>
      </x:c>
      <x:c r="D1603" s="168" t="str">
        <x:v>Petra Capital</x:v>
      </x:c>
      <x:c r="E1603" s="168" t="str">
        <x:f>IFERROR(INDEX('Classif Gestoras'!$H$6:$H$462,MATCH(D1603,'Classif Gestoras'!$A$6:$A$462,0)),"Não classificada")</x:f>
        <x:v>Independente</x:v>
      </x:c>
      <x:c r="F1603" s="168" t="str">
        <x:v>Finaxis Corretora de Títulos e Valores Mobiliários S.A.</x:v>
      </x:c>
      <x:c r="G1603" s="168" t="str">
        <x:v>BANCO FINAXIS S.A.</x:v>
      </x:c>
      <x:c r="H1603" s="168" t="str">
        <x:v>Outros</x:v>
      </x:c>
      <x:c r="I1603" s="168" t="str">
        <x:v>Multicarteira Outros</x:v>
      </x:c>
      <x:c r="J1603" s="168" t="str">
        <x:v>CI</x:v>
      </x:c>
      <x:c r="K1603" s="174" t="n">
        <x:v>1</x:v>
      </x:c>
      <x:c r="L1603" s="187" t="str">
        <x:v>Proxy multicedente/multissacado — revisar</x:v>
      </x:c>
    </x:row>
    <x:row r="1604">
      <x:c r="A1604" s="177" t="str">
        <x:v>29.492.868/0001-38</x:v>
      </x:c>
      <x:c r="B1604" s="168" t="str">
        <x:v>MULTI RECEBÍVEIS III FUNDO DE INVESTIMENTO EM DIREITOS CREDITÓRIOS MULTISEGMENTOS</x:v>
      </x:c>
      <x:c r="C1604" s="190" t="n">
        <x:v>51007243.28</x:v>
      </x:c>
      <x:c r="D1604" s="168" t="str">
        <x:v>Petra Capital</x:v>
      </x:c>
      <x:c r="E1604" s="168" t="str">
        <x:f>IFERROR(INDEX('Classif Gestoras'!$H$6:$H$462,MATCH(D1604,'Classif Gestoras'!$A$6:$A$462,0)),"Não classificada")</x:f>
        <x:v>Independente</x:v>
      </x:c>
      <x:c r="F1604" s="168" t="str">
        <x:v>Finaxis Corretora de Títulos e Valores Mobiliários S.A.</x:v>
      </x:c>
      <x:c r="G1604" s="168" t="str">
        <x:v>BANCO FINAXIS S.A.</x:v>
      </x:c>
      <x:c r="H1604" s="168" t="str">
        <x:v>Fomento Mercantil</x:v>
      </x:c>
      <x:c r="I1604" s="168" t="str">
        <x:v>Fomento Mercantil</x:v>
      </x:c>
      <x:c r="J1604" s="168" t="str">
        <x:v>CI</x:v>
      </x:c>
      <x:c r="K1604" s="174" t="n">
        <x:v>24</x:v>
      </x:c>
      <x:c r="L1604" s="187" t="str">
        <x:v>Não classificado</x:v>
      </x:c>
    </x:row>
    <x:row r="1605">
      <x:c r="A1605" s="177" t="str">
        <x:v>51.254.064/0001-50</x:v>
      </x:c>
      <x:c r="B1605" s="168" t="str">
        <x:v>GRANA TECH CRÉDITO POPULAR FUNDO DE INVESTIMENTO EM DIREITOS CREDITÓRIOS FINANCEIRO - RESP LIMITADA</x:v>
      </x:c>
      <x:c r="C1605" s="190" t="n">
        <x:v>51005841.55</x:v>
      </x:c>
      <x:c r="D1605" s="168" t="str">
        <x:v>Limine Trust Distribuidora de Titulos e Valores Mobiliá</x:v>
      </x:c>
      <x:c r="E1605" s="168" t="str">
        <x:f>IFERROR(INDEX('Classif Gestoras'!$H$6:$H$462,MATCH(D1605,'Classif Gestoras'!$A$6:$A$462,0)),"Não classificada")</x:f>
        <x:v>Independente</x:v>
      </x:c>
      <x:c r="F1605" s="168" t="str">
        <x:v>Limine Trust Distribuidora de Titulos e Valores Mobiliá</x:v>
      </x:c>
      <x:c r="G1605" s="168" t="str">
        <x:v>LIMINE TRUST DISTRIBUIDORA DE TITULOS E VALORES MOBILIARIOS LTDA.</x:v>
      </x:c>
      <x:c r="H1605" s="168" t="str">
        <x:v>Financeiro</x:v>
      </x:c>
      <x:c r="I1605" s="168" t="str">
        <x:v>Crédito Consignado</x:v>
      </x:c>
      <x:c r="J1605" s="168" t="str">
        <x:v>CI</x:v>
      </x:c>
      <x:c r="K1605" s="174" t="n">
        <x:v>35</x:v>
      </x:c>
      <x:c r="L1605" s="187" t="str">
        <x:v>Não classificado</x:v>
      </x:c>
    </x:row>
    <x:row r="1606">
      <x:c r="A1606" s="177" t="str">
        <x:v>39.617.894/0001-07</x:v>
      </x:c>
      <x:c r="B1606" s="168" t="str">
        <x:v>CANAL 78 FUNDO DE INVESTIMENTO EM DIREITOS CREDITÓRIOS NÃO PADRONIZADOS</x:v>
      </x:c>
      <x:c r="C1606" s="190" t="n">
        <x:v>50934851.02</x:v>
      </x:c>
      <x:c r="D1606" s="168" t="str">
        <x:v>G5 Adm. de Recursos</x:v>
      </x:c>
      <x:c r="E1606" s="168" t="str">
        <x:f>IFERROR(INDEX('Classif Gestoras'!$H$6:$H$462,MATCH(D1606,'Classif Gestoras'!$A$6:$A$462,0)),"Não classificada")</x:f>
        <x:v>Independente</x:v>
      </x:c>
      <x:c r="F1606" s="168" t="str">
        <x:v>Singulare</x:v>
      </x:c>
      <x:c r="G1606" s="168" t="str">
        <x:v>QI CORRETORA DE TÍTULOS E VALORES MOBILIÁRIOS S.A.</x:v>
      </x:c>
      <x:c r="H1606" s="168" t="str">
        <x:v>Outros</x:v>
      </x:c>
      <x:c r="I1606" s="168" t="str">
        <x:v>Multicarteira Outros</x:v>
      </x:c>
      <x:c r="J1606" s="168" t="str">
        <x:v>CI</x:v>
      </x:c>
      <x:c r="K1606" s="174" t="n">
        <x:v>2</x:v>
      </x:c>
      <x:c r="L1606" s="187" t="str">
        <x:v>Proxy multicedente/multissacado — revisar</x:v>
      </x:c>
    </x:row>
    <x:row r="1607">
      <x:c r="A1607" s="177" t="str">
        <x:v>17.047.287/0001-08</x:v>
      </x:c>
      <x:c r="B1607" s="168" t="str">
        <x:v>COMPROCRED FUNDO DE INVESTIMENTO EM DIREITOS CREDITÓRIOS MULTISEGMENTOS</x:v>
      </x:c>
      <x:c r="C1607" s="190" t="n">
        <x:v>50910539.6</x:v>
      </x:c>
      <x:c r="D1607" s="168" t="str">
        <x:v>Petra Capital</x:v>
      </x:c>
      <x:c r="E1607" s="168" t="str">
        <x:f>IFERROR(INDEX('Classif Gestoras'!$H$6:$H$462,MATCH(D1607,'Classif Gestoras'!$A$6:$A$462,0)),"Não classificada")</x:f>
        <x:v>Independente</x:v>
      </x:c>
      <x:c r="F1607" s="168" t="str">
        <x:v>Banco Finaxis S.A.</x:v>
      </x:c>
      <x:c r="G1607" s="168" t="str">
        <x:v>BANCO FINAXIS S.A.</x:v>
      </x:c>
      <x:c r="H1607" s="168" t="str">
        <x:v>Fomento Mercantil</x:v>
      </x:c>
      <x:c r="I1607" s="168" t="str">
        <x:v>Fomento Mercantil</x:v>
      </x:c>
      <x:c r="J1607" s="168" t="str">
        <x:v>CI</x:v>
      </x:c>
      <x:c r="K1607" s="174" t="n">
        <x:v>3</x:v>
      </x:c>
      <x:c r="L1607" s="187" t="str">
        <x:v>Não classificado</x:v>
      </x:c>
    </x:row>
    <x:row r="1608">
      <x:c r="A1608" s="177" t="str">
        <x:v>61.135.235/0001-85</x:v>
      </x:c>
      <x:c r="B1608" s="168" t="str">
        <x:v>AURA FUNDO DE INVESTIMENTO EM DIREITOS CREDITÓRIOS - RESPONSABILIDADE LIMITADA</x:v>
      </x:c>
      <x:c r="C1608" s="190" t="n">
        <x:v>50794328.86</x:v>
      </x:c>
      <x:c r="D1608" s="168" t="str">
        <x:v>SOSU CAPITAL GESTÃO DE INVESTIMENTOS LTDA.</x:v>
      </x:c>
      <x:c r="E1608" s="168" t="str">
        <x:f>IFERROR(INDEX('Classif Gestoras'!$H$6:$H$462,MATCH(D1608,'Classif Gestoras'!$A$6:$A$462,0)),"Não classificada")</x:f>
        <x:v>Independente</x:v>
      </x:c>
      <x:c r="F1608" s="168" t="str">
        <x:v>BRL TRUST DTVM</x:v>
      </x:c>
      <x:c r="G1608" s="168" t="str">
        <x:v>BRL TRUST DISTRIBUIDORA DE TITULOS E VALORES MOBILIARIOS S.A.</x:v>
      </x:c>
      <x:c r="H1608" s="168" t="str">
        <x:v>Outros</x:v>
      </x:c>
      <x:c r="I1608" s="168" t="str">
        <x:v>Poder Público</x:v>
      </x:c>
      <x:c r="J1608" s="168" t="str">
        <x:v>CI</x:v>
      </x:c>
      <x:c r="K1608" s="174" t="n">
        <x:v>1</x:v>
      </x:c>
      <x:c r="L1608" s="187" t="str">
        <x:v>Não classificado</x:v>
      </x:c>
    </x:row>
    <x:row r="1609">
      <x:c r="A1609" s="177" t="str">
        <x:v>55.634.707/0001-41</x:v>
      </x:c>
      <x:c r="B1609" s="168" t="str">
        <x:v>CORPORATE VENTURE CAPITAL EVOLUTION FUNDO DE INVESTIMENTO EM DIREITOS CREDITÓRIOS</x:v>
      </x:c>
      <x:c r="C1609" s="190" t="n">
        <x:v>50700693.629999995</x:v>
      </x:c>
      <x:c r="D1609" s="168" t="str">
        <x:v>QUAESTUS GESTÃO DE INVESTIMENTOS LTDA.</x:v>
      </x:c>
      <x:c r="E1609" s="168" t="str">
        <x:f>IFERROR(INDEX('Classif Gestoras'!$H$6:$H$462,MATCH(D1609,'Classif Gestoras'!$A$6:$A$462,0)),"Não classificada")</x:f>
        <x:v>Independente</x:v>
      </x:c>
      <x:c r="F1609" s="168" t="str">
        <x:v>MONETAR DISTRIBUIDORA DE TITUL</x:v>
      </x:c>
      <x:c r="G1609" s="168" t="str">
        <x:v>TERRA INVESTIMENTOS DISTRIBUIDORA DE TITULOS E VALORES MOBILIARIOS LTDA</x:v>
      </x:c>
      <x:c r="H1609" s="168" t="str">
        <x:v>Fomento Mercantil</x:v>
      </x:c>
      <x:c r="I1609" s="168" t="str">
        <x:v>Fomento Mercantil</x:v>
      </x:c>
      <x:c r="J1609" s="168" t="str">
        <x:v>CI</x:v>
      </x:c>
      <x:c r="K1609" s="174" t="n">
        <x:v>4</x:v>
      </x:c>
      <x:c r="L1609" s="187" t="str">
        <x:v>Não classificado</x:v>
      </x:c>
    </x:row>
    <x:row r="1610">
      <x:c r="A1610" s="177" t="str">
        <x:v>51.139.857/0001-28</x:v>
      </x:c>
      <x:c r="B1610" s="168" t="str">
        <x:v>ZEFIROS I FUNDO DE INVESTIMENTO EM DIREITOS CREDITÓRIOS NÃO PADRONIZADOS</x:v>
      </x:c>
      <x:c r="C1610" s="190" t="n">
        <x:v>50672044.64</x:v>
      </x:c>
      <x:c r="D1610" s="168" t="str">
        <x:v>Corcovado Investimentos</x:v>
      </x:c>
      <x:c r="E1610" s="168" t="str">
        <x:f>IFERROR(INDEX('Classif Gestoras'!$H$6:$H$462,MATCH(D1610,'Classif Gestoras'!$A$6:$A$462,0)),"Não classificada")</x:f>
        <x:v>Independente</x:v>
      </x:c>
      <x:c r="F1610" s="168" t="str">
        <x:v>PLANNER CV</x:v>
      </x:c>
      <x:c r="G1610" s="168" t="str">
        <x:v>PLANNER CORRETORA DE VALORES S.A.</x:v>
      </x:c>
      <x:c r="H1610" s="168" t="str">
        <x:v>Outros</x:v>
      </x:c>
      <x:c r="I1610" s="168" t="str">
        <x:v>Multicarteira Outros</x:v>
      </x:c>
      <x:c r="J1610" s="168" t="str">
        <x:v>CI</x:v>
      </x:c>
      <x:c r="K1610" s="174" t="n">
        <x:v>1</x:v>
      </x:c>
      <x:c r="L1610" s="187" t="str">
        <x:v>Proxy multicedente/multissacado — revisar</x:v>
      </x:c>
    </x:row>
    <x:row r="1611">
      <x:c r="A1611" s="177" t="str">
        <x:v>65.534.981/0001-00</x:v>
      </x:c>
      <x:c r="B1611" s="168" t="str">
        <x:v>FUNDO DE INVESTIMENTO EM DIREITOS CREDITÓRIOS NPL - ATIVOS I</x:v>
      </x:c>
      <x:c r="C1611" s="190" t="n">
        <x:v>50627525.38999999</x:v>
      </x:c>
      <x:c r="D1611" s="168" t="str">
        <x:v>BB Asset Management</x:v>
      </x:c>
      <x:c r="E1611" s="168" t="str">
        <x:f>IFERROR(INDEX('Classif Gestoras'!$H$6:$H$462,MATCH(D1611,'Classif Gestoras'!$A$6:$A$462,0)),"Não classificada")</x:f>
        <x:v>Ligada a banco</x:v>
      </x:c>
      <x:c r="F1611" s="168" t="str">
        <x:v>BB Asset Management</x:v>
      </x:c>
      <x:c r="G1611" s="168" t="str">
        <x:v>OSLO CAPITAL DISTRIBUIDORA DE TITULOS E VALORES MOBILIARIOS S.A.</x:v>
      </x:c>
      <x:c r="H1611" s="168" t="str">
        <x:v>Outros</x:v>
      </x:c>
      <x:c r="I1611" s="168" t="str">
        <x:v>Recuperação</x:v>
      </x:c>
      <x:c r="J1611" s="168" t="str">
        <x:v>CI</x:v>
      </x:c>
      <x:c r="K1611" s="174" t="n">
        <x:v>1</x:v>
      </x:c>
      <x:c r="L1611" s="187" t="str">
        <x:v>Não classificado</x:v>
      </x:c>
    </x:row>
    <x:row r="1612">
      <x:c r="A1612" s="177" t="str">
        <x:v>58.407.746/0001-02</x:v>
      </x:c>
      <x:c r="B1612" s="168" t="str">
        <x:v>VIER K FUNDO DE INVESTIMENTO EM DIREITOS CREDITÓRIOS</x:v>
      </x:c>
      <x:c r="C1612" s="190" t="n">
        <x:v>50366612.38</x:v>
      </x:c>
      <x:c r="D1612" s="168" t="str">
        <x:v>ICON CAPITAL</x:v>
      </x:c>
      <x:c r="E1612" s="168" t="str">
        <x:f>IFERROR(INDEX('Classif Gestoras'!$H$6:$H$462,MATCH(D1612,'Classif Gestoras'!$A$6:$A$462,0)),"Não classificada")</x:f>
        <x:v>Independente</x:v>
      </x:c>
      <x:c r="F1612" s="168" t="str">
        <x:v>BTG Pactual Servicos Financeiros S/A DTVM</x:v>
      </x:c>
      <x:c r="G1612" s="168" t="str">
        <x:v>BANCO BTG PACTUAL S/A</x:v>
      </x:c>
      <x:c r="H1612" s="168" t="str">
        <x:v>Outros</x:v>
      </x:c>
      <x:c r="I1612" s="168" t="str">
        <x:v>Multicarteira Outros</x:v>
      </x:c>
      <x:c r="J1612" s="168" t="str">
        <x:v>CI</x:v>
      </x:c>
      <x:c r="K1612" s="174" t="n">
        <x:v>4</x:v>
      </x:c>
      <x:c r="L1612" s="187" t="str">
        <x:v>Proxy multicedente/multissacado — revisar</x:v>
      </x:c>
    </x:row>
    <x:row r="1613">
      <x:c r="A1613" s="177" t="str">
        <x:v>64.897.169/0001-79</x:v>
      </x:c>
      <x:c r="B1613" s="168" t="str">
        <x:v>FUNDO DE INVESTIMENTO EM DIREITOS CREDITÓRIOS - RECEBÍVEIS COMERCIAIS TOP PARTNERS - RESP LIMITADA</x:v>
      </x:c>
      <x:c r="C1613" s="190" t="n">
        <x:v>50358512.7</x:v>
      </x:c>
      <x:c r="D1613" s="168" t="str">
        <x:v>Integral Investimentos</x:v>
      </x:c>
      <x:c r="E1613" s="168" t="str">
        <x:f>IFERROR(INDEX('Classif Gestoras'!$H$6:$H$462,MATCH(D1613,'Classif Gestoras'!$A$6:$A$462,0)),"Não classificada")</x:f>
        <x:v>Independente</x:v>
      </x:c>
      <x:c r="F1613" s="168" t="str">
        <x:v>BEM - DIST. DE TÍTUL</x:v>
      </x:c>
      <x:c r="G1613" s="168" t="str">
        <x:v>BANCO BRADESCO S.A.</x:v>
      </x:c>
      <x:c r="H1613" s="168" t="str">
        <x:v>Agro, Indústria e Comércio</x:v>
      </x:c>
      <x:c r="I1613" s="168" t="str">
        <x:v>Recebíveis Comerciais</x:v>
      </x:c>
      <x:c r="J1613" s="168" t="str">
        <x:v>CI</x:v>
      </x:c>
      <x:c r="K1613" s="174" t="n">
        <x:v>1</x:v>
      </x:c>
      <x:c r="L1613" s="187" t="str">
        <x:v>Não classificado</x:v>
      </x:c>
    </x:row>
    <x:row r="1614">
      <x:c r="A1614" s="177" t="str">
        <x:v>61.430.639/0001-00</x:v>
      </x:c>
      <x:c r="B1614" s="168" t="str">
        <x:v>NX BOATS FUNDO DE INVESTIMENTO EM DIREITOS CREDITÓRIOS - RESPONSABILIDADE LIMITADA</x:v>
      </x:c>
      <x:c r="C1614" s="190" t="n">
        <x:v>50317772.02</x:v>
      </x:c>
      <x:c r="D1614" s="168" t="str">
        <x:v>SETE ASSET MANAGEMENT LTDA</x:v>
      </x:c>
      <x:c r="E1614" s="168" t="str">
        <x:f>IFERROR(INDEX('Classif Gestoras'!$H$6:$H$462,MATCH(D1614,'Classif Gestoras'!$A$6:$A$462,0)),"Não classificada")</x:f>
        <x:v>Independente</x:v>
      </x:c>
      <x:c r="F1614" s="168" t="str">
        <x:v>Limine Trust Distribuidora de Titulos e Valores Mobiliá</x:v>
      </x:c>
      <x:c r="G1614" s="168" t="str">
        <x:v>LIMINE TRUST DISTRIBUIDORA DE TITULOS E VALORES MOBILIARIOS LTDA.</x:v>
      </x:c>
      <x:c r="H1614" s="168" t="str">
        <x:v>Fomento Mercantil</x:v>
      </x:c>
      <x:c r="I1614" s="168" t="str">
        <x:v>Fomento Mercantil</x:v>
      </x:c>
      <x:c r="J1614" s="168" t="str">
        <x:v>CI</x:v>
      </x:c>
      <x:c r="K1614" s="174" t="n">
        <x:v>18</x:v>
      </x:c>
      <x:c r="L1614" s="187" t="str">
        <x:v>Não classificado</x:v>
      </x:c>
    </x:row>
    <x:row r="1615">
      <x:c r="A1615" s="177" t="str">
        <x:v>58.479.412/0001-36</x:v>
      </x:c>
      <x:c r="B1615" s="168" t="str">
        <x:v>VARYAGI II FUNDO DE INVESTIMENTO EM DIREITOS CREDITÓRIOS CONSIGNADO PÚBLICO RESP LIMITADA</x:v>
      </x:c>
      <x:c r="C1615" s="190" t="n">
        <x:v>50242431.69</x:v>
      </x:c>
      <x:c r="D1615" s="168" t="str">
        <x:v>Brave Asset</x:v>
      </x:c>
      <x:c r="E1615" s="168" t="str">
        <x:f>IFERROR(INDEX('Classif Gestoras'!$H$6:$H$462,MATCH(D1615,'Classif Gestoras'!$A$6:$A$462,0)),"Não classificada")</x:f>
        <x:v>Independente</x:v>
      </x:c>
      <x:c r="F1615" s="168" t="str">
        <x:v>HEMERA DTVM</x:v>
      </x:c>
      <x:c r="G1615" s="168" t="str">
        <x:v>HEMERA DISTRIBUIDORA DE TITULOS E VALORES MOBILIARIOS LTDA</x:v>
      </x:c>
      <x:c r="H1615" s="168" t="str">
        <x:v>Financeiro</x:v>
      </x:c>
      <x:c r="I1615" s="168" t="str">
        <x:v>Crédito Consignado</x:v>
      </x:c>
      <x:c r="J1615" s="168" t="str">
        <x:v>CI</x:v>
      </x:c>
      <x:c r="K1615" s="174" t="n">
        <x:v>15</x:v>
      </x:c>
      <x:c r="L1615" s="187" t="str">
        <x:v>Não classificado</x:v>
      </x:c>
    </x:row>
    <x:row r="1616">
      <x:c r="A1616" s="177" t="str">
        <x:v>42.513.856/0001-00</x:v>
      </x:c>
      <x:c r="B1616" s="168" t="str">
        <x:v>CNPJ 42513856000100</x:v>
      </x:c>
      <x:c r="C1616" s="190" t="n">
        <x:v>50241642.669999994</x:v>
      </x:c>
      <x:c r="D1616" s="168" t="str">
        <x:v>Emerald Gestão de Investimento</x:v>
      </x:c>
      <x:c r="E1616" s="168" t="str">
        <x:f>IFERROR(INDEX('Classif Gestoras'!$H$6:$H$462,MATCH(D1616,'Classif Gestoras'!$A$6:$A$462,0)),"Não classificada")</x:f>
        <x:v>Independente</x:v>
      </x:c>
      <x:c r="F1616" s="168" t="str">
        <x:v>BANCO J. SAFRA S/A</x:v>
      </x:c>
      <x:c r="G1616" s="168" t="str">
        <x:v>Não identificado</x:v>
      </x:c>
      <x:c r="H1616" s="168" t="str">
        <x:v>Outros</x:v>
      </x:c>
      <x:c r="I1616" s="168" t="str">
        <x:v>Poder Público</x:v>
      </x:c>
      <x:c r="J1616" s="168" t="str">
        <x:v>CI</x:v>
      </x:c>
      <x:c r="K1616" s="174"/>
      <x:c r="L1616" s="187" t="str">
        <x:v>Não classificado</x:v>
      </x:c>
    </x:row>
    <x:row r="1617">
      <x:c r="A1617" s="177" t="str">
        <x:v>57.547.806/0001-11</x:v>
      </x:c>
      <x:c r="B1617" s="168" t="str">
        <x:v>PLGN PFN FUNDO DE INVESTIMENTO EM DIREITOS CREDITÓRIOS</x:v>
      </x:c>
      <x:c r="C1617" s="190" t="n">
        <x:v>50027556.239999995</x:v>
      </x:c>
      <x:c r="D1617" s="168" t="str">
        <x:v>POLÍGONO CAPITAL LTDA.</x:v>
      </x:c>
      <x:c r="E1617" s="168" t="str">
        <x:f>IFERROR(INDEX('Classif Gestoras'!$H$6:$H$462,MATCH(D1617,'Classif Gestoras'!$A$6:$A$462,0)),"Não classificada")</x:f>
        <x:v>Independente</x:v>
      </x:c>
      <x:c r="F1617" s="168" t="str">
        <x:v>BANCO DAYCOVAL S/A</x:v>
      </x:c>
      <x:c r="G1617" s="168" t="str">
        <x:v>BANCO DAYCOVAL S.A.</x:v>
      </x:c>
      <x:c r="H1617" s="168" t="str">
        <x:v>Outros</x:v>
      </x:c>
      <x:c r="I1617" s="168" t="str">
        <x:v>Multicarteira Outros</x:v>
      </x:c>
      <x:c r="J1617" s="168" t="str">
        <x:v>CI</x:v>
      </x:c>
      <x:c r="K1617" s="174" t="n">
        <x:v>2</x:v>
      </x:c>
      <x:c r="L1617" s="187" t="str">
        <x:v>Proxy multicedente/multissacado — revisar</x:v>
      </x:c>
    </x:row>
    <x:row r="1618">
      <x:c r="A1618" s="177" t="str">
        <x:v>21.254.441/0001-90</x:v>
      </x:c>
      <x:c r="B1618" s="168" t="str">
        <x:v>FUNDO DE INVESTIMENTO EM DIREITOS CREDITÓRIOS CAPITAL 5</x:v>
      </x:c>
      <x:c r="C1618" s="190" t="n">
        <x:v>50013719.1</x:v>
      </x:c>
      <x:c r="D1618" s="168" t="str">
        <x:v>KÖLI CAPITAL</x:v>
      </x:c>
      <x:c r="E1618" s="168" t="str">
        <x:f>IFERROR(INDEX('Classif Gestoras'!$H$6:$H$462,MATCH(D1618,'Classif Gestoras'!$A$6:$A$462,0)),"Não classificada")</x:f>
        <x:v>Independente</x:v>
      </x:c>
      <x:c r="F1618" s="168" t="str">
        <x:v>Singulare</x:v>
      </x:c>
      <x:c r="G1618" s="168" t="str">
        <x:v>QI CORRETORA DE TÍTULOS E VALORES MOBILIÁRIOS S.A.</x:v>
      </x:c>
      <x:c r="H1618" s="168" t="str">
        <x:v>Fomento Mercantil</x:v>
      </x:c>
      <x:c r="I1618" s="168" t="str">
        <x:v>Fomento Mercantil</x:v>
      </x:c>
      <x:c r="J1618" s="168" t="str">
        <x:v>CI</x:v>
      </x:c>
      <x:c r="K1618" s="174" t="n">
        <x:v>8</x:v>
      </x:c>
      <x:c r="L1618" s="187" t="str">
        <x:v>Não classificado</x:v>
      </x:c>
    </x:row>
    <x:row r="1619">
      <x:c r="A1619" s="177" t="str">
        <x:v>46.322.902/0001-45</x:v>
      </x:c>
      <x:c r="B1619" s="168" t="str">
        <x:v>BOCAINA VD FUNDO DE INVESTIMENTO EM DIREITOS CREDITÓRIOS DE RESPONSABILIDADE LIMITADA</x:v>
      </x:c>
      <x:c r="C1619" s="190" t="n">
        <x:v>49721323.36</x:v>
      </x:c>
      <x:c r="D1619" s="168" t="str">
        <x:v>Bocaina Capital</x:v>
      </x:c>
      <x:c r="E1619" s="168" t="str">
        <x:f>IFERROR(INDEX('Classif Gestoras'!$H$6:$H$462,MATCH(D1619,'Classif Gestoras'!$A$6:$A$462,0)),"Não classificada")</x:f>
        <x:v>Independente</x:v>
      </x:c>
      <x:c r="F1619" s="168" t="str">
        <x:v>BANCO DAYCOVAL S/A</x:v>
      </x:c>
      <x:c r="G1619" s="168" t="str">
        <x:v>BANCO DAYCOVAL S.A.</x:v>
      </x:c>
      <x:c r="H1619" s="168" t="str">
        <x:v>Outros</x:v>
      </x:c>
      <x:c r="I1619" s="168" t="str">
        <x:v>Multicarteira Outros</x:v>
      </x:c>
      <x:c r="J1619" s="168" t="str">
        <x:v>CI</x:v>
      </x:c>
      <x:c r="K1619" s="174" t="n">
        <x:v>1</x:v>
      </x:c>
      <x:c r="L1619" s="187" t="str">
        <x:v>Proxy multicedente/multissacado — revisar</x:v>
      </x:c>
    </x:row>
    <x:row r="1620">
      <x:c r="A1620" s="177" t="str">
        <x:v>45.899.745/0001-72</x:v>
      </x:c>
      <x:c r="B1620" s="168" t="str">
        <x:v>ID 112 FUNDO DE INVESTIMENTO EM DIREITOS CREDITÓRIOS NÃO-PADRONIZADOS</x:v>
      </x:c>
      <x:c r="C1620" s="190" t="n">
        <x:v>49645836.37</x:v>
      </x:c>
      <x:c r="D1620" s="168" t="str">
        <x:v>Bless Capital Gestora de Recursos Ltda.</x:v>
      </x:c>
      <x:c r="E1620" s="168" t="str">
        <x:f>IFERROR(INDEX('Classif Gestoras'!$H$6:$H$462,MATCH(D1620,'Classif Gestoras'!$A$6:$A$462,0)),"Não classificada")</x:f>
        <x:v>Independente</x:v>
      </x:c>
      <x:c r="F1620" s="168" t="str">
        <x:v>ID Corretora de Títulos e Valores Mobiliários S.A.</x:v>
      </x:c>
      <x:c r="G1620" s="168" t="str">
        <x:v>ID CORRETORA DE TITULOS E VALORES MOBILIARIOS S.A.</x:v>
      </x:c>
      <x:c r="H1620" s="168" t="str">
        <x:v>Outros</x:v>
      </x:c>
      <x:c r="I1620" s="168" t="str">
        <x:v>Multicarteira Outros</x:v>
      </x:c>
      <x:c r="J1620" s="168" t="str">
        <x:v>CI</x:v>
      </x:c>
      <x:c r="K1620" s="174" t="n">
        <x:v>3</x:v>
      </x:c>
      <x:c r="L1620" s="187" t="str">
        <x:v>Proxy multicedente/multissacado — revisar</x:v>
      </x:c>
    </x:row>
    <x:row r="1621">
      <x:c r="A1621" s="177" t="str">
        <x:v>47.227.461/0001-65</x:v>
      </x:c>
      <x:c r="B1621" s="168" t="str">
        <x:v>FUNDO DE INVESTIMENTO EM DIREITOS CREDITÓRIOS CV 01 RESPONSABILIDADE LIMITADA</x:v>
      </x:c>
      <x:c r="C1621" s="190" t="n">
        <x:v>49582230.02</x:v>
      </x:c>
      <x:c r="D1621" s="168" t="str">
        <x:v>Cultinvest Asset</x:v>
      </x:c>
      <x:c r="E1621" s="168" t="str">
        <x:f>IFERROR(INDEX('Classif Gestoras'!$H$6:$H$462,MATCH(D1621,'Classif Gestoras'!$A$6:$A$462,0)),"Não classificada")</x:f>
        <x:v>Independente</x:v>
      </x:c>
      <x:c r="F1621" s="168" t="str">
        <x:v>BANCO DAYCOVAL S/A</x:v>
      </x:c>
      <x:c r="G1621" s="168" t="str">
        <x:v>BANCO DAYCOVAL S.A.</x:v>
      </x:c>
      <x:c r="H1621" s="168" t="str">
        <x:v>Financeiro</x:v>
      </x:c>
      <x:c r="I1621" s="168" t="str">
        <x:v>Crédito Pessoal</x:v>
      </x:c>
      <x:c r="J1621" s="168" t="str">
        <x:v>CI</x:v>
      </x:c>
      <x:c r="K1621" s="174" t="n">
        <x:v>20</x:v>
      </x:c>
      <x:c r="L1621" s="187" t="str">
        <x:v>Não classificado</x:v>
      </x:c>
    </x:row>
    <x:row r="1622">
      <x:c r="A1622" s="177" t="str">
        <x:v>58.055.646/0001-56</x:v>
      </x:c>
      <x:c r="B1622" s="168" t="str">
        <x:v>ORUMAS I FUNDO DE INVESTIMENTO EM DIREITOS CREDITÓRIOS</x:v>
      </x:c>
      <x:c r="C1622" s="190" t="n">
        <x:v>49522019.5</x:v>
      </x:c>
      <x:c r="D1622" s="168" t="str">
        <x:v>SH Asset</x:v>
      </x:c>
      <x:c r="E1622" s="168" t="str">
        <x:f>IFERROR(INDEX('Classif Gestoras'!$H$6:$H$462,MATCH(D1622,'Classif Gestoras'!$A$6:$A$462,0)),"Não classificada")</x:f>
        <x:v>Independente</x:v>
      </x:c>
      <x:c r="F1622" s="168" t="str">
        <x:v>FIDD DISTRIBUIDORA DE TITULOS E VALORES MOBILIARIOS LTD</x:v>
      </x:c>
      <x:c r="G1622" s="168" t="str">
        <x:v>FIDD DISTRIBUIDORA DE TITULOS E VALORES MOBILIARIOS LTDA.</x:v>
      </x:c>
      <x:c r="H1622" s="168" t="str">
        <x:v>Financeiro</x:v>
      </x:c>
      <x:c r="I1622" s="168" t="str">
        <x:v>Multicarteira Financeiro</x:v>
      </x:c>
      <x:c r="J1622" s="168" t="str">
        <x:v>CI</x:v>
      </x:c>
      <x:c r="K1622" s="174" t="n">
        <x:v>5</x:v>
      </x:c>
      <x:c r="L1622" s="187" t="str">
        <x:v>Proxy multicedente/multissacado — revisar</x:v>
      </x:c>
    </x:row>
    <x:row r="1623">
      <x:c r="A1623" s="177" t="str">
        <x:v>26.913.809/0001-06</x:v>
      </x:c>
      <x:c r="B1623" s="168" t="str">
        <x:v>PROA FUNDO DE INVESTIMENTO EM DIREITOS CREDITÓRIOS MULTISSETORIAL</x:v>
      </x:c>
      <x:c r="C1623" s="190" t="n">
        <x:v>49382433.88</x:v>
      </x:c>
      <x:c r="D1623" s="168" t="str">
        <x:v>BURITI INVESTIMENTOS</x:v>
      </x:c>
      <x:c r="E1623" s="168" t="str">
        <x:f>IFERROR(INDEX('Classif Gestoras'!$H$6:$H$462,MATCH(D1623,'Classif Gestoras'!$A$6:$A$462,0)),"Não classificada")</x:f>
        <x:v>Independente</x:v>
      </x:c>
      <x:c r="F1623" s="168" t="str">
        <x:v>Singulare</x:v>
      </x:c>
      <x:c r="G1623" s="168" t="str">
        <x:v>QI CORRETORA DE TÍTULOS E VALORES MOBILIÁRIOS S.A.</x:v>
      </x:c>
      <x:c r="H1623" s="168" t="str">
        <x:v>Fomento Mercantil</x:v>
      </x:c>
      <x:c r="I1623" s="168" t="str">
        <x:v>Fomento Mercantil</x:v>
      </x:c>
      <x:c r="J1623" s="168" t="str">
        <x:v>CI</x:v>
      </x:c>
      <x:c r="K1623" s="174" t="n">
        <x:v>25</x:v>
      </x:c>
      <x:c r="L1623" s="187" t="str">
        <x:v>Não classificado</x:v>
      </x:c>
    </x:row>
    <x:row r="1624">
      <x:c r="A1624" s="177" t="str">
        <x:v>55.508.226/0001-90</x:v>
      </x:c>
      <x:c r="B1624" s="168" t="str">
        <x:v>THE ONE FUNDO DE INVESTIMENTO EM DIREITOS CREDITÓRIOS - RESPONSABILIDADE LIMITADA</x:v>
      </x:c>
      <x:c r="C1624" s="190" t="n">
        <x:v>49152319.96223</x:v>
      </x:c>
      <x:c r="D1624" s="168" t="str">
        <x:v>Brave Asset</x:v>
      </x:c>
      <x:c r="E1624" s="168" t="str">
        <x:f>IFERROR(INDEX('Classif Gestoras'!$H$6:$H$462,MATCH(D1624,'Classif Gestoras'!$A$6:$A$462,0)),"Não classificada")</x:f>
        <x:v>Independente</x:v>
      </x:c>
      <x:c r="F1624" s="168" t="str">
        <x:v>QI DISTRIBUIDORA DE TITULOS E VALORES MOBILIARIOS LTDA</x:v>
      </x:c>
      <x:c r="G1624" s="168" t="str">
        <x:v>QI CORRETORA DE TÍTULOS E VALORES MOBILIÁRIOS S.A.</x:v>
      </x:c>
      <x:c r="H1624" s="168" t="str">
        <x:v>Financeiro</x:v>
      </x:c>
      <x:c r="I1624" s="168" t="str">
        <x:v>Crédito Pessoal</x:v>
      </x:c>
      <x:c r="J1624" s="168" t="str">
        <x:v>CI</x:v>
      </x:c>
      <x:c r="K1624" s="174" t="n">
        <x:v>37</x:v>
      </x:c>
      <x:c r="L1624" s="187" t="str">
        <x:v>Não classificado</x:v>
      </x:c>
    </x:row>
    <x:row r="1625">
      <x:c r="A1625" s="177" t="str">
        <x:v>63.547.404/0001-10</x:v>
      </x:c>
      <x:c r="B1625" s="168" t="str">
        <x:v>FUNDO DE INVESTIMENTO EM DIREITOS CREDITÓRIOS VEXOR - RESPONSABILIDADE LIMITADA</x:v>
      </x:c>
      <x:c r="C1625" s="190" t="n">
        <x:v>48825160.05</x:v>
      </x:c>
      <x:c r="D1625" s="168" t="str">
        <x:v>Blue Solutions</x:v>
      </x:c>
      <x:c r="E1625" s="168" t="str">
        <x:f>IFERROR(INDEX('Classif Gestoras'!$H$6:$H$462,MATCH(D1625,'Classif Gestoras'!$A$6:$A$462,0)),"Não classificada")</x:f>
        <x:v>Independente</x:v>
      </x:c>
      <x:c r="F1625" s="168" t="str">
        <x:v>Banvox DTVM</x:v>
      </x:c>
      <x:c r="G1625" s="168" t="str">
        <x:v>BANVOX DISTRIBUIDORA DE TITULOS E VALORES MOBILIARIOS LTDA</x:v>
      </x:c>
      <x:c r="H1625" s="168" t="str">
        <x:v>Outros</x:v>
      </x:c>
      <x:c r="I1625" s="168" t="str">
        <x:v>Multicarteira Outros</x:v>
      </x:c>
      <x:c r="J1625" s="168" t="str">
        <x:v>CI</x:v>
      </x:c>
      <x:c r="K1625" s="174" t="n">
        <x:v>1</x:v>
      </x:c>
      <x:c r="L1625" s="187" t="str">
        <x:v>Proxy multicedente/multissacado — revisar</x:v>
      </x:c>
    </x:row>
    <x:row r="1626">
      <x:c r="A1626" s="177" t="str">
        <x:v>43.809.937/0001-15</x:v>
      </x:c>
      <x:c r="B1626" s="168" t="str">
        <x:v>AKRON FUNDO DE INVESTIMENTO EM DIREITOS CREDITÓRIOS NÃO- PADRONIZADOS RESPONSABILIDADE LIMITADA</x:v>
      </x:c>
      <x:c r="C1626" s="190" t="n">
        <x:v>48807381.21</x:v>
      </x:c>
      <x:c r="D1626" s="168" t="str">
        <x:v>LORINVEST GESTÃO DE RECURSOS LTDA</x:v>
      </x:c>
      <x:c r="E1626" s="168" t="str">
        <x:f>IFERROR(INDEX('Classif Gestoras'!$H$6:$H$462,MATCH(D1626,'Classif Gestoras'!$A$6:$A$462,0)),"Não classificada")</x:f>
        <x:v>Independente</x:v>
      </x:c>
      <x:c r="F1626" s="168" t="str">
        <x:v>BTG Pactual Servicos Financeiros S/A DTVM</x:v>
      </x:c>
      <x:c r="G1626" s="168" t="str">
        <x:v>BANCO BTG PACTUAL S/A</x:v>
      </x:c>
      <x:c r="H1626" s="168" t="str">
        <x:v>Outros</x:v>
      </x:c>
      <x:c r="I1626" s="168" t="str">
        <x:v>Multicarteira Outros</x:v>
      </x:c>
      <x:c r="J1626" s="168" t="str">
        <x:v>CI</x:v>
      </x:c>
      <x:c r="K1626" s="174" t="n">
        <x:v>1</x:v>
      </x:c>
      <x:c r="L1626" s="187" t="str">
        <x:v>Proxy multicedente/multissacado — revisar</x:v>
      </x:c>
    </x:row>
    <x:row r="1627">
      <x:c r="A1627" s="177" t="str">
        <x:v>62.088.020/0001-13</x:v>
      </x:c>
      <x:c r="B1627" s="168" t="str">
        <x:v>NEO SÃO RAFAEL FUNDO DE INVESTIMENTO EM DIREITOS CREDITÓRIOS - RESPONSABILIDADE LIMITADA</x:v>
      </x:c>
      <x:c r="C1627" s="190" t="n">
        <x:v>48718039.04</x:v>
      </x:c>
      <x:c r="D1627" s="168" t="str">
        <x:v>SPECIAL SITUATIONS NEO GESTAO DE RECURSOS LTDA</x:v>
      </x:c>
      <x:c r="E1627" s="168" t="str">
        <x:f>IFERROR(INDEX('Classif Gestoras'!$H$6:$H$462,MATCH(D1627,'Classif Gestoras'!$A$6:$A$462,0)),"Não classificada")</x:f>
        <x:v>Independente</x:v>
      </x:c>
      <x:c r="F1627" s="168" t="str">
        <x:v>BTG Pactual Servicos Financeiros S/A DTVM</x:v>
      </x:c>
      <x:c r="G1627" s="168" t="str">
        <x:v>BANCO BTG PACTUAL S/A</x:v>
      </x:c>
      <x:c r="H1627" s="168" t="str">
        <x:v>Outros</x:v>
      </x:c>
      <x:c r="I1627" s="168" t="str">
        <x:v>Poder Público</x:v>
      </x:c>
      <x:c r="J1627" s="168" t="str">
        <x:v>CI</x:v>
      </x:c>
      <x:c r="K1627" s="174" t="n">
        <x:v>3</x:v>
      </x:c>
      <x:c r="L1627" s="187" t="str">
        <x:v>Não classificado</x:v>
      </x:c>
    </x:row>
    <x:row r="1628">
      <x:c r="A1628" s="177" t="str">
        <x:v>30.868.828/0001-27</x:v>
      </x:c>
      <x:c r="B1628" s="168" t="str">
        <x:v>ARC CRÉDITO I FUNDO DE INVESTIMENTO EM DIREITOS CREDITÓRIOS</x:v>
      </x:c>
      <x:c r="C1628" s="190" t="n">
        <x:v>48658785.93</x:v>
      </x:c>
      <x:c r="D1628" s="168" t="str">
        <x:v>ARC Capital</x:v>
      </x:c>
      <x:c r="E1628" s="168" t="str">
        <x:f>IFERROR(INDEX('Classif Gestoras'!$H$6:$H$462,MATCH(D1628,'Classif Gestoras'!$A$6:$A$462,0)),"Não classificada")</x:f>
        <x:v>Independente</x:v>
      </x:c>
      <x:c r="F1628" s="168" t="str">
        <x:v>BANCO DAYCOVAL S/A</x:v>
      </x:c>
      <x:c r="G1628" s="168" t="str">
        <x:v>BANCO DAYCOVAL S.A.</x:v>
      </x:c>
      <x:c r="H1628" s="168" t="str">
        <x:v>Outros</x:v>
      </x:c>
      <x:c r="I1628" s="168" t="str">
        <x:v>Multicarteira Outros</x:v>
      </x:c>
      <x:c r="J1628" s="168" t="str">
        <x:v>CI</x:v>
      </x:c>
      <x:c r="K1628" s="174" t="n">
        <x:v>1</x:v>
      </x:c>
      <x:c r="L1628" s="187" t="str">
        <x:v>Proxy multicedente/multissacado — revisar</x:v>
      </x:c>
    </x:row>
    <x:row r="1629">
      <x:c r="A1629" s="177" t="str">
        <x:v>53.823.009/0001-69</x:v>
      </x:c>
      <x:c r="B1629" s="168" t="str">
        <x:v>POLO SPECIAL SITUATIONS VII FUNDO DE INVESTIMENTO EM DIREITOS CREDITÓRIOS - NÃO PADRONIZADO - RESPON</x:v>
      </x:c>
      <x:c r="C1629" s="190" t="n">
        <x:v>48627432.96</x:v>
      </x:c>
      <x:c r="D1629" s="168" t="str">
        <x:v>Polo Capital Gestão de Recurso</x:v>
      </x:c>
      <x:c r="E1629" s="168" t="str">
        <x:f>IFERROR(INDEX('Classif Gestoras'!$H$6:$H$462,MATCH(D1629,'Classif Gestoras'!$A$6:$A$462,0)),"Não classificada")</x:f>
        <x:v>Independente</x:v>
      </x:c>
      <x:c r="F1629" s="168" t="str">
        <x:v>Singulare</x:v>
      </x:c>
      <x:c r="G1629" s="168" t="str">
        <x:v>QI CORRETORA DE TÍTULOS E VALORES MOBILIÁRIOS S.A.</x:v>
      </x:c>
      <x:c r="H1629" s="168" t="str">
        <x:v>Outros</x:v>
      </x:c>
      <x:c r="I1629" s="168" t="str">
        <x:v>Multicarteira Outros</x:v>
      </x:c>
      <x:c r="J1629" s="168" t="str">
        <x:v>CI</x:v>
      </x:c>
      <x:c r="K1629" s="174" t="n">
        <x:v>2</x:v>
      </x:c>
      <x:c r="L1629" s="187" t="str">
        <x:v>Proxy multicedente/multissacado — revisar</x:v>
      </x:c>
    </x:row>
    <x:row r="1630">
      <x:c r="A1630" s="177" t="str">
        <x:v>63.894.672/0001-08</x:v>
      </x:c>
      <x:c r="B1630" s="168" t="str">
        <x:v>REVESTPAY FUNDO DE INVESTIMENTO EM DIREITOS CREDITÓRIOS RESPONSABILIDADE LIMITADA</x:v>
      </x:c>
      <x:c r="C1630" s="190" t="n">
        <x:v>48556506.95</x:v>
      </x:c>
      <x:c r="D1630" s="168" t="str">
        <x:v>PATAGÔNIA CAPITAL</x:v>
      </x:c>
      <x:c r="E1630" s="168" t="str">
        <x:f>IFERROR(INDEX('Classif Gestoras'!$H$6:$H$462,MATCH(D1630,'Classif Gestoras'!$A$6:$A$462,0)),"Não classificada")</x:f>
        <x:v>Independente</x:v>
      </x:c>
      <x:c r="F1630" s="168" t="str">
        <x:v>ID Corretora de Títulos e Valores Mobiliários S.A.</x:v>
      </x:c>
      <x:c r="G1630" s="168" t="str">
        <x:v>ID CORRETORA DE TITULOS E VALORES MOBILIARIOS S.A.</x:v>
      </x:c>
      <x:c r="H1630" s="168" t="str">
        <x:v>Outros</x:v>
      </x:c>
      <x:c r="I1630" s="168" t="str">
        <x:v>Multicarteira Outros</x:v>
      </x:c>
      <x:c r="J1630" s="168" t="str">
        <x:v>CI</x:v>
      </x:c>
      <x:c r="K1630" s="174" t="n">
        <x:v>1</x:v>
      </x:c>
      <x:c r="L1630" s="187" t="str">
        <x:v>Proxy multicedente/multissacado — revisar</x:v>
      </x:c>
    </x:row>
    <x:row r="1631">
      <x:c r="A1631" s="177" t="str">
        <x:v>45.899.460/0001-31</x:v>
      </x:c>
      <x:c r="B1631" s="168" t="str">
        <x:v>VOLUS FUNDO DE INVESTIMENTO EM DIREITOS CREDITÓRIOS NÃO-PADRONIZADOS RESPONSABILIDADE LIMITADA</x:v>
      </x:c>
      <x:c r="C1631" s="190" t="n">
        <x:v>48164560.57000001</x:v>
      </x:c>
      <x:c r="D1631" s="168" t="str">
        <x:v>Bless Capital Gestora de Recursos Ltda.</x:v>
      </x:c>
      <x:c r="E1631" s="168" t="str">
        <x:f>IFERROR(INDEX('Classif Gestoras'!$H$6:$H$462,MATCH(D1631,'Classif Gestoras'!$A$6:$A$462,0)),"Não classificada")</x:f>
        <x:v>Independente</x:v>
      </x:c>
      <x:c r="F1631" s="168" t="str">
        <x:v>ID Corretora de Títulos e Valores Mobiliários S.A.</x:v>
      </x:c>
      <x:c r="G1631" s="168" t="str">
        <x:v>ID CORRETORA DE TITULOS E VALORES MOBILIARIOS S.A.</x:v>
      </x:c>
      <x:c r="H1631" s="168" t="str">
        <x:v>Outros</x:v>
      </x:c>
      <x:c r="I1631" s="168" t="str">
        <x:v>Multicarteira Outros</x:v>
      </x:c>
      <x:c r="J1631" s="168" t="str">
        <x:v>CI</x:v>
      </x:c>
      <x:c r="K1631" s="174" t="n">
        <x:v>12</x:v>
      </x:c>
      <x:c r="L1631" s="187" t="str">
        <x:v>Proxy multicedente/multissacado — revisar</x:v>
      </x:c>
    </x:row>
    <x:row r="1632">
      <x:c r="A1632" s="177" t="str">
        <x:v>35.179.032/0001-80</x:v>
      </x:c>
      <x:c r="B1632" s="168" t="str">
        <x:v>SEQUOIA CAPITAL FUNDO DE INVESTIMENTO EM DIREITOS CREDITORIOS</x:v>
      </x:c>
      <x:c r="C1632" s="190" t="n">
        <x:v>48155364.7</x:v>
      </x:c>
      <x:c r="D1632" s="168" t="str">
        <x:v>TRUSTEE DTVM</x:v>
      </x:c>
      <x:c r="E1632" s="168" t="str">
        <x:f>IFERROR(INDEX('Classif Gestoras'!$H$6:$H$462,MATCH(D1632,'Classif Gestoras'!$A$6:$A$462,0)),"Não classificada")</x:f>
        <x:v>Independente</x:v>
      </x:c>
      <x:c r="F1632" s="168" t="str">
        <x:v>TRUSTEE DTVM</x:v>
      </x:c>
      <x:c r="G1632" s="168" t="str">
        <x:v>TRUSTEE DISTRIBUIDORA DE TITULOS E VALORES MOBILIARIOS LTDA.</x:v>
      </x:c>
      <x:c r="H1632" s="168" t="str">
        <x:v>Outros</x:v>
      </x:c>
      <x:c r="I1632" s="168" t="str">
        <x:v>Multicarteira Outros</x:v>
      </x:c>
      <x:c r="J1632" s="168" t="str">
        <x:v>CI</x:v>
      </x:c>
      <x:c r="K1632" s="174" t="n">
        <x:v>1</x:v>
      </x:c>
      <x:c r="L1632" s="187" t="str">
        <x:v>Proxy multicedente/multissacado — revisar</x:v>
      </x:c>
    </x:row>
    <x:row r="1633">
      <x:c r="A1633" s="177" t="str">
        <x:v>65.084.272/0001-62</x:v>
      </x:c>
      <x:c r="B1633" s="168" t="str">
        <x:v>KINEA SPECIAL OPPORTUNITIES FUNDO DE INVESTIMENTO EM DIREITOS CREDITÓRIOS RESPONSABILIDADE LIMITADA</x:v>
      </x:c>
      <x:c r="C1633" s="190" t="n">
        <x:v>48116295.83</x:v>
      </x:c>
      <x:c r="D1633" s="168" t="str">
        <x:v>KINEA INVESTIMENTOS</x:v>
      </x:c>
      <x:c r="E1633" s="168" t="str">
        <x:f>IFERROR(INDEX('Classif Gestoras'!$H$6:$H$462,MATCH(D1633,'Classif Gestoras'!$A$6:$A$462,0)),"Não classificada")</x:f>
        <x:v>Ligada a banco</x:v>
      </x:c>
      <x:c r="F1633" s="168" t="str">
        <x:v>INTRAG DIST. DE TÍTU</x:v>
      </x:c>
      <x:c r="G1633" s="168" t="str">
        <x:v>ITAU UNIBANCO S.A.</x:v>
      </x:c>
      <x:c r="H1633" s="168" t="str">
        <x:v>Outros</x:v>
      </x:c>
      <x:c r="I1633" s="168" t="str">
        <x:v>Multicarteira Outros</x:v>
      </x:c>
      <x:c r="J1633" s="168" t="str">
        <x:v>CI</x:v>
      </x:c>
      <x:c r="K1633" s="174" t="n">
        <x:v>1</x:v>
      </x:c>
      <x:c r="L1633" s="187" t="str">
        <x:v>Proxy multicedente/multissacado — revisar</x:v>
      </x:c>
    </x:row>
    <x:row r="1634">
      <x:c r="A1634" s="177" t="str">
        <x:v>41.184.889/0001-91</x:v>
      </x:c>
      <x:c r="B1634" s="168" t="str">
        <x:v>GREENBUSH FUNDO DE INVESTIMENTO EM DIREITOS CREDITÓRIOS</x:v>
      </x:c>
      <x:c r="C1634" s="190" t="n">
        <x:v>47870025.330000006</x:v>
      </x:c>
      <x:c r="D1634" s="168" t="str">
        <x:v>BTG Pactual Asset</x:v>
      </x:c>
      <x:c r="E1634" s="168" t="str">
        <x:f>IFERROR(INDEX('Classif Gestoras'!$H$6:$H$462,MATCH(D1634,'Classif Gestoras'!$A$6:$A$462,0)),"Não classificada")</x:f>
        <x:v>Ligada a banco</x:v>
      </x:c>
      <x:c r="F1634" s="168" t="str">
        <x:v>BTG Pactual Servicos Financeiros S/A DTVM</x:v>
      </x:c>
      <x:c r="G1634" s="168" t="str">
        <x:v>BANCO BTG PACTUAL S/A</x:v>
      </x:c>
      <x:c r="H1634" s="168" t="str">
        <x:v>Outros</x:v>
      </x:c>
      <x:c r="I1634" s="168" t="str">
        <x:v>Multicarteira Outros</x:v>
      </x:c>
      <x:c r="J1634" s="168" t="str">
        <x:v>CI</x:v>
      </x:c>
      <x:c r="K1634" s="174" t="n">
        <x:v>1</x:v>
      </x:c>
      <x:c r="L1634" s="187" t="str">
        <x:v>Proxy multicedente/multissacado — revisar</x:v>
      </x:c>
    </x:row>
    <x:row r="1635">
      <x:c r="A1635" s="177" t="str">
        <x:v>34.475.959/0001-03</x:v>
      </x:c>
      <x:c r="B1635" s="168" t="str">
        <x:v>PACIFIC FUNDO DE INVESTIMENTO EM DIREITOS CREDITÓRIOS - RESPONSABILIDADE LIMITADA</x:v>
      </x:c>
      <x:c r="C1635" s="190" t="n">
        <x:v>47849794.76999998</x:v>
      </x:c>
      <x:c r="D1635" s="168" t="str">
        <x:v>Blue Solutions</x:v>
      </x:c>
      <x:c r="E1635" s="168" t="str">
        <x:f>IFERROR(INDEX('Classif Gestoras'!$H$6:$H$462,MATCH(D1635,'Classif Gestoras'!$A$6:$A$462,0)),"Não classificada")</x:f>
        <x:v>Independente</x:v>
      </x:c>
      <x:c r="F1635" s="168" t="str">
        <x:v>Banvox DTVM</x:v>
      </x:c>
      <x:c r="G1635" s="168" t="str">
        <x:v>VORTX DISTRIBUIDORA DE TITULOS E VALORES MOBILIARIOS LTDA.</x:v>
      </x:c>
      <x:c r="H1635" s="168" t="str">
        <x:v>Financeiro</x:v>
      </x:c>
      <x:c r="I1635" s="168" t="str">
        <x:v>Multicarteira Financeiro</x:v>
      </x:c>
      <x:c r="J1635" s="168" t="str">
        <x:v>CI</x:v>
      </x:c>
      <x:c r="K1635" s="174" t="n">
        <x:v>99</x:v>
      </x:c>
      <x:c r="L1635" s="187" t="str">
        <x:v>Proxy multicedente/multissacado — revisar</x:v>
      </x:c>
    </x:row>
    <x:row r="1636">
      <x:c r="A1636" s="177" t="str">
        <x:v>47.847.076/0001-10</x:v>
      </x:c>
      <x:c r="B1636" s="168" t="str">
        <x:v>IGNIS CAPITAL FUNDO DE INVESTIMENTO EM DIREITOS CREDITÓRIOS</x:v>
      </x:c>
      <x:c r="C1636" s="190" t="n">
        <x:v>47713034.99</x:v>
      </x:c>
      <x:c r="D1636" s="168" t="str">
        <x:v>TERCON ASSET MANAGEMENT</x:v>
      </x:c>
      <x:c r="E1636" s="168" t="str">
        <x:f>IFERROR(INDEX('Classif Gestoras'!$H$6:$H$462,MATCH(D1636,'Classif Gestoras'!$A$6:$A$462,0)),"Não classificada")</x:f>
        <x:v>Independente</x:v>
      </x:c>
      <x:c r="F1636" s="168" t="str">
        <x:v>Singulare</x:v>
      </x:c>
      <x:c r="G1636" s="168" t="str">
        <x:v>QI CORRETORA DE TÍTULOS E VALORES MOBILIÁRIOS S.A.</x:v>
      </x:c>
      <x:c r="H1636" s="168" t="str">
        <x:v>Agro, Indústria e Comércio</x:v>
      </x:c>
      <x:c r="I1636" s="168" t="str">
        <x:v>Multicarteira Agro, Indústria e Comércio</x:v>
      </x:c>
      <x:c r="J1636" s="168" t="str">
        <x:v>CI</x:v>
      </x:c>
      <x:c r="K1636" s="174" t="n">
        <x:v>18</x:v>
      </x:c>
      <x:c r="L1636" s="187" t="str">
        <x:v>Proxy multicedente/multissacado — revisar</x:v>
      </x:c>
    </x:row>
    <x:row r="1637">
      <x:c r="A1637" s="177" t="str">
        <x:v>29.800.237/0001-39</x:v>
      </x:c>
      <x:c r="B1637" s="168" t="str">
        <x:v>ROOT GENERAL FUNDO DE INVESTIMENTO EM DIREITOS CREDITÓRIOS</x:v>
      </x:c>
      <x:c r="C1637" s="190" t="n">
        <x:v>47711736.71</x:v>
      </x:c>
      <x:c r="D1637" s="168" t="str">
        <x:v>ROOT CAPITAL</x:v>
      </x:c>
      <x:c r="E1637" s="168" t="str">
        <x:f>IFERROR(INDEX('Classif Gestoras'!$H$6:$H$462,MATCH(D1637,'Classif Gestoras'!$A$6:$A$462,0)),"Não classificada")</x:f>
        <x:v>Independente</x:v>
      </x:c>
      <x:c r="F1637" s="168" t="str">
        <x:v>BNY MELLON SERVICOS</x:v>
      </x:c>
      <x:c r="G1637" s="168" t="str">
        <x:v>BNY MELLON BANCO S.A.</x:v>
      </x:c>
      <x:c r="H1637" s="168" t="str">
        <x:v>Outros</x:v>
      </x:c>
      <x:c r="I1637" s="168" t="str">
        <x:v>Recuperação</x:v>
      </x:c>
      <x:c r="J1637" s="168" t="str">
        <x:v>CI</x:v>
      </x:c>
      <x:c r="K1637" s="174" t="n">
        <x:v>1</x:v>
      </x:c>
      <x:c r="L1637" s="187" t="str">
        <x:v>Não classificado</x:v>
      </x:c>
    </x:row>
    <x:row r="1638">
      <x:c r="A1638" s="177" t="str">
        <x:v>49.508.860/0001-20</x:v>
      </x:c>
      <x:c r="B1638" s="168" t="str">
        <x:v>LAVORO MULTICRÉDITO II FUNDO DE INVESTIMENTO EM DIREITOS CREDITÓRIOS MULTISEGMENTOS</x:v>
      </x:c>
      <x:c r="C1638" s="190" t="n">
        <x:v>47708505.400000006</x:v>
      </x:c>
      <x:c r="D1638" s="168" t="str">
        <x:v>TERCON ASSET MANAGEMENT</x:v>
      </x:c>
      <x:c r="E1638" s="168" t="str">
        <x:f>IFERROR(INDEX('Classif Gestoras'!$H$6:$H$462,MATCH(D1638,'Classif Gestoras'!$A$6:$A$462,0)),"Não classificada")</x:f>
        <x:v>Independente</x:v>
      </x:c>
      <x:c r="F1638" s="168" t="str">
        <x:v>Finaxis Corretora de Títulos e Valores Mobiliários S.A.</x:v>
      </x:c>
      <x:c r="G1638" s="168" t="str">
        <x:v>HEMERA DISTRIBUIDORA DE TITULOS E VALORES MOBILIARIOS LTDA</x:v>
      </x:c>
      <x:c r="H1638" s="168" t="str">
        <x:v>Fomento Mercantil</x:v>
      </x:c>
      <x:c r="I1638" s="168" t="str">
        <x:v>Fomento Mercantil</x:v>
      </x:c>
      <x:c r="J1638" s="168" t="str">
        <x:v>CI</x:v>
      </x:c>
      <x:c r="K1638" s="174" t="n">
        <x:v>18</x:v>
      </x:c>
      <x:c r="L1638" s="187" t="str">
        <x:v>Não classificado</x:v>
      </x:c>
    </x:row>
    <x:row r="1639">
      <x:c r="A1639" s="177" t="str">
        <x:v>59.056.669/0001-48</x:v>
      </x:c>
      <x:c r="B1639" s="168" t="str">
        <x:v>BLUECAPITAL FUNDO DE INVESTIMENTO EM DIREITOS CREDITÓRIOS DE RESPONSABILIDADE LIMITADA</x:v>
      </x:c>
      <x:c r="C1639" s="190" t="n">
        <x:v>47673946.82</x:v>
      </x:c>
      <x:c r="D1639" s="168" t="str">
        <x:v>DAYCOVAL ASSET MANAG</x:v>
      </x:c>
      <x:c r="E1639" s="168" t="str">
        <x:f>IFERROR(INDEX('Classif Gestoras'!$H$6:$H$462,MATCH(D1639,'Classif Gestoras'!$A$6:$A$462,0)),"Não classificada")</x:f>
        <x:v>Ligada a banco</x:v>
      </x:c>
      <x:c r="F1639" s="168" t="str">
        <x:v>BANCO DAYCOVAL S/A</x:v>
      </x:c>
      <x:c r="G1639" s="168" t="str">
        <x:v>BANCO DAYCOVAL S.A.</x:v>
      </x:c>
      <x:c r="H1639" s="168" t="str">
        <x:v>Agro, Indústria e Comércio</x:v>
      </x:c>
      <x:c r="I1639" s="168" t="str">
        <x:v>Multicarteira Agro, Indústria e Comércio</x:v>
      </x:c>
      <x:c r="J1639" s="168" t="str">
        <x:v>CI</x:v>
      </x:c>
      <x:c r="K1639" s="174" t="n">
        <x:v>5</x:v>
      </x:c>
      <x:c r="L1639" s="187" t="str">
        <x:v>Proxy multicedente/multissacado — revisar</x:v>
      </x:c>
    </x:row>
    <x:row r="1640">
      <x:c r="A1640" s="177" t="str">
        <x:v>29.109.383/0001-12</x:v>
      </x:c>
      <x:c r="B1640" s="168" t="str">
        <x:v>CAPITAL FINANÇAS FUNDO DE INVESTIMENTO EM DIREITOS CREDITORIOS MULTISSETORIAL</x:v>
      </x:c>
      <x:c r="C1640" s="190" t="n">
        <x:v>47636777.78</x:v>
      </x:c>
      <x:c r="D1640" s="168" t="str">
        <x:v>TERCON ASSET MANAGEMENT</x:v>
      </x:c>
      <x:c r="E1640" s="168" t="str">
        <x:f>IFERROR(INDEX('Classif Gestoras'!$H$6:$H$462,MATCH(D1640,'Classif Gestoras'!$A$6:$A$462,0)),"Não classificada")</x:f>
        <x:v>Independente</x:v>
      </x:c>
      <x:c r="F1640" s="168" t="str">
        <x:v>Singulare</x:v>
      </x:c>
      <x:c r="G1640" s="168" t="str">
        <x:v>QI CORRETORA DE TÍTULOS E VALORES MOBILIÁRIOS S.A.</x:v>
      </x:c>
      <x:c r="H1640" s="168" t="str">
        <x:v>Fomento Mercantil</x:v>
      </x:c>
      <x:c r="I1640" s="168" t="str">
        <x:v>Fomento Mercantil</x:v>
      </x:c>
      <x:c r="J1640" s="168" t="str">
        <x:v>CI</x:v>
      </x:c>
      <x:c r="K1640" s="174" t="n">
        <x:v>26</x:v>
      </x:c>
      <x:c r="L1640" s="187" t="str">
        <x:v>Não classificado</x:v>
      </x:c>
    </x:row>
    <x:row r="1641">
      <x:c r="A1641" s="177" t="str">
        <x:v>36.741.161/0001-83</x:v>
      </x:c>
      <x:c r="B1641" s="168" t="str">
        <x:v>NANBAN FUNDO DE INVESTIMENTO EM DIREITOS CREDITÓRIOS NÃO PADRONIZADOS RESPONSABILIDADE LIMITADA</x:v>
      </x:c>
      <x:c r="C1641" s="190" t="n">
        <x:v>47583050.419999994</x:v>
      </x:c>
      <x:c r="D1641" s="168" t="str">
        <x:v>GESTORA DE RECURSOS ID - GRID LTDA.</x:v>
      </x:c>
      <x:c r="E1641" s="168" t="str">
        <x:f>IFERROR(INDEX('Classif Gestoras'!$H$6:$H$462,MATCH(D1641,'Classif Gestoras'!$A$6:$A$462,0)),"Não classificada")</x:f>
        <x:v>Independente</x:v>
      </x:c>
      <x:c r="F1641" s="168" t="str">
        <x:v>ID Corretora de Títulos e Valores Mobiliários S.A.</x:v>
      </x:c>
      <x:c r="G1641" s="168" t="str">
        <x:v>ID CORRETORA DE TITULOS E VALORES MOBILIARIOS S.A.</x:v>
      </x:c>
      <x:c r="H1641" s="168" t="str">
        <x:v>Outros</x:v>
      </x:c>
      <x:c r="I1641" s="168" t="str">
        <x:v>Multicarteira Outros</x:v>
      </x:c>
      <x:c r="J1641" s="168" t="str">
        <x:v>CI</x:v>
      </x:c>
      <x:c r="K1641" s="174" t="n">
        <x:v>1</x:v>
      </x:c>
      <x:c r="L1641" s="187" t="str">
        <x:v>Proxy multicedente/multissacado — revisar</x:v>
      </x:c>
    </x:row>
    <x:row r="1642">
      <x:c r="A1642" s="177" t="str">
        <x:v>57.333.077/0001-09</x:v>
      </x:c>
      <x:c r="B1642" s="168" t="str">
        <x:v>STORRBERG FUNDO DE INVESTIMENTO EM DIREITOS CREDITÓRIOS DE RESPONSABILIDADE LIMITADA</x:v>
      </x:c>
      <x:c r="C1642" s="190" t="n">
        <x:v>47532324.03</x:v>
      </x:c>
      <x:c r="D1642" s="168" t="str">
        <x:v>Brave Asset</x:v>
      </x:c>
      <x:c r="E1642" s="168" t="str">
        <x:f>IFERROR(INDEX('Classif Gestoras'!$H$6:$H$462,MATCH(D1642,'Classif Gestoras'!$A$6:$A$462,0)),"Não classificada")</x:f>
        <x:v>Independente</x:v>
      </x:c>
      <x:c r="F1642" s="168" t="str">
        <x:v>BANCO DAYCOVAL S/A</x:v>
      </x:c>
      <x:c r="G1642" s="168" t="str">
        <x:v>BANCO DAYCOVAL S.A.</x:v>
      </x:c>
      <x:c r="H1642" s="168" t="str">
        <x:v>Financeiro</x:v>
      </x:c>
      <x:c r="I1642" s="168" t="str">
        <x:v>Multicarteira Financeiro</x:v>
      </x:c>
      <x:c r="J1642" s="168" t="str">
        <x:v>CI</x:v>
      </x:c>
      <x:c r="K1642" s="174" t="n">
        <x:v>9</x:v>
      </x:c>
      <x:c r="L1642" s="187" t="str">
        <x:v>Proxy multicedente/multissacado — revisar</x:v>
      </x:c>
    </x:row>
    <x:row r="1643">
      <x:c r="A1643" s="177" t="str">
        <x:v>57.752.597/0001-48</x:v>
      </x:c>
      <x:c r="B1643" s="168" t="str">
        <x:v>AGROMERCANTIL CRÉDITO AGRO FUNDO DE INVESTIMENTO EM DIREITOS CREDITÓRIOS - RESPONSABILIDADE LIMITADA</x:v>
      </x:c>
      <x:c r="C1643" s="190" t="n">
        <x:v>47513015.75</x:v>
      </x:c>
      <x:c r="D1643" s="168" t="str">
        <x:v>ORIZ ASSET MANAGEMENT LTDA.</x:v>
      </x:c>
      <x:c r="E1643" s="168" t="str">
        <x:f>IFERROR(INDEX('Classif Gestoras'!$H$6:$H$462,MATCH(D1643,'Classif Gestoras'!$A$6:$A$462,0)),"Não classificada")</x:f>
        <x:v>Independente</x:v>
      </x:c>
      <x:c r="F1643" s="168" t="str">
        <x:v>Limine Trust Distribuidora de Titulos e Valores Mobiliá</x:v>
      </x:c>
      <x:c r="G1643" s="168" t="str">
        <x:v>LIMINE TRUST DISTRIBUIDORA DE TITULOS E VALORES MOBILIARIOS LTDA.</x:v>
      </x:c>
      <x:c r="H1643" s="168" t="str">
        <x:v>Agro, Indústria e Comércio</x:v>
      </x:c>
      <x:c r="I1643" s="168" t="str">
        <x:v>Multicarteira Agro, Indústria e Comércio</x:v>
      </x:c>
      <x:c r="J1643" s="168" t="str">
        <x:v>CI</x:v>
      </x:c>
      <x:c r="K1643" s="174" t="n">
        <x:v>5</x:v>
      </x:c>
      <x:c r="L1643" s="187" t="str">
        <x:v>Proxy multicedente/multissacado — revisar</x:v>
      </x:c>
    </x:row>
    <x:row r="1644">
      <x:c r="A1644" s="177" t="str">
        <x:v>62.390.047/0001-66</x:v>
      </x:c>
      <x:c r="B1644" s="168" t="str">
        <x:v>GROW FUNDO DE INVESTIMENTO EM DIREITOS CREDITÓRIOS</x:v>
      </x:c>
      <x:c r="C1644" s="190" t="n">
        <x:v>47460821.52</x:v>
      </x:c>
      <x:c r="D1644" s="168" t="str">
        <x:v>Catálise Investimentos</x:v>
      </x:c>
      <x:c r="E1644" s="168" t="str">
        <x:f>IFERROR(INDEX('Classif Gestoras'!$H$6:$H$462,MATCH(D1644,'Classif Gestoras'!$A$6:$A$462,0)),"Não classificada")</x:f>
        <x:v>Independente</x:v>
      </x:c>
      <x:c r="F1644" s="168" t="str">
        <x:v>CATÁLISE DTVM</x:v>
      </x:c>
      <x:c r="G1644" s="168" t="str">
        <x:v>BANCO DAYCOVAL S.A.</x:v>
      </x:c>
      <x:c r="H1644" s="168" t="str">
        <x:v>Agro, Indústria e Comércio</x:v>
      </x:c>
      <x:c r="I1644" s="168" t="str">
        <x:v>Recebíveis Comerciais</x:v>
      </x:c>
      <x:c r="J1644" s="168" t="str">
        <x:v>CI</x:v>
      </x:c>
      <x:c r="K1644" s="174" t="n">
        <x:v>1</x:v>
      </x:c>
      <x:c r="L1644" s="187" t="str">
        <x:v>Não classificado</x:v>
      </x:c>
    </x:row>
    <x:row r="1645">
      <x:c r="A1645" s="177" t="str">
        <x:v>36.399.603/0001-55</x:v>
      </x:c>
      <x:c r="B1645" s="168" t="str">
        <x:v>GREENWOOD FUNDO DE INVESTIMENTO EM DIREITOS CREDITÓRIOS NÃO PADRONIZADOS</x:v>
      </x:c>
      <x:c r="C1645" s="190" t="n">
        <x:v>47427902.25000001</x:v>
      </x:c>
      <x:c r="D1645" s="168" t="str">
        <x:v>Catálise Investimentos</x:v>
      </x:c>
      <x:c r="E1645" s="168" t="str">
        <x:f>IFERROR(INDEX('Classif Gestoras'!$H$6:$H$462,MATCH(D1645,'Classif Gestoras'!$A$6:$A$462,0)),"Não classificada")</x:f>
        <x:v>Independente</x:v>
      </x:c>
      <x:c r="F1645" s="168" t="str">
        <x:v>CATÁLISE DTVM</x:v>
      </x:c>
      <x:c r="G1645" s="168" t="str">
        <x:v>BANCO DAYCOVAL S.A.</x:v>
      </x:c>
      <x:c r="H1645" s="168" t="str">
        <x:v>Agro, Indústria e Comércio</x:v>
      </x:c>
      <x:c r="I1645" s="168" t="str">
        <x:v>Recebíveis Comerciais</x:v>
      </x:c>
      <x:c r="J1645" s="168" t="str">
        <x:v>CI</x:v>
      </x:c>
      <x:c r="K1645" s="174" t="n">
        <x:v>1</x:v>
      </x:c>
      <x:c r="L1645" s="187" t="str">
        <x:v>Não classificado</x:v>
      </x:c>
    </x:row>
    <x:row r="1646">
      <x:c r="A1646" s="177" t="str">
        <x:v>51.027.087/0001-21</x:v>
      </x:c>
      <x:c r="B1646" s="168" t="str">
        <x:v>NAVESA FUNDO DE INVESTIMENTO EM DIREITOS CREDITÓRIOS</x:v>
      </x:c>
      <x:c r="C1646" s="190" t="n">
        <x:v>47296327.1</x:v>
      </x:c>
      <x:c r="D1646" s="168" t="str">
        <x:v>CPV ASSET</x:v>
      </x:c>
      <x:c r="E1646" s="168" t="str">
        <x:f>IFERROR(INDEX('Classif Gestoras'!$H$6:$H$462,MATCH(D1646,'Classif Gestoras'!$A$6:$A$462,0)),"Não classificada")</x:f>
        <x:v>Independente</x:v>
      </x:c>
      <x:c r="F1646" s="168" t="str">
        <x:v>Singulare</x:v>
      </x:c>
      <x:c r="G1646" s="168" t="str">
        <x:v>QI CORRETORA DE TÍTULOS E VALORES MOBILIÁRIOS S.A.</x:v>
      </x:c>
      <x:c r="H1646" s="168" t="str">
        <x:v>Outros</x:v>
      </x:c>
      <x:c r="I1646" s="168" t="str">
        <x:v>Multicarteira Outros</x:v>
      </x:c>
      <x:c r="J1646" s="168" t="str">
        <x:v>CI</x:v>
      </x:c>
      <x:c r="K1646" s="174" t="n">
        <x:v>14</x:v>
      </x:c>
      <x:c r="L1646" s="187" t="str">
        <x:v>Proxy multicedente/multissacado — revisar</x:v>
      </x:c>
    </x:row>
    <x:row r="1647">
      <x:c r="A1647" s="177" t="str">
        <x:v>24.774.059/0001-03</x:v>
      </x:c>
      <x:c r="B1647" s="168" t="str">
        <x:v>PROSPER FUNDO DE INVESTIMENTO EM DIREITOS CREDITÓRIOS</x:v>
      </x:c>
      <x:c r="C1647" s="190" t="n">
        <x:v>47283674.24</x:v>
      </x:c>
      <x:c r="D1647" s="168" t="str">
        <x:v>Libertas Asset</x:v>
      </x:c>
      <x:c r="E1647" s="168" t="str">
        <x:f>IFERROR(INDEX('Classif Gestoras'!$H$6:$H$462,MATCH(D1647,'Classif Gestoras'!$A$6:$A$462,0)),"Não classificada")</x:f>
        <x:v>Independente</x:v>
      </x:c>
      <x:c r="F1647" s="168" t="str">
        <x:v>ACTUAL DTVM</x:v>
      </x:c>
      <x:c r="G1647" s="168" t="str">
        <x:v>TRUSTEE DISTRIBUIDORA DE TITULOS E VALORES MOBILIARIOS LTDA.</x:v>
      </x:c>
      <x:c r="H1647" s="168" t="str">
        <x:v>Fomento Mercantil</x:v>
      </x:c>
      <x:c r="I1647" s="168" t="str">
        <x:v>Fomento Mercantil</x:v>
      </x:c>
      <x:c r="J1647" s="168" t="str">
        <x:v>CI</x:v>
      </x:c>
      <x:c r="K1647" s="174" t="n">
        <x:v>1</x:v>
      </x:c>
      <x:c r="L1647" s="187" t="str">
        <x:v>Não classificado</x:v>
      </x:c>
    </x:row>
    <x:row r="1648">
      <x:c r="A1648" s="177" t="str">
        <x:v>59.092.306/0001-68</x:v>
      </x:c>
      <x:c r="B1648" s="168" t="str">
        <x:v>AMYX FUNDO DE INVESTIMENTO EM DIREITOS CREDITÓRIOS</x:v>
      </x:c>
      <x:c r="C1648" s="190" t="n">
        <x:v>47216430.530000016</x:v>
      </x:c>
      <x:c r="D1648" s="168" t="str">
        <x:v>Menestys</x:v>
      </x:c>
      <x:c r="E1648" s="168" t="str">
        <x:f>IFERROR(INDEX('Classif Gestoras'!$H$6:$H$462,MATCH(D1648,'Classif Gestoras'!$A$6:$A$462,0)),"Não classificada")</x:f>
        <x:v>Independente</x:v>
      </x:c>
      <x:c r="F1648" s="168" t="str">
        <x:v>Oliveira Trust DTVM</x:v>
      </x:c>
      <x:c r="G1648" s="168" t="str">
        <x:v>OLIVEIRA TRUST DTVM S.A.</x:v>
      </x:c>
      <x:c r="H1648" s="168" t="str">
        <x:v>Fomento Mercantil</x:v>
      </x:c>
      <x:c r="I1648" s="168" t="str">
        <x:v>Fomento Mercantil</x:v>
      </x:c>
      <x:c r="J1648" s="168" t="str">
        <x:v>CI</x:v>
      </x:c>
      <x:c r="K1648" s="174" t="n">
        <x:v>1</x:v>
      </x:c>
      <x:c r="L1648" s="187" t="str">
        <x:v>Não classificado</x:v>
      </x:c>
    </x:row>
    <x:row r="1649">
      <x:c r="A1649" s="177" t="str">
        <x:v>58.458.737/0001-32</x:v>
      </x:c>
      <x:c r="B1649" s="168" t="str">
        <x:v>FUNDO DE INVESTIMENTO EM DIREITOS CREDITÓRIOS PEGCARD DE RESPONSABILIDADE LIMITADA</x:v>
      </x:c>
      <x:c r="C1649" s="190" t="n">
        <x:v>47170054.49</x:v>
      </x:c>
      <x:c r="D1649" s="168" t="str">
        <x:v>Iron Capital</x:v>
      </x:c>
      <x:c r="E1649" s="168" t="str">
        <x:f>IFERROR(INDEX('Classif Gestoras'!$H$6:$H$462,MATCH(D1649,'Classif Gestoras'!$A$6:$A$462,0)),"Não classificada")</x:f>
        <x:v>Independente</x:v>
      </x:c>
      <x:c r="F1649" s="168" t="str">
        <x:v>VÓRTX DTVM</x:v>
      </x:c>
      <x:c r="G1649" s="168" t="str">
        <x:v>VORTX DISTRIBUIDORA DE TITULOS E VALORES MOBILIARIOS LTDA.</x:v>
      </x:c>
      <x:c r="H1649" s="168" t="str">
        <x:v>Financeiro</x:v>
      </x:c>
      <x:c r="I1649" s="168" t="str">
        <x:v>Crédito Consignado</x:v>
      </x:c>
      <x:c r="J1649" s="168" t="str">
        <x:v>CI</x:v>
      </x:c>
      <x:c r="K1649" s="174" t="n">
        <x:v>22</x:v>
      </x:c>
      <x:c r="L1649" s="187" t="str">
        <x:v>Não classificado</x:v>
      </x:c>
    </x:row>
    <x:row r="1650">
      <x:c r="A1650" s="177" t="str">
        <x:v>21.081.879/0001-13</x:v>
      </x:c>
      <x:c r="B1650" s="168" t="str">
        <x:v>CMF FUNDO DE INVESTIMENTOS EM DIREITOS CREDITÓRIOS NÃO PADRONIZADOS MULTISSETORIAL LP</x:v>
      </x:c>
      <x:c r="C1650" s="190" t="n">
        <x:v>47004920.43</x:v>
      </x:c>
      <x:c r="D1650" s="168" t="str">
        <x:v>OURO PRETO INVESTIMENTOS</x:v>
      </x:c>
      <x:c r="E1650" s="168" t="str">
        <x:f>IFERROR(INDEX('Classif Gestoras'!$H$6:$H$462,MATCH(D1650,'Classif Gestoras'!$A$6:$A$462,0)),"Não classificada")</x:f>
        <x:v>Independente</x:v>
      </x:c>
      <x:c r="F1650" s="168" t="str">
        <x:v>Singulare</x:v>
      </x:c>
      <x:c r="G1650" s="168" t="str">
        <x:v>QI CORRETORA DE TÍTULOS E VALORES MOBILIÁRIOS S.A.</x:v>
      </x:c>
      <x:c r="H1650" s="168" t="str">
        <x:v>Fomento Mercantil</x:v>
      </x:c>
      <x:c r="I1650" s="168" t="str">
        <x:v>Fomento Mercantil</x:v>
      </x:c>
      <x:c r="J1650" s="168" t="str">
        <x:v>CI</x:v>
      </x:c>
      <x:c r="K1650" s="174" t="n">
        <x:v>1</x:v>
      </x:c>
      <x:c r="L1650" s="187" t="str">
        <x:v>Não classificado</x:v>
      </x:c>
    </x:row>
    <x:row r="1651">
      <x:c r="A1651" s="177" t="str">
        <x:v>35.688.153/0001-58</x:v>
      </x:c>
      <x:c r="B1651" s="168" t="str">
        <x:v>MAGALU I FUNDO DE INVESTIMENTOS EM DIREITOS CREDITÓRIOS - RESPONSABILIDADE LIMITADA</x:v>
      </x:c>
      <x:c r="C1651" s="190" t="n">
        <x:v>46921629.74</x:v>
      </x:c>
      <x:c r="D1651" s="168" t="str">
        <x:v>BRL TRUST DTVM</x:v>
      </x:c>
      <x:c r="E1651" s="168" t="str">
        <x:f>IFERROR(INDEX('Classif Gestoras'!$H$6:$H$462,MATCH(D1651,'Classif Gestoras'!$A$6:$A$462,0)),"Não classificada")</x:f>
        <x:v>Independente</x:v>
      </x:c>
      <x:c r="F1651" s="168" t="str">
        <x:v>BRL TRUST DTVM</x:v>
      </x:c>
      <x:c r="G1651" s="168" t="str">
        <x:v>BRL TRUST DISTRIBUIDORA DE TITULOS E VALORES MOBILIARIOS S.A.</x:v>
      </x:c>
      <x:c r="H1651" s="168" t="str">
        <x:v>Outros</x:v>
      </x:c>
      <x:c r="I1651" s="168" t="str">
        <x:v>Multicarteira Outros</x:v>
      </x:c>
      <x:c r="J1651" s="168" t="str">
        <x:v>CI</x:v>
      </x:c>
      <x:c r="K1651" s="174" t="n">
        <x:v>1</x:v>
      </x:c>
      <x:c r="L1651" s="187" t="str">
        <x:v>Proxy multicedente/multissacado — revisar</x:v>
      </x:c>
    </x:row>
    <x:row r="1652">
      <x:c r="A1652" s="177" t="str">
        <x:v>63.094.209/0001-81</x:v>
      </x:c>
      <x:c r="B1652" s="168" t="str">
        <x:v>BERTOLUCCI II FUNDO DE INVESTIMENTO EM DIREITOS CREDITÓRIOS RESPONSABILIDADE LIMITADA</x:v>
      </x:c>
      <x:c r="C1652" s="190" t="n">
        <x:v>46743526.39</x:v>
      </x:c>
      <x:c r="D1652" s="168" t="str">
        <x:v>Portofino Multi Family Office</x:v>
      </x:c>
      <x:c r="E1652" s="168" t="str">
        <x:f>IFERROR(INDEX('Classif Gestoras'!$H$6:$H$462,MATCH(D1652,'Classif Gestoras'!$A$6:$A$462,0)),"Não classificada")</x:f>
        <x:v>Independente</x:v>
      </x:c>
      <x:c r="F1652" s="168" t="str">
        <x:v>BTG Pactual Servicos Financeiros S/A DTVM</x:v>
      </x:c>
      <x:c r="G1652" s="168" t="str">
        <x:v>BANCO BTG PACTUAL S/A</x:v>
      </x:c>
      <x:c r="H1652" s="168" t="str">
        <x:v>Outros</x:v>
      </x:c>
      <x:c r="I1652" s="168" t="str">
        <x:v>Multicarteira Outros</x:v>
      </x:c>
      <x:c r="J1652" s="168" t="str">
        <x:v>CI</x:v>
      </x:c>
      <x:c r="K1652" s="174" t="n">
        <x:v>1</x:v>
      </x:c>
      <x:c r="L1652" s="187" t="str">
        <x:v>Proxy multicedente/multissacado — revisar</x:v>
      </x:c>
    </x:row>
    <x:row r="1653">
      <x:c r="A1653" s="177" t="str">
        <x:v>56.147.999/0001-50</x:v>
      </x:c>
      <x:c r="B1653" s="168" t="str">
        <x:v>PRIORITY FUNDO DE INVESTIMENTO EM DIREITOS CREDITÓRIOS</x:v>
      </x:c>
      <x:c r="C1653" s="190" t="n">
        <x:v>46663391.83</x:v>
      </x:c>
      <x:c r="D1653" s="168" t="str">
        <x:v>BURITI INVESTIMENTOS</x:v>
      </x:c>
      <x:c r="E1653" s="168" t="str">
        <x:f>IFERROR(INDEX('Classif Gestoras'!$H$6:$H$462,MATCH(D1653,'Classif Gestoras'!$A$6:$A$462,0)),"Não classificada")</x:f>
        <x:v>Independente</x:v>
      </x:c>
      <x:c r="F1653" s="168" t="str">
        <x:v>Singulare</x:v>
      </x:c>
      <x:c r="G1653" s="168" t="str">
        <x:v>QI CORRETORA DE TÍTULOS E VALORES MOBILIÁRIOS S.A.</x:v>
      </x:c>
      <x:c r="H1653" s="168" t="str">
        <x:v>Fomento Mercantil</x:v>
      </x:c>
      <x:c r="I1653" s="168" t="str">
        <x:v>Fomento Mercantil</x:v>
      </x:c>
      <x:c r="J1653" s="168" t="str">
        <x:v>CI</x:v>
      </x:c>
      <x:c r="K1653" s="174" t="n">
        <x:v>28</x:v>
      </x:c>
      <x:c r="L1653" s="187" t="str">
        <x:v>Não classificado</x:v>
      </x:c>
    </x:row>
    <x:row r="1654">
      <x:c r="A1654" s="177" t="str">
        <x:v>56.661.864/0001-09</x:v>
      </x:c>
      <x:c r="B1654" s="168" t="str">
        <x:v>CAPIA FUNDO DE INVESTIMENTO EM DIREITOS CREDITÓRIOS</x:v>
      </x:c>
      <x:c r="C1654" s="190" t="n">
        <x:v>46647257.95</x:v>
      </x:c>
      <x:c r="D1654" s="168" t="str">
        <x:v>PROPRIO CAPITAL</x:v>
      </x:c>
      <x:c r="E1654" s="168" t="str">
        <x:f>IFERROR(INDEX('Classif Gestoras'!$H$6:$H$462,MATCH(D1654,'Classif Gestoras'!$A$6:$A$462,0)),"Não classificada")</x:f>
        <x:v>Independente</x:v>
      </x:c>
      <x:c r="F1654" s="168" t="str">
        <x:v>Limine Trust Distribuidora de Titulos e Valores Mobiliá</x:v>
      </x:c>
      <x:c r="G1654" s="168" t="str">
        <x:v>LIMINE TRUST DISTRIBUIDORA DE TITULOS E VALORES MOBILIARIOS LTDA.</x:v>
      </x:c>
      <x:c r="H1654" s="168" t="str">
        <x:v>Fomento Mercantil</x:v>
      </x:c>
      <x:c r="I1654" s="168" t="str">
        <x:v>Fomento Mercantil</x:v>
      </x:c>
      <x:c r="J1654" s="168" t="str">
        <x:v>CI</x:v>
      </x:c>
      <x:c r="K1654" s="174" t="n">
        <x:v>3</x:v>
      </x:c>
      <x:c r="L1654" s="187" t="str">
        <x:v>Não classificado</x:v>
      </x:c>
    </x:row>
    <x:row r="1655">
      <x:c r="A1655" s="177" t="str">
        <x:v>56.780.221/0001-84</x:v>
      </x:c>
      <x:c r="B1655" s="168" t="str">
        <x:v>CLASSE ÚNICA DE COTAS DO ST 1014 FIDC RESPONSABILIDADE LIMITADA</x:v>
      </x:c>
      <x:c r="C1655" s="190" t="n">
        <x:v>46540430.11</x:v>
      </x:c>
      <x:c r="D1655" s="168" t="str">
        <x:v>Strata Capital</x:v>
      </x:c>
      <x:c r="E1655" s="168" t="str">
        <x:f>IFERROR(INDEX('Classif Gestoras'!$H$6:$H$462,MATCH(D1655,'Classif Gestoras'!$A$6:$A$462,0)),"Não classificada")</x:f>
        <x:v>Independente</x:v>
      </x:c>
      <x:c r="F1655" s="168" t="str">
        <x:v>BANCO DAYCOVAL S/A</x:v>
      </x:c>
      <x:c r="G1655" s="168" t="str">
        <x:v>BANCO DAYCOVAL S.A.</x:v>
      </x:c>
      <x:c r="H1655" s="168" t="str">
        <x:v>Outros</x:v>
      </x:c>
      <x:c r="I1655" s="168" t="str">
        <x:v>Multicarteira Outros</x:v>
      </x:c>
      <x:c r="J1655" s="168" t="str">
        <x:v>CI</x:v>
      </x:c>
      <x:c r="K1655" s="174" t="n">
        <x:v>6</x:v>
      </x:c>
      <x:c r="L1655" s="187" t="str">
        <x:v>Proxy multicedente/multissacado — revisar</x:v>
      </x:c>
    </x:row>
    <x:row r="1656">
      <x:c r="A1656" s="177" t="str">
        <x:v>20.589.460/0001-04</x:v>
      </x:c>
      <x:c r="B1656" s="168" t="str">
        <x:v>CAPELLA - FUNDO DE INVESTIMENTO EM DIREITOS CREDITÓRIOS DE RESPONSABILIDADE LIMITADA</x:v>
      </x:c>
      <x:c r="C1656" s="190" t="n">
        <x:v>46534480.05</x:v>
      </x:c>
      <x:c r="D1656" s="168" t="str">
        <x:v>VM Consultoria Empresarial Ltd</x:v>
      </x:c>
      <x:c r="E1656" s="168" t="str">
        <x:f>IFERROR(INDEX('Classif Gestoras'!$H$6:$H$462,MATCH(D1656,'Classif Gestoras'!$A$6:$A$462,0)),"Não classificada")</x:f>
        <x:v>Independente</x:v>
      </x:c>
      <x:c r="F1656" s="168" t="str">
        <x:v>Banco Genial S.A.</x:v>
      </x:c>
      <x:c r="G1656" s="168" t="str">
        <x:v>BANCO GENIAL S.A.</x:v>
      </x:c>
      <x:c r="H1656" s="168" t="str">
        <x:v>Outros</x:v>
      </x:c>
      <x:c r="I1656" s="168" t="str">
        <x:v>Multicarteira Outros</x:v>
      </x:c>
      <x:c r="J1656" s="168" t="str">
        <x:v>CI</x:v>
      </x:c>
      <x:c r="K1656" s="174" t="n">
        <x:v>3</x:v>
      </x:c>
      <x:c r="L1656" s="187" t="str">
        <x:v>Proxy multicedente/multissacado — revisar</x:v>
      </x:c>
    </x:row>
    <x:row r="1657">
      <x:c r="A1657" s="177" t="str">
        <x:v>31.238.162/0001-96</x:v>
      </x:c>
      <x:c r="B1657" s="168" t="str">
        <x:v>MINASFAC FUNDO DE INVESTIMENTO EM DIREITOS CREDITÓRIOS</x:v>
      </x:c>
      <x:c r="C1657" s="190" t="n">
        <x:v>46527520.41</x:v>
      </x:c>
      <x:c r="D1657" s="168" t="str">
        <x:v>MACAM ASSET</x:v>
      </x:c>
      <x:c r="E1657" s="168" t="str">
        <x:f>IFERROR(INDEX('Classif Gestoras'!$H$6:$H$462,MATCH(D1657,'Classif Gestoras'!$A$6:$A$462,0)),"Não classificada")</x:f>
        <x:v>Independente</x:v>
      </x:c>
      <x:c r="F1657" s="168" t="str">
        <x:v>TRUSTEE DTVM</x:v>
      </x:c>
      <x:c r="G1657" s="168" t="str">
        <x:v>TRUSTEE DISTRIBUIDORA DE TITULOS E VALORES MOBILIARIOS LTDA.</x:v>
      </x:c>
      <x:c r="H1657" s="168" t="str">
        <x:v>Outros</x:v>
      </x:c>
      <x:c r="I1657" s="168" t="str">
        <x:v>Multicarteira Outros</x:v>
      </x:c>
      <x:c r="J1657" s="168" t="str">
        <x:v>CI</x:v>
      </x:c>
      <x:c r="K1657" s="174" t="n">
        <x:v>1</x:v>
      </x:c>
      <x:c r="L1657" s="187" t="str">
        <x:v>Proxy multicedente/multissacado — revisar</x:v>
      </x:c>
    </x:row>
    <x:row r="1658">
      <x:c r="A1658" s="177" t="str">
        <x:v>52.098.409/0001-96</x:v>
      </x:c>
      <x:c r="B1658" s="168" t="str">
        <x:v>STV1 FUNDO DE INVESTIMENTO EM DIREITOS CREDITÓRIOS</x:v>
      </x:c>
      <x:c r="C1658" s="190" t="n">
        <x:v>46470803.59</x:v>
      </x:c>
      <x:c r="D1658" s="168" t="str">
        <x:v>Strata Capital</x:v>
      </x:c>
      <x:c r="E1658" s="168" t="str">
        <x:f>IFERROR(INDEX('Classif Gestoras'!$H$6:$H$462,MATCH(D1658,'Classif Gestoras'!$A$6:$A$462,0)),"Não classificada")</x:f>
        <x:v>Independente</x:v>
      </x:c>
      <x:c r="F1658" s="168" t="str">
        <x:v>BANCO DAYCOVAL S/A</x:v>
      </x:c>
      <x:c r="G1658" s="168" t="str">
        <x:v>BANCO DAYCOVAL S.A.</x:v>
      </x:c>
      <x:c r="H1658" s="168" t="str">
        <x:v>Financeiro</x:v>
      </x:c>
      <x:c r="I1658" s="168" t="str">
        <x:v>Multicarteira Financeiro</x:v>
      </x:c>
      <x:c r="J1658" s="168" t="str">
        <x:v>CI</x:v>
      </x:c>
      <x:c r="K1658" s="174" t="n">
        <x:v>1</x:v>
      </x:c>
      <x:c r="L1658" s="187" t="str">
        <x:v>Proxy multicedente/multissacado — revisar</x:v>
      </x:c>
    </x:row>
    <x:row r="1659">
      <x:c r="A1659" s="177" t="str">
        <x:v>64.276.709/0001-05</x:v>
      </x:c>
      <x:c r="B1659" s="168" t="str">
        <x:v>DTB TOWERS INFRA FUNDO DE INVESTIMENTO EM DIREITOS CREDITÓRIOS RESPONSABILIDADE LIMITADA</x:v>
      </x:c>
      <x:c r="C1659" s="190" t="n">
        <x:v>46398781.24</x:v>
      </x:c>
      <x:c r="D1659" s="168" t="str">
        <x:v>UC Gestora de Recursos</x:v>
      </x:c>
      <x:c r="E1659" s="168" t="str">
        <x:f>IFERROR(INDEX('Classif Gestoras'!$H$6:$H$462,MATCH(D1659,'Classif Gestoras'!$A$6:$A$462,0)),"Não classificada")</x:f>
        <x:v>Independente</x:v>
      </x:c>
      <x:c r="F1659" s="168" t="str">
        <x:v>Limine Trust Distribuidora de Titulos e Valores Mobiliá</x:v>
      </x:c>
      <x:c r="G1659" s="168" t="str">
        <x:v>LIMINE TRUST DISTRIBUIDORA DE TITULOS E VALORES MOBILIARIOS LTDA.</x:v>
      </x:c>
      <x:c r="H1659" s="168" t="str">
        <x:v>Agro, Indústria e Comércio</x:v>
      </x:c>
      <x:c r="I1659" s="168" t="str">
        <x:v>Recebíveis Comerciais</x:v>
      </x:c>
      <x:c r="J1659" s="168" t="str">
        <x:v>CI</x:v>
      </x:c>
      <x:c r="K1659" s="174" t="n">
        <x:v>4</x:v>
      </x:c>
      <x:c r="L1659" s="187" t="str">
        <x:v>Não classificado</x:v>
      </x:c>
    </x:row>
    <x:row r="1660">
      <x:c r="A1660" s="177" t="str">
        <x:v>47.463.370/0001-29</x:v>
      </x:c>
      <x:c r="B1660" s="168" t="str">
        <x:v>ÍMPAR II FUNDO DE INVESTIMENTO EM DIREITOS CREDITÓRIOS NÃO PADRONIZADO</x:v>
      </x:c>
      <x:c r="C1660" s="190" t="n">
        <x:v>46149294.49</x:v>
      </x:c>
      <x:c r="D1660" s="168" t="str">
        <x:v>Patrimonial Gestão</x:v>
      </x:c>
      <x:c r="E1660" s="168" t="str">
        <x:f>IFERROR(INDEX('Classif Gestoras'!$H$6:$H$462,MATCH(D1660,'Classif Gestoras'!$A$6:$A$462,0)),"Não classificada")</x:f>
        <x:v>Independente</x:v>
      </x:c>
      <x:c r="F1660" s="168" t="str">
        <x:v>Singulare</x:v>
      </x:c>
      <x:c r="G1660" s="168" t="str">
        <x:v>QI CORRETORA DE TÍTULOS E VALORES MOBILIÁRIOS S.A.</x:v>
      </x:c>
      <x:c r="H1660" s="168" t="str">
        <x:v>Outros</x:v>
      </x:c>
      <x:c r="I1660" s="168" t="str">
        <x:v>Poder Público</x:v>
      </x:c>
      <x:c r="J1660" s="168" t="str">
        <x:v>CI</x:v>
      </x:c>
      <x:c r="K1660" s="174" t="n">
        <x:v>1</x:v>
      </x:c>
      <x:c r="L1660" s="187" t="str">
        <x:v>Não classificado</x:v>
      </x:c>
    </x:row>
    <x:row r="1661">
      <x:c r="A1661" s="177" t="str">
        <x:v>53.165.872/0001-76</x:v>
      </x:c>
      <x:c r="B1661" s="168" t="str">
        <x:v>FUNDO DE INVESTIMENTO EM DIREITOS CREDITÓRIOS BRASIL CONSIG</x:v>
      </x:c>
      <x:c r="C1661" s="190" t="n">
        <x:v>46144408.65999999</x:v>
      </x:c>
      <x:c r="D1661" s="168" t="str">
        <x:v>VGR - VERONA GESTORA DE RECURSOS LTDA</x:v>
      </x:c>
      <x:c r="E1661" s="168" t="str">
        <x:f>IFERROR(INDEX('Classif Gestoras'!$H$6:$H$462,MATCH(D1661,'Classif Gestoras'!$A$6:$A$462,0)),"Não classificada")</x:f>
        <x:v>Independente</x:v>
      </x:c>
      <x:c r="F1661" s="168" t="str">
        <x:v>Intra Investimentos Distribuidora de Títulos e Valores Mobiliários LTDA.</x:v>
      </x:c>
      <x:c r="G1661" s="168" t="str">
        <x:v>INTRA INVESTIMENTOS DTVM LTDA</x:v>
      </x:c>
      <x:c r="H1661" s="168" t="str">
        <x:v>Outros</x:v>
      </x:c>
      <x:c r="I1661" s="168" t="str">
        <x:v>Multicarteira Outros</x:v>
      </x:c>
      <x:c r="J1661" s="168" t="str">
        <x:v>CI</x:v>
      </x:c>
      <x:c r="K1661" s="174" t="n">
        <x:v>10</x:v>
      </x:c>
      <x:c r="L1661" s="187" t="str">
        <x:v>Proxy multicedente/multissacado — revisar</x:v>
      </x:c>
    </x:row>
    <x:row r="1662">
      <x:c r="A1662" s="177" t="str">
        <x:v>09.009.924/0001-23</x:v>
      </x:c>
      <x:c r="B1662" s="168" t="str">
        <x:v>ECO MULTI COMMODITIES FIDC AGROPECUARIOS</x:v>
      </x:c>
      <x:c r="C1662" s="190" t="n">
        <x:v>46089128.32</x:v>
      </x:c>
      <x:c r="D1662" s="168" t="str">
        <x:v>Eco Gestão de Ativos LTDA.</x:v>
      </x:c>
      <x:c r="E1662" s="168" t="str">
        <x:f>IFERROR(INDEX('Classif Gestoras'!$H$6:$H$462,MATCH(D1662,'Classif Gestoras'!$A$6:$A$462,0)),"Não classificada")</x:f>
        <x:v>Independente</x:v>
      </x:c>
      <x:c r="F1662" s="168" t="str">
        <x:v>Oliveira Trust DTVM</x:v>
      </x:c>
      <x:c r="G1662" s="168" t="str">
        <x:v>OLIVEIRA TRUST DTVM S.A.</x:v>
      </x:c>
      <x:c r="H1662" s="168" t="str">
        <x:v>Agro, Indústria e Comércio</x:v>
      </x:c>
      <x:c r="I1662" s="168" t="str">
        <x:v>Agronegócio</x:v>
      </x:c>
      <x:c r="J1662" s="168" t="str">
        <x:v>CI</x:v>
      </x:c>
      <x:c r="K1662" s="174" t="n">
        <x:v>0</x:v>
      </x:c>
      <x:c r="L1662" s="187" t="str">
        <x:v>Não classificado</x:v>
      </x:c>
    </x:row>
    <x:row r="1663">
      <x:c r="A1663" s="177" t="str">
        <x:v>56.886.293/0001-00</x:v>
      </x:c>
      <x:c r="B1663" s="168" t="str">
        <x:v>ATHENAS FUNDO DE INVESTIMENTO EM DIREITOS CREDITÓRIOS</x:v>
      </x:c>
      <x:c r="C1663" s="190" t="n">
        <x:v>46013141.61</x:v>
      </x:c>
      <x:c r="D1663" s="168" t="str">
        <x:v>Libertas Asset</x:v>
      </x:c>
      <x:c r="E1663" s="168" t="str">
        <x:f>IFERROR(INDEX('Classif Gestoras'!$H$6:$H$462,MATCH(D1663,'Classif Gestoras'!$A$6:$A$462,0)),"Não classificada")</x:f>
        <x:v>Independente</x:v>
      </x:c>
      <x:c r="F1663" s="168" t="str">
        <x:v>ACTUAL DTVM</x:v>
      </x:c>
      <x:c r="G1663" s="168" t="str">
        <x:v>TRUSTEE DISTRIBUIDORA DE TITULOS E VALORES MOBILIARIOS LTDA.</x:v>
      </x:c>
      <x:c r="H1663" s="168" t="str">
        <x:v>Fomento Mercantil</x:v>
      </x:c>
      <x:c r="I1663" s="168" t="str">
        <x:v>Fomento Mercantil</x:v>
      </x:c>
      <x:c r="J1663" s="168" t="str">
        <x:v>CI</x:v>
      </x:c>
      <x:c r="K1663" s="174" t="n">
        <x:v>5</x:v>
      </x:c>
      <x:c r="L1663" s="187" t="str">
        <x:v>Não classificado</x:v>
      </x:c>
    </x:row>
    <x:row r="1664">
      <x:c r="A1664" s="177" t="str">
        <x:v>63.615.453/0001-42</x:v>
      </x:c>
      <x:c r="B1664" s="168" t="str">
        <x:v>UDA FUNDO DE INVESTIMENTO EM DIREITOS CREDITÓRIOS DE RESPONSABILIDADE LIMITADA</x:v>
      </x:c>
      <x:c r="C1664" s="190" t="n">
        <x:v>45975136.03</x:v>
      </x:c>
      <x:c r="D1664" s="168" t="str">
        <x:v>Bocaina Capital</x:v>
      </x:c>
      <x:c r="E1664" s="168" t="str">
        <x:f>IFERROR(INDEX('Classif Gestoras'!$H$6:$H$462,MATCH(D1664,'Classif Gestoras'!$A$6:$A$462,0)),"Não classificada")</x:f>
        <x:v>Independente</x:v>
      </x:c>
      <x:c r="F1664" s="168" t="str">
        <x:v>BANCO DAYCOVAL S/A</x:v>
      </x:c>
      <x:c r="G1664" s="168" t="str">
        <x:v>BANCO DAYCOVAL S.A.</x:v>
      </x:c>
      <x:c r="H1664" s="168" t="str">
        <x:v>Agro, Indústria e Comércio</x:v>
      </x:c>
      <x:c r="I1664" s="168" t="str">
        <x:v>Infraestrutura</x:v>
      </x:c>
      <x:c r="J1664" s="168" t="str">
        <x:v>CI</x:v>
      </x:c>
      <x:c r="K1664" s="174" t="n">
        <x:v>20</x:v>
      </x:c>
      <x:c r="L1664" s="187" t="str">
        <x:v>Não classificado</x:v>
      </x:c>
    </x:row>
    <x:row r="1665">
      <x:c r="A1665" s="177" t="str">
        <x:v>50.115.649/0001-26</x:v>
      </x:c>
      <x:c r="B1665" s="168" t="str">
        <x:v>FUNDO DE INVESTIMENTO EM DIREITOS CREDITÓRIOS GARANTIDO TÊXTIL</x:v>
      </x:c>
      <x:c r="C1665" s="190" t="n">
        <x:v>45969692.45</x:v>
      </x:c>
      <x:c r="D1665" s="168" t="str">
        <x:v>KMT ASSET MANAGEMENT</x:v>
      </x:c>
      <x:c r="E1665" s="168" t="str">
        <x:f>IFERROR(INDEX('Classif Gestoras'!$H$6:$H$462,MATCH(D1665,'Classif Gestoras'!$A$6:$A$462,0)),"Não classificada")</x:f>
        <x:v>Independente</x:v>
      </x:c>
      <x:c r="F1665" s="168" t="str">
        <x:v>BANCO DAYCOVAL S/A</x:v>
      </x:c>
      <x:c r="G1665" s="168" t="str">
        <x:v>BANCO DAYCOVAL S.A.</x:v>
      </x:c>
      <x:c r="H1665" s="168" t="str">
        <x:v>Fomento Mercantil</x:v>
      </x:c>
      <x:c r="I1665" s="168" t="str">
        <x:v>Fomento Mercantil</x:v>
      </x:c>
      <x:c r="J1665" s="168" t="str">
        <x:v>CI</x:v>
      </x:c>
      <x:c r="K1665" s="174" t="n">
        <x:v>1</x:v>
      </x:c>
      <x:c r="L1665" s="187" t="str">
        <x:v>Não classificado</x:v>
      </x:c>
    </x:row>
    <x:row r="1666">
      <x:c r="A1666" s="177" t="str">
        <x:v>41.778.453/0001-20</x:v>
      </x:c>
      <x:c r="B1666" s="168" t="str">
        <x:v>FUNDO DE INVESTIMENTO EM DIREITOS CREDITÓRIOS DE RESPONSABILIDADE LIMITADA INCLUSÃO FINANCEIRA</x:v>
      </x:c>
      <x:c r="C1666" s="190" t="n">
        <x:v>45941220.27</x:v>
      </x:c>
      <x:c r="D1666" s="168" t="str">
        <x:v>Milênio Capital</x:v>
      </x:c>
      <x:c r="E1666" s="168" t="str">
        <x:f>IFERROR(INDEX('Classif Gestoras'!$H$6:$H$462,MATCH(D1666,'Classif Gestoras'!$A$6:$A$462,0)),"Não classificada")</x:f>
        <x:v>Independente</x:v>
      </x:c>
      <x:c r="F1666" s="168" t="str">
        <x:v>VÓRTX DTVM</x:v>
      </x:c>
      <x:c r="G1666" s="168" t="str">
        <x:v>VORTX DISTRIBUIDORA DE TITULOS E VALORES MOBILIARIOS LTDA.</x:v>
      </x:c>
      <x:c r="H1666" s="168" t="str">
        <x:v>Financeiro</x:v>
      </x:c>
      <x:c r="I1666" s="168" t="str">
        <x:v>Crédito Pessoal</x:v>
      </x:c>
      <x:c r="J1666" s="168" t="str">
        <x:v>CI</x:v>
      </x:c>
      <x:c r="K1666" s="174" t="n">
        <x:v>119</x:v>
      </x:c>
      <x:c r="L1666" s="187" t="str">
        <x:v>Não classificado</x:v>
      </x:c>
    </x:row>
    <x:row r="1667">
      <x:c r="A1667" s="177" t="str">
        <x:v>35.654.828/0001-48</x:v>
      </x:c>
      <x:c r="B1667" s="168" t="str">
        <x:v>MACCABI FUNDO DE INVESTIMENTO EM DIREITOS CREDITÓRIOS DE RESPONSABILIDADE LIMITADA</x:v>
      </x:c>
      <x:c r="C1667" s="190" t="n">
        <x:v>45830595.35</x:v>
      </x:c>
      <x:c r="D1667" s="168" t="str">
        <x:v>DAYCOVAL ASSET MANAG</x:v>
      </x:c>
      <x:c r="E1667" s="168" t="str">
        <x:f>IFERROR(INDEX('Classif Gestoras'!$H$6:$H$462,MATCH(D1667,'Classif Gestoras'!$A$6:$A$462,0)),"Não classificada")</x:f>
        <x:v>Ligada a banco</x:v>
      </x:c>
      <x:c r="F1667" s="168" t="str">
        <x:v>BANCO DAYCOVAL S/A</x:v>
      </x:c>
      <x:c r="G1667" s="168" t="str">
        <x:v>BANCO DAYCOVAL S.A.</x:v>
      </x:c>
      <x:c r="H1667" s="168" t="str">
        <x:v>Outros</x:v>
      </x:c>
      <x:c r="I1667" s="168" t="str">
        <x:v>Multicarteira Outros</x:v>
      </x:c>
      <x:c r="J1667" s="168" t="str">
        <x:v>CI</x:v>
      </x:c>
      <x:c r="K1667" s="174" t="n">
        <x:v>3</x:v>
      </x:c>
      <x:c r="L1667" s="187" t="str">
        <x:v>Proxy multicedente/multissacado — revisar</x:v>
      </x:c>
    </x:row>
    <x:row r="1668">
      <x:c r="A1668" s="177" t="str">
        <x:v>55.395.204/0001-60</x:v>
      </x:c>
      <x:c r="B1668" s="168" t="str">
        <x:v>MATRI INFINITY FUNDO DE INVESTIMENTO EM DIREITOS CREDITÓRIOS</x:v>
      </x:c>
      <x:c r="C1668" s="190" t="n">
        <x:v>45810968.79000001</x:v>
      </x:c>
      <x:c r="D1668" s="168" t="str">
        <x:v>BURITI INVESTIMENTOS</x:v>
      </x:c>
      <x:c r="E1668" s="168" t="str">
        <x:f>IFERROR(INDEX('Classif Gestoras'!$H$6:$H$462,MATCH(D1668,'Classif Gestoras'!$A$6:$A$462,0)),"Não classificada")</x:f>
        <x:v>Independente</x:v>
      </x:c>
      <x:c r="F1668" s="168" t="str">
        <x:v>Singulare</x:v>
      </x:c>
      <x:c r="G1668" s="168" t="str">
        <x:v>QI CORRETORA DE TÍTULOS E VALORES MOBILIÁRIOS S.A.</x:v>
      </x:c>
      <x:c r="H1668" s="168" t="str">
        <x:v>Outros</x:v>
      </x:c>
      <x:c r="I1668" s="168" t="str">
        <x:v>Poder Público</x:v>
      </x:c>
      <x:c r="J1668" s="168" t="str">
        <x:v>CI</x:v>
      </x:c>
      <x:c r="K1668" s="174" t="n">
        <x:v>7</x:v>
      </x:c>
      <x:c r="L1668" s="187" t="str">
        <x:v>Não classificado</x:v>
      </x:c>
    </x:row>
    <x:row r="1669">
      <x:c r="A1669" s="177" t="str">
        <x:v>34.475.955/0001-17</x:v>
      </x:c>
      <x:c r="B1669" s="168" t="str">
        <x:v>FUNDO DE INVESTIMENTO EM DIREITOS CREDITÓRIOS EMPÍRICA MEZZO SAÚDE</x:v>
      </x:c>
      <x:c r="C1669" s="190" t="n">
        <x:v>45801185.650000006</x:v>
      </x:c>
      <x:c r="D1669" s="168" t="str">
        <x:v>REAG GESTÃO DE CRÉDITO</x:v>
      </x:c>
      <x:c r="E1669" s="168" t="str">
        <x:f>IFERROR(INDEX('Classif Gestoras'!$H$6:$H$462,MATCH(D1669,'Classif Gestoras'!$A$6:$A$462,0)),"Não classificada")</x:f>
        <x:v>Independente</x:v>
      </x:c>
      <x:c r="F1669" s="168" t="str">
        <x:v>Banvox DTVM</x:v>
      </x:c>
      <x:c r="G1669" s="168" t="str">
        <x:v>BANVOX DISTRIBUIDORA DE TITULOS E VALORES MOBILIARIOS LTDA</x:v>
      </x:c>
      <x:c r="H1669" s="168" t="str">
        <x:v>Agro, Indústria e Comércio</x:v>
      </x:c>
      <x:c r="I1669" s="168" t="str">
        <x:v>Recebíveis Comerciais</x:v>
      </x:c>
      <x:c r="J1669" s="168" t="str">
        <x:v>CI</x:v>
      </x:c>
      <x:c r="K1669" s="174" t="n">
        <x:v>21</x:v>
      </x:c>
      <x:c r="L1669" s="187" t="str">
        <x:v>Não classificado</x:v>
      </x:c>
    </x:row>
    <x:row r="1670">
      <x:c r="A1670" s="177" t="str">
        <x:v>61.061.838/0001-80</x:v>
      </x:c>
      <x:c r="B1670" s="168" t="str">
        <x:v>ST 1019 FIDC RESPONSABILIDADE LIMITADA</x:v>
      </x:c>
      <x:c r="C1670" s="190" t="n">
        <x:v>45796958.190000005</x:v>
      </x:c>
      <x:c r="D1670" s="168" t="str">
        <x:v>Strata Capital</x:v>
      </x:c>
      <x:c r="E1670" s="168" t="str">
        <x:f>IFERROR(INDEX('Classif Gestoras'!$H$6:$H$462,MATCH(D1670,'Classif Gestoras'!$A$6:$A$462,0)),"Não classificada")</x:f>
        <x:v>Independente</x:v>
      </x:c>
      <x:c r="F1670" s="168" t="str">
        <x:v>BANCO DAYCOVAL S/A</x:v>
      </x:c>
      <x:c r="G1670" s="168" t="str">
        <x:v>BANCO DAYCOVAL S.A.</x:v>
      </x:c>
      <x:c r="H1670" s="168" t="str">
        <x:v>Outros</x:v>
      </x:c>
      <x:c r="I1670" s="168" t="str">
        <x:v>Multicarteira Outros</x:v>
      </x:c>
      <x:c r="J1670" s="168" t="str">
        <x:v>CI</x:v>
      </x:c>
      <x:c r="K1670" s="174" t="n">
        <x:v>3</x:v>
      </x:c>
      <x:c r="L1670" s="187" t="str">
        <x:v>Proxy multicedente/multissacado — revisar</x:v>
      </x:c>
    </x:row>
    <x:row r="1671">
      <x:c r="A1671" s="177" t="str">
        <x:v>45.207.458/0001-54</x:v>
      </x:c>
      <x:c r="B1671" s="168" t="str">
        <x:v>SOUTO FUNDO DE INVESTIMENTO EM DIREITOS CREDITÓRIOS</x:v>
      </x:c>
      <x:c r="C1671" s="190" t="n">
        <x:v>45726593.28</x:v>
      </x:c>
      <x:c r="D1671" s="168" t="str">
        <x:v>BTG Pactual Asset</x:v>
      </x:c>
      <x:c r="E1671" s="168" t="str">
        <x:f>IFERROR(INDEX('Classif Gestoras'!$H$6:$H$462,MATCH(D1671,'Classif Gestoras'!$A$6:$A$462,0)),"Não classificada")</x:f>
        <x:v>Ligada a banco</x:v>
      </x:c>
      <x:c r="F1671" s="168" t="str">
        <x:v>BTG Pactual Servicos Financeiros S/A DTVM</x:v>
      </x:c>
      <x:c r="G1671" s="168" t="str">
        <x:v>BANCO BTG PACTUAL S/A</x:v>
      </x:c>
      <x:c r="H1671" s="168" t="str">
        <x:v>Agro, Indústria e Comércio</x:v>
      </x:c>
      <x:c r="I1671" s="168" t="str">
        <x:v>Recebíveis Comerciais</x:v>
      </x:c>
      <x:c r="J1671" s="168" t="str">
        <x:v>CI</x:v>
      </x:c>
      <x:c r="K1671" s="174" t="n">
        <x:v>1</x:v>
      </x:c>
      <x:c r="L1671" s="187" t="str">
        <x:v>Não classificado</x:v>
      </x:c>
    </x:row>
    <x:row r="1672">
      <x:c r="A1672" s="177" t="str">
        <x:v>46.082.740/0001-15</x:v>
      </x:c>
      <x:c r="B1672" s="168" t="str">
        <x:v>MUNDIAL FUNDO DE INVESTIMENTO EM DIREITOS CREDITÓRIOS</x:v>
      </x:c>
      <x:c r="C1672" s="190" t="n">
        <x:v>45679423.52</x:v>
      </x:c>
      <x:c r="D1672" s="168" t="str">
        <x:v>ORIZ ASSET MANAGEMENT LTDA.</x:v>
      </x:c>
      <x:c r="E1672" s="168" t="str">
        <x:f>IFERROR(INDEX('Classif Gestoras'!$H$6:$H$462,MATCH(D1672,'Classif Gestoras'!$A$6:$A$462,0)),"Não classificada")</x:f>
        <x:v>Independente</x:v>
      </x:c>
      <x:c r="F1672" s="168" t="str">
        <x:v>HEMERA DTVM</x:v>
      </x:c>
      <x:c r="G1672" s="168" t="str">
        <x:v>HEMERA DISTRIBUIDORA DE TITULOS E VALORES MOBILIARIOS LTDA</x:v>
      </x:c>
      <x:c r="H1672" s="168" t="str">
        <x:v>Outros</x:v>
      </x:c>
      <x:c r="I1672" s="168" t="str">
        <x:v>Multicarteira Outros</x:v>
      </x:c>
      <x:c r="J1672" s="168" t="str">
        <x:v>CI</x:v>
      </x:c>
      <x:c r="K1672" s="174" t="n">
        <x:v>1</x:v>
      </x:c>
      <x:c r="L1672" s="187" t="str">
        <x:v>Proxy multicedente/multissacado — revisar</x:v>
      </x:c>
    </x:row>
    <x:row r="1673">
      <x:c r="A1673" s="177" t="str">
        <x:v>54.773.936/0001-84</x:v>
      </x:c>
      <x:c r="B1673" s="168" t="str">
        <x:v>TALÓ II FUNDO DE INVESTIMENTO EM DIREITOS CREDITÓRIOS RESPONSABILIDADE LIMITADA</x:v>
      </x:c>
      <x:c r="C1673" s="190" t="n">
        <x:v>45668038.17</x:v>
      </x:c>
      <x:c r="D1673" s="168" t="str">
        <x:v>Eco Gestão de Ativos LTDA.</x:v>
      </x:c>
      <x:c r="E1673" s="168" t="str">
        <x:f>IFERROR(INDEX('Classif Gestoras'!$H$6:$H$462,MATCH(D1673,'Classif Gestoras'!$A$6:$A$462,0)),"Não classificada")</x:f>
        <x:v>Independente</x:v>
      </x:c>
      <x:c r="F1673" s="168" t="str">
        <x:v>VÓRTX DTVM</x:v>
      </x:c>
      <x:c r="G1673" s="168" t="str">
        <x:v>VORTX DISTRIBUIDORA DE TITULOS E VALORES MOBILIARIOS LTDA.</x:v>
      </x:c>
      <x:c r="H1673" s="168" t="str">
        <x:v>Agro, Indústria e Comércio</x:v>
      </x:c>
      <x:c r="I1673" s="168" t="str">
        <x:v>Agronegócio</x:v>
      </x:c>
      <x:c r="J1673" s="168" t="str">
        <x:v>CI</x:v>
      </x:c>
      <x:c r="K1673" s="174" t="n">
        <x:v>5</x:v>
      </x:c>
      <x:c r="L1673" s="187" t="str">
        <x:v>Não classificado</x:v>
      </x:c>
    </x:row>
    <x:row r="1674">
      <x:c r="A1674" s="177" t="str">
        <x:v>62.497.772/0001-38</x:v>
      </x:c>
      <x:c r="B1674" s="168" t="str">
        <x:v>CLASSE A DO GAMA FUNDO DE INVESTIMENTO EM DIREITOS CREDITÓRIOS NÃO PADRONIZADOS - MULTICLASSE</x:v>
      </x:c>
      <x:c r="C1674" s="190" t="n">
        <x:v>45611846.38999999</x:v>
      </x:c>
      <x:c r="D1674" s="168" t="str">
        <x:v>Terra Asset Management</x:v>
      </x:c>
      <x:c r="E1674" s="168" t="str">
        <x:f>IFERROR(INDEX('Classif Gestoras'!$H$6:$H$462,MATCH(D1674,'Classif Gestoras'!$A$6:$A$462,0)),"Não classificada")</x:f>
        <x:v>Independente</x:v>
      </x:c>
      <x:c r="F1674" s="168" t="str">
        <x:v>MONETAR DISTRIBUIDORA DE TITUL</x:v>
      </x:c>
      <x:c r="G1674" s="168" t="str">
        <x:v>TERRA INVESTIMENTOS DISTRIBUIDORA DE TITULOS E VALORES MOBILIARIOS LTDA</x:v>
      </x:c>
      <x:c r="H1674" s="168" t="str">
        <x:v>Financeiro</x:v>
      </x:c>
      <x:c r="I1674" s="168" t="str">
        <x:v>Multicarteira Financeiro</x:v>
      </x:c>
      <x:c r="J1674" s="168" t="str">
        <x:v>CI</x:v>
      </x:c>
      <x:c r="K1674" s="174" t="n">
        <x:v>2</x:v>
      </x:c>
      <x:c r="L1674" s="187" t="str">
        <x:v>Proxy multicedente/multissacado — revisar</x:v>
      </x:c>
    </x:row>
    <x:row r="1675">
      <x:c r="A1675" s="177" t="str">
        <x:v>52.112.338/0001-39</x:v>
      </x:c>
      <x:c r="B1675" s="168" t="str">
        <x:v>FIZZ CARD FUNDO DE INVESTIMENTO EM DIREITOS CREDITÓRIOS NÃO-PADRONIZADOS RESPONSABILIDADE LIMITADA</x:v>
      </x:c>
      <x:c r="C1675" s="190" t="n">
        <x:v>45599564.70999999</x:v>
      </x:c>
      <x:c r="D1675" s="168" t="str">
        <x:v>Bless Capital Gestora de Recursos Ltda.</x:v>
      </x:c>
      <x:c r="E1675" s="168" t="str">
        <x:f>IFERROR(INDEX('Classif Gestoras'!$H$6:$H$462,MATCH(D1675,'Classif Gestoras'!$A$6:$A$462,0)),"Não classificada")</x:f>
        <x:v>Independente</x:v>
      </x:c>
      <x:c r="F1675" s="168" t="str">
        <x:v>ID Corretora de Títulos e Valores Mobiliários S.A.</x:v>
      </x:c>
      <x:c r="G1675" s="168" t="str">
        <x:v>Não identificado</x:v>
      </x:c>
      <x:c r="H1675" s="168" t="str">
        <x:v>Outros</x:v>
      </x:c>
      <x:c r="I1675" s="168" t="str">
        <x:v>Multicarteira Outros</x:v>
      </x:c>
      <x:c r="J1675" s="168" t="str">
        <x:v>CI</x:v>
      </x:c>
      <x:c r="K1675" s="174" t="n">
        <x:v>5</x:v>
      </x:c>
      <x:c r="L1675" s="187" t="str">
        <x:v>Proxy multicedente/multissacado — revisar</x:v>
      </x:c>
    </x:row>
    <x:row r="1676">
      <x:c r="A1676" s="177" t="str">
        <x:v>42.462.120/0001-50</x:v>
      </x:c>
      <x:c r="B1676" s="168" t="str">
        <x:v>SIFRA ENERGY PODIUM FUNDO DE INVESTIMENTO EM DIREITOS CREDITÓRIOS</x:v>
      </x:c>
      <x:c r="C1676" s="190" t="n">
        <x:v>45588034.7</x:v>
      </x:c>
      <x:c r="D1676" s="168" t="str">
        <x:v>ORRAM GESTÃO DE RECURSOS LTDA.</x:v>
      </x:c>
      <x:c r="E1676" s="168" t="str">
        <x:f>IFERROR(INDEX('Classif Gestoras'!$H$6:$H$462,MATCH(D1676,'Classif Gestoras'!$A$6:$A$462,0)),"Não classificada")</x:f>
        <x:v>Independente</x:v>
      </x:c>
      <x:c r="F1676" s="168" t="str">
        <x:v>Singulare</x:v>
      </x:c>
      <x:c r="G1676" s="168" t="str">
        <x:v>QI CORRETORA DE TÍTULOS E VALORES MOBILIÁRIOS S.A.</x:v>
      </x:c>
      <x:c r="H1676" s="168" t="str">
        <x:v>Agro, Indústria e Comércio</x:v>
      </x:c>
      <x:c r="I1676" s="168" t="str">
        <x:v>Multicarteira Agro, Indústria e Comércio</x:v>
      </x:c>
      <x:c r="J1676" s="168" t="str">
        <x:v>CI</x:v>
      </x:c>
      <x:c r="K1676" s="174" t="n">
        <x:v>10</x:v>
      </x:c>
      <x:c r="L1676" s="187" t="str">
        <x:v>Proxy multicedente/multissacado — revisar</x:v>
      </x:c>
    </x:row>
    <x:row r="1677">
      <x:c r="A1677" s="177" t="str">
        <x:v>40.265.649/0001-59</x:v>
      </x:c>
      <x:c r="B1677" s="168" t="str">
        <x:v>BPD CONSIGNADO FUNDO DE INVESTIMENTO EM DIREITOS CREDITÓRIOS</x:v>
      </x:c>
      <x:c r="C1677" s="190" t="n">
        <x:v>45544136.05</x:v>
      </x:c>
      <x:c r="D1677" s="168" t="str">
        <x:v>GV ATACAMA CAPITAL LTDA.</x:v>
      </x:c>
      <x:c r="E1677" s="168" t="str">
        <x:f>IFERROR(INDEX('Classif Gestoras'!$H$6:$H$462,MATCH(D1677,'Classif Gestoras'!$A$6:$A$462,0)),"Não classificada")</x:f>
        <x:v>Independente</x:v>
      </x:c>
      <x:c r="F1677" s="168" t="str">
        <x:v>Singulare</x:v>
      </x:c>
      <x:c r="G1677" s="168" t="str">
        <x:v>QI CORRETORA DE TÍTULOS E VALORES MOBILIÁRIOS S.A.</x:v>
      </x:c>
      <x:c r="H1677" s="168" t="str">
        <x:v>Outros</x:v>
      </x:c>
      <x:c r="I1677" s="168" t="str">
        <x:v>Multicarteira Outros</x:v>
      </x:c>
      <x:c r="J1677" s="168" t="str">
        <x:v>CI</x:v>
      </x:c>
      <x:c r="K1677" s="174" t="n">
        <x:v>62</x:v>
      </x:c>
      <x:c r="L1677" s="187" t="str">
        <x:v>Proxy multicedente/multissacado — revisar</x:v>
      </x:c>
    </x:row>
    <x:row r="1678">
      <x:c r="A1678" s="177" t="str">
        <x:v>55.374.251/0001-28</x:v>
      </x:c>
      <x:c r="B1678" s="168" t="str">
        <x:v>FUNDO DE INVESTIMENTO EM DIREITOS CREDITÓRIOS BLUE II SEGMENTO CRÉDITO CORPORATIVO DE RESP LTDA</x:v>
      </x:c>
      <x:c r="C1678" s="190" t="n">
        <x:v>45540872.66</x:v>
      </x:c>
      <x:c r="D1678" s="168" t="str">
        <x:v>Oliveira Trust Servicer</x:v>
      </x:c>
      <x:c r="E1678" s="168" t="str">
        <x:f>IFERROR(INDEX('Classif Gestoras'!$H$6:$H$462,MATCH(D1678,'Classif Gestoras'!$A$6:$A$462,0)),"Não classificada")</x:f>
        <x:v>Independente</x:v>
      </x:c>
      <x:c r="F1678" s="168" t="str">
        <x:v>Oliveira Trust DTVM</x:v>
      </x:c>
      <x:c r="G1678" s="168" t="str">
        <x:v>OLIVEIRA TRUST DTVM S.A.</x:v>
      </x:c>
      <x:c r="H1678" s="168" t="str">
        <x:v>Agro, Indústria e Comércio</x:v>
      </x:c>
      <x:c r="I1678" s="168" t="str">
        <x:v>Crédito Corporativo</x:v>
      </x:c>
      <x:c r="J1678" s="168" t="str">
        <x:v>CI</x:v>
      </x:c>
      <x:c r="K1678" s="174" t="n">
        <x:v>11</x:v>
      </x:c>
      <x:c r="L1678" s="187" t="str">
        <x:v>Não classificado</x:v>
      </x:c>
    </x:row>
    <x:row r="1679">
      <x:c r="A1679" s="177" t="str">
        <x:v>61.289.833/0001-09</x:v>
      </x:c>
      <x:c r="B1679" s="168" t="str">
        <x:v>FUNDO DE INVESTIMENTO EM DIREITOS CREDITÓRIOS GENIAL MULTI CONSIGNADOS II RESPONSABILIDADE LIMITADA</x:v>
      </x:c>
      <x:c r="C1679" s="190" t="n">
        <x:v>45410203.41</x:v>
      </x:c>
      <x:c r="D1679" s="168" t="str">
        <x:v>GENIAL GESTÃO LTDA.</x:v>
      </x:c>
      <x:c r="E1679" s="168" t="str">
        <x:f>IFERROR(INDEX('Classif Gestoras'!$H$6:$H$462,MATCH(D1679,'Classif Gestoras'!$A$6:$A$462,0)),"Não classificada")</x:f>
        <x:v>Ligada a banco</x:v>
      </x:c>
      <x:c r="F1679" s="168" t="str">
        <x:v>Genial Investimentos Corretora de Valores Mobiliários S.A.</x:v>
      </x:c>
      <x:c r="G1679" s="168" t="str">
        <x:v>BANCO GENIAL S.A.</x:v>
      </x:c>
      <x:c r="H1679" s="168" t="str">
        <x:v>Outros</x:v>
      </x:c>
      <x:c r="I1679" s="168" t="str">
        <x:v>Multicarteira Outros</x:v>
      </x:c>
      <x:c r="J1679" s="168" t="str">
        <x:v>CI</x:v>
      </x:c>
      <x:c r="K1679" s="174" t="n">
        <x:v>18</x:v>
      </x:c>
      <x:c r="L1679" s="187" t="str">
        <x:v>Proxy multicedente/multissacado — revisar</x:v>
      </x:c>
    </x:row>
    <x:row r="1680">
      <x:c r="A1680" s="177" t="str">
        <x:v>51.292.131/0001-20</x:v>
      </x:c>
      <x:c r="B1680" s="168" t="str">
        <x:v>SPESI I FUNDO DE INVESTIMENTO EM DIREITOS CREDITÓRIOS NÃO-PADRONIZADOS MULTISSETORIAL RESP LIMITADA</x:v>
      </x:c>
      <x:c r="C1680" s="190" t="n">
        <x:v>45151080.23</x:v>
      </x:c>
      <x:c r="D1680" s="168" t="str">
        <x:v>IDGR</x:v>
      </x:c>
      <x:c r="E1680" s="168" t="str">
        <x:f>IFERROR(INDEX('Classif Gestoras'!$H$6:$H$462,MATCH(D1680,'Classif Gestoras'!$A$6:$A$462,0)),"Não classificada")</x:f>
        <x:v>Independente</x:v>
      </x:c>
      <x:c r="F1680" s="168" t="str">
        <x:v>ID Corretora de Títulos e Valores Mobiliários S.A.</x:v>
      </x:c>
      <x:c r="G1680" s="168" t="str">
        <x:v>ID CORRETORA DE TITULOS E VALORES MOBILIARIOS S.A.</x:v>
      </x:c>
      <x:c r="H1680" s="168" t="str">
        <x:v>Outros</x:v>
      </x:c>
      <x:c r="I1680" s="168" t="str">
        <x:v>Multicarteira Outros</x:v>
      </x:c>
      <x:c r="J1680" s="168" t="str">
        <x:v>CI</x:v>
      </x:c>
      <x:c r="K1680" s="174" t="n">
        <x:v>3</x:v>
      </x:c>
      <x:c r="L1680" s="187" t="str">
        <x:v>Proxy multicedente/multissacado — revisar</x:v>
      </x:c>
    </x:row>
    <x:row r="1681">
      <x:c r="A1681" s="177" t="str">
        <x:v>20.953.316/0001-05</x:v>
      </x:c>
      <x:c r="B1681" s="168" t="str">
        <x:v>PANGU FUNDO DE INVESTIMENTO EM DIREITOS CREDITÓRIOS MULTISSETORIAL - NÃO PADRONIZADOS</x:v>
      </x:c>
      <x:c r="C1681" s="190" t="n">
        <x:v>45057763.169999994</x:v>
      </x:c>
      <x:c r="D1681" s="168" t="str">
        <x:v>Iggy Investimentos</x:v>
      </x:c>
      <x:c r="E1681" s="168" t="str">
        <x:f>IFERROR(INDEX('Classif Gestoras'!$H$6:$H$462,MATCH(D1681,'Classif Gestoras'!$A$6:$A$462,0)),"Não classificada")</x:f>
        <x:v>Independente</x:v>
      </x:c>
      <x:c r="F1681" s="168" t="str">
        <x:v>Singulare</x:v>
      </x:c>
      <x:c r="G1681" s="168" t="str">
        <x:v>QI CORRETORA DE TÍTULOS E VALORES MOBILIÁRIOS S.A.</x:v>
      </x:c>
      <x:c r="H1681" s="168" t="str">
        <x:v>Fomento Mercantil</x:v>
      </x:c>
      <x:c r="I1681" s="168" t="str">
        <x:v>Fomento Mercantil</x:v>
      </x:c>
      <x:c r="J1681" s="168" t="str">
        <x:v>CI</x:v>
      </x:c>
      <x:c r="K1681" s="174" t="n">
        <x:v>22</x:v>
      </x:c>
      <x:c r="L1681" s="187" t="str">
        <x:v>Não classificado</x:v>
      </x:c>
    </x:row>
    <x:row r="1682">
      <x:c r="A1682" s="177" t="str">
        <x:v>13.762.574/0001-49</x:v>
      </x:c>
      <x:c r="B1682" s="168" t="str">
        <x:v>SIGULER GUFF (JUS BLC) 2A FUNDO DE INVESTIMENTO EM DIREITOS CREDITÓRIOS NÃO-PADRONIZADOS</x:v>
      </x:c>
      <x:c r="C1682" s="190" t="n">
        <x:v>44971528.0965</x:v>
      </x:c>
      <x:c r="D1682" s="168" t="str">
        <x:v>Jus Capital Gestão de Recursos LTDA</x:v>
      </x:c>
      <x:c r="E1682" s="168" t="str">
        <x:f>IFERROR(INDEX('Classif Gestoras'!$H$6:$H$462,MATCH(D1682,'Classif Gestoras'!$A$6:$A$462,0)),"Não classificada")</x:f>
        <x:v>Independente</x:v>
      </x:c>
      <x:c r="F1682" s="168" t="str">
        <x:v>BTG Pactual Servicos Financeiros S/A DTVM</x:v>
      </x:c>
      <x:c r="G1682" s="168" t="str">
        <x:v>BANCO BTG PACTUAL S/A</x:v>
      </x:c>
      <x:c r="H1682" s="168" t="str">
        <x:v>Outros</x:v>
      </x:c>
      <x:c r="I1682" s="168" t="str">
        <x:v>Multicarteira Outros</x:v>
      </x:c>
      <x:c r="J1682" s="168" t="str">
        <x:v>CI</x:v>
      </x:c>
      <x:c r="K1682" s="174" t="n">
        <x:v>1</x:v>
      </x:c>
      <x:c r="L1682" s="187" t="str">
        <x:v>Proxy multicedente/multissacado — revisar</x:v>
      </x:c>
    </x:row>
    <x:row r="1683">
      <x:c r="A1683" s="177" t="str">
        <x:v>44.395.545/0001-10</x:v>
      </x:c>
      <x:c r="B1683" s="168" t="str">
        <x:v>CONDOCONTA FUNDO DE INVESTIMENTO EM DIREITOS CREDITÓRIOS</x:v>
      </x:c>
      <x:c r="C1683" s="190" t="n">
        <x:v>44890197.13999999</x:v>
      </x:c>
      <x:c r="D1683" s="168" t="str">
        <x:v>AUGME CAPITAL GESTÃO DE RECURSOS LTDA.</x:v>
      </x:c>
      <x:c r="E1683" s="168" t="str">
        <x:f>IFERROR(INDEX('Classif Gestoras'!$H$6:$H$462,MATCH(D1683,'Classif Gestoras'!$A$6:$A$462,0)),"Não classificada")</x:f>
        <x:v>Independente</x:v>
      </x:c>
      <x:c r="F1683" s="168" t="str">
        <x:v>FIDD DISTRIBUIDORA DE TITULOS E VALORES MOBILIARIOS LTD</x:v>
      </x:c>
      <x:c r="G1683" s="168" t="str">
        <x:v>FIDD DISTRIBUIDORA DE TITULOS E VALORES MOBILIARIOS LTDA.</x:v>
      </x:c>
      <x:c r="H1683" s="168" t="str">
        <x:v>Outros</x:v>
      </x:c>
      <x:c r="I1683" s="168" t="str">
        <x:v>Multicarteira Outros</x:v>
      </x:c>
      <x:c r="J1683" s="168" t="str">
        <x:v>CI</x:v>
      </x:c>
      <x:c r="K1683" s="174" t="n">
        <x:v>13</x:v>
      </x:c>
      <x:c r="L1683" s="187" t="str">
        <x:v>Proxy multicedente/multissacado — revisar</x:v>
      </x:c>
    </x:row>
    <x:row r="1684">
      <x:c r="A1684" s="177" t="str">
        <x:v>34.964.344/0001-32</x:v>
      </x:c>
      <x:c r="B1684" s="168" t="str">
        <x:v>JC CRÉDITOS JUDICIAIS FUNDO DE INVESTIMENTO EM DIREITOS CREDITÓRIOS NÃO-PADRONIZADOS</x:v>
      </x:c>
      <x:c r="C1684" s="190" t="n">
        <x:v>44834851.15749999</x:v>
      </x:c>
      <x:c r="D1684" s="168" t="str">
        <x:v>Jus Capital Gestão de Recursos LTDA</x:v>
      </x:c>
      <x:c r="E1684" s="168" t="str">
        <x:f>IFERROR(INDEX('Classif Gestoras'!$H$6:$H$462,MATCH(D1684,'Classif Gestoras'!$A$6:$A$462,0)),"Não classificada")</x:f>
        <x:v>Independente</x:v>
      </x:c>
      <x:c r="F1684" s="168" t="str">
        <x:v>BTG Pactual Servicos Financeiros S/A DTVM</x:v>
      </x:c>
      <x:c r="G1684" s="168" t="str">
        <x:v>BANCO BTG PACTUAL S/A</x:v>
      </x:c>
      <x:c r="H1684" s="168" t="str">
        <x:v>Outros</x:v>
      </x:c>
      <x:c r="I1684" s="168" t="str">
        <x:v>Poder Público</x:v>
      </x:c>
      <x:c r="J1684" s="168" t="str">
        <x:v>CI</x:v>
      </x:c>
      <x:c r="K1684" s="174" t="n">
        <x:v>3</x:v>
      </x:c>
      <x:c r="L1684" s="187" t="str">
        <x:v>Não classificado</x:v>
      </x:c>
    </x:row>
    <x:row r="1685">
      <x:c r="A1685" s="177" t="str">
        <x:v>55.948.310/0001-24</x:v>
      </x:c>
      <x:c r="B1685" s="168" t="str">
        <x:v>NR11 FUNDO DE INVESTIMENTO EM DIREITOS CREDITÓRIOS DE RESPONSABILIDADE LIMITADA</x:v>
      </x:c>
      <x:c r="C1685" s="190" t="n">
        <x:v>44821475.29</x:v>
      </x:c>
      <x:c r="D1685" s="168" t="str">
        <x:v>Catálise Investimentos</x:v>
      </x:c>
      <x:c r="E1685" s="168" t="str">
        <x:f>IFERROR(INDEX('Classif Gestoras'!$H$6:$H$462,MATCH(D1685,'Classif Gestoras'!$A$6:$A$462,0)),"Não classificada")</x:f>
        <x:v>Independente</x:v>
      </x:c>
      <x:c r="F1685" s="168" t="str">
        <x:v>CATÁLISE DTVM</x:v>
      </x:c>
      <x:c r="G1685" s="168" t="str">
        <x:v>BANCO DAYCOVAL S.A.</x:v>
      </x:c>
      <x:c r="H1685" s="168" t="str">
        <x:v>Agro, Indústria e Comércio</x:v>
      </x:c>
      <x:c r="I1685" s="168" t="str">
        <x:v>Recebíveis Comerciais</x:v>
      </x:c>
      <x:c r="J1685" s="168" t="str">
        <x:v>CI</x:v>
      </x:c>
      <x:c r="K1685" s="174" t="n">
        <x:v>1</x:v>
      </x:c>
      <x:c r="L1685" s="187" t="str">
        <x:v>Não classificado</x:v>
      </x:c>
    </x:row>
    <x:row r="1686">
      <x:c r="A1686" s="177" t="str">
        <x:v>63.823.304/0001-79</x:v>
      </x:c>
      <x:c r="B1686" s="168" t="str">
        <x:v>NTZ FINANCIAMENTOS LONGO PRAZO FUNDO DE INVESTIMENTO EM DIREITOS CREDITÓRIOS RESP LIMITADA</x:v>
      </x:c>
      <x:c r="C1686" s="190" t="n">
        <x:v>44606055.06</x:v>
      </x:c>
      <x:c r="D1686" s="168" t="str">
        <x:v>Netz Asset</x:v>
      </x:c>
      <x:c r="E1686" s="168" t="str">
        <x:f>IFERROR(INDEX('Classif Gestoras'!$H$6:$H$462,MATCH(D1686,'Classif Gestoras'!$A$6:$A$462,0)),"Não classificada")</x:f>
        <x:v>Independente</x:v>
      </x:c>
      <x:c r="F1686" s="168" t="str">
        <x:v>BRL TRUST DTVM</x:v>
      </x:c>
      <x:c r="G1686" s="168" t="str">
        <x:v>BRL TRUST DISTRIBUIDORA DE TITULOS E VALORES MOBILIARIOS S.A.</x:v>
      </x:c>
      <x:c r="H1686" s="168" t="str">
        <x:v>Outros</x:v>
      </x:c>
      <x:c r="I1686" s="168" t="str">
        <x:v>Multicarteira Outros</x:v>
      </x:c>
      <x:c r="J1686" s="168" t="str">
        <x:v>CI</x:v>
      </x:c>
      <x:c r="K1686" s="174" t="n">
        <x:v>9</x:v>
      </x:c>
      <x:c r="L1686" s="187" t="str">
        <x:v>Proxy multicedente/multissacado — revisar</x:v>
      </x:c>
    </x:row>
    <x:row r="1687">
      <x:c r="A1687" s="177" t="str">
        <x:v>50.462.226/0001-82</x:v>
      </x:c>
      <x:c r="B1687" s="168" t="str">
        <x:v>PENSILVANIA FUNDO DE INVESTIMENTO EM DIREITOS CREDITÓRIOS NÃO-PADRONIZADOS RESPONSABILIDADE LIMITADA</x:v>
      </x:c>
      <x:c r="C1687" s="190" t="n">
        <x:v>44603427.03</x:v>
      </x:c>
      <x:c r="D1687" s="168" t="str">
        <x:v>IDGR</x:v>
      </x:c>
      <x:c r="E1687" s="168" t="str">
        <x:f>IFERROR(INDEX('Classif Gestoras'!$H$6:$H$462,MATCH(D1687,'Classif Gestoras'!$A$6:$A$462,0)),"Não classificada")</x:f>
        <x:v>Independente</x:v>
      </x:c>
      <x:c r="F1687" s="168" t="str">
        <x:v>ID Corretora de Títulos e Valores Mobiliários S.A.</x:v>
      </x:c>
      <x:c r="G1687" s="168" t="str">
        <x:v>ID CORRETORA DE TITULOS E VALORES MOBILIARIOS S.A.</x:v>
      </x:c>
      <x:c r="H1687" s="168" t="str">
        <x:v>Outros</x:v>
      </x:c>
      <x:c r="I1687" s="168" t="str">
        <x:v>Multicarteira Outros</x:v>
      </x:c>
      <x:c r="J1687" s="168" t="str">
        <x:v>CI</x:v>
      </x:c>
      <x:c r="K1687" s="174" t="n">
        <x:v>1</x:v>
      </x:c>
      <x:c r="L1687" s="187" t="str">
        <x:v>Proxy multicedente/multissacado — revisar</x:v>
      </x:c>
    </x:row>
    <x:row r="1688">
      <x:c r="A1688" s="177" t="str">
        <x:v>52.327.272/0001-02</x:v>
      </x:c>
      <x:c r="B1688" s="168" t="str">
        <x:v>MEDSYSTEMS B24 FIDC SEGMENTO RECEBIVEIS COMECIAIS DE RESPONSABILIDADE LIMITADA</x:v>
      </x:c>
      <x:c r="C1688" s="190" t="n">
        <x:v>44576624.31</x:v>
      </x:c>
      <x:c r="D1688" s="168" t="str">
        <x:v>GENIAL GESTÃO LTDA.</x:v>
      </x:c>
      <x:c r="E1688" s="168" t="str">
        <x:f>IFERROR(INDEX('Classif Gestoras'!$H$6:$H$462,MATCH(D1688,'Classif Gestoras'!$A$6:$A$462,0)),"Não classificada")</x:f>
        <x:v>Ligada a banco</x:v>
      </x:c>
      <x:c r="F1688" s="168" t="str">
        <x:v>Banco Genial S.A.</x:v>
      </x:c>
      <x:c r="G1688" s="168" t="str">
        <x:v>BANCO GENIAL S.A.</x:v>
      </x:c>
      <x:c r="H1688" s="168" t="str">
        <x:v>Agro, Indústria e Comércio</x:v>
      </x:c>
      <x:c r="I1688" s="168" t="str">
        <x:v>Recebíveis Comerciais</x:v>
      </x:c>
      <x:c r="J1688" s="168" t="str">
        <x:v>CI</x:v>
      </x:c>
      <x:c r="K1688" s="174" t="n">
        <x:v>6</x:v>
      </x:c>
      <x:c r="L1688" s="187" t="str">
        <x:v>Não classificado</x:v>
      </x:c>
    </x:row>
    <x:row r="1689">
      <x:c r="A1689" s="177" t="str">
        <x:v>55.154.982/0001-68</x:v>
      </x:c>
      <x:c r="B1689" s="168" t="str">
        <x:v>RJ3D FUNDO DE INVESTIMENTO EM DIREITOS CREDITÓRIOS</x:v>
      </x:c>
      <x:c r="C1689" s="190" t="n">
        <x:v>44514520.629999995</x:v>
      </x:c>
      <x:c r="D1689" s="168" t="str">
        <x:v>D3 Capital</x:v>
      </x:c>
      <x:c r="E1689" s="168" t="str">
        <x:f>IFERROR(INDEX('Classif Gestoras'!$H$6:$H$462,MATCH(D1689,'Classif Gestoras'!$A$6:$A$462,0)),"Não classificada")</x:f>
        <x:v>Independente</x:v>
      </x:c>
      <x:c r="F1689" s="168" t="str">
        <x:v>MONETAR DISTRIBUIDORA DE TITUL</x:v>
      </x:c>
      <x:c r="G1689" s="168" t="str">
        <x:v>TERRA INVESTIMENTOS DISTRIBUIDORA DE TITULOS E VALORES MOBILIARIOS LTDA</x:v>
      </x:c>
      <x:c r="H1689" s="168" t="str">
        <x:v>Outros</x:v>
      </x:c>
      <x:c r="I1689" s="168" t="str">
        <x:v>Multicarteira Outros</x:v>
      </x:c>
      <x:c r="J1689" s="168" t="str">
        <x:v>CI</x:v>
      </x:c>
      <x:c r="K1689" s="174" t="n">
        <x:v>1</x:v>
      </x:c>
      <x:c r="L1689" s="187" t="str">
        <x:v>Proxy multicedente/multissacado — revisar</x:v>
      </x:c>
    </x:row>
    <x:row r="1690">
      <x:c r="A1690" s="177" t="str">
        <x:v>58.363.671/0001-05</x:v>
      </x:c>
      <x:c r="B1690" s="168" t="str">
        <x:v>ROCK AX FUNDO DE INVESTIMENTO EM DIREITOS CREDITÓRIOS</x:v>
      </x:c>
      <x:c r="C1690" s="190" t="n">
        <x:v>44489719.93</x:v>
      </x:c>
      <x:c r="D1690" s="168" t="str">
        <x:v>Terra Asset Management</x:v>
      </x:c>
      <x:c r="E1690" s="168" t="str">
        <x:f>IFERROR(INDEX('Classif Gestoras'!$H$6:$H$462,MATCH(D1690,'Classif Gestoras'!$A$6:$A$462,0)),"Não classificada")</x:f>
        <x:v>Independente</x:v>
      </x:c>
      <x:c r="F1690" s="168" t="str">
        <x:v>MONETAR DISTRIBUIDORA DE TITUL</x:v>
      </x:c>
      <x:c r="G1690" s="168" t="str">
        <x:v>TERRA INVESTIMENTOS DISTRIBUIDORA DE TITULOS E VALORES MOBILIARIOS LTDA</x:v>
      </x:c>
      <x:c r="H1690" s="168" t="str">
        <x:v>Outros</x:v>
      </x:c>
      <x:c r="I1690" s="168" t="str">
        <x:v>Multicarteira Outros</x:v>
      </x:c>
      <x:c r="J1690" s="168" t="str">
        <x:v>CI</x:v>
      </x:c>
      <x:c r="K1690" s="174" t="n">
        <x:v>2</x:v>
      </x:c>
      <x:c r="L1690" s="187" t="str">
        <x:v>Proxy multicedente/multissacado — revisar</x:v>
      </x:c>
    </x:row>
    <x:row r="1691">
      <x:c r="A1691" s="177" t="str">
        <x:v>55.993.250/0001-61</x:v>
      </x:c>
      <x:c r="B1691" s="168" t="str">
        <x:v>K2 FUNDO DE INVESTIMENTO EM DIREITOS CREDITÓRIOS</x:v>
      </x:c>
      <x:c r="C1691" s="190" t="n">
        <x:v>44450941.41</x:v>
      </x:c>
      <x:c r="D1691" s="168" t="str">
        <x:v>TERCON ASSET MANAGEMENT</x:v>
      </x:c>
      <x:c r="E1691" s="168" t="str">
        <x:f>IFERROR(INDEX('Classif Gestoras'!$H$6:$H$462,MATCH(D1691,'Classif Gestoras'!$A$6:$A$462,0)),"Não classificada")</x:f>
        <x:v>Independente</x:v>
      </x:c>
      <x:c r="F1691" s="168" t="str">
        <x:v>Singulare</x:v>
      </x:c>
      <x:c r="G1691" s="168" t="str">
        <x:v>QI CORRETORA DE TÍTULOS E VALORES MOBILIÁRIOS S.A.</x:v>
      </x:c>
      <x:c r="H1691" s="168" t="str">
        <x:v>Fomento Mercantil</x:v>
      </x:c>
      <x:c r="I1691" s="168" t="str">
        <x:v>Fomento Mercantil</x:v>
      </x:c>
      <x:c r="J1691" s="168" t="str">
        <x:v>CI</x:v>
      </x:c>
      <x:c r="K1691" s="174" t="n">
        <x:v>8</x:v>
      </x:c>
      <x:c r="L1691" s="187" t="str">
        <x:v>Não classificado</x:v>
      </x:c>
    </x:row>
    <x:row r="1692">
      <x:c r="A1692" s="177" t="str">
        <x:v>25.970.315/0001-92</x:v>
      </x:c>
      <x:c r="B1692" s="168" t="str">
        <x:v>DELPAR FUNDO DE INVESTIMENTO EM DIREITOS CREDITÓRIOS</x:v>
      </x:c>
      <x:c r="C1692" s="190" t="n">
        <x:v>44293641.81</x:v>
      </x:c>
      <x:c r="D1692" s="168" t="str">
        <x:v>TERCON ASSET MANAGEMENT</x:v>
      </x:c>
      <x:c r="E1692" s="168" t="str">
        <x:f>IFERROR(INDEX('Classif Gestoras'!$H$6:$H$462,MATCH(D1692,'Classif Gestoras'!$A$6:$A$462,0)),"Não classificada")</x:f>
        <x:v>Independente</x:v>
      </x:c>
      <x:c r="F1692" s="168" t="str">
        <x:v>Singulare</x:v>
      </x:c>
      <x:c r="G1692" s="168" t="str">
        <x:v>QI CORRETORA DE TÍTULOS E VALORES MOBILIÁRIOS S.A.</x:v>
      </x:c>
      <x:c r="H1692" s="168" t="str">
        <x:v>Fomento Mercantil</x:v>
      </x:c>
      <x:c r="I1692" s="168" t="str">
        <x:v>Fomento Mercantil</x:v>
      </x:c>
      <x:c r="J1692" s="168" t="str">
        <x:v>CI</x:v>
      </x:c>
      <x:c r="K1692" s="174" t="n">
        <x:v>4</x:v>
      </x:c>
      <x:c r="L1692" s="187" t="str">
        <x:v>Não classificado</x:v>
      </x:c>
    </x:row>
    <x:row r="1693">
      <x:c r="A1693" s="177" t="str">
        <x:v>52.519.160/0001-45</x:v>
      </x:c>
      <x:c r="B1693" s="168" t="str">
        <x:v>MEDTECH CPV FUNDO DE INVESTIMENTO EM DIREITOS CREDITÓRIOS</x:v>
      </x:c>
      <x:c r="C1693" s="190" t="n">
        <x:v>44291336.63</x:v>
      </x:c>
      <x:c r="D1693" s="168" t="str">
        <x:v>CPV ASSET</x:v>
      </x:c>
      <x:c r="E1693" s="168" t="str">
        <x:f>IFERROR(INDEX('Classif Gestoras'!$H$6:$H$462,MATCH(D1693,'Classif Gestoras'!$A$6:$A$462,0)),"Não classificada")</x:f>
        <x:v>Independente</x:v>
      </x:c>
      <x:c r="F1693" s="168" t="str">
        <x:v>Singulare</x:v>
      </x:c>
      <x:c r="G1693" s="168" t="str">
        <x:v>QI CORRETORA DE TÍTULOS E VALORES MOBILIÁRIOS S.A.</x:v>
      </x:c>
      <x:c r="H1693" s="168" t="str">
        <x:v>Outros</x:v>
      </x:c>
      <x:c r="I1693" s="168" t="str">
        <x:v>Multicarteira Outros</x:v>
      </x:c>
      <x:c r="J1693" s="168" t="str">
        <x:v>CI</x:v>
      </x:c>
      <x:c r="K1693" s="174" t="n">
        <x:v>5</x:v>
      </x:c>
      <x:c r="L1693" s="187" t="str">
        <x:v>Proxy multicedente/multissacado — revisar</x:v>
      </x:c>
    </x:row>
    <x:row r="1694">
      <x:c r="A1694" s="177" t="str">
        <x:v>45.523.882/0001-08</x:v>
      </x:c>
      <x:c r="B1694" s="168" t="str">
        <x:v>SC FUNDO DE INVESTIMENTO EM DIREITOS CREDITÓRIOS</x:v>
      </x:c>
      <x:c r="C1694" s="190" t="n">
        <x:v>44058699.8</x:v>
      </x:c>
      <x:c r="D1694" s="168" t="str">
        <x:v>M8 Partners</x:v>
      </x:c>
      <x:c r="E1694" s="168" t="str">
        <x:f>IFERROR(INDEX('Classif Gestoras'!$H$6:$H$462,MATCH(D1694,'Classif Gestoras'!$A$6:$A$462,0)),"Não classificada")</x:f>
        <x:v>Independente</x:v>
      </x:c>
      <x:c r="F1694" s="168" t="str">
        <x:v>Singulare</x:v>
      </x:c>
      <x:c r="G1694" s="168" t="str">
        <x:v>QI CORRETORA DE TÍTULOS E VALORES MOBILIÁRIOS S.A.</x:v>
      </x:c>
      <x:c r="H1694" s="168" t="str">
        <x:v>Fomento Mercantil</x:v>
      </x:c>
      <x:c r="I1694" s="168" t="str">
        <x:v>Fomento Mercantil</x:v>
      </x:c>
      <x:c r="J1694" s="168" t="str">
        <x:v>CI</x:v>
      </x:c>
      <x:c r="K1694" s="174" t="n">
        <x:v>13</x:v>
      </x:c>
      <x:c r="L1694" s="187" t="str">
        <x:v>Não classificado</x:v>
      </x:c>
    </x:row>
    <x:row r="1695">
      <x:c r="A1695" s="177" t="str">
        <x:v>54.326.936/0001-36</x:v>
      </x:c>
      <x:c r="B1695" s="168" t="str">
        <x:v>FUNDO DE INVESTIMENTO EM DIREITOS CREDITÓRIOS DE RESPONSABILIDADE LIMITADA SAQUE FGTS</x:v>
      </x:c>
      <x:c r="C1695" s="190" t="n">
        <x:v>43966977.83</x:v>
      </x:c>
      <x:c r="D1695" s="168" t="str">
        <x:v>Ext Capital</x:v>
      </x:c>
      <x:c r="E1695" s="168" t="str">
        <x:f>IFERROR(INDEX('Classif Gestoras'!$H$6:$H$462,MATCH(D1695,'Classif Gestoras'!$A$6:$A$462,0)),"Não classificada")</x:f>
        <x:v>Independente</x:v>
      </x:c>
      <x:c r="F1695" s="168" t="str">
        <x:v>BANCO DAYCOVAL S/A</x:v>
      </x:c>
      <x:c r="G1695" s="168" t="str">
        <x:v>BANCO DAYCOVAL S.A.</x:v>
      </x:c>
      <x:c r="H1695" s="168" t="str">
        <x:v>Financeiro</x:v>
      </x:c>
      <x:c r="I1695" s="168" t="str">
        <x:v>Crédito Pessoal</x:v>
      </x:c>
      <x:c r="J1695" s="168" t="str">
        <x:v>CI</x:v>
      </x:c>
      <x:c r="K1695" s="174" t="n">
        <x:v>31</x:v>
      </x:c>
      <x:c r="L1695" s="187" t="str">
        <x:v>Não classificado</x:v>
      </x:c>
    </x:row>
    <x:row r="1696">
      <x:c r="A1696" s="177" t="str">
        <x:v>55.249.383/0001-28</x:v>
      </x:c>
      <x:c r="B1696" s="168" t="str">
        <x:v>ALGARVE PRECATÓRIOS I FUNDO DE INVESTIMENTO EM DIREITOS CREDITÓRIOS - RESPONSABILIDADE LIMITADA</x:v>
      </x:c>
      <x:c r="C1696" s="190" t="n">
        <x:v>43818351.67</x:v>
      </x:c>
      <x:c r="D1696" s="168" t="str">
        <x:v>Algarve Capital</x:v>
      </x:c>
      <x:c r="E1696" s="168" t="str">
        <x:f>IFERROR(INDEX('Classif Gestoras'!$H$6:$H$462,MATCH(D1696,'Classif Gestoras'!$A$6:$A$462,0)),"Não classificada")</x:f>
        <x:v>Independente</x:v>
      </x:c>
      <x:c r="F1696" s="168" t="str">
        <x:v>BANCO DAYCOVAL S/A</x:v>
      </x:c>
      <x:c r="G1696" s="168" t="str">
        <x:v>BANCO DAYCOVAL S.A.</x:v>
      </x:c>
      <x:c r="H1696" s="168" t="str">
        <x:v>Outros</x:v>
      </x:c>
      <x:c r="I1696" s="168" t="str">
        <x:v>Multicarteira Outros</x:v>
      </x:c>
      <x:c r="J1696" s="168" t="str">
        <x:v>CI</x:v>
      </x:c>
      <x:c r="K1696" s="174" t="n">
        <x:v>5</x:v>
      </x:c>
      <x:c r="L1696" s="187" t="str">
        <x:v>Proxy multicedente/multissacado — revisar</x:v>
      </x:c>
    </x:row>
    <x:row r="1697">
      <x:c r="A1697" s="177" t="str">
        <x:v>52.093.999/0001-64</x:v>
      </x:c>
      <x:c r="B1697" s="168" t="str">
        <x:v>VALORIZA FUNDO DE INVESTIMENTO EM DIREITOS CREDITÓRIOS RESPONSABILIDADE LIMITADA</x:v>
      </x:c>
      <x:c r="C1697" s="190" t="n">
        <x:v>43765064.32</x:v>
      </x:c>
      <x:c r="D1697" s="168" t="str">
        <x:v>CERES ASSET</x:v>
      </x:c>
      <x:c r="E1697" s="168" t="str">
        <x:f>IFERROR(INDEX('Classif Gestoras'!$H$6:$H$462,MATCH(D1697,'Classif Gestoras'!$A$6:$A$462,0)),"Não classificada")</x:f>
        <x:v>Independente</x:v>
      </x:c>
      <x:c r="F1697" s="168" t="str">
        <x:v>Singulare</x:v>
      </x:c>
      <x:c r="G1697" s="168" t="str">
        <x:v>QI CORRETORA DE TÍTULOS E VALORES MOBILIÁRIOS S.A.</x:v>
      </x:c>
      <x:c r="H1697" s="168" t="str">
        <x:v>Agro, Indústria e Comércio</x:v>
      </x:c>
      <x:c r="I1697" s="168" t="str">
        <x:v>Agronegócio</x:v>
      </x:c>
      <x:c r="J1697" s="168" t="str">
        <x:v>CI</x:v>
      </x:c>
      <x:c r="K1697" s="174" t="n">
        <x:v>47</x:v>
      </x:c>
      <x:c r="L1697" s="187" t="str">
        <x:v>Não classificado</x:v>
      </x:c>
    </x:row>
    <x:row r="1698">
      <x:c r="A1698" s="177" t="str">
        <x:v>39.737.206/0001-34</x:v>
      </x:c>
      <x:c r="B1698" s="168" t="str">
        <x:v>QG DISTRESSED II FUNDO DE INVESTIMENTO EM DIREITOS CREDITÓRIOS - RESPONSABILIDADE LIMITADA</x:v>
      </x:c>
      <x:c r="C1698" s="190" t="n">
        <x:v>43751527.010000005</x:v>
      </x:c>
      <x:c r="D1698" s="168" t="str">
        <x:v>Quadra Gestão de Recursos S.A.</x:v>
      </x:c>
      <x:c r="E1698" s="168" t="str">
        <x:f>IFERROR(INDEX('Classif Gestoras'!$H$6:$H$462,MATCH(D1698,'Classif Gestoras'!$A$6:$A$462,0)),"Não classificada")</x:f>
        <x:v>Independente</x:v>
      </x:c>
      <x:c r="F1698" s="168" t="str">
        <x:v>BNY MELLON SERVICOS</x:v>
      </x:c>
      <x:c r="G1698" s="168" t="str">
        <x:v>BNY MELLON BANCO S.A.</x:v>
      </x:c>
      <x:c r="H1698" s="168" t="str">
        <x:v>Outros</x:v>
      </x:c>
      <x:c r="I1698" s="168" t="str">
        <x:v>Multicarteira Outros</x:v>
      </x:c>
      <x:c r="J1698" s="168" t="str">
        <x:v>CI</x:v>
      </x:c>
      <x:c r="K1698" s="174" t="n">
        <x:v>1</x:v>
      </x:c>
      <x:c r="L1698" s="187" t="str">
        <x:v>Proxy multicedente/multissacado — revisar</x:v>
      </x:c>
    </x:row>
    <x:row r="1699">
      <x:c r="A1699" s="177" t="str">
        <x:v>54.410.544/0001-50</x:v>
      </x:c>
      <x:c r="B1699" s="168" t="str">
        <x:v>SP SELECIONADOS I FUNDO DE INVESTIMENTO EM DIREITOS CREDITÓRIOS - RESPONSABILIDADE LIMITADA</x:v>
      </x:c>
      <x:c r="C1699" s="190" t="n">
        <x:v>43588326.61000001</x:v>
      </x:c>
      <x:c r="D1699" s="168" t="str">
        <x:v>BURITI INVESTIMENTOS</x:v>
      </x:c>
      <x:c r="E1699" s="168" t="str">
        <x:f>IFERROR(INDEX('Classif Gestoras'!$H$6:$H$462,MATCH(D1699,'Classif Gestoras'!$A$6:$A$462,0)),"Não classificada")</x:f>
        <x:v>Independente</x:v>
      </x:c>
      <x:c r="F1699" s="168" t="str">
        <x:v>Singulare</x:v>
      </x:c>
      <x:c r="G1699" s="168" t="str">
        <x:v>QI CORRETORA DE TÍTULOS E VALORES MOBILIÁRIOS S.A.</x:v>
      </x:c>
      <x:c r="H1699" s="168" t="str">
        <x:v>Outros</x:v>
      </x:c>
      <x:c r="I1699" s="168" t="str">
        <x:v>Poder Público</x:v>
      </x:c>
      <x:c r="J1699" s="168" t="str">
        <x:v>CI</x:v>
      </x:c>
      <x:c r="K1699" s="174" t="n">
        <x:v>11</x:v>
      </x:c>
      <x:c r="L1699" s="187" t="str">
        <x:v>Não classificado</x:v>
      </x:c>
    </x:row>
    <x:row r="1700">
      <x:c r="A1700" s="177" t="str">
        <x:v>12.377.935/0001-70</x:v>
      </x:c>
      <x:c r="B1700" s="168" t="str">
        <x:v>MATURITY FUNDO DE INVESTIMENTO EM DIREITOS CREDITÓRIOS MULTISSEGMENTOS</x:v>
      </x:c>
      <x:c r="C1700" s="190" t="n">
        <x:v>43579124.01</x:v>
      </x:c>
      <x:c r="D1700" s="168" t="str">
        <x:v>Petra Capital</x:v>
      </x:c>
      <x:c r="E1700" s="168" t="str">
        <x:f>IFERROR(INDEX('Classif Gestoras'!$H$6:$H$462,MATCH(D1700,'Classif Gestoras'!$A$6:$A$462,0)),"Não classificada")</x:f>
        <x:v>Independente</x:v>
      </x:c>
      <x:c r="F1700" s="168" t="str">
        <x:v>Banco Finaxis S.A.</x:v>
      </x:c>
      <x:c r="G1700" s="168" t="str">
        <x:v>BANCO FINAXIS S.A.</x:v>
      </x:c>
      <x:c r="H1700" s="168" t="str">
        <x:v>Fomento Mercantil</x:v>
      </x:c>
      <x:c r="I1700" s="168" t="str">
        <x:v>Fomento Mercantil</x:v>
      </x:c>
      <x:c r="J1700" s="168" t="str">
        <x:v>CI</x:v>
      </x:c>
      <x:c r="K1700" s="174" t="n">
        <x:v>3</x:v>
      </x:c>
      <x:c r="L1700" s="187" t="str">
        <x:v>Não classificado</x:v>
      </x:c>
    </x:row>
    <x:row r="1701">
      <x:c r="A1701" s="177" t="str">
        <x:v>12.910.431/0001-74</x:v>
      </x:c>
      <x:c r="B1701" s="168" t="str">
        <x:v>MEINBERG FUNDO DE INVESTIMENTO EM DIREITOS CREDITORIOS MULTISSETORIAL</x:v>
      </x:c>
      <x:c r="C1701" s="190" t="n">
        <x:v>43527807.41</x:v>
      </x:c>
      <x:c r="D1701" s="168" t="str">
        <x:v>OURO PRETO INVESTIMENTOS</x:v>
      </x:c>
      <x:c r="E1701" s="168" t="str">
        <x:f>IFERROR(INDEX('Classif Gestoras'!$H$6:$H$462,MATCH(D1701,'Classif Gestoras'!$A$6:$A$462,0)),"Não classificada")</x:f>
        <x:v>Independente</x:v>
      </x:c>
      <x:c r="F1701" s="168" t="str">
        <x:v>Singulare</x:v>
      </x:c>
      <x:c r="G1701" s="168" t="str">
        <x:v>QI CORRETORA DE TÍTULOS E VALORES MOBILIÁRIOS S.A.</x:v>
      </x:c>
      <x:c r="H1701" s="168" t="str">
        <x:v>Fomento Mercantil</x:v>
      </x:c>
      <x:c r="I1701" s="168" t="str">
        <x:v>Fomento Mercantil</x:v>
      </x:c>
      <x:c r="J1701" s="168" t="str">
        <x:v>CI</x:v>
      </x:c>
      <x:c r="K1701" s="174" t="n">
        <x:v>6</x:v>
      </x:c>
      <x:c r="L1701" s="187" t="str">
        <x:v>Não classificado</x:v>
      </x:c>
    </x:row>
    <x:row r="1702">
      <x:c r="A1702" s="177" t="str">
        <x:v>42.043.830/0001-46</x:v>
      </x:c>
      <x:c r="B1702" s="168" t="str">
        <x:v>ALGARVE MALL FUNDO DE INVESTIMENTO EM DIREITOS CREDITÓRIOS - RESPONSABILIDADE LIMITADA</x:v>
      </x:c>
      <x:c r="C1702" s="190" t="n">
        <x:v>43509084.33</x:v>
      </x:c>
      <x:c r="D1702" s="168" t="str">
        <x:v>Algarve Capital</x:v>
      </x:c>
      <x:c r="E1702" s="168" t="str">
        <x:f>IFERROR(INDEX('Classif Gestoras'!$H$6:$H$462,MATCH(D1702,'Classif Gestoras'!$A$6:$A$462,0)),"Não classificada")</x:f>
        <x:v>Independente</x:v>
      </x:c>
      <x:c r="F1702" s="168" t="str">
        <x:v>MAF Distribuidora de Títulos e Valores Mobiliários S.A.</x:v>
      </x:c>
      <x:c r="G1702" s="168" t="str">
        <x:v>MAF DISTRIBUIDORA DE TITULOS E VALORES MOBILIARIOS S.A.</x:v>
      </x:c>
      <x:c r="H1702" s="168" t="str">
        <x:v>Outros</x:v>
      </x:c>
      <x:c r="I1702" s="168" t="str">
        <x:v>Multicarteira Outros</x:v>
      </x:c>
      <x:c r="J1702" s="168" t="str">
        <x:v>CI</x:v>
      </x:c>
      <x:c r="K1702" s="174" t="n">
        <x:v>2</x:v>
      </x:c>
      <x:c r="L1702" s="187" t="str">
        <x:v>Proxy multicedente/multissacado — revisar</x:v>
      </x:c>
    </x:row>
    <x:row r="1703">
      <x:c r="A1703" s="177" t="str">
        <x:v>53.635.506/0001-33</x:v>
      </x:c>
      <x:c r="B1703" s="168" t="str">
        <x:v>CROW TECH FUNDO DE INVESTIMENTO EM DIREITOS CREDITÓRIOS NÃO-PADRONIZADOS</x:v>
      </x:c>
      <x:c r="C1703" s="190" t="n">
        <x:v>43351775.04</x:v>
      </x:c>
      <x:c r="D1703" s="168" t="str">
        <x:v>IBBRA GESTÃO</x:v>
      </x:c>
      <x:c r="E1703" s="168" t="str">
        <x:f>IFERROR(INDEX('Classif Gestoras'!$H$6:$H$462,MATCH(D1703,'Classif Gestoras'!$A$6:$A$462,0)),"Não classificada")</x:f>
        <x:v>Independente</x:v>
      </x:c>
      <x:c r="F1703" s="168" t="str">
        <x:v>AZUMI DISTRIBUIDORA DE TÍTULOS E VALORES MOBILIÁRIOS LT</x:v>
      </x:c>
      <x:c r="G1703" s="168" t="str">
        <x:v>AZUMI DISTRIBUIDORA DE TÍTULOS E VALORES MOBILIÁRIOS LTDA.</x:v>
      </x:c>
      <x:c r="H1703" s="168" t="str">
        <x:v>Outros</x:v>
      </x:c>
      <x:c r="I1703" s="168" t="str">
        <x:v>Multicarteira Outros</x:v>
      </x:c>
      <x:c r="J1703" s="168" t="str">
        <x:v>CI</x:v>
      </x:c>
      <x:c r="K1703" s="174" t="n">
        <x:v>1</x:v>
      </x:c>
      <x:c r="L1703" s="187" t="str">
        <x:v>Proxy multicedente/multissacado — revisar</x:v>
      </x:c>
    </x:row>
    <x:row r="1704">
      <x:c r="A1704" s="177" t="str">
        <x:v>61.089.007/0001-16</x:v>
      </x:c>
      <x:c r="B1704" s="168" t="str">
        <x:v>VAREJO ENERGIA II FUNDO DE INVESTIMENTO EM DIREITOS CREDITÓRIOS</x:v>
      </x:c>
      <x:c r="C1704" s="190" t="n">
        <x:v>43288191.33</x:v>
      </x:c>
      <x:c r="D1704" s="168" t="str">
        <x:v>TERCON ASSET MANAGEMENT</x:v>
      </x:c>
      <x:c r="E1704" s="168" t="str">
        <x:f>IFERROR(INDEX('Classif Gestoras'!$H$6:$H$462,MATCH(D1704,'Classif Gestoras'!$A$6:$A$462,0)),"Não classificada")</x:f>
        <x:v>Independente</x:v>
      </x:c>
      <x:c r="F1704" s="168" t="str">
        <x:v>Singulare</x:v>
      </x:c>
      <x:c r="G1704" s="168" t="str">
        <x:v>QI CORRETORA DE TÍTULOS E VALORES MOBILIÁRIOS S.A.</x:v>
      </x:c>
      <x:c r="H1704" s="168" t="str">
        <x:v>Outros</x:v>
      </x:c>
      <x:c r="I1704" s="168" t="str">
        <x:v>Recuperação</x:v>
      </x:c>
      <x:c r="J1704" s="168" t="str">
        <x:v>CI</x:v>
      </x:c>
      <x:c r="K1704" s="174" t="n">
        <x:v>2</x:v>
      </x:c>
      <x:c r="L1704" s="187" t="str">
        <x:v>Não classificado</x:v>
      </x:c>
    </x:row>
    <x:row r="1705">
      <x:c r="A1705" s="177" t="str">
        <x:v>29.953.928/0001-72</x:v>
      </x:c>
      <x:c r="B1705" s="168" t="str">
        <x:v>META FUNDO DE INVESTIMENTO EM DIREITOS CREDITORIOS</x:v>
      </x:c>
      <x:c r="C1705" s="190" t="n">
        <x:v>43251192.120000005</x:v>
      </x:c>
      <x:c r="D1705" s="168" t="str">
        <x:v>TERCON ASSET MANAGEMENT</x:v>
      </x:c>
      <x:c r="E1705" s="168" t="str">
        <x:f>IFERROR(INDEX('Classif Gestoras'!$H$6:$H$462,MATCH(D1705,'Classif Gestoras'!$A$6:$A$462,0)),"Não classificada")</x:f>
        <x:v>Independente</x:v>
      </x:c>
      <x:c r="F1705" s="168" t="str">
        <x:v>Singulare</x:v>
      </x:c>
      <x:c r="G1705" s="168" t="str">
        <x:v>QI CORRETORA DE TÍTULOS E VALORES MOBILIÁRIOS S.A.</x:v>
      </x:c>
      <x:c r="H1705" s="168" t="str">
        <x:v>Fomento Mercantil</x:v>
      </x:c>
      <x:c r="I1705" s="168" t="str">
        <x:v>Fomento Mercantil</x:v>
      </x:c>
      <x:c r="J1705" s="168" t="str">
        <x:v>CI</x:v>
      </x:c>
      <x:c r="K1705" s="174" t="n">
        <x:v>20</x:v>
      </x:c>
      <x:c r="L1705" s="187" t="str">
        <x:v>Não classificado</x:v>
      </x:c>
    </x:row>
    <x:row r="1706">
      <x:c r="A1706" s="177" t="str">
        <x:v>60.447.905/0001-36</x:v>
      </x:c>
      <x:c r="B1706" s="168" t="str">
        <x:v>ÉXES SPECIAL OPPORTUNITIES II FUNDO DE INVESTIMENTO EM DIREITOS CREDITÓRIOS RESP LTDA</x:v>
      </x:c>
      <x:c r="C1706" s="190" t="n">
        <x:v>43239589.63</x:v>
      </x:c>
      <x:c r="D1706" s="168" t="str">
        <x:v>Éxes</x:v>
      </x:c>
      <x:c r="E1706" s="168" t="str">
        <x:f>IFERROR(INDEX('Classif Gestoras'!$H$6:$H$462,MATCH(D1706,'Classif Gestoras'!$A$6:$A$462,0)),"Não classificada")</x:f>
        <x:v>Independente</x:v>
      </x:c>
      <x:c r="F1706" s="168" t="str">
        <x:v>Oliveira Trust DTVM</x:v>
      </x:c>
      <x:c r="G1706" s="168" t="str">
        <x:v>OLIVEIRA TRUST DTVM S.A.</x:v>
      </x:c>
      <x:c r="H1706" s="168" t="str">
        <x:v>Outros</x:v>
      </x:c>
      <x:c r="I1706" s="168" t="str">
        <x:v>Multicarteira Outros</x:v>
      </x:c>
      <x:c r="J1706" s="168" t="str">
        <x:v>CI</x:v>
      </x:c>
      <x:c r="K1706" s="174" t="n">
        <x:v>24</x:v>
      </x:c>
      <x:c r="L1706" s="187" t="str">
        <x:v>Proxy multicedente/multissacado — revisar</x:v>
      </x:c>
    </x:row>
    <x:row r="1707">
      <x:c r="A1707" s="177" t="str">
        <x:v>47.046.831/0001-68</x:v>
      </x:c>
      <x:c r="B1707" s="168" t="str">
        <x:v>MILÊNIO SUPERNOVA MASTER FUNDO DE INVESTIMENTO EM DIREITOS CREDITÓRIOS RESPONSABILIDADE LIMITADA</x:v>
      </x:c>
      <x:c r="C1707" s="190" t="n">
        <x:v>43237116.1735</x:v>
      </x:c>
      <x:c r="D1707" s="168" t="str">
        <x:v>Milênio Capital</x:v>
      </x:c>
      <x:c r="E1707" s="168" t="str">
        <x:f>IFERROR(INDEX('Classif Gestoras'!$H$6:$H$462,MATCH(D1707,'Classif Gestoras'!$A$6:$A$462,0)),"Não classificada")</x:f>
        <x:v>Independente</x:v>
      </x:c>
      <x:c r="F1707" s="168" t="str">
        <x:v>BTG Pactual Servicos Financeiros S/A DTVM</x:v>
      </x:c>
      <x:c r="G1707" s="168" t="str">
        <x:v>BANCO BTG PACTUAL S/A</x:v>
      </x:c>
      <x:c r="H1707" s="168" t="str">
        <x:v>Outros</x:v>
      </x:c>
      <x:c r="I1707" s="168" t="str">
        <x:v>Multicarteira Outros</x:v>
      </x:c>
      <x:c r="J1707" s="168" t="str">
        <x:v>CIPC</x:v>
      </x:c>
      <x:c r="K1707" s="174" t="n">
        <x:v>1</x:v>
      </x:c>
      <x:c r="L1707" s="187" t="str">
        <x:v>Proxy multicedente/multissacado — revisar</x:v>
      </x:c>
    </x:row>
    <x:row r="1708">
      <x:c r="A1708" s="177" t="str">
        <x:v>53.272.409/0001-23</x:v>
      </x:c>
      <x:c r="B1708" s="168" t="str">
        <x:v>EL CALAFATE FUNDO DE INVESTIMENTO EM DIREITOS CREDITÓRIOS</x:v>
      </x:c>
      <x:c r="C1708" s="190" t="n">
        <x:v>43204884.45</x:v>
      </x:c>
      <x:c r="D1708" s="168" t="str">
        <x:v>PATAGÔNIA CAPITAL</x:v>
      </x:c>
      <x:c r="E1708" s="168" t="str">
        <x:f>IFERROR(INDEX('Classif Gestoras'!$H$6:$H$462,MATCH(D1708,'Classif Gestoras'!$A$6:$A$462,0)),"Não classificada")</x:f>
        <x:v>Independente</x:v>
      </x:c>
      <x:c r="F1708" s="168" t="str">
        <x:v>VÓRTX DTVM</x:v>
      </x:c>
      <x:c r="G1708" s="168" t="str">
        <x:v>VORTX DISTRIBUIDORA DE TITULOS E VALORES MOBILIARIOS LTDA.</x:v>
      </x:c>
      <x:c r="H1708" s="168" t="str">
        <x:v>Financeiro</x:v>
      </x:c>
      <x:c r="I1708" s="168" t="str">
        <x:v>Multicarteira Financeiro</x:v>
      </x:c>
      <x:c r="J1708" s="168" t="str">
        <x:v>CI</x:v>
      </x:c>
      <x:c r="K1708" s="174" t="n">
        <x:v>1</x:v>
      </x:c>
      <x:c r="L1708" s="187" t="str">
        <x:v>Proxy multicedente/multissacado — revisar</x:v>
      </x:c>
    </x:row>
    <x:row r="1709">
      <x:c r="A1709" s="177" t="str">
        <x:v>51.503.629/0001-95</x:v>
      </x:c>
      <x:c r="B1709" s="168" t="str">
        <x:v>FORESTAY FUNDO DE INVESTIMENTO EM DIREITOS CREDITÓRIOS</x:v>
      </x:c>
      <x:c r="C1709" s="190" t="n">
        <x:v>42998328.43</x:v>
      </x:c>
      <x:c r="D1709" s="168" t="str">
        <x:v>JUGIS CAPITAL GESTÃO DE RECURSOS LTDA.</x:v>
      </x:c>
      <x:c r="E1709" s="168" t="str">
        <x:f>IFERROR(INDEX('Classif Gestoras'!$H$6:$H$462,MATCH(D1709,'Classif Gestoras'!$A$6:$A$462,0)),"Não classificada")</x:f>
        <x:v>Independente</x:v>
      </x:c>
      <x:c r="F1709" s="168" t="str">
        <x:v>BRL TRUST DTVM</x:v>
      </x:c>
      <x:c r="G1709" s="168" t="str">
        <x:v>BRL TRUST DISTRIBUIDORA DE TITULOS E VALORES MOBILIARIOS S.A.</x:v>
      </x:c>
      <x:c r="H1709" s="168" t="str">
        <x:v>Outros</x:v>
      </x:c>
      <x:c r="I1709" s="168" t="str">
        <x:v>Recuperação</x:v>
      </x:c>
      <x:c r="J1709" s="168" t="str">
        <x:v>CI</x:v>
      </x:c>
      <x:c r="K1709" s="174" t="n">
        <x:v>1</x:v>
      </x:c>
      <x:c r="L1709" s="187" t="str">
        <x:v>Não classificado</x:v>
      </x:c>
    </x:row>
    <x:row r="1710">
      <x:c r="A1710" s="177" t="str">
        <x:v>41.341.254/0001-50</x:v>
      </x:c>
      <x:c r="B1710" s="168" t="str">
        <x:v>BS PLUS FUNDO DE INVESTIMENTO EM DIREITOS CREDITÓRIOS NÃO PADRONIZADO</x:v>
      </x:c>
      <x:c r="C1710" s="190" t="n">
        <x:v>42977519.02</x:v>
      </x:c>
      <x:c r="D1710" s="168" t="str">
        <x:v>V8 Capital</x:v>
      </x:c>
      <x:c r="E1710" s="168" t="str">
        <x:f>IFERROR(INDEX('Classif Gestoras'!$H$6:$H$462,MATCH(D1710,'Classif Gestoras'!$A$6:$A$462,0)),"Não classificada")</x:f>
        <x:v>Independente</x:v>
      </x:c>
      <x:c r="F1710" s="168" t="str">
        <x:v>Singulare</x:v>
      </x:c>
      <x:c r="G1710" s="168" t="str">
        <x:v>QI CORRETORA DE TÍTULOS E VALORES MOBILIÁRIOS S.A.</x:v>
      </x:c>
      <x:c r="H1710" s="168" t="str">
        <x:v>Outros</x:v>
      </x:c>
      <x:c r="I1710" s="168" t="str">
        <x:v>Multicarteira Outros</x:v>
      </x:c>
      <x:c r="J1710" s="168" t="str">
        <x:v>CI</x:v>
      </x:c>
      <x:c r="K1710" s="174" t="n">
        <x:v>1</x:v>
      </x:c>
      <x:c r="L1710" s="187" t="str">
        <x:v>Proxy multicedente/multissacado — revisar</x:v>
      </x:c>
    </x:row>
    <x:row r="1711">
      <x:c r="A1711" s="177" t="str">
        <x:v>55.523.204/0001-07</x:v>
      </x:c>
      <x:c r="B1711" s="168" t="str">
        <x:v>DMX FUNDO DE INVESTIMENTO EM DIREITOS CREDITÓRIOS MULTISSETORIAL - RESPONSABILIDADE LIMITADA</x:v>
      </x:c>
      <x:c r="C1711" s="190" t="n">
        <x:v>42959188.66</x:v>
      </x:c>
      <x:c r="D1711" s="168" t="str">
        <x:v>TERCON ASSET MANAGEMENT</x:v>
      </x:c>
      <x:c r="E1711" s="168" t="str">
        <x:f>IFERROR(INDEX('Classif Gestoras'!$H$6:$H$462,MATCH(D1711,'Classif Gestoras'!$A$6:$A$462,0)),"Não classificada")</x:f>
        <x:v>Independente</x:v>
      </x:c>
      <x:c r="F1711" s="168" t="str">
        <x:v>MONETAR DISTRIBUIDORA DE TITUL</x:v>
      </x:c>
      <x:c r="G1711" s="168" t="str">
        <x:v>TERRA INVESTIMENTOS DISTRIBUIDORA DE TITULOS E VALORES MOBILIARIOS LTDA</x:v>
      </x:c>
      <x:c r="H1711" s="168" t="str">
        <x:v>Fomento Mercantil</x:v>
      </x:c>
      <x:c r="I1711" s="168" t="str">
        <x:v>Fomento Mercantil</x:v>
      </x:c>
      <x:c r="J1711" s="168" t="str">
        <x:v>CI</x:v>
      </x:c>
      <x:c r="K1711" s="174" t="n">
        <x:v>12</x:v>
      </x:c>
      <x:c r="L1711" s="187" t="str">
        <x:v>Não classificado</x:v>
      </x:c>
    </x:row>
    <x:row r="1712">
      <x:c r="A1712" s="177" t="str">
        <x:v>50.123.492/0001-80</x:v>
      </x:c>
      <x:c r="B1712" s="168" t="str">
        <x:v>MAV ALTERNATIVE CREDIT FUNDO DE INVESTIMENTO EM DIREITOS CREDITÓRIOS</x:v>
      </x:c>
      <x:c r="C1712" s="190" t="n">
        <x:v>42849875.25</x:v>
      </x:c>
      <x:c r="D1712" s="168" t="str">
        <x:v>MAV CAPITAL GESTORA DE RECURSOS SS LTDA</x:v>
      </x:c>
      <x:c r="E1712" s="168" t="str">
        <x:f>IFERROR(INDEX('Classif Gestoras'!$H$6:$H$462,MATCH(D1712,'Classif Gestoras'!$A$6:$A$462,0)),"Não classificada")</x:f>
        <x:v>Independente</x:v>
      </x:c>
      <x:c r="F1712" s="168" t="str">
        <x:v>Banco Genial S.A.</x:v>
      </x:c>
      <x:c r="G1712" s="168" t="str">
        <x:v>BANCO GENIAL S.A.</x:v>
      </x:c>
      <x:c r="H1712" s="168" t="str">
        <x:v>Outros</x:v>
      </x:c>
      <x:c r="I1712" s="168" t="str">
        <x:v>Multicarteira Outros</x:v>
      </x:c>
      <x:c r="J1712" s="168" t="str">
        <x:v>CI</x:v>
      </x:c>
      <x:c r="K1712" s="174" t="n">
        <x:v>1</x:v>
      </x:c>
      <x:c r="L1712" s="187" t="str">
        <x:v>Proxy multicedente/multissacado — revisar</x:v>
      </x:c>
    </x:row>
    <x:row r="1713">
      <x:c r="A1713" s="177" t="str">
        <x:v>59.385.783/0001-11</x:v>
      </x:c>
      <x:c r="B1713" s="168" t="str">
        <x:v>KRISPY FUNDO DE INVESTIMENTO EM DIREITOS CREDITÓRIOS</x:v>
      </x:c>
      <x:c r="C1713" s="190" t="n">
        <x:v>42694443.73</x:v>
      </x:c>
      <x:c r="D1713" s="168" t="str">
        <x:v>TRUSTEE DTVM</x:v>
      </x:c>
      <x:c r="E1713" s="168" t="str">
        <x:f>IFERROR(INDEX('Classif Gestoras'!$H$6:$H$462,MATCH(D1713,'Classif Gestoras'!$A$6:$A$462,0)),"Não classificada")</x:f>
        <x:v>Independente</x:v>
      </x:c>
      <x:c r="F1713" s="168" t="str">
        <x:v>TRUSTEE DTVM</x:v>
      </x:c>
      <x:c r="G1713" s="168" t="str">
        <x:v>TRUSTEE DISTRIBUIDORA DE TITULOS E VALORES MOBILIARIOS LTDA.</x:v>
      </x:c>
      <x:c r="H1713" s="168" t="str">
        <x:v>Outros</x:v>
      </x:c>
      <x:c r="I1713" s="168" t="str">
        <x:v>Multicarteira Outros</x:v>
      </x:c>
      <x:c r="J1713" s="168" t="str">
        <x:v>CI</x:v>
      </x:c>
      <x:c r="K1713" s="174" t="n">
        <x:v>1</x:v>
      </x:c>
      <x:c r="L1713" s="187" t="str">
        <x:v>Proxy multicedente/multissacado — revisar</x:v>
      </x:c>
    </x:row>
    <x:row r="1714">
      <x:c r="A1714" s="177" t="str">
        <x:v>58.442.833/0001-92</x:v>
      </x:c>
      <x:c r="B1714" s="168" t="str">
        <x:v>FARM M IV FUNDO DE INVESTIMENTO EM DIREITOS CREDITÓRIOS RESPONSABILIDADE LIMITADA</x:v>
      </x:c>
      <x:c r="C1714" s="190" t="n">
        <x:v>42672005.3776</x:v>
      </x:c>
      <x:c r="D1714" s="168" t="str">
        <x:v>Farmtech Gestão de Recursos Ltda.</x:v>
      </x:c>
      <x:c r="E1714" s="168" t="str">
        <x:f>IFERROR(INDEX('Classif Gestoras'!$H$6:$H$462,MATCH(D1714,'Classif Gestoras'!$A$6:$A$462,0)),"Não classificada")</x:f>
        <x:v>Independente</x:v>
      </x:c>
      <x:c r="F1714" s="168" t="str">
        <x:v>BTG Pactual Servicos Financeiros S/A DTVM</x:v>
      </x:c>
      <x:c r="G1714" s="168" t="str">
        <x:v>BANCO BTG PACTUAL S/A</x:v>
      </x:c>
      <x:c r="H1714" s="168" t="str">
        <x:v>Agro, Indústria e Comércio</x:v>
      </x:c>
      <x:c r="I1714" s="168" t="str">
        <x:v>Agronegócio</x:v>
      </x:c>
      <x:c r="J1714" s="168" t="str">
        <x:v>CI</x:v>
      </x:c>
      <x:c r="K1714" s="174" t="n">
        <x:v>5</x:v>
      </x:c>
      <x:c r="L1714" s="187" t="str">
        <x:v>Não classificado</x:v>
      </x:c>
    </x:row>
    <x:row r="1715">
      <x:c r="A1715" s="177" t="str">
        <x:v>40.188.893/0001-65</x:v>
      </x:c>
      <x:c r="B1715" s="168" t="str">
        <x:v>BAVIERA FUNDO DE INVESTIMENTO EM DIREITOS CREDITÓRIOS - RESPONSABILIDADE LIMITADA</x:v>
      </x:c>
      <x:c r="C1715" s="190" t="n">
        <x:v>42662204.86</x:v>
      </x:c>
      <x:c r="D1715" s="168" t="str">
        <x:v>PRX CAPITAL</x:v>
      </x:c>
      <x:c r="E1715" s="168" t="str">
        <x:f>IFERROR(INDEX('Classif Gestoras'!$H$6:$H$462,MATCH(D1715,'Classif Gestoras'!$A$6:$A$462,0)),"Não classificada")</x:f>
        <x:v>Independente</x:v>
      </x:c>
      <x:c r="F1715" s="168" t="str">
        <x:v>ID Corretora de Títulos e Valores Mobiliários S.A.</x:v>
      </x:c>
      <x:c r="G1715" s="168" t="str">
        <x:v>ID CORRETORA DE TITULOS E VALORES MOBILIARIOS S.A.</x:v>
      </x:c>
      <x:c r="H1715" s="168" t="str">
        <x:v>Financeiro</x:v>
      </x:c>
      <x:c r="I1715" s="168" t="str">
        <x:v>Crédito Consignado</x:v>
      </x:c>
      <x:c r="J1715" s="168" t="str">
        <x:v>CI</x:v>
      </x:c>
      <x:c r="K1715" s="174" t="n">
        <x:v>1</x:v>
      </x:c>
      <x:c r="L1715" s="187" t="str">
        <x:v>Não classificado</x:v>
      </x:c>
    </x:row>
    <x:row r="1716">
      <x:c r="A1716" s="177" t="str">
        <x:v>09.072.384/0001-22</x:v>
      </x:c>
      <x:c r="B1716" s="168" t="str">
        <x:v>CREDITMIX FUNDO DE INVESTIMENTO EM DIREITOS CREDITÓRIOS - RESPONSABILIDADE LIMITADA</x:v>
      </x:c>
      <x:c r="C1716" s="190" t="n">
        <x:v>42609839.650000006</x:v>
      </x:c>
      <x:c r="D1716" s="168" t="str">
        <x:v>JIVE INVESTMENTS</x:v>
      </x:c>
      <x:c r="E1716" s="168" t="str">
        <x:f>IFERROR(INDEX('Classif Gestoras'!$H$6:$H$462,MATCH(D1716,'Classif Gestoras'!$A$6:$A$462,0)),"Não classificada")</x:f>
        <x:v>Independente</x:v>
      </x:c>
      <x:c r="F1716" s="168" t="str">
        <x:v>MAF Distribuidora de Títulos e Valores Mobiliários S.A.</x:v>
      </x:c>
      <x:c r="G1716" s="168" t="str">
        <x:v>MAF DISTRIBUIDORA DE TITULOS E VALORES MOBILIARIOS S.A.</x:v>
      </x:c>
      <x:c r="H1716" s="168" t="str">
        <x:v>Outros</x:v>
      </x:c>
      <x:c r="I1716" s="168" t="str">
        <x:v>Multicarteira Outros</x:v>
      </x:c>
      <x:c r="J1716" s="168" t="str">
        <x:v>CI</x:v>
      </x:c>
      <x:c r="K1716" s="174" t="n">
        <x:v>5</x:v>
      </x:c>
      <x:c r="L1716" s="187" t="str">
        <x:v>Proxy multicedente/multissacado — revisar</x:v>
      </x:c>
    </x:row>
    <x:row r="1717">
      <x:c r="A1717" s="177" t="str">
        <x:v>53.250.913/0001-22</x:v>
      </x:c>
      <x:c r="B1717" s="168" t="str">
        <x:v>TABARE FUNDO DE INVESTIMENTO EM DIREITOS CREDITÓRIOS NÃO PADRONIZADOS DE RESPONSABILIDADE ILIMITADA</x:v>
      </x:c>
      <x:c r="C1717" s="190" t="n">
        <x:v>42609565.67</x:v>
      </x:c>
      <x:c r="D1717" s="168" t="str">
        <x:v>Redwood Asset Management</x:v>
      </x:c>
      <x:c r="E1717" s="168" t="str">
        <x:f>IFERROR(INDEX('Classif Gestoras'!$H$6:$H$462,MATCH(D1717,'Classif Gestoras'!$A$6:$A$462,0)),"Não classificada")</x:f>
        <x:v>Independente</x:v>
      </x:c>
      <x:c r="F1717" s="168" t="str">
        <x:v>PLANNER CV</x:v>
      </x:c>
      <x:c r="G1717" s="168" t="str">
        <x:v>PLANNER CORRETORA DE VALORES S.A.</x:v>
      </x:c>
      <x:c r="H1717" s="168" t="str">
        <x:v>Outros</x:v>
      </x:c>
      <x:c r="I1717" s="168" t="str">
        <x:v>Poder Público</x:v>
      </x:c>
      <x:c r="J1717" s="168" t="str">
        <x:v>CI</x:v>
      </x:c>
      <x:c r="K1717" s="174" t="n">
        <x:v>2</x:v>
      </x:c>
      <x:c r="L1717" s="187" t="str">
        <x:v>Não classificado</x:v>
      </x:c>
    </x:row>
    <x:row r="1718">
      <x:c r="A1718" s="177" t="str">
        <x:v>57.182.384/0001-28</x:v>
      </x:c>
      <x:c r="B1718" s="168" t="str">
        <x:v>FUTURA FUNDO DE INVESTIMENTO EM DIREITOS CREDITÓRIOS RESPONSABILIDADE LIMITADA</x:v>
      </x:c>
      <x:c r="C1718" s="190" t="n">
        <x:v>42563456.61</x:v>
      </x:c>
      <x:c r="D1718" s="168" t="str">
        <x:v>Eco Gestão de Ativos LTDA.</x:v>
      </x:c>
      <x:c r="E1718" s="168" t="str">
        <x:f>IFERROR(INDEX('Classif Gestoras'!$H$6:$H$462,MATCH(D1718,'Classif Gestoras'!$A$6:$A$462,0)),"Não classificada")</x:f>
        <x:v>Independente</x:v>
      </x:c>
      <x:c r="F1718" s="168" t="str">
        <x:v>BANCO DAYCOVAL S/A</x:v>
      </x:c>
      <x:c r="G1718" s="168" t="str">
        <x:v>BANCO DAYCOVAL S.A.</x:v>
      </x:c>
      <x:c r="H1718" s="168" t="str">
        <x:v>Financeiro</x:v>
      </x:c>
      <x:c r="I1718" s="168" t="str">
        <x:v>Multicarteira Financeiro</x:v>
      </x:c>
      <x:c r="J1718" s="168" t="str">
        <x:v>CI</x:v>
      </x:c>
      <x:c r="K1718" s="174" t="n">
        <x:v>2</x:v>
      </x:c>
      <x:c r="L1718" s="187" t="str">
        <x:v>Proxy multicedente/multissacado — revisar</x:v>
      </x:c>
    </x:row>
    <x:row r="1719">
      <x:c r="A1719" s="177" t="str">
        <x:v>57.223.832/0001-94</x:v>
      </x:c>
      <x:c r="B1719" s="168" t="str">
        <x:v>IRLANDA FUNDO DE INVESTIMENTO EM DIREITOS CREDITÓRIOS - RESPONSABILIDADE LIMITADA</x:v>
      </x:c>
      <x:c r="C1719" s="190" t="n">
        <x:v>42477222.370000005</x:v>
      </x:c>
      <x:c r="D1719" s="168" t="str">
        <x:v>SOSU CAPITAL GESTÃO DE INVESTIMENTOS LTDA.</x:v>
      </x:c>
      <x:c r="E1719" s="168" t="str">
        <x:f>IFERROR(INDEX('Classif Gestoras'!$H$6:$H$462,MATCH(D1719,'Classif Gestoras'!$A$6:$A$462,0)),"Não classificada")</x:f>
        <x:v>Independente</x:v>
      </x:c>
      <x:c r="F1719" s="168" t="str">
        <x:v>BRL TRUST DTVM</x:v>
      </x:c>
      <x:c r="G1719" s="168" t="str">
        <x:v>BRL TRUST DISTRIBUIDORA DE TITULOS E VALORES MOBILIARIOS S.A.</x:v>
      </x:c>
      <x:c r="H1719" s="168" t="str">
        <x:v>Outros</x:v>
      </x:c>
      <x:c r="I1719" s="168" t="str">
        <x:v>Poder Público</x:v>
      </x:c>
      <x:c r="J1719" s="168" t="str">
        <x:v>CI</x:v>
      </x:c>
      <x:c r="K1719" s="174" t="n">
        <x:v>2</x:v>
      </x:c>
      <x:c r="L1719" s="187" t="str">
        <x:v>Não classificado</x:v>
      </x:c>
    </x:row>
    <x:row r="1720">
      <x:c r="A1720" s="177" t="str">
        <x:v>58.508.715/0001-30</x:v>
      </x:c>
      <x:c r="B1720" s="168" t="str">
        <x:v>ESTALEIRO IV FUNDO DE INVESTIMENTO EM DIREITOS CREDITÓRIOS</x:v>
      </x:c>
      <x:c r="C1720" s="190" t="n">
        <x:v>42394119.25</x:v>
      </x:c>
      <x:c r="D1720" s="168" t="str">
        <x:v>EuQueroInvestir Gestão de Recursos Ltda.</x:v>
      </x:c>
      <x:c r="E1720" s="168" t="str">
        <x:f>IFERROR(INDEX('Classif Gestoras'!$H$6:$H$462,MATCH(D1720,'Classif Gestoras'!$A$6:$A$462,0)),"Não classificada")</x:f>
        <x:v>Independente</x:v>
      </x:c>
      <x:c r="F1720" s="168" t="str">
        <x:v>BTG Pactual Servicos Financeiros S/A DTVM</x:v>
      </x:c>
      <x:c r="G1720" s="168" t="str">
        <x:v>BANCO BTG PACTUAL S/A</x:v>
      </x:c>
      <x:c r="H1720" s="168" t="str">
        <x:v>Outros</x:v>
      </x:c>
      <x:c r="I1720" s="168" t="str">
        <x:v>Multicarteira Outros</x:v>
      </x:c>
      <x:c r="J1720" s="168" t="str">
        <x:v>CI</x:v>
      </x:c>
      <x:c r="K1720" s="174" t="n">
        <x:v>75</x:v>
      </x:c>
      <x:c r="L1720" s="187" t="str">
        <x:v>Proxy multicedente/multissacado — revisar</x:v>
      </x:c>
    </x:row>
    <x:row r="1721">
      <x:c r="A1721" s="177" t="str">
        <x:v>58.508.265/0001-85</x:v>
      </x:c>
      <x:c r="B1721" s="168" t="str">
        <x:v>ESTALEIRO III FUNDO DE INVESTIMENTO EM DIREITOS CREDITÓRIOS</x:v>
      </x:c>
      <x:c r="C1721" s="190" t="n">
        <x:v>42394027.900000006</x:v>
      </x:c>
      <x:c r="D1721" s="168" t="str">
        <x:v>EuQueroInvestir Gestão de Recursos Ltda.</x:v>
      </x:c>
      <x:c r="E1721" s="168" t="str">
        <x:f>IFERROR(INDEX('Classif Gestoras'!$H$6:$H$462,MATCH(D1721,'Classif Gestoras'!$A$6:$A$462,0)),"Não classificada")</x:f>
        <x:v>Independente</x:v>
      </x:c>
      <x:c r="F1721" s="168" t="str">
        <x:v>BTG Pactual Servicos Financeiros S/A DTVM</x:v>
      </x:c>
      <x:c r="G1721" s="168" t="str">
        <x:v>BANCO BTG PACTUAL S/A</x:v>
      </x:c>
      <x:c r="H1721" s="168" t="str">
        <x:v>Outros</x:v>
      </x:c>
      <x:c r="I1721" s="168" t="str">
        <x:v>Multicarteira Outros</x:v>
      </x:c>
      <x:c r="J1721" s="168" t="str">
        <x:v>CI</x:v>
      </x:c>
      <x:c r="K1721" s="174" t="n">
        <x:v>94</x:v>
      </x:c>
      <x:c r="L1721" s="187" t="str">
        <x:v>Proxy multicedente/multissacado — revisar</x:v>
      </x:c>
    </x:row>
    <x:row r="1722">
      <x:c r="A1722" s="177" t="str">
        <x:v>32.068.046/0001-39</x:v>
      </x:c>
      <x:c r="B1722" s="168" t="str">
        <x:v>FUNDO DE INVESTIMENTO EM DIREITOS CREDITORIOS BUDAPESTE 01</x:v>
      </x:c>
      <x:c r="C1722" s="190" t="n">
        <x:v>42338175.99</x:v>
      </x:c>
      <x:c r="D1722" s="168" t="str">
        <x:v>Renova Gestora</x:v>
      </x:c>
      <x:c r="E1722" s="168" t="str">
        <x:f>IFERROR(INDEX('Classif Gestoras'!$H$6:$H$462,MATCH(D1722,'Classif Gestoras'!$A$6:$A$462,0)),"Não classificada")</x:f>
        <x:v>Independente</x:v>
      </x:c>
      <x:c r="F1722" s="168" t="str">
        <x:v>MONETAR DISTRIBUIDORA DE TITUL</x:v>
      </x:c>
      <x:c r="G1722" s="168" t="str">
        <x:v>TERRA INVESTIMENTOS DISTRIBUIDORA DE TITULOS E VALORES MOBILIARIOS LTDA</x:v>
      </x:c>
      <x:c r="H1722" s="168" t="str">
        <x:v>Outros</x:v>
      </x:c>
      <x:c r="I1722" s="168" t="str">
        <x:v>Multicarteira Outros</x:v>
      </x:c>
      <x:c r="J1722" s="168" t="str">
        <x:v>CI</x:v>
      </x:c>
      <x:c r="K1722" s="174" t="n">
        <x:v>5</x:v>
      </x:c>
      <x:c r="L1722" s="187" t="str">
        <x:v>Proxy multicedente/multissacado — revisar</x:v>
      </x:c>
    </x:row>
    <x:row r="1723">
      <x:c r="A1723" s="177" t="str">
        <x:v>57.660.538/0001-40</x:v>
      </x:c>
      <x:c r="B1723" s="168" t="str">
        <x:v>HOMMA PREC FUNDO DE INVESTIMENTO EM DIREITOS CREDITÓRIOS - RESP LIMITADA</x:v>
      </x:c>
      <x:c r="C1723" s="190" t="n">
        <x:v>42335460.59</x:v>
      </x:c>
      <x:c r="D1723" s="168" t="str">
        <x:v>Monetiza Investimentos</x:v>
      </x:c>
      <x:c r="E1723" s="168" t="str">
        <x:f>IFERROR(INDEX('Classif Gestoras'!$H$6:$H$462,MATCH(D1723,'Classif Gestoras'!$A$6:$A$462,0)),"Não classificada")</x:f>
        <x:v>Independente</x:v>
      </x:c>
      <x:c r="F1723" s="168" t="str">
        <x:v>HEMERA DTVM</x:v>
      </x:c>
      <x:c r="G1723" s="168" t="str">
        <x:v>HEMERA DISTRIBUIDORA DE TITULOS E VALORES MOBILIARIOS LTDA</x:v>
      </x:c>
      <x:c r="H1723" s="168" t="str">
        <x:v>Fomento Mercantil</x:v>
      </x:c>
      <x:c r="I1723" s="168" t="str">
        <x:v>Fomento Mercantil</x:v>
      </x:c>
      <x:c r="J1723" s="168" t="str">
        <x:v>CI</x:v>
      </x:c>
      <x:c r="K1723" s="174" t="n">
        <x:v>5</x:v>
      </x:c>
      <x:c r="L1723" s="187" t="str">
        <x:v>Não classificado</x:v>
      </x:c>
    </x:row>
    <x:row r="1724">
      <x:c r="A1724" s="177" t="str">
        <x:v>26.199.650/0001-00</x:v>
      </x:c>
      <x:c r="B1724" s="168" t="str">
        <x:v>MERCANTIL DE CRÉDITO FUNDO DE INVESTIMENTO EM DIREITOS CREDITÓRIOS MULTI OPEN I</x:v>
      </x:c>
      <x:c r="C1724" s="190" t="n">
        <x:v>42255542.21</x:v>
      </x:c>
      <x:c r="D1724" s="168" t="str">
        <x:v>TERCON ASSET MANAGEMENT</x:v>
      </x:c>
      <x:c r="E1724" s="168" t="str">
        <x:f>IFERROR(INDEX('Classif Gestoras'!$H$6:$H$462,MATCH(D1724,'Classif Gestoras'!$A$6:$A$462,0)),"Não classificada")</x:f>
        <x:v>Independente</x:v>
      </x:c>
      <x:c r="F1724" s="168" t="str">
        <x:v>Não Informado</x:v>
      </x:c>
      <x:c r="G1724" s="168" t="str">
        <x:v>LIMINE TRUST DISTRIBUIDORA DE TITULOS E VALORES MOBILIARIOS LTDA.</x:v>
      </x:c>
      <x:c r="H1724" s="168" t="str">
        <x:v>Fomento Mercantil</x:v>
      </x:c>
      <x:c r="I1724" s="168" t="str">
        <x:v>Fomento Mercantil</x:v>
      </x:c>
      <x:c r="J1724" s="168" t="str">
        <x:v>CI</x:v>
      </x:c>
      <x:c r="K1724" s="174" t="n">
        <x:v>4</x:v>
      </x:c>
      <x:c r="L1724" s="187" t="str">
        <x:v>Não classificado</x:v>
      </x:c>
    </x:row>
    <x:row r="1725">
      <x:c r="A1725" s="177" t="str">
        <x:v>62.771.666/0001-09</x:v>
      </x:c>
      <x:c r="B1725" s="168" t="str">
        <x:v>APOENA PRECATÓRIOS - FUNDO DE INVESTIMENTO EM DIREITOS CREDITÓRIOS</x:v>
      </x:c>
      <x:c r="C1725" s="190" t="n">
        <x:v>42188634.75</x:v>
      </x:c>
      <x:c r="D1725" s="168" t="str">
        <x:v>Apuama Capital</x:v>
      </x:c>
      <x:c r="E1725" s="168" t="str">
        <x:f>IFERROR(INDEX('Classif Gestoras'!$H$6:$H$462,MATCH(D1725,'Classif Gestoras'!$A$6:$A$462,0)),"Não classificada")</x:f>
        <x:v>Independente</x:v>
      </x:c>
      <x:c r="F1725" s="168" t="str">
        <x:v>PLANNER CV</x:v>
      </x:c>
      <x:c r="G1725" s="168" t="str">
        <x:v>PLANNER CORRETORA DE VALORES S.A.</x:v>
      </x:c>
      <x:c r="H1725" s="168" t="str">
        <x:v>Outros</x:v>
      </x:c>
      <x:c r="I1725" s="168" t="str">
        <x:v>Poder Público</x:v>
      </x:c>
      <x:c r="J1725" s="168" t="str">
        <x:v>CI</x:v>
      </x:c>
      <x:c r="K1725" s="174" t="n">
        <x:v>20</x:v>
      </x:c>
      <x:c r="L1725" s="187" t="str">
        <x:v>Não classificado</x:v>
      </x:c>
    </x:row>
    <x:row r="1726">
      <x:c r="A1726" s="177" t="str">
        <x:v>57.391.433/0001-32</x:v>
      </x:c>
      <x:c r="B1726" s="168" t="str">
        <x:v>MLC ISE FUNDO DE INVESTIMENTO EM DIREITOS CREDITÓRIOS - RESPONSABILIDADE LIMITADA</x:v>
      </x:c>
      <x:c r="C1726" s="190" t="n">
        <x:v>42088677.57</x:v>
      </x:c>
      <x:c r="D1726" s="168" t="str">
        <x:v>Möbius Capital</x:v>
      </x:c>
      <x:c r="E1726" s="168" t="str">
        <x:f>IFERROR(INDEX('Classif Gestoras'!$H$6:$H$462,MATCH(D1726,'Classif Gestoras'!$A$6:$A$462,0)),"Não classificada")</x:f>
        <x:v>Independente</x:v>
      </x:c>
      <x:c r="F1726" s="168" t="str">
        <x:v>BANCO DAYCOVAL S/A</x:v>
      </x:c>
      <x:c r="G1726" s="168" t="str">
        <x:v>BANCO DAYCOVAL S.A.</x:v>
      </x:c>
      <x:c r="H1726" s="168" t="str">
        <x:v>Outros</x:v>
      </x:c>
      <x:c r="I1726" s="168" t="str">
        <x:v>Poder Público</x:v>
      </x:c>
      <x:c r="J1726" s="168" t="str">
        <x:v>CI</x:v>
      </x:c>
      <x:c r="K1726" s="174" t="n">
        <x:v>3</x:v>
      </x:c>
      <x:c r="L1726" s="187" t="str">
        <x:v>Não classificado</x:v>
      </x:c>
    </x:row>
    <x:row r="1727">
      <x:c r="A1727" s="177" t="str">
        <x:v>28.065.338/0001-40</x:v>
      </x:c>
      <x:c r="B1727" s="168" t="str">
        <x:v>CNPJ 28065338000140</x:v>
      </x:c>
      <x:c r="C1727" s="190" t="n">
        <x:v>42087961.38</x:v>
      </x:c>
      <x:c r="D1727" s="168" t="str">
        <x:v>Redwood Asset Management</x:v>
      </x:c>
      <x:c r="E1727" s="168" t="str">
        <x:f>IFERROR(INDEX('Classif Gestoras'!$H$6:$H$462,MATCH(D1727,'Classif Gestoras'!$A$6:$A$462,0)),"Não classificada")</x:f>
        <x:v>Independente</x:v>
      </x:c>
      <x:c r="F1727" s="168" t="str">
        <x:v>PLANNER CV</x:v>
      </x:c>
      <x:c r="G1727" s="168" t="str">
        <x:v>Não identificado</x:v>
      </x:c>
      <x:c r="H1727" s="168" t="str">
        <x:v>Outros</x:v>
      </x:c>
      <x:c r="I1727" s="168" t="str">
        <x:v>Multicarteira Outros</x:v>
      </x:c>
      <x:c r="J1727" s="168" t="str">
        <x:v>CI</x:v>
      </x:c>
      <x:c r="K1727" s="174"/>
      <x:c r="L1727" s="187" t="str">
        <x:v>Proxy multicedente/multissacado — revisar</x:v>
      </x:c>
    </x:row>
    <x:row r="1728">
      <x:c r="A1728" s="177" t="str">
        <x:v>52.997.572/0001-90</x:v>
      </x:c>
      <x:c r="B1728" s="168" t="str">
        <x:v>ORIZ JUS I FUNDO DE INVESTIMENTO EM DIREITOS CREDITÓRIOS</x:v>
      </x:c>
      <x:c r="C1728" s="190" t="n">
        <x:v>42066278.61</x:v>
      </x:c>
      <x:c r="D1728" s="168" t="str">
        <x:v>ORIZ ASSET MANAGEMENT LTDA.</x:v>
      </x:c>
      <x:c r="E1728" s="168" t="str">
        <x:f>IFERROR(INDEX('Classif Gestoras'!$H$6:$H$462,MATCH(D1728,'Classif Gestoras'!$A$6:$A$462,0)),"Não classificada")</x:f>
        <x:v>Independente</x:v>
      </x:c>
      <x:c r="F1728" s="168" t="str">
        <x:v>BANCO DAYCOVAL S/A</x:v>
      </x:c>
      <x:c r="G1728" s="168" t="str">
        <x:v>BANCO DAYCOVAL S.A.</x:v>
      </x:c>
      <x:c r="H1728" s="168" t="str">
        <x:v>Outros</x:v>
      </x:c>
      <x:c r="I1728" s="168" t="str">
        <x:v>Multicarteira Outros</x:v>
      </x:c>
      <x:c r="J1728" s="168" t="str">
        <x:v>CI</x:v>
      </x:c>
      <x:c r="K1728" s="174" t="n">
        <x:v>23</x:v>
      </x:c>
      <x:c r="L1728" s="187" t="str">
        <x:v>Proxy multicedente/multissacado — revisar</x:v>
      </x:c>
    </x:row>
    <x:row r="1729">
      <x:c r="A1729" s="177" t="str">
        <x:v>60.788.422/0001-03</x:v>
      </x:c>
      <x:c r="B1729" s="168" t="str">
        <x:v>USIQUÍMICA DO BRASIL FUNDO DE INVESTIMENTOS EM DIREITOS CREDITÓRIOS DE RESPONSABILIDADE LIMITADA</x:v>
      </x:c>
      <x:c r="C1729" s="190" t="n">
        <x:v>42050859.20999999</x:v>
      </x:c>
      <x:c r="D1729" s="168" t="str">
        <x:v>Plural Investimentos Gestão de Recursos Ltda.</x:v>
      </x:c>
      <x:c r="E1729" s="168" t="str">
        <x:f>IFERROR(INDEX('Classif Gestoras'!$H$6:$H$462,MATCH(D1729,'Classif Gestoras'!$A$6:$A$462,0)),"Não classificada")</x:f>
        <x:v>Ligada a banco</x:v>
      </x:c>
      <x:c r="F1729" s="168" t="str">
        <x:v>Genial Investimentos Corretora de Valores Mobiliários S.A.</x:v>
      </x:c>
      <x:c r="G1729" s="168" t="str">
        <x:v>BANCO GENIAL S.A.</x:v>
      </x:c>
      <x:c r="H1729" s="168" t="str">
        <x:v>Outros</x:v>
      </x:c>
      <x:c r="I1729" s="168" t="str">
        <x:v>Multicarteira Outros</x:v>
      </x:c>
      <x:c r="J1729" s="168" t="str">
        <x:v>CI</x:v>
      </x:c>
      <x:c r="K1729" s="174" t="n">
        <x:v>2</x:v>
      </x:c>
      <x:c r="L1729" s="187" t="str">
        <x:v>Proxy multicedente/multissacado — revisar</x:v>
      </x:c>
    </x:row>
    <x:row r="1730">
      <x:c r="A1730" s="177" t="str">
        <x:v>45.931.917/0001-48</x:v>
      </x:c>
      <x:c r="B1730" s="168" t="str">
        <x:v>ARGENTA FUNDO DE INVESTIMENTO EM DIREITOS CREDITÓRIOS MERCANTIS DE RESPONSABILIDADE LIMITADA</x:v>
      </x:c>
      <x:c r="C1730" s="190" t="n">
        <x:v>41944701.34</x:v>
      </x:c>
      <x:c r="D1730" s="168" t="str">
        <x:v>Integral Investimentos</x:v>
      </x:c>
      <x:c r="E1730" s="168" t="str">
        <x:f>IFERROR(INDEX('Classif Gestoras'!$H$6:$H$462,MATCH(D1730,'Classif Gestoras'!$A$6:$A$462,0)),"Não classificada")</x:f>
        <x:v>Independente</x:v>
      </x:c>
      <x:c r="F1730" s="168" t="str">
        <x:v>Genial Investimentos Corretora de Valores Mobiliários S.A.</x:v>
      </x:c>
      <x:c r="G1730" s="168" t="str">
        <x:v>BANCO GENIAL S.A.</x:v>
      </x:c>
      <x:c r="H1730" s="168" t="str">
        <x:v>Agro, Indústria e Comércio</x:v>
      </x:c>
      <x:c r="I1730" s="168" t="str">
        <x:v>Recebíveis Comerciais</x:v>
      </x:c>
      <x:c r="J1730" s="168" t="str">
        <x:v>CI</x:v>
      </x:c>
      <x:c r="K1730" s="174" t="n">
        <x:v>3</x:v>
      </x:c>
      <x:c r="L1730" s="187" t="str">
        <x:v>Não classificado</x:v>
      </x:c>
    </x:row>
    <x:row r="1731">
      <x:c r="A1731" s="177" t="str">
        <x:v>50.149.859/0001-35</x:v>
      </x:c>
      <x:c r="B1731" s="168" t="str">
        <x:v>FUNDO DE INVESTIMENTO EM DIREITOS CREDITÓRIOS ECO</x:v>
      </x:c>
      <x:c r="C1731" s="190" t="n">
        <x:v>41801677.47</x:v>
      </x:c>
      <x:c r="D1731" s="168" t="str">
        <x:v>BTG Pactual Asset</x:v>
      </x:c>
      <x:c r="E1731" s="168" t="str">
        <x:f>IFERROR(INDEX('Classif Gestoras'!$H$6:$H$462,MATCH(D1731,'Classif Gestoras'!$A$6:$A$462,0)),"Não classificada")</x:f>
        <x:v>Ligada a banco</x:v>
      </x:c>
      <x:c r="F1731" s="168" t="str">
        <x:v>BTG Pactual Servicos Financeiros S/A DTVM</x:v>
      </x:c>
      <x:c r="G1731" s="168" t="str">
        <x:v>BANCO BTG PACTUAL S/A</x:v>
      </x:c>
      <x:c r="H1731" s="168" t="str">
        <x:v>Outros</x:v>
      </x:c>
      <x:c r="I1731" s="168" t="str">
        <x:v>Multicarteira Outros</x:v>
      </x:c>
      <x:c r="J1731" s="168" t="str">
        <x:v>CI</x:v>
      </x:c>
      <x:c r="K1731" s="174" t="n">
        <x:v>1</x:v>
      </x:c>
      <x:c r="L1731" s="187" t="str">
        <x:v>Proxy multicedente/multissacado — revisar</x:v>
      </x:c>
    </x:row>
    <x:row r="1732">
      <x:c r="A1732" s="177" t="str">
        <x:v>40.802.124/0001-05</x:v>
      </x:c>
      <x:c r="B1732" s="168" t="str">
        <x:v>GUARDIAN FUNDO DE INVESTIMENTO EM DIREITOS CREDITÓRIOSRESPONSABILIDADE LIMITADA</x:v>
      </x:c>
      <x:c r="C1732" s="190" t="n">
        <x:v>41709024.03</x:v>
      </x:c>
      <x:c r="D1732" s="168" t="str">
        <x:v>KP GESTÃO DE RECURSOS LTDA.</x:v>
      </x:c>
      <x:c r="E1732" s="168" t="str">
        <x:f>IFERROR(INDEX('Classif Gestoras'!$H$6:$H$462,MATCH(D1732,'Classif Gestoras'!$A$6:$A$462,0)),"Não classificada")</x:f>
        <x:v>Independente</x:v>
      </x:c>
      <x:c r="F1732" s="168" t="str">
        <x:v>Singulare</x:v>
      </x:c>
      <x:c r="G1732" s="168" t="str">
        <x:v>QI CORRETORA DE TÍTULOS E VALORES MOBILIÁRIOS S.A.</x:v>
      </x:c>
      <x:c r="H1732" s="168" t="str">
        <x:v>Fomento Mercantil</x:v>
      </x:c>
      <x:c r="I1732" s="168" t="str">
        <x:v>Fomento Mercantil</x:v>
      </x:c>
      <x:c r="J1732" s="168" t="str">
        <x:v>CI</x:v>
      </x:c>
      <x:c r="K1732" s="174" t="n">
        <x:v>14</x:v>
      </x:c>
      <x:c r="L1732" s="187" t="str">
        <x:v>Não classificado</x:v>
      </x:c>
    </x:row>
    <x:row r="1733">
      <x:c r="A1733" s="177" t="str">
        <x:v>50.200.709/0001-09</x:v>
      </x:c>
      <x:c r="B1733" s="168" t="str">
        <x:v>MOOVPAY FUNDO DE INVESTIMENTO EM DIREITOS CREDITÓRIOS DE CLASSE ÚNICA ABERTA</x:v>
      </x:c>
      <x:c r="C1733" s="190" t="n">
        <x:v>41656361.66000001</x:v>
      </x:c>
      <x:c r="D1733" s="168" t="str">
        <x:v>CARMEL GESTORA DE ATIVOS LTDA</x:v>
      </x:c>
      <x:c r="E1733" s="168" t="str">
        <x:f>IFERROR(INDEX('Classif Gestoras'!$H$6:$H$462,MATCH(D1733,'Classif Gestoras'!$A$6:$A$462,0)),"Não classificada")</x:f>
        <x:v>Independente</x:v>
      </x:c>
      <x:c r="F1733" s="168" t="str">
        <x:v>BRL TRUST DTVM</x:v>
      </x:c>
      <x:c r="G1733" s="168" t="str">
        <x:v>BRL TRUST DISTRIBUIDORA DE TITULOS E VALORES MOBILIARIOS S.A.</x:v>
      </x:c>
      <x:c r="H1733" s="168" t="str">
        <x:v>Outros</x:v>
      </x:c>
      <x:c r="I1733" s="168" t="str">
        <x:v>Multicarteira Outros</x:v>
      </x:c>
      <x:c r="J1733" s="168" t="str">
        <x:v>CI</x:v>
      </x:c>
      <x:c r="K1733" s="174" t="n">
        <x:v>14</x:v>
      </x:c>
      <x:c r="L1733" s="187" t="str">
        <x:v>Proxy multicedente/multissacado — revisar</x:v>
      </x:c>
    </x:row>
    <x:row r="1734">
      <x:c r="A1734" s="177" t="str">
        <x:v>62.541.630/0001-20</x:v>
      </x:c>
      <x:c r="B1734" s="168" t="str">
        <x:v>ST 1023 FUNDO DE INVESTIMENTO EM DIREITOS CREDITÓRIOS RESPONSABILIDADE LIMITADA</x:v>
      </x:c>
      <x:c r="C1734" s="190" t="n">
        <x:v>41579957.599999994</x:v>
      </x:c>
      <x:c r="D1734" s="168" t="str">
        <x:v>Strata Capital</x:v>
      </x:c>
      <x:c r="E1734" s="168" t="str">
        <x:f>IFERROR(INDEX('Classif Gestoras'!$H$6:$H$462,MATCH(D1734,'Classif Gestoras'!$A$6:$A$462,0)),"Não classificada")</x:f>
        <x:v>Independente</x:v>
      </x:c>
      <x:c r="F1734" s="168" t="str">
        <x:v>BANCO DAYCOVAL S/A</x:v>
      </x:c>
      <x:c r="G1734" s="168" t="str">
        <x:v>BANCO DAYCOVAL S.A.</x:v>
      </x:c>
      <x:c r="H1734" s="168" t="str">
        <x:v>Outros</x:v>
      </x:c>
      <x:c r="I1734" s="168" t="str">
        <x:v>Multicarteira Outros</x:v>
      </x:c>
      <x:c r="J1734" s="168" t="str">
        <x:v>CI</x:v>
      </x:c>
      <x:c r="K1734" s="174" t="n">
        <x:v>3</x:v>
      </x:c>
      <x:c r="L1734" s="187" t="str">
        <x:v>Proxy multicedente/multissacado — revisar</x:v>
      </x:c>
    </x:row>
    <x:row r="1735">
      <x:c r="A1735" s="177" t="str">
        <x:v>49.743.173/0001-99</x:v>
      </x:c>
      <x:c r="B1735" s="168" t="str">
        <x:v>AEG 4 FUNDO DE INVESTIMENTO EM DIREITOS CREDITÓRIOS DE RESPONSABILIDADE LIMITADA</x:v>
      </x:c>
      <x:c r="C1735" s="190" t="n">
        <x:v>41481952.56</x:v>
      </x:c>
      <x:c r="D1735" s="168" t="str">
        <x:v>Algarve Capital</x:v>
      </x:c>
      <x:c r="E1735" s="168" t="str">
        <x:f>IFERROR(INDEX('Classif Gestoras'!$H$6:$H$462,MATCH(D1735,'Classif Gestoras'!$A$6:$A$462,0)),"Não classificada")</x:f>
        <x:v>Independente</x:v>
      </x:c>
      <x:c r="F1735" s="168" t="str">
        <x:v>BANCO DAYCOVAL S/A</x:v>
      </x:c>
      <x:c r="G1735" s="168" t="str">
        <x:v>BANCO DAYCOVAL S.A.</x:v>
      </x:c>
      <x:c r="H1735" s="168" t="str">
        <x:v>Outros</x:v>
      </x:c>
      <x:c r="I1735" s="168" t="str">
        <x:v>Multicarteira Outros</x:v>
      </x:c>
      <x:c r="J1735" s="168" t="str">
        <x:v>CI</x:v>
      </x:c>
      <x:c r="K1735" s="174" t="n">
        <x:v>3</x:v>
      </x:c>
      <x:c r="L1735" s="187" t="str">
        <x:v>Proxy multicedente/multissacado — revisar</x:v>
      </x:c>
    </x:row>
    <x:row r="1736">
      <x:c r="A1736" s="177" t="str">
        <x:v>49.938.183/0001-80</x:v>
      </x:c>
      <x:c r="B1736" s="168" t="str">
        <x:v>CRUCE II FUNDO DE INVESTIMENTO EM DIREITOS CREDITÓRIOS NÃO PADRONIZADOS</x:v>
      </x:c>
      <x:c r="C1736" s="190" t="n">
        <x:v>41399369.69</x:v>
      </x:c>
      <x:c r="D1736" s="168" t="str">
        <x:v>BURITI INVESTIMENTOS</x:v>
      </x:c>
      <x:c r="E1736" s="168" t="str">
        <x:f>IFERROR(INDEX('Classif Gestoras'!$H$6:$H$462,MATCH(D1736,'Classif Gestoras'!$A$6:$A$462,0)),"Não classificada")</x:f>
        <x:v>Independente</x:v>
      </x:c>
      <x:c r="F1736" s="168" t="str">
        <x:v>Singulare</x:v>
      </x:c>
      <x:c r="G1736" s="168" t="str">
        <x:v>QI CORRETORA DE TÍTULOS E VALORES MOBILIÁRIOS S.A.</x:v>
      </x:c>
      <x:c r="H1736" s="168" t="str">
        <x:v>Outros</x:v>
      </x:c>
      <x:c r="I1736" s="168" t="str">
        <x:v>Multicarteira Outros</x:v>
      </x:c>
      <x:c r="J1736" s="168" t="str">
        <x:v>CI</x:v>
      </x:c>
      <x:c r="K1736" s="174" t="n">
        <x:v>2</x:v>
      </x:c>
      <x:c r="L1736" s="187" t="str">
        <x:v>Proxy multicedente/multissacado — revisar</x:v>
      </x:c>
    </x:row>
    <x:row r="1737">
      <x:c r="A1737" s="177" t="str">
        <x:v>51.869.653/0001-42</x:v>
      </x:c>
      <x:c r="B1737" s="168" t="str">
        <x:v>POTENCIAL FUNDO DE INVESTIMENTO EM DIREITOS CREDITÓRIOS</x:v>
      </x:c>
      <x:c r="C1737" s="190" t="n">
        <x:v>41341213.07000001</x:v>
      </x:c>
      <x:c r="D1737" s="168" t="str">
        <x:v>ASSET MANAGEMENT</x:v>
      </x:c>
      <x:c r="E1737" s="168" t="str">
        <x:f>IFERROR(INDEX('Classif Gestoras'!$H$6:$H$462,MATCH(D1737,'Classif Gestoras'!$A$6:$A$462,0)),"Não classificada")</x:f>
        <x:v>Independente</x:v>
      </x:c>
      <x:c r="F1737" s="168" t="str">
        <x:v>AZUMI DISTRIBUIDORA DE TÍTULOS E VALORES MOBILIÁRIOS LT</x:v>
      </x:c>
      <x:c r="G1737" s="168" t="str">
        <x:v>AZUMI DISTRIBUIDORA DE TÍTULOS E VALORES MOBILIÁRIOS LTDA.</x:v>
      </x:c>
      <x:c r="H1737" s="168" t="str">
        <x:v>Outros</x:v>
      </x:c>
      <x:c r="I1737" s="168" t="str">
        <x:v>Multicarteira Outros</x:v>
      </x:c>
      <x:c r="J1737" s="168" t="str">
        <x:v>CI</x:v>
      </x:c>
      <x:c r="K1737" s="174" t="n">
        <x:v>161</x:v>
      </x:c>
      <x:c r="L1737" s="187" t="str">
        <x:v>Proxy multicedente/multissacado — revisar</x:v>
      </x:c>
    </x:row>
    <x:row r="1738">
      <x:c r="A1738" s="177" t="str">
        <x:v>53.560.257/0001-64</x:v>
      </x:c>
      <x:c r="B1738" s="168" t="str">
        <x:v>FUNDO DE INVESTIMENTO EM DIREITOS CREDITÓRIOS FINANCIAMENTO DE VEÍCULOS PESADOS - RESPONSABILIDADE L</x:v>
      </x:c>
      <x:c r="C1738" s="190" t="n">
        <x:v>41319115.84</x:v>
      </x:c>
      <x:c r="D1738" s="168" t="str">
        <x:v>Patrimonial Gestão</x:v>
      </x:c>
      <x:c r="E1738" s="168" t="str">
        <x:f>IFERROR(INDEX('Classif Gestoras'!$H$6:$H$462,MATCH(D1738,'Classif Gestoras'!$A$6:$A$462,0)),"Não classificada")</x:f>
        <x:v>Independente</x:v>
      </x:c>
      <x:c r="F1738" s="168" t="str">
        <x:v>Singulare</x:v>
      </x:c>
      <x:c r="G1738" s="168" t="str">
        <x:v>QI CORRETORA DE TÍTULOS E VALORES MOBILIÁRIOS S.A.</x:v>
      </x:c>
      <x:c r="H1738" s="168" t="str">
        <x:v>Financeiro</x:v>
      </x:c>
      <x:c r="I1738" s="168" t="str">
        <x:v>Financiamento de Veículos</x:v>
      </x:c>
      <x:c r="J1738" s="168" t="str">
        <x:v>CI</x:v>
      </x:c>
      <x:c r="K1738" s="174" t="n">
        <x:v>11</x:v>
      </x:c>
      <x:c r="L1738" s="187" t="str">
        <x:v>Não classificado</x:v>
      </x:c>
    </x:row>
    <x:row r="1739">
      <x:c r="A1739" s="177" t="str">
        <x:v>56.659.005/0001-85</x:v>
      </x:c>
      <x:c r="B1739" s="168" t="str">
        <x:v>CHIMERA ALTERNATIVE ASSETS X FUNDO DE INVESTIMENTO EM DIREITOS CREDITÓRIOS DE RESP. LIMITADA</x:v>
      </x:c>
      <x:c r="C1739" s="190" t="n">
        <x:v>41280472.28000001</x:v>
      </x:c>
      <x:c r="D1739" s="168" t="str">
        <x:v>Chimera Capital Asset Management Ltda.</x:v>
      </x:c>
      <x:c r="E1739" s="168" t="str">
        <x:f>IFERROR(INDEX('Classif Gestoras'!$H$6:$H$462,MATCH(D1739,'Classif Gestoras'!$A$6:$A$462,0)),"Não classificada")</x:f>
        <x:v>Independente</x:v>
      </x:c>
      <x:c r="F1739" s="168" t="str">
        <x:v>MONETAR DISTRIBUIDORA DE TITUL</x:v>
      </x:c>
      <x:c r="G1739" s="168" t="str">
        <x:v>TERRA INVESTIMENTOS DISTRIBUIDORA DE TITULOS E VALORES MOBILIARIOS LTDA</x:v>
      </x:c>
      <x:c r="H1739" s="168" t="str">
        <x:v>Outros</x:v>
      </x:c>
      <x:c r="I1739" s="168" t="str">
        <x:v>Multicarteira Outros</x:v>
      </x:c>
      <x:c r="J1739" s="168" t="str">
        <x:v>CI</x:v>
      </x:c>
      <x:c r="K1739" s="174" t="n">
        <x:v>11</x:v>
      </x:c>
      <x:c r="L1739" s="187" t="str">
        <x:v>Proxy multicedente/multissacado — revisar</x:v>
      </x:c>
    </x:row>
    <x:row r="1740">
      <x:c r="A1740" s="177" t="str">
        <x:v>54.565.154/0001-50</x:v>
      </x:c>
      <x:c r="B1740" s="168" t="str">
        <x:v>VANGUARDA FUNDO DE INVESTIMENTO EM DIREITOS CREDITÓRIOS</x:v>
      </x:c>
      <x:c r="C1740" s="190" t="n">
        <x:v>41229550.75</x:v>
      </x:c>
      <x:c r="D1740" s="168" t="str">
        <x:v>WNT Gestora de Recursos Ltda.</x:v>
      </x:c>
      <x:c r="E1740" s="168" t="str">
        <x:f>IFERROR(INDEX('Classif Gestoras'!$H$6:$H$462,MATCH(D1740,'Classif Gestoras'!$A$6:$A$462,0)),"Não classificada")</x:f>
        <x:v>Independente</x:v>
      </x:c>
      <x:c r="F1740" s="168" t="str">
        <x:v>WNT DTVM</x:v>
      </x:c>
      <x:c r="G1740" s="168" t="str">
        <x:v>WNT CAPITAL DISTRIBUIDORA DE TITULOS E VALORES MOBILIARIOS S.A.</x:v>
      </x:c>
      <x:c r="H1740" s="168" t="str">
        <x:v>Outros</x:v>
      </x:c>
      <x:c r="I1740" s="168" t="str">
        <x:v>Multicarteira Outros</x:v>
      </x:c>
      <x:c r="J1740" s="168" t="str">
        <x:v>CI</x:v>
      </x:c>
      <x:c r="K1740" s="174" t="n">
        <x:v>1</x:v>
      </x:c>
      <x:c r="L1740" s="187" t="str">
        <x:v>Proxy multicedente/multissacado — revisar</x:v>
      </x:c>
    </x:row>
    <x:row r="1741">
      <x:c r="A1741" s="177" t="str">
        <x:v>60.043.514/0001-56</x:v>
      </x:c>
      <x:c r="B1741" s="168" t="str">
        <x:v>ANZEN FUNDO DE INVESTIMENTO EM DIREITOS CREDITÓRIOS</x:v>
      </x:c>
      <x:c r="C1741" s="190" t="n">
        <x:v>41160103.27</x:v>
      </x:c>
      <x:c r="D1741" s="168" t="str">
        <x:v>ASSET MANAGEMENT</x:v>
      </x:c>
      <x:c r="E1741" s="168" t="str">
        <x:f>IFERROR(INDEX('Classif Gestoras'!$H$6:$H$462,MATCH(D1741,'Classif Gestoras'!$A$6:$A$462,0)),"Não classificada")</x:f>
        <x:v>Independente</x:v>
      </x:c>
      <x:c r="F1741" s="168" t="str">
        <x:v>AZUMI DISTRIBUIDORA DE TÍTULOS E VALORES MOBILIÁRIOS LT</x:v>
      </x:c>
      <x:c r="G1741" s="168" t="str">
        <x:v>AZUMI DISTRIBUIDORA DE TÍTULOS E VALORES MOBILIÁRIOS LTDA.</x:v>
      </x:c>
      <x:c r="H1741" s="168" t="str">
        <x:v>Financeiro</x:v>
      </x:c>
      <x:c r="I1741" s="168" t="str">
        <x:v>Multicarteira Financeiro</x:v>
      </x:c>
      <x:c r="J1741" s="168" t="str">
        <x:v>CI</x:v>
      </x:c>
      <x:c r="K1741" s="174" t="n">
        <x:v>1</x:v>
      </x:c>
      <x:c r="L1741" s="187" t="str">
        <x:v>Proxy multicedente/multissacado — revisar</x:v>
      </x:c>
    </x:row>
    <x:row r="1742">
      <x:c r="A1742" s="177" t="str">
        <x:v>57.363.296/0001-22</x:v>
      </x:c>
      <x:c r="B1742" s="168" t="str">
        <x:v>LIWE FUNDO DE INVESTIMENTO EM DIREITOS CREDITÓRIOS MULTISEGMENTO RESPONSABILIDADE LIMITADA</x:v>
      </x:c>
      <x:c r="C1742" s="190" t="n">
        <x:v>41153366.58</x:v>
      </x:c>
      <x:c r="D1742" s="168" t="str">
        <x:v>Petra Capital</x:v>
      </x:c>
      <x:c r="E1742" s="168" t="str">
        <x:f>IFERROR(INDEX('Classif Gestoras'!$H$6:$H$462,MATCH(D1742,'Classif Gestoras'!$A$6:$A$462,0)),"Não classificada")</x:f>
        <x:v>Independente</x:v>
      </x:c>
      <x:c r="F1742" s="168" t="str">
        <x:v>Finaxis Corretora de Títulos e Valores Mobiliários S.A.</x:v>
      </x:c>
      <x:c r="G1742" s="168" t="str">
        <x:v>BANCO FINAXIS S.A.</x:v>
      </x:c>
      <x:c r="H1742" s="168" t="str">
        <x:v>Outros</x:v>
      </x:c>
      <x:c r="I1742" s="168" t="str">
        <x:v>Multicarteira Outros</x:v>
      </x:c>
      <x:c r="J1742" s="168" t="str">
        <x:v>CI</x:v>
      </x:c>
      <x:c r="K1742" s="174" t="n">
        <x:v>3</x:v>
      </x:c>
      <x:c r="L1742" s="187" t="str">
        <x:v>Proxy multicedente/multissacado — revisar</x:v>
      </x:c>
    </x:row>
    <x:row r="1743">
      <x:c r="A1743" s="177" t="str">
        <x:v>60.095.481/0001-98</x:v>
      </x:c>
      <x:c r="B1743" s="168" t="str">
        <x:v>ST 1020 FUNDO DE INVESTIMENTO EM DIREITOS CREDITÓRIOS RESPONSABILIDADE LIMITADA</x:v>
      </x:c>
      <x:c r="C1743" s="190" t="n">
        <x:v>41021050.68</x:v>
      </x:c>
      <x:c r="D1743" s="168" t="str">
        <x:v>Strata Capital</x:v>
      </x:c>
      <x:c r="E1743" s="168" t="str">
        <x:f>IFERROR(INDEX('Classif Gestoras'!$H$6:$H$462,MATCH(D1743,'Classif Gestoras'!$A$6:$A$462,0)),"Não classificada")</x:f>
        <x:v>Independente</x:v>
      </x:c>
      <x:c r="F1743" s="168" t="str">
        <x:v>BANCO DAYCOVAL S/A</x:v>
      </x:c>
      <x:c r="G1743" s="168" t="str">
        <x:v>BANCO DAYCOVAL S.A.</x:v>
      </x:c>
      <x:c r="H1743" s="168" t="str">
        <x:v>Outros</x:v>
      </x:c>
      <x:c r="I1743" s="168" t="str">
        <x:v>Multicarteira Outros</x:v>
      </x:c>
      <x:c r="J1743" s="168" t="str">
        <x:v>CI</x:v>
      </x:c>
      <x:c r="K1743" s="174" t="n">
        <x:v>4</x:v>
      </x:c>
      <x:c r="L1743" s="187" t="str">
        <x:v>Proxy multicedente/multissacado — revisar</x:v>
      </x:c>
    </x:row>
    <x:row r="1744">
      <x:c r="A1744" s="177" t="str">
        <x:v>10.545.253/0001-02</x:v>
      </x:c>
      <x:c r="B1744" s="168" t="str">
        <x:v>VISÃO MULTIMERCADO FUNDO DE INVESTIMENTO EM DIREITOS CREDITÓRIOS</x:v>
      </x:c>
      <x:c r="C1744" s="190" t="n">
        <x:v>41021048.61999999</x:v>
      </x:c>
      <x:c r="D1744" s="168" t="str">
        <x:v>TERCON ASSET MANAGEMENT</x:v>
      </x:c>
      <x:c r="E1744" s="168" t="str">
        <x:f>IFERROR(INDEX('Classif Gestoras'!$H$6:$H$462,MATCH(D1744,'Classif Gestoras'!$A$6:$A$462,0)),"Não classificada")</x:f>
        <x:v>Independente</x:v>
      </x:c>
      <x:c r="F1744" s="168" t="str">
        <x:v>Singulare</x:v>
      </x:c>
      <x:c r="G1744" s="168" t="str">
        <x:v>QI CORRETORA DE TÍTULOS E VALORES MOBILIÁRIOS S.A.</x:v>
      </x:c>
      <x:c r="H1744" s="168" t="str">
        <x:v>Fomento Mercantil</x:v>
      </x:c>
      <x:c r="I1744" s="168" t="str">
        <x:v>Fomento Mercantil</x:v>
      </x:c>
      <x:c r="J1744" s="168" t="str">
        <x:v>CI</x:v>
      </x:c>
      <x:c r="K1744" s="174" t="n">
        <x:v>10</x:v>
      </x:c>
      <x:c r="L1744" s="187" t="str">
        <x:v>Não classificado</x:v>
      </x:c>
    </x:row>
    <x:row r="1745">
      <x:c r="A1745" s="177" t="str">
        <x:v>50.774.127/0001-36</x:v>
      </x:c>
      <x:c r="B1745" s="168" t="str">
        <x:v>BOCAINA ORIZ FUNDO DE INVESTIMENTO EM DIREITOS CREDITÓRIOS DE RESPONSABILIDADE LIMITADA</x:v>
      </x:c>
      <x:c r="C1745" s="190" t="n">
        <x:v>40882353.82</x:v>
      </x:c>
      <x:c r="D1745" s="168" t="str">
        <x:v>Bocaina Capital</x:v>
      </x:c>
      <x:c r="E1745" s="168" t="str">
        <x:f>IFERROR(INDEX('Classif Gestoras'!$H$6:$H$462,MATCH(D1745,'Classif Gestoras'!$A$6:$A$462,0)),"Não classificada")</x:f>
        <x:v>Independente</x:v>
      </x:c>
      <x:c r="F1745" s="168" t="str">
        <x:v>BANCO DAYCOVAL S/A</x:v>
      </x:c>
      <x:c r="G1745" s="168" t="str">
        <x:v>BANCO DAYCOVAL S.A.</x:v>
      </x:c>
      <x:c r="H1745" s="168" t="str">
        <x:v>Outros</x:v>
      </x:c>
      <x:c r="I1745" s="168" t="str">
        <x:v>Multicarteira Outros</x:v>
      </x:c>
      <x:c r="J1745" s="168" t="str">
        <x:v>CI</x:v>
      </x:c>
      <x:c r="K1745" s="174" t="n">
        <x:v>19</x:v>
      </x:c>
      <x:c r="L1745" s="187" t="str">
        <x:v>Proxy multicedente/multissacado — revisar</x:v>
      </x:c>
    </x:row>
    <x:row r="1746">
      <x:c r="A1746" s="177" t="str">
        <x:v>40.995.902/0001-20</x:v>
      </x:c>
      <x:c r="B1746" s="168" t="str">
        <x:v>KEYCASH HOME EQUITY FUNDO DE INVESTIMENTO EM DIREITOS CREDITÓRIOS</x:v>
      </x:c>
      <x:c r="C1746" s="190" t="n">
        <x:v>40844097.92</x:v>
      </x:c>
      <x:c r="D1746" s="168" t="str">
        <x:v>A5 Capital Partners</x:v>
      </x:c>
      <x:c r="E1746" s="168" t="str">
        <x:f>IFERROR(INDEX('Classif Gestoras'!$H$6:$H$462,MATCH(D1746,'Classif Gestoras'!$A$6:$A$462,0)),"Não classificada")</x:f>
        <x:v>Independente</x:v>
      </x:c>
      <x:c r="F1746" s="168" t="str">
        <x:v>Oliveira Trust DTVM</x:v>
      </x:c>
      <x:c r="G1746" s="168" t="str">
        <x:v>OLIVEIRA TRUST DTVM S.A.</x:v>
      </x:c>
      <x:c r="H1746" s="168" t="str">
        <x:v>Financeiro</x:v>
      </x:c>
      <x:c r="I1746" s="168" t="str">
        <x:v>Crédito Imobiliário</x:v>
      </x:c>
      <x:c r="J1746" s="168" t="str">
        <x:v>CI</x:v>
      </x:c>
      <x:c r="K1746" s="174" t="n">
        <x:v>19</x:v>
      </x:c>
      <x:c r="L1746" s="187" t="str">
        <x:v>Não classificado</x:v>
      </x:c>
    </x:row>
    <x:row r="1747">
      <x:c r="A1747" s="177" t="str">
        <x:v>47.698.957/0001-17</x:v>
      </x:c>
      <x:c r="B1747" s="168" t="str">
        <x:v>FATOR HIGH YIELD FUNDO DE INVESTIMENTO EM DIREITOS CREDITÓRIOS MULTISSEGMENTOS</x:v>
      </x:c>
      <x:c r="C1747" s="190" t="n">
        <x:v>40840569.35</x:v>
      </x:c>
      <x:c r="D1747" s="168" t="str">
        <x:v>FAR - FATOR ADMINIST</x:v>
      </x:c>
      <x:c r="E1747" s="168" t="str">
        <x:f>IFERROR(INDEX('Classif Gestoras'!$H$6:$H$462,MATCH(D1747,'Classif Gestoras'!$A$6:$A$462,0)),"Não classificada")</x:f>
        <x:v>Independente</x:v>
      </x:c>
      <x:c r="F1747" s="168" t="str">
        <x:v>BTG Pactual Servicos Financeiros S/A DTVM</x:v>
      </x:c>
      <x:c r="G1747" s="168" t="str">
        <x:v>BANCO BTG PACTUAL S/A</x:v>
      </x:c>
      <x:c r="H1747" s="168" t="str">
        <x:v>Outros</x:v>
      </x:c>
      <x:c r="I1747" s="168" t="str">
        <x:v>Multicarteira Outros</x:v>
      </x:c>
      <x:c r="J1747" s="168" t="str">
        <x:v>CI</x:v>
      </x:c>
      <x:c r="K1747" s="174" t="n">
        <x:v>1</x:v>
      </x:c>
      <x:c r="L1747" s="187" t="str">
        <x:v>Proxy multicedente/multissacado — revisar</x:v>
      </x:c>
    </x:row>
    <x:row r="1748">
      <x:c r="A1748" s="177" t="str">
        <x:v>45.521.649/0001-96</x:v>
      </x:c>
      <x:c r="B1748" s="168" t="str">
        <x:v>FIDC SINAI MACRO FUNDO DE INVESTIMENTO EM DIREITOS CREDITÓRIOS NÃO PADRONIZADO RESP LIMITADA</x:v>
      </x:c>
      <x:c r="C1748" s="190" t="n">
        <x:v>40836652.68</x:v>
      </x:c>
      <x:c r="D1748" s="168" t="str">
        <x:v>IDGR</x:v>
      </x:c>
      <x:c r="E1748" s="168" t="str">
        <x:f>IFERROR(INDEX('Classif Gestoras'!$H$6:$H$462,MATCH(D1748,'Classif Gestoras'!$A$6:$A$462,0)),"Não classificada")</x:f>
        <x:v>Independente</x:v>
      </x:c>
      <x:c r="F1748" s="168" t="str">
        <x:v>ID Corretora de Títulos e Valores Mobiliários S.A.</x:v>
      </x:c>
      <x:c r="G1748" s="168" t="str">
        <x:v>ID CORRETORA DE TITULOS E VALORES MOBILIARIOS S.A.</x:v>
      </x:c>
      <x:c r="H1748" s="168" t="str">
        <x:v>Outros</x:v>
      </x:c>
      <x:c r="I1748" s="168" t="str">
        <x:v>Multicarteira Outros</x:v>
      </x:c>
      <x:c r="J1748" s="168" t="str">
        <x:v>CI</x:v>
      </x:c>
      <x:c r="K1748" s="174" t="n">
        <x:v>6</x:v>
      </x:c>
      <x:c r="L1748" s="187" t="str">
        <x:v>Proxy multicedente/multissacado — revisar</x:v>
      </x:c>
    </x:row>
    <x:row r="1749">
      <x:c r="A1749" s="177" t="str">
        <x:v>40.676.621/0001-04</x:v>
      </x:c>
      <x:c r="B1749" s="168" t="str">
        <x:v>GHIA RECEBÍVEIS I FUNDO DE INVESTIMENTO EM DIREITOS CREDITÓRIOS</x:v>
      </x:c>
      <x:c r="C1749" s="190" t="n">
        <x:v>40610995.23</x:v>
      </x:c>
      <x:c r="D1749" s="168" t="str">
        <x:v>Ghia Asset Management</x:v>
      </x:c>
      <x:c r="E1749" s="168" t="str">
        <x:f>IFERROR(INDEX('Classif Gestoras'!$H$6:$H$462,MATCH(D1749,'Classif Gestoras'!$A$6:$A$462,0)),"Não classificada")</x:f>
        <x:v>Independente</x:v>
      </x:c>
      <x:c r="F1749" s="168" t="str">
        <x:v>VÓRTX DTVM</x:v>
      </x:c>
      <x:c r="G1749" s="168" t="str">
        <x:v>VORTX DISTRIBUIDORA DE TITULOS E VALORES MOBILIARIOS LTDA.</x:v>
      </x:c>
      <x:c r="H1749" s="168" t="str">
        <x:v>Financeiro</x:v>
      </x:c>
      <x:c r="I1749" s="168" t="str">
        <x:v>Multicarteira Financeiro</x:v>
      </x:c>
      <x:c r="J1749" s="168" t="str">
        <x:v>CI</x:v>
      </x:c>
      <x:c r="K1749" s="174" t="n">
        <x:v>4</x:v>
      </x:c>
      <x:c r="L1749" s="187" t="str">
        <x:v>Proxy multicedente/multissacado — revisar</x:v>
      </x:c>
    </x:row>
    <x:row r="1750">
      <x:c r="A1750" s="177" t="str">
        <x:v>56.977.387/0001-95</x:v>
      </x:c>
      <x:c r="B1750" s="168" t="str">
        <x:v>FUNDO DE INVESTIMENTO EM DIREITOS CREDITÓRIOS MP - RESPONSABILIDADE LIMITADA</x:v>
      </x:c>
      <x:c r="C1750" s="190" t="n">
        <x:v>40563595.6</x:v>
      </x:c>
      <x:c r="D1750" s="168" t="str">
        <x:v>SUESTE CAPITAL GESTÃO DE RECURSOS LTDA.</x:v>
      </x:c>
      <x:c r="E1750" s="168" t="str">
        <x:f>IFERROR(INDEX('Classif Gestoras'!$H$6:$H$462,MATCH(D1750,'Classif Gestoras'!$A$6:$A$462,0)),"Não classificada")</x:f>
        <x:v>Independente</x:v>
      </x:c>
      <x:c r="F1750" s="168" t="str">
        <x:v>BANCO DAYCOVAL S/A</x:v>
      </x:c>
      <x:c r="G1750" s="168" t="str">
        <x:v>BANCO DAYCOVAL S.A.</x:v>
      </x:c>
      <x:c r="H1750" s="168" t="str">
        <x:v>Outros</x:v>
      </x:c>
      <x:c r="I1750" s="168" t="str">
        <x:v>Poder Público</x:v>
      </x:c>
      <x:c r="J1750" s="168" t="str">
        <x:v>CI</x:v>
      </x:c>
      <x:c r="K1750" s="174" t="n">
        <x:v>8</x:v>
      </x:c>
      <x:c r="L1750" s="187" t="str">
        <x:v>Não classificado</x:v>
      </x:c>
    </x:row>
    <x:row r="1751">
      <x:c r="A1751" s="177" t="str">
        <x:v>61.290.894/0001-96</x:v>
      </x:c>
      <x:c r="B1751" s="168" t="str">
        <x:v>KREDITON FUNDO DE INVESTIMENTO EM DIREITOS CREDITÓRIOS</x:v>
      </x:c>
      <x:c r="C1751" s="190" t="n">
        <x:v>40557446.47</x:v>
      </x:c>
      <x:c r="D1751" s="168" t="str">
        <x:v>TERCON ASSET MANAGEMENT</x:v>
      </x:c>
      <x:c r="E1751" s="168" t="str">
        <x:f>IFERROR(INDEX('Classif Gestoras'!$H$6:$H$462,MATCH(D1751,'Classif Gestoras'!$A$6:$A$462,0)),"Não classificada")</x:f>
        <x:v>Independente</x:v>
      </x:c>
      <x:c r="F1751" s="168" t="str">
        <x:v>Singulare</x:v>
      </x:c>
      <x:c r="G1751" s="168" t="str">
        <x:v>QI CORRETORA DE TÍTULOS E VALORES MOBILIÁRIOS S.A.</x:v>
      </x:c>
      <x:c r="H1751" s="168" t="str">
        <x:v>Fomento Mercantil</x:v>
      </x:c>
      <x:c r="I1751" s="168" t="str">
        <x:v>Fomento Mercantil</x:v>
      </x:c>
      <x:c r="J1751" s="168" t="str">
        <x:v>CI</x:v>
      </x:c>
      <x:c r="K1751" s="174" t="n">
        <x:v>10</x:v>
      </x:c>
      <x:c r="L1751" s="187" t="str">
        <x:v>Não classificado</x:v>
      </x:c>
    </x:row>
    <x:row r="1752">
      <x:c r="A1752" s="177" t="str">
        <x:v>48.928.987/0001-35</x:v>
      </x:c>
      <x:c r="B1752" s="168" t="str">
        <x:v>CREDIAL BANK PAN FUNDO DE INVESTIMENTO EM DIREITOS CREDITÓRIOS NÃO-PADRONIZADOS</x:v>
      </x:c>
      <x:c r="C1752" s="190" t="n">
        <x:v>40491544.27</x:v>
      </x:c>
      <x:c r="D1752" s="168" t="str">
        <x:v>Catálise Investimentos</x:v>
      </x:c>
      <x:c r="E1752" s="168" t="str">
        <x:f>IFERROR(INDEX('Classif Gestoras'!$H$6:$H$462,MATCH(D1752,'Classif Gestoras'!$A$6:$A$462,0)),"Não classificada")</x:f>
        <x:v>Independente</x:v>
      </x:c>
      <x:c r="F1752" s="168" t="str">
        <x:v>CATÁLISE DTVM</x:v>
      </x:c>
      <x:c r="G1752" s="168" t="str">
        <x:v>BANCO DAYCOVAL S.A.</x:v>
      </x:c>
      <x:c r="H1752" s="168" t="str">
        <x:v>Outros</x:v>
      </x:c>
      <x:c r="I1752" s="168" t="str">
        <x:v>Multicarteira Outros</x:v>
      </x:c>
      <x:c r="J1752" s="168" t="str">
        <x:v>CI</x:v>
      </x:c>
      <x:c r="K1752" s="174" t="n">
        <x:v>2</x:v>
      </x:c>
      <x:c r="L1752" s="187" t="str">
        <x:v>Proxy multicedente/multissacado — revisar</x:v>
      </x:c>
    </x:row>
    <x:row r="1753">
      <x:c r="A1753" s="177" t="str">
        <x:v>57.507.339/0001-04</x:v>
      </x:c>
      <x:c r="B1753" s="168" t="str">
        <x:v>STRATEGI VISION FUNDO DE INVESTIMENTO EM DIREITOS CREDITÓRIOS RESPONSABILIDADE LIMITADA</x:v>
      </x:c>
      <x:c r="C1753" s="190" t="n">
        <x:v>40489663.96</x:v>
      </x:c>
      <x:c r="D1753" s="168" t="str">
        <x:v>STRATEGI CAPITAL ASSET MANAGEMENT</x:v>
      </x:c>
      <x:c r="E1753" s="168" t="str">
        <x:f>IFERROR(INDEX('Classif Gestoras'!$H$6:$H$462,MATCH(D1753,'Classif Gestoras'!$A$6:$A$462,0)),"Não classificada")</x:f>
        <x:v>Independente</x:v>
      </x:c>
      <x:c r="F1753" s="168" t="str">
        <x:v>VÓRTX DTVM</x:v>
      </x:c>
      <x:c r="G1753" s="168" t="str">
        <x:v>VORTX DISTRIBUIDORA DE TITULOS E VALORES MOBILIARIOS LTDA.</x:v>
      </x:c>
      <x:c r="H1753" s="168" t="str">
        <x:v>Outros</x:v>
      </x:c>
      <x:c r="I1753" s="168" t="str">
        <x:v>Multicarteira Outros</x:v>
      </x:c>
      <x:c r="J1753" s="168" t="str">
        <x:v>CI</x:v>
      </x:c>
      <x:c r="K1753" s="174" t="n">
        <x:v>16</x:v>
      </x:c>
      <x:c r="L1753" s="187" t="str">
        <x:v>Proxy multicedente/multissacado — revisar</x:v>
      </x:c>
    </x:row>
    <x:row r="1754">
      <x:c r="A1754" s="177" t="str">
        <x:v>53.073.545/0001-94</x:v>
      </x:c>
      <x:c r="B1754" s="168" t="str">
        <x:v>DEVLET FIDC MULTISSETORIAL DE RESPONSABILIDADE ILIMITADA</x:v>
      </x:c>
      <x:c r="C1754" s="190" t="n">
        <x:v>40467708.11</x:v>
      </x:c>
      <x:c r="D1754" s="168" t="str">
        <x:v>ORRAM GESTÃO DE RECURSOS LTDA.</x:v>
      </x:c>
      <x:c r="E1754" s="168" t="str">
        <x:f>IFERROR(INDEX('Classif Gestoras'!$H$6:$H$462,MATCH(D1754,'Classif Gestoras'!$A$6:$A$462,0)),"Não classificada")</x:f>
        <x:v>Independente</x:v>
      </x:c>
      <x:c r="F1754" s="168" t="str">
        <x:v>BANCO DAYCOVAL S/A</x:v>
      </x:c>
      <x:c r="G1754" s="168" t="str">
        <x:v>BANCO DAYCOVAL S.A.</x:v>
      </x:c>
      <x:c r="H1754" s="168" t="str">
        <x:v>Outros</x:v>
      </x:c>
      <x:c r="I1754" s="168" t="str">
        <x:v>Multicarteira Outros</x:v>
      </x:c>
      <x:c r="J1754" s="168" t="str">
        <x:v>CI</x:v>
      </x:c>
      <x:c r="K1754" s="174" t="n">
        <x:v>14</x:v>
      </x:c>
      <x:c r="L1754" s="187" t="str">
        <x:v>Proxy multicedente/multissacado — revisar</x:v>
      </x:c>
    </x:row>
    <x:row r="1755">
      <x:c r="A1755" s="177" t="str">
        <x:v>47.859.927/0001-45</x:v>
      </x:c>
      <x:c r="B1755" s="168" t="str">
        <x:v>NACIONAL CRED FUNDO DE INVESTIMENTO EM DIREITOS CREDITÓRIOS</x:v>
      </x:c>
      <x:c r="C1755" s="190" t="n">
        <x:v>40428195.58</x:v>
      </x:c>
      <x:c r="D1755" s="168" t="str">
        <x:v>TERCON ASSET MANAGEMENT</x:v>
      </x:c>
      <x:c r="E1755" s="168" t="str">
        <x:f>IFERROR(INDEX('Classif Gestoras'!$H$6:$H$462,MATCH(D1755,'Classif Gestoras'!$A$6:$A$462,0)),"Não classificada")</x:f>
        <x:v>Independente</x:v>
      </x:c>
      <x:c r="F1755" s="168" t="str">
        <x:v>Singulare</x:v>
      </x:c>
      <x:c r="G1755" s="168" t="str">
        <x:v>QI CORRETORA DE TÍTULOS E VALORES MOBILIÁRIOS S.A.</x:v>
      </x:c>
      <x:c r="H1755" s="168" t="str">
        <x:v>Fomento Mercantil</x:v>
      </x:c>
      <x:c r="I1755" s="168" t="str">
        <x:v>Fomento Mercantil</x:v>
      </x:c>
      <x:c r="J1755" s="168" t="str">
        <x:v>CI</x:v>
      </x:c>
      <x:c r="K1755" s="174" t="n">
        <x:v>14</x:v>
      </x:c>
      <x:c r="L1755" s="187" t="str">
        <x:v>Não classificado</x:v>
      </x:c>
    </x:row>
    <x:row r="1756">
      <x:c r="A1756" s="177" t="str">
        <x:v>44.395.637/0001-08</x:v>
      </x:c>
      <x:c r="B1756" s="168" t="str">
        <x:v>CM FEDERAL FUNDO DE INVESTIMENTO EM DIREITOS CREDITÓRIOS NÃO PADRONIZADOS</x:v>
      </x:c>
      <x:c r="C1756" s="190" t="n">
        <x:v>40411172.150000006</x:v>
      </x:c>
      <x:c r="D1756" s="168" t="str">
        <x:v>BURITI INVESTIMENTOS</x:v>
      </x:c>
      <x:c r="E1756" s="168" t="str">
        <x:f>IFERROR(INDEX('Classif Gestoras'!$H$6:$H$462,MATCH(D1756,'Classif Gestoras'!$A$6:$A$462,0)),"Não classificada")</x:f>
        <x:v>Independente</x:v>
      </x:c>
      <x:c r="F1756" s="168" t="str">
        <x:v>Singulare</x:v>
      </x:c>
      <x:c r="G1756" s="168" t="str">
        <x:v>QI CORRETORA DE TÍTULOS E VALORES MOBILIÁRIOS S.A.</x:v>
      </x:c>
      <x:c r="H1756" s="168" t="str">
        <x:v>Outros</x:v>
      </x:c>
      <x:c r="I1756" s="168" t="str">
        <x:v>Poder Público</x:v>
      </x:c>
      <x:c r="J1756" s="168" t="str">
        <x:v>CI</x:v>
      </x:c>
      <x:c r="K1756" s="174" t="n">
        <x:v>10</x:v>
      </x:c>
      <x:c r="L1756" s="187" t="str">
        <x:v>Não classificado</x:v>
      </x:c>
    </x:row>
    <x:row r="1757">
      <x:c r="A1757" s="177" t="str">
        <x:v>64.787.056/0001-10</x:v>
      </x:c>
      <x:c r="B1757" s="168" t="str">
        <x:v>UNIQUE EON FUNDO DE INVESTIMENTO EM DIREITOS CREDITÓRIOS</x:v>
      </x:c>
      <x:c r="C1757" s="190" t="n">
        <x:v>40354809.49</x:v>
      </x:c>
      <x:c r="D1757" s="168" t="str">
        <x:v>Soma Asset</x:v>
      </x:c>
      <x:c r="E1757" s="168" t="str">
        <x:f>IFERROR(INDEX('Classif Gestoras'!$H$6:$H$462,MATCH(D1757,'Classif Gestoras'!$A$6:$A$462,0)),"Não classificada")</x:f>
        <x:v>Independente</x:v>
      </x:c>
      <x:c r="F1757" s="168" t="str">
        <x:v>Singulare</x:v>
      </x:c>
      <x:c r="G1757" s="168" t="str">
        <x:v>QI CORRETORA DE TÍTULOS E VALORES MOBILIÁRIOS S.A.</x:v>
      </x:c>
      <x:c r="H1757" s="168" t="str">
        <x:v>Fomento Mercantil</x:v>
      </x:c>
      <x:c r="I1757" s="168" t="str">
        <x:v>Fomento Mercantil</x:v>
      </x:c>
      <x:c r="J1757" s="168" t="str">
        <x:v>CI</x:v>
      </x:c>
      <x:c r="K1757" s="174" t="n">
        <x:v>1</x:v>
      </x:c>
      <x:c r="L1757" s="187" t="str">
        <x:v>Não classificado</x:v>
      </x:c>
    </x:row>
    <x:row r="1758">
      <x:c r="A1758" s="177" t="str">
        <x:v>31.024.416/0001-73</x:v>
      </x:c>
      <x:c r="B1758" s="168" t="str">
        <x:v>GII CAPITAL FUNDO DE INVESTIMENTO EM DIREITOS CREDITÓRIOS</x:v>
      </x:c>
      <x:c r="C1758" s="190" t="n">
        <x:v>40194352.82</x:v>
      </x:c>
      <x:c r="D1758" s="168" t="str">
        <x:v>TERCON ASSET MANAGEMENT</x:v>
      </x:c>
      <x:c r="E1758" s="168" t="str">
        <x:f>IFERROR(INDEX('Classif Gestoras'!$H$6:$H$462,MATCH(D1758,'Classif Gestoras'!$A$6:$A$462,0)),"Não classificada")</x:f>
        <x:v>Independente</x:v>
      </x:c>
      <x:c r="F1758" s="168" t="str">
        <x:v>Singulare</x:v>
      </x:c>
      <x:c r="G1758" s="168" t="str">
        <x:v>QI CORRETORA DE TÍTULOS E VALORES MOBILIÁRIOS S.A.</x:v>
      </x:c>
      <x:c r="H1758" s="168" t="str">
        <x:v>Outros</x:v>
      </x:c>
      <x:c r="I1758" s="168" t="str">
        <x:v>Multicarteira Outros</x:v>
      </x:c>
      <x:c r="J1758" s="168" t="str">
        <x:v>CI</x:v>
      </x:c>
      <x:c r="K1758" s="174" t="n">
        <x:v>5</x:v>
      </x:c>
      <x:c r="L1758" s="187" t="str">
        <x:v>Proxy multicedente/multissacado — revisar</x:v>
      </x:c>
    </x:row>
    <x:row r="1759">
      <x:c r="A1759" s="177" t="str">
        <x:v>46.285.106/0001-80</x:v>
      </x:c>
      <x:c r="B1759" s="168" t="str">
        <x:v>PAGOL FUNDO DE INVESTIMENTO EM DIREITOS CREDITÓRIOS</x:v>
      </x:c>
      <x:c r="C1759" s="190" t="n">
        <x:v>40174193.21</x:v>
      </x:c>
      <x:c r="D1759" s="168" t="str">
        <x:v>Trius Capital</x:v>
      </x:c>
      <x:c r="E1759" s="168" t="str">
        <x:f>IFERROR(INDEX('Classif Gestoras'!$H$6:$H$462,MATCH(D1759,'Classif Gestoras'!$A$6:$A$462,0)),"Não classificada")</x:f>
        <x:v>Independente</x:v>
      </x:c>
      <x:c r="F1759" s="168" t="str">
        <x:v>Singulare</x:v>
      </x:c>
      <x:c r="G1759" s="168" t="str">
        <x:v>QI CORRETORA DE TÍTULOS E VALORES MOBILIÁRIOS S.A.</x:v>
      </x:c>
      <x:c r="H1759" s="168" t="str">
        <x:v>Financeiro</x:v>
      </x:c>
      <x:c r="I1759" s="168" t="str">
        <x:v>Multicarteira Financeiro</x:v>
      </x:c>
      <x:c r="J1759" s="168" t="str">
        <x:v>CI</x:v>
      </x:c>
      <x:c r="K1759" s="174" t="n">
        <x:v>2</x:v>
      </x:c>
      <x:c r="L1759" s="187" t="str">
        <x:v>Proxy multicedente/multissacado — revisar</x:v>
      </x:c>
    </x:row>
    <x:row r="1760">
      <x:c r="A1760" s="177" t="str">
        <x:v>50.153.414/0001-29</x:v>
      </x:c>
      <x:c r="B1760" s="168" t="str">
        <x:v>INVESTMACH FUNDO DE INVESTIMENTO EM DIREITOS CREDITORIOS - FIDC</x:v>
      </x:c>
      <x:c r="C1760" s="190" t="n">
        <x:v>39952385.940000005</x:v>
      </x:c>
      <x:c r="D1760" s="168" t="str">
        <x:v>Bless Capital Gestora de Recursos Ltda.</x:v>
      </x:c>
      <x:c r="E1760" s="168" t="str">
        <x:f>IFERROR(INDEX('Classif Gestoras'!$H$6:$H$462,MATCH(D1760,'Classif Gestoras'!$A$6:$A$462,0)),"Não classificada")</x:f>
        <x:v>Independente</x:v>
      </x:c>
      <x:c r="F1760" s="168" t="str">
        <x:v>ID Corretora de Títulos e Valores Mobiliários S.A.</x:v>
      </x:c>
      <x:c r="G1760" s="168" t="str">
        <x:v>ID CORRETORA DE TITULOS E VALORES MOBILIARIOS S.A.</x:v>
      </x:c>
      <x:c r="H1760" s="168" t="str">
        <x:v>Outros</x:v>
      </x:c>
      <x:c r="I1760" s="168" t="str">
        <x:v>Multicarteira Outros</x:v>
      </x:c>
      <x:c r="J1760" s="168" t="str">
        <x:v>CI</x:v>
      </x:c>
      <x:c r="K1760" s="174" t="n">
        <x:v>1</x:v>
      </x:c>
      <x:c r="L1760" s="187" t="str">
        <x:v>Proxy multicedente/multissacado — revisar</x:v>
      </x:c>
    </x:row>
    <x:row r="1761">
      <x:c r="A1761" s="177" t="str">
        <x:v>55.567.840/0001-22</x:v>
      </x:c>
      <x:c r="B1761" s="168" t="str">
        <x:v>HOLE IN ONE FUNDO DE INVESTIMENTO EM DIREITOS CREDITÓRIOS</x:v>
      </x:c>
      <x:c r="C1761" s="190" t="n">
        <x:v>39891540.349999994</x:v>
      </x:c>
      <x:c r="D1761" s="168" t="str">
        <x:v>AWARE GESTÃO DE RECURSOS LTDA</x:v>
      </x:c>
      <x:c r="E1761" s="168" t="str">
        <x:f>IFERROR(INDEX('Classif Gestoras'!$H$6:$H$462,MATCH(D1761,'Classif Gestoras'!$A$6:$A$462,0)),"Não classificada")</x:f>
        <x:v>Independente</x:v>
      </x:c>
      <x:c r="F1761" s="168" t="str">
        <x:v>PLANNER CV</x:v>
      </x:c>
      <x:c r="G1761" s="168" t="str">
        <x:v>PLANNER CORRETORA DE VALORES S.A.</x:v>
      </x:c>
      <x:c r="H1761" s="168" t="str">
        <x:v>Outros</x:v>
      </x:c>
      <x:c r="I1761" s="168" t="str">
        <x:v>Poder Público</x:v>
      </x:c>
      <x:c r="J1761" s="168" t="str">
        <x:v>CI</x:v>
      </x:c>
      <x:c r="K1761" s="174" t="n">
        <x:v>32</x:v>
      </x:c>
      <x:c r="L1761" s="187" t="str">
        <x:v>Não classificado</x:v>
      </x:c>
    </x:row>
    <x:row r="1762">
      <x:c r="A1762" s="177" t="str">
        <x:v>59.999.281/0001-80</x:v>
      </x:c>
      <x:c r="B1762" s="168" t="str">
        <x:v>FITZ ROY SPECIAL SITUATIONS II FIDC DE RESPONSABILIDADE LIMITADA</x:v>
      </x:c>
      <x:c r="C1762" s="190" t="n">
        <x:v>39868531.66000001</x:v>
      </x:c>
      <x:c r="D1762" s="168" t="str">
        <x:v>Laplace Capital</x:v>
      </x:c>
      <x:c r="E1762" s="168" t="str">
        <x:f>IFERROR(INDEX('Classif Gestoras'!$H$6:$H$462,MATCH(D1762,'Classif Gestoras'!$A$6:$A$462,0)),"Não classificada")</x:f>
        <x:v>Independente</x:v>
      </x:c>
      <x:c r="F1762" s="168" t="str">
        <x:v>BANCO DAYCOVAL S/A</x:v>
      </x:c>
      <x:c r="G1762" s="168" t="str">
        <x:v>BANCO DAYCOVAL S.A.</x:v>
      </x:c>
      <x:c r="H1762" s="168" t="str">
        <x:v>Fomento Mercantil</x:v>
      </x:c>
      <x:c r="I1762" s="168" t="str">
        <x:v>Fomento Mercantil</x:v>
      </x:c>
      <x:c r="J1762" s="168" t="str">
        <x:v>CI</x:v>
      </x:c>
      <x:c r="K1762" s="174" t="n">
        <x:v>146</x:v>
      </x:c>
      <x:c r="L1762" s="187" t="str">
        <x:v>Não classificado</x:v>
      </x:c>
    </x:row>
    <x:row r="1763">
      <x:c r="A1763" s="177" t="str">
        <x:v>47.463.373/0001-62</x:v>
      </x:c>
      <x:c r="B1763" s="168" t="str">
        <x:v>PANDION FUNDO DE INVESTIMENTO EM DIREITOS CREDITÓRIOS</x:v>
      </x:c>
      <x:c r="C1763" s="190" t="n">
        <x:v>39827160.48</x:v>
      </x:c>
      <x:c r="D1763" s="168" t="str">
        <x:v>Veritas Capital Management</x:v>
      </x:c>
      <x:c r="E1763" s="168" t="str">
        <x:f>IFERROR(INDEX('Classif Gestoras'!$H$6:$H$462,MATCH(D1763,'Classif Gestoras'!$A$6:$A$462,0)),"Não classificada")</x:f>
        <x:v>Independente</x:v>
      </x:c>
      <x:c r="F1763" s="168" t="str">
        <x:v>Singulare</x:v>
      </x:c>
      <x:c r="G1763" s="168" t="str">
        <x:v>QI CORRETORA DE TÍTULOS E VALORES MOBILIÁRIOS S.A.</x:v>
      </x:c>
      <x:c r="H1763" s="168" t="str">
        <x:v>Outros</x:v>
      </x:c>
      <x:c r="I1763" s="168" t="str">
        <x:v>Multicarteira Outros</x:v>
      </x:c>
      <x:c r="J1763" s="168" t="str">
        <x:v>CI</x:v>
      </x:c>
      <x:c r="K1763" s="174" t="n">
        <x:v>7</x:v>
      </x:c>
      <x:c r="L1763" s="187" t="str">
        <x:v>Proxy multicedente/multissacado — revisar</x:v>
      </x:c>
    </x:row>
    <x:row r="1764">
      <x:c r="A1764" s="177" t="str">
        <x:v>42.043.708/0001-70</x:v>
      </x:c>
      <x:c r="B1764" s="168" t="str">
        <x:v>ALGARVE COFFEE CRÉDITOS JUDICIAIS FUNDO DE INVESTIMENTO EM DIREITOS CREDITÓRIOS</x:v>
      </x:c>
      <x:c r="C1764" s="190" t="n">
        <x:v>39750553.75000001</x:v>
      </x:c>
      <x:c r="D1764" s="168" t="str">
        <x:v>Algarve Capital</x:v>
      </x:c>
      <x:c r="E1764" s="168" t="str">
        <x:f>IFERROR(INDEX('Classif Gestoras'!$H$6:$H$462,MATCH(D1764,'Classif Gestoras'!$A$6:$A$462,0)),"Não classificada")</x:f>
        <x:v>Independente</x:v>
      </x:c>
      <x:c r="F1764" s="168" t="str">
        <x:v>MAF Distribuidora de Títulos e Valores Mobiliários S.A.</x:v>
      </x:c>
      <x:c r="G1764" s="168" t="str">
        <x:v>MAF DISTRIBUIDORA DE TITULOS E VALORES MOBILIARIOS S.A.</x:v>
      </x:c>
      <x:c r="H1764" s="168" t="str">
        <x:v>Outros</x:v>
      </x:c>
      <x:c r="I1764" s="168" t="str">
        <x:v>Poder Público</x:v>
      </x:c>
      <x:c r="J1764" s="168" t="str">
        <x:v>CI</x:v>
      </x:c>
      <x:c r="K1764" s="174" t="n">
        <x:v>3</x:v>
      </x:c>
      <x:c r="L1764" s="187" t="str">
        <x:v>Não classificado</x:v>
      </x:c>
    </x:row>
    <x:row r="1765">
      <x:c r="A1765" s="177" t="str">
        <x:v>26.208.267/0001-62</x:v>
      </x:c>
      <x:c r="B1765" s="168" t="str">
        <x:v>C&amp;J FUNDO DE INVESTIMENTO EM DIREITOS CREDITORIOS</x:v>
      </x:c>
      <x:c r="C1765" s="190" t="n">
        <x:v>39729346.03999999</x:v>
      </x:c>
      <x:c r="D1765" s="168" t="str">
        <x:v>TERCON ASSET MANAGEMENT</x:v>
      </x:c>
      <x:c r="E1765" s="168" t="str">
        <x:f>IFERROR(INDEX('Classif Gestoras'!$H$6:$H$462,MATCH(D1765,'Classif Gestoras'!$A$6:$A$462,0)),"Não classificada")</x:f>
        <x:v>Independente</x:v>
      </x:c>
      <x:c r="F1765" s="168" t="str">
        <x:v>Singulare</x:v>
      </x:c>
      <x:c r="G1765" s="168" t="str">
        <x:v>QI CORRETORA DE TÍTULOS E VALORES MOBILIÁRIOS S.A.</x:v>
      </x:c>
      <x:c r="H1765" s="168" t="str">
        <x:v>Fomento Mercantil</x:v>
      </x:c>
      <x:c r="I1765" s="168" t="str">
        <x:v>Fomento Mercantil</x:v>
      </x:c>
      <x:c r="J1765" s="168" t="str">
        <x:v>CI</x:v>
      </x:c>
      <x:c r="K1765" s="174" t="n">
        <x:v>3</x:v>
      </x:c>
      <x:c r="L1765" s="187" t="str">
        <x:v>Não classificado</x:v>
      </x:c>
    </x:row>
    <x:row r="1766">
      <x:c r="A1766" s="177" t="str">
        <x:v>13.807.406/0001-22</x:v>
      </x:c>
      <x:c r="B1766" s="168" t="str">
        <x:v>B8 FUNDO DE INVESTIMENTO EM DIREITOS CREDITÓRIOS</x:v>
      </x:c>
      <x:c r="C1766" s="190" t="n">
        <x:v>39693869.52</x:v>
      </x:c>
      <x:c r="D1766" s="168" t="str">
        <x:v>TERCON ASSET MANAGEMENT</x:v>
      </x:c>
      <x:c r="E1766" s="168" t="str">
        <x:f>IFERROR(INDEX('Classif Gestoras'!$H$6:$H$462,MATCH(D1766,'Classif Gestoras'!$A$6:$A$462,0)),"Não classificada")</x:f>
        <x:v>Independente</x:v>
      </x:c>
      <x:c r="F1766" s="168" t="str">
        <x:v>Singulare</x:v>
      </x:c>
      <x:c r="G1766" s="168" t="str">
        <x:v>QI CORRETORA DE TÍTULOS E VALORES MOBILIÁRIOS S.A.</x:v>
      </x:c>
      <x:c r="H1766" s="168" t="str">
        <x:v>Fomento Mercantil</x:v>
      </x:c>
      <x:c r="I1766" s="168" t="str">
        <x:v>Fomento Mercantil</x:v>
      </x:c>
      <x:c r="J1766" s="168" t="str">
        <x:v>CI</x:v>
      </x:c>
      <x:c r="K1766" s="174" t="n">
        <x:v>17</x:v>
      </x:c>
      <x:c r="L1766" s="187" t="str">
        <x:v>Não classificado</x:v>
      </x:c>
    </x:row>
    <x:row r="1767">
      <x:c r="A1767" s="177" t="str">
        <x:v>63.066.147/0001-02</x:v>
      </x:c>
      <x:c r="B1767" s="168" t="str">
        <x:v>FUNDO DE INVESTIMENTO EM DIREITOS CREDITÓRIOS INCLUSÃO CREDIÁRIA RESPONSABILIDADE LIMITADA</x:v>
      </x:c>
      <x:c r="C1767" s="190" t="n">
        <x:v>39648397.41</x:v>
      </x:c>
      <x:c r="D1767" s="168" t="str">
        <x:v>Vórtx Capital Gestão de Recursos Ltda.</x:v>
      </x:c>
      <x:c r="E1767" s="168" t="str">
        <x:f>IFERROR(INDEX('Classif Gestoras'!$H$6:$H$462,MATCH(D1767,'Classif Gestoras'!$A$6:$A$462,0)),"Não classificada")</x:f>
        <x:v>Independente</x:v>
      </x:c>
      <x:c r="F1767" s="168" t="str">
        <x:v>VÓRTX DTVM</x:v>
      </x:c>
      <x:c r="G1767" s="168" t="str">
        <x:v>VORTX DISTRIBUIDORA DE TITULOS E VALORES MOBILIARIOS LTDA.</x:v>
      </x:c>
      <x:c r="H1767" s="168" t="str">
        <x:v>Financeiro</x:v>
      </x:c>
      <x:c r="I1767" s="168" t="str">
        <x:v>Crédito Pessoal</x:v>
      </x:c>
      <x:c r="J1767" s="168" t="str">
        <x:v>CI</x:v>
      </x:c>
      <x:c r="K1767" s="174" t="n">
        <x:v>26</x:v>
      </x:c>
      <x:c r="L1767" s="187" t="str">
        <x:v>Não classificado</x:v>
      </x:c>
    </x:row>
    <x:row r="1768">
      <x:c r="A1768" s="177" t="str">
        <x:v>29.109.292/0001-87</x:v>
      </x:c>
      <x:c r="B1768" s="168" t="str">
        <x:v>PINARELLO FUNDO DE INVESTIMENTO EM DIREITOS CREDITÓRIOS RESPONSABILIDADE LIMITADA</x:v>
      </x:c>
      <x:c r="C1768" s="190" t="n">
        <x:v>39632436.98</x:v>
      </x:c>
      <x:c r="D1768" s="168" t="str">
        <x:v>LAV ASSET MANAGEMENT GESTÃO DE RECURSOS LTDA.</x:v>
      </x:c>
      <x:c r="E1768" s="168" t="str">
        <x:f>IFERROR(INDEX('Classif Gestoras'!$H$6:$H$462,MATCH(D1768,'Classif Gestoras'!$A$6:$A$462,0)),"Não classificada")</x:f>
        <x:v>Independente</x:v>
      </x:c>
      <x:c r="F1768" s="168" t="str">
        <x:v>Singulare</x:v>
      </x:c>
      <x:c r="G1768" s="168" t="str">
        <x:v>QI CORRETORA DE TÍTULOS E VALORES MOBILIÁRIOS S.A.</x:v>
      </x:c>
      <x:c r="H1768" s="168" t="str">
        <x:v>Fomento Mercantil</x:v>
      </x:c>
      <x:c r="I1768" s="168" t="str">
        <x:v>Fomento Mercantil</x:v>
      </x:c>
      <x:c r="J1768" s="168" t="str">
        <x:v>CI</x:v>
      </x:c>
      <x:c r="K1768" s="174" t="n">
        <x:v>26</x:v>
      </x:c>
      <x:c r="L1768" s="187" t="str">
        <x:v>Não classificado</x:v>
      </x:c>
    </x:row>
    <x:row r="1769">
      <x:c r="A1769" s="177" t="str">
        <x:v>38.051.251/0001-78</x:v>
      </x:c>
      <x:c r="B1769" s="168" t="str">
        <x:v>FUNDO DE INVESTIMENTO EM DIREITOS CREDITÓRIOS IS SOLAR KOMPASS ENERGIA</x:v>
      </x:c>
      <x:c r="C1769" s="190" t="n">
        <x:v>39619187.03</x:v>
      </x:c>
      <x:c r="D1769" s="168" t="str">
        <x:v>JGP Gestão de Crédito LTDA.</x:v>
      </x:c>
      <x:c r="E1769" s="168" t="str">
        <x:f>IFERROR(INDEX('Classif Gestoras'!$H$6:$H$462,MATCH(D1769,'Classif Gestoras'!$A$6:$A$462,0)),"Não classificada")</x:f>
        <x:v>Independente</x:v>
      </x:c>
      <x:c r="F1769" s="168" t="str">
        <x:v>BANCO DAYCOVAL S/A</x:v>
      </x:c>
      <x:c r="G1769" s="168" t="str">
        <x:v>BANCO DAYCOVAL S.A.</x:v>
      </x:c>
      <x:c r="H1769" s="168" t="str">
        <x:v>Agro, Indústria e Comércio</x:v>
      </x:c>
      <x:c r="I1769" s="168" t="str">
        <x:v>Infraestrutura</x:v>
      </x:c>
      <x:c r="J1769" s="168" t="str">
        <x:v>CI</x:v>
      </x:c>
      <x:c r="K1769" s="174" t="n">
        <x:v>20</x:v>
      </x:c>
      <x:c r="L1769" s="187" t="str">
        <x:v>Não classificado</x:v>
      </x:c>
    </x:row>
    <x:row r="1770">
      <x:c r="A1770" s="177" t="str">
        <x:v>56.993.592/0001-44</x:v>
      </x:c>
      <x:c r="B1770" s="168" t="str">
        <x:v>FUNDO DE INVESTIMENTO EM DIREITOS CREDITÓRIOS MAR AZUL - RESPONSABILIDADE LIMITADA</x:v>
      </x:c>
      <x:c r="C1770" s="190" t="n">
        <x:v>39570550.629999995</x:v>
      </x:c>
      <x:c r="D1770" s="168" t="str">
        <x:v>Plural Investimentos Gestão de Recursos Ltda.</x:v>
      </x:c>
      <x:c r="E1770" s="168" t="str">
        <x:f>IFERROR(INDEX('Classif Gestoras'!$H$6:$H$462,MATCH(D1770,'Classif Gestoras'!$A$6:$A$462,0)),"Não classificada")</x:f>
        <x:v>Ligada a banco</x:v>
      </x:c>
      <x:c r="F1770" s="168" t="str">
        <x:v>Genial Investimentos Corretora de Valores Mobiliários S.A.</x:v>
      </x:c>
      <x:c r="G1770" s="168" t="str">
        <x:v>BANCO GENIAL S.A.</x:v>
      </x:c>
      <x:c r="H1770" s="168" t="str">
        <x:v>Fomento Mercantil</x:v>
      </x:c>
      <x:c r="I1770" s="168" t="str">
        <x:v>Fomento Mercantil</x:v>
      </x:c>
      <x:c r="J1770" s="168" t="str">
        <x:v>CI</x:v>
      </x:c>
      <x:c r="K1770" s="174" t="n">
        <x:v>1</x:v>
      </x:c>
      <x:c r="L1770" s="187" t="str">
        <x:v>Não classificado</x:v>
      </x:c>
    </x:row>
    <x:row r="1771">
      <x:c r="A1771" s="177" t="str">
        <x:v>55.657.044/0001-80</x:v>
      </x:c>
      <x:c r="B1771" s="168" t="str">
        <x:v>ANIL FUNDO DE INVESTIMENTO EM DIREITOS CREDITÓRIOS DE RESPONSABILIDADE LIMITADA</x:v>
      </x:c>
      <x:c r="C1771" s="190" t="n">
        <x:v>39316423.81</x:v>
      </x:c>
      <x:c r="D1771" s="168" t="str">
        <x:v>Catálise Investimentos</x:v>
      </x:c>
      <x:c r="E1771" s="168" t="str">
        <x:f>IFERROR(INDEX('Classif Gestoras'!$H$6:$H$462,MATCH(D1771,'Classif Gestoras'!$A$6:$A$462,0)),"Não classificada")</x:f>
        <x:v>Independente</x:v>
      </x:c>
      <x:c r="F1771" s="168" t="str">
        <x:v>CATÁLISE DTVM</x:v>
      </x:c>
      <x:c r="G1771" s="168" t="str">
        <x:v>Não identificado</x:v>
      </x:c>
      <x:c r="H1771" s="168" t="str">
        <x:v>Agro, Indústria e Comércio</x:v>
      </x:c>
      <x:c r="I1771" s="168" t="str">
        <x:v>Multicarteira Agro, Indústria e Comércio</x:v>
      </x:c>
      <x:c r="J1771" s="168" t="str">
        <x:v>CI</x:v>
      </x:c>
      <x:c r="K1771" s="174" t="n">
        <x:v>1</x:v>
      </x:c>
      <x:c r="L1771" s="187" t="str">
        <x:v>Proxy multicedente/multissacado — revisar</x:v>
      </x:c>
    </x:row>
    <x:row r="1772">
      <x:c r="A1772" s="177" t="str">
        <x:v>53.604.320/0001-17</x:v>
      </x:c>
      <x:c r="B1772" s="168" t="str">
        <x:v>BEM BARATO FUNDO DE INVESTIMENTO EM DIREITOS CREDITÓRIOS</x:v>
      </x:c>
      <x:c r="C1772" s="190" t="n">
        <x:v>39205161.2</x:v>
      </x:c>
      <x:c r="D1772" s="168" t="str">
        <x:v>OURO PRETO INVESTIMENTOS</x:v>
      </x:c>
      <x:c r="E1772" s="168" t="str">
        <x:f>IFERROR(INDEX('Classif Gestoras'!$H$6:$H$462,MATCH(D1772,'Classif Gestoras'!$A$6:$A$462,0)),"Não classificada")</x:f>
        <x:v>Independente</x:v>
      </x:c>
      <x:c r="F1772" s="168" t="str">
        <x:v>Limine Trust Distribuidora de Titulos e Valores Mobiliá</x:v>
      </x:c>
      <x:c r="G1772" s="168" t="str">
        <x:v>LIMINE TRUST DISTRIBUIDORA DE TITULOS E VALORES MOBILIARIOS LTDA.</x:v>
      </x:c>
      <x:c r="H1772" s="168" t="str">
        <x:v>Outros</x:v>
      </x:c>
      <x:c r="I1772" s="168" t="str">
        <x:v>Multicarteira Outros</x:v>
      </x:c>
      <x:c r="J1772" s="168" t="str">
        <x:v>CI</x:v>
      </x:c>
      <x:c r="K1772" s="174" t="n">
        <x:v>3</x:v>
      </x:c>
      <x:c r="L1772" s="187" t="str">
        <x:v>Proxy multicedente/multissacado — revisar</x:v>
      </x:c>
    </x:row>
    <x:row r="1773">
      <x:c r="A1773" s="177" t="str">
        <x:v>51.646.633/0001-02</x:v>
      </x:c>
      <x:c r="B1773" s="168" t="str">
        <x:v>APUAMA LIBRA FUNDO DE INVESTIMENTO EM DIREITOS CREDITÓRIOS - RESPONSABILIDADE LIMITADA</x:v>
      </x:c>
      <x:c r="C1773" s="190" t="n">
        <x:v>39179763.580000006</x:v>
      </x:c>
      <x:c r="D1773" s="168" t="str">
        <x:v>Apuama Capital</x:v>
      </x:c>
      <x:c r="E1773" s="168" t="str">
        <x:f>IFERROR(INDEX('Classif Gestoras'!$H$6:$H$462,MATCH(D1773,'Classif Gestoras'!$A$6:$A$462,0)),"Não classificada")</x:f>
        <x:v>Independente</x:v>
      </x:c>
      <x:c r="F1773" s="168" t="str">
        <x:v>Singulare</x:v>
      </x:c>
      <x:c r="G1773" s="168" t="str">
        <x:v>QI CORRETORA DE TÍTULOS E VALORES MOBILIÁRIOS S.A.</x:v>
      </x:c>
      <x:c r="H1773" s="168" t="str">
        <x:v>Fomento Mercantil</x:v>
      </x:c>
      <x:c r="I1773" s="168" t="str">
        <x:v>Fomento Mercantil</x:v>
      </x:c>
      <x:c r="J1773" s="168" t="str">
        <x:v>CI</x:v>
      </x:c>
      <x:c r="K1773" s="174" t="n">
        <x:v>27</x:v>
      </x:c>
      <x:c r="L1773" s="187" t="str">
        <x:v>Não classificado</x:v>
      </x:c>
    </x:row>
    <x:row r="1774">
      <x:c r="A1774" s="177" t="str">
        <x:v>57.377.642/0001-21</x:v>
      </x:c>
      <x:c r="B1774" s="168" t="str">
        <x:v>ITAÚNA PRECATÓRIOS FUNDO DE INVESTIMENTO EM DIREITOS CREDITÓRIOS - RESPONSABILIDADE LIMITADA</x:v>
      </x:c>
      <x:c r="C1774" s="190" t="n">
        <x:v>39089277.27</x:v>
      </x:c>
      <x:c r="D1774" s="168" t="str">
        <x:v>ITAÚNA CAPITAL LTDA.</x:v>
      </x:c>
      <x:c r="E1774" s="168" t="str">
        <x:f>IFERROR(INDEX('Classif Gestoras'!$H$6:$H$462,MATCH(D1774,'Classif Gestoras'!$A$6:$A$462,0)),"Não classificada")</x:f>
        <x:v>Ligada a banco</x:v>
      </x:c>
      <x:c r="F1774" s="168" t="str">
        <x:v>BNY MELLON SERVICOS</x:v>
      </x:c>
      <x:c r="G1774" s="168" t="str">
        <x:v>Não identificado</x:v>
      </x:c>
      <x:c r="H1774" s="168" t="str">
        <x:v>Outros</x:v>
      </x:c>
      <x:c r="I1774" s="168" t="str">
        <x:v>Multicarteira Outros</x:v>
      </x:c>
      <x:c r="J1774" s="168" t="str">
        <x:v>CI</x:v>
      </x:c>
      <x:c r="K1774" s="174" t="n">
        <x:v>109</x:v>
      </x:c>
      <x:c r="L1774" s="187" t="str">
        <x:v>Proxy multicedente/multissacado — revisar</x:v>
      </x:c>
    </x:row>
    <x:row r="1775">
      <x:c r="A1775" s="177" t="str">
        <x:v>60.851.290/0001-09</x:v>
      </x:c>
      <x:c r="B1775" s="168" t="str">
        <x:v>LRS FUNDO DE INVESTIMENTO EM DIREITOS CREDITÓRIOS RESPONSABILIDADE LIMITADA</x:v>
      </x:c>
      <x:c r="C1775" s="190" t="n">
        <x:v>38895453.81</x:v>
      </x:c>
      <x:c r="D1775" s="168" t="str">
        <x:v>ITAU ASSET</x:v>
      </x:c>
      <x:c r="E1775" s="168" t="str">
        <x:f>IFERROR(INDEX('Classif Gestoras'!$H$6:$H$462,MATCH(D1775,'Classif Gestoras'!$A$6:$A$462,0)),"Não classificada")</x:f>
        <x:v>Ligada a banco</x:v>
      </x:c>
      <x:c r="F1775" s="168" t="str">
        <x:v>INTRAG DIST. DE TÍTU</x:v>
      </x:c>
      <x:c r="G1775" s="168" t="str">
        <x:v>ITAU UNIBANCO S.A.</x:v>
      </x:c>
      <x:c r="H1775" s="168" t="str">
        <x:v>Outros</x:v>
      </x:c>
      <x:c r="I1775" s="168" t="str">
        <x:v>Multicarteira Outros</x:v>
      </x:c>
      <x:c r="J1775" s="168" t="str">
        <x:v>CIPC</x:v>
      </x:c>
      <x:c r="K1775" s="174" t="n">
        <x:v>3</x:v>
      </x:c>
      <x:c r="L1775" s="187" t="str">
        <x:v>Proxy multicedente/multissacado — revisar</x:v>
      </x:c>
    </x:row>
    <x:row r="1776">
      <x:c r="A1776" s="177" t="str">
        <x:v>52.258.922/0001-05</x:v>
      </x:c>
      <x:c r="B1776" s="168" t="str">
        <x:v>BRAVA FUNDO DE INVESTIMENTO EM DIREITOS CREDITÓRIOS</x:v>
      </x:c>
      <x:c r="C1776" s="190" t="n">
        <x:v>38833621.2</x:v>
      </x:c>
      <x:c r="D1776" s="168" t="str">
        <x:v>M8 Partners</x:v>
      </x:c>
      <x:c r="E1776" s="168" t="str">
        <x:f>IFERROR(INDEX('Classif Gestoras'!$H$6:$H$462,MATCH(D1776,'Classif Gestoras'!$A$6:$A$462,0)),"Não classificada")</x:f>
        <x:v>Independente</x:v>
      </x:c>
      <x:c r="F1776" s="168" t="str">
        <x:v>Singulare</x:v>
      </x:c>
      <x:c r="G1776" s="168" t="str">
        <x:v>QI CORRETORA DE TÍTULOS E VALORES MOBILIÁRIOS S.A.</x:v>
      </x:c>
      <x:c r="H1776" s="168" t="str">
        <x:v>Fomento Mercantil</x:v>
      </x:c>
      <x:c r="I1776" s="168" t="str">
        <x:v>Fomento Mercantil</x:v>
      </x:c>
      <x:c r="J1776" s="168" t="str">
        <x:v>CI</x:v>
      </x:c>
      <x:c r="K1776" s="174" t="n">
        <x:v>11</x:v>
      </x:c>
      <x:c r="L1776" s="187" t="str">
        <x:v>Não classificado</x:v>
      </x:c>
    </x:row>
    <x:row r="1777">
      <x:c r="A1777" s="177" t="str">
        <x:v>52.680.896/0001-09</x:v>
      </x:c>
      <x:c r="B1777" s="168" t="str">
        <x:v>KAISEN FUNDO DE INVESTIMENTO EM DIREITOS CREDITÓRIOS RESPONSABILIDADE LIMITADA</x:v>
      </x:c>
      <x:c r="C1777" s="190" t="n">
        <x:v>38776310.83</x:v>
      </x:c>
      <x:c r="D1777" s="168" t="str">
        <x:v>GESTORA DE RECURSOS ID - GRID LTDA.</x:v>
      </x:c>
      <x:c r="E1777" s="168" t="str">
        <x:f>IFERROR(INDEX('Classif Gestoras'!$H$6:$H$462,MATCH(D1777,'Classif Gestoras'!$A$6:$A$462,0)),"Não classificada")</x:f>
        <x:v>Independente</x:v>
      </x:c>
      <x:c r="F1777" s="168" t="str">
        <x:v>ID Corretora de Títulos e Valores Mobiliários S.A.</x:v>
      </x:c>
      <x:c r="G1777" s="168" t="str">
        <x:v>ID CORRETORA DE TITULOS E VALORES MOBILIARIOS S.A.</x:v>
      </x:c>
      <x:c r="H1777" s="168" t="str">
        <x:v>Outros</x:v>
      </x:c>
      <x:c r="I1777" s="168" t="str">
        <x:v>Multicarteira Outros</x:v>
      </x:c>
      <x:c r="J1777" s="168" t="str">
        <x:v>CI</x:v>
      </x:c>
      <x:c r="K1777" s="174" t="n">
        <x:v>1</x:v>
      </x:c>
      <x:c r="L1777" s="187" t="str">
        <x:v>Proxy multicedente/multissacado — revisar</x:v>
      </x:c>
    </x:row>
    <x:row r="1778">
      <x:c r="A1778" s="177" t="str">
        <x:v>61.532.126/0001-00</x:v>
      </x:c>
      <x:c r="B1778" s="168" t="str">
        <x:v>VICTORY FUND - FUNDO DE INVESTIMENTO EM DIREITOS CREDITÓRIOS - RESPONSABILIDADE LIMITADA</x:v>
      </x:c>
      <x:c r="C1778" s="190" t="n">
        <x:v>38750783.27</x:v>
      </x:c>
      <x:c r="D1778" s="168" t="str">
        <x:v>AGG Investimentos Ltda.</x:v>
      </x:c>
      <x:c r="E1778" s="168" t="str">
        <x:f>IFERROR(INDEX('Classif Gestoras'!$H$6:$H$462,MATCH(D1778,'Classif Gestoras'!$A$6:$A$462,0)),"Não classificada")</x:f>
        <x:v>Independente</x:v>
      </x:c>
      <x:c r="F1778" s="168" t="str">
        <x:v>MONETAR DISTRIBUIDORA DE TITUL</x:v>
      </x:c>
      <x:c r="G1778" s="168" t="str">
        <x:v>TERRA INVESTIMENTOS DISTRIBUIDORA DE TITULOS E VALORES MOBILIARIOS LTDA</x:v>
      </x:c>
      <x:c r="H1778" s="168" t="str">
        <x:v>Outros</x:v>
      </x:c>
      <x:c r="I1778" s="168" t="str">
        <x:v>Multicarteira Outros</x:v>
      </x:c>
      <x:c r="J1778" s="168" t="str">
        <x:v>CI</x:v>
      </x:c>
      <x:c r="K1778" s="174" t="n">
        <x:v>2</x:v>
      </x:c>
      <x:c r="L1778" s="187" t="str">
        <x:v>Proxy multicedente/multissacado — revisar</x:v>
      </x:c>
    </x:row>
    <x:row r="1779">
      <x:c r="A1779" s="177" t="str">
        <x:v>63.819.527/0001-62</x:v>
      </x:c>
      <x:c r="B1779" s="168" t="str">
        <x:v>ALIANÇA FUNDO DE INVESTIMENTO EM DIREITOS CREDITÓRIOS</x:v>
      </x:c>
      <x:c r="C1779" s="190" t="n">
        <x:v>38711893.33</x:v>
      </x:c>
      <x:c r="D1779" s="168" t="str">
        <x:v>PACTUAL CAPITAL PART</x:v>
      </x:c>
      <x:c r="E1779" s="168" t="str">
        <x:f>IFERROR(INDEX('Classif Gestoras'!$H$6:$H$462,MATCH(D1779,'Classif Gestoras'!$A$6:$A$462,0)),"Não classificada")</x:f>
        <x:v>Independente</x:v>
      </x:c>
      <x:c r="F1779" s="168" t="str">
        <x:v>BTG Pactual Servicos Financeiros S/A DTVM</x:v>
      </x:c>
      <x:c r="G1779" s="168" t="str">
        <x:v>BANCO BTG PACTUAL S/A</x:v>
      </x:c>
      <x:c r="H1779" s="168" t="str">
        <x:v>Fomento Mercantil</x:v>
      </x:c>
      <x:c r="I1779" s="168" t="str">
        <x:v>Fomento Mercantil</x:v>
      </x:c>
      <x:c r="J1779" s="168" t="str">
        <x:v>CI</x:v>
      </x:c>
      <x:c r="K1779" s="174" t="n">
        <x:v>3</x:v>
      </x:c>
      <x:c r="L1779" s="187" t="str">
        <x:v>Não classificado</x:v>
      </x:c>
    </x:row>
    <x:row r="1780">
      <x:c r="A1780" s="177" t="str">
        <x:v>43.873.012/0001-33</x:v>
      </x:c>
      <x:c r="B1780" s="168" t="str">
        <x:v>CARMEL II - FUNDO DE INVESTIMENTO EM DIREITOS CREDITÓRIOS - RESPONSABILIDADE LIMITADA</x:v>
      </x:c>
      <x:c r="C1780" s="190" t="n">
        <x:v>38608519.21</x:v>
      </x:c>
      <x:c r="D1780" s="168" t="str">
        <x:v>CARMEL GESTORA DE ATIVOS LTDA</x:v>
      </x:c>
      <x:c r="E1780" s="168" t="str">
        <x:f>IFERROR(INDEX('Classif Gestoras'!$H$6:$H$462,MATCH(D1780,'Classif Gestoras'!$A$6:$A$462,0)),"Não classificada")</x:f>
        <x:v>Independente</x:v>
      </x:c>
      <x:c r="F1780" s="168" t="str">
        <x:v>BRL TRUST DTVM</x:v>
      </x:c>
      <x:c r="G1780" s="168" t="str">
        <x:v>BRL TRUST DISTRIBUIDORA DE TITULOS E VALORES MOBILIARIOS S.A.</x:v>
      </x:c>
      <x:c r="H1780" s="168" t="str">
        <x:v>Outros</x:v>
      </x:c>
      <x:c r="I1780" s="168" t="str">
        <x:v>Multicarteira Outros</x:v>
      </x:c>
      <x:c r="J1780" s="168" t="str">
        <x:v>CI</x:v>
      </x:c>
      <x:c r="K1780" s="174" t="n">
        <x:v>4</x:v>
      </x:c>
      <x:c r="L1780" s="187" t="str">
        <x:v>Proxy multicedente/multissacado — revisar</x:v>
      </x:c>
    </x:row>
    <x:row r="1781">
      <x:c r="A1781" s="177" t="str">
        <x:v>63.453.654/0001-90</x:v>
      </x:c>
      <x:c r="B1781" s="168" t="str">
        <x:v>CYGNUS FUNDO DE INVESTIMENTO EM DIREITOS CREDITÓRIOS</x:v>
      </x:c>
      <x:c r="C1781" s="190" t="n">
        <x:v>38582959.43</x:v>
      </x:c>
      <x:c r="D1781" s="168" t="str">
        <x:v>SOSU CAPITAL GESTÃO DE INVESTIMENTOS LTDA.</x:v>
      </x:c>
      <x:c r="E1781" s="168" t="str">
        <x:f>IFERROR(INDEX('Classif Gestoras'!$H$6:$H$462,MATCH(D1781,'Classif Gestoras'!$A$6:$A$462,0)),"Não classificada")</x:f>
        <x:v>Independente</x:v>
      </x:c>
      <x:c r="F1781" s="168" t="str">
        <x:v>BRL TRUST DTVM</x:v>
      </x:c>
      <x:c r="G1781" s="168" t="str">
        <x:v>BRL TRUST DISTRIBUIDORA DE TITULOS E VALORES MOBILIARIOS S.A.</x:v>
      </x:c>
      <x:c r="H1781" s="168" t="str">
        <x:v>Outros</x:v>
      </x:c>
      <x:c r="I1781" s="168" t="str">
        <x:v>Multicarteira Outros</x:v>
      </x:c>
      <x:c r="J1781" s="168" t="str">
        <x:v>CI</x:v>
      </x:c>
      <x:c r="K1781" s="174" t="n">
        <x:v>4</x:v>
      </x:c>
      <x:c r="L1781" s="187" t="str">
        <x:v>Proxy multicedente/multissacado — revisar</x:v>
      </x:c>
    </x:row>
    <x:row r="1782">
      <x:c r="A1782" s="177" t="str">
        <x:v>59.482.333/0001-47</x:v>
      </x:c>
      <x:c r="B1782" s="168" t="str">
        <x:v>ITAÚNA LBZ PRECATÓRIOS FUNDO DE INVESTIMENTO EM DIREITOS CREDITÓRIOS - RESPONSABILIDADE LIMITADA</x:v>
      </x:c>
      <x:c r="C1782" s="190" t="n">
        <x:v>38507620.5</x:v>
      </x:c>
      <x:c r="D1782" s="168" t="str">
        <x:v>ITAÚNA CAPITAL LTDA.</x:v>
      </x:c>
      <x:c r="E1782" s="168" t="str">
        <x:f>IFERROR(INDEX('Classif Gestoras'!$H$6:$H$462,MATCH(D1782,'Classif Gestoras'!$A$6:$A$462,0)),"Não classificada")</x:f>
        <x:v>Ligada a banco</x:v>
      </x:c>
      <x:c r="F1782" s="168" t="str">
        <x:v>BNY MELLON SERVICOS</x:v>
      </x:c>
      <x:c r="G1782" s="168" t="str">
        <x:v>BNY MELLON BANCO S.A.</x:v>
      </x:c>
      <x:c r="H1782" s="168" t="str">
        <x:v>Outros</x:v>
      </x:c>
      <x:c r="I1782" s="168" t="str">
        <x:v>Multicarteira Outros</x:v>
      </x:c>
      <x:c r="J1782" s="168" t="str">
        <x:v>CI</x:v>
      </x:c>
      <x:c r="K1782" s="174" t="n">
        <x:v>98</x:v>
      </x:c>
      <x:c r="L1782" s="187" t="str">
        <x:v>Proxy multicedente/multissacado — revisar</x:v>
      </x:c>
    </x:row>
    <x:row r="1783">
      <x:c r="A1783" s="177" t="str">
        <x:v>28.267.746/0001-85</x:v>
      </x:c>
      <x:c r="B1783" s="168" t="str">
        <x:v>LEPAPIE FUNDO DE INVESTIMENTO EM DIREITOS CREDITÓRIOS MULTISEGMENTOS</x:v>
      </x:c>
      <x:c r="C1783" s="190" t="n">
        <x:v>38453184.88999999</x:v>
      </x:c>
      <x:c r="D1783" s="168" t="str">
        <x:v>Petra Capital</x:v>
      </x:c>
      <x:c r="E1783" s="168" t="str">
        <x:f>IFERROR(INDEX('Classif Gestoras'!$H$6:$H$462,MATCH(D1783,'Classif Gestoras'!$A$6:$A$462,0)),"Não classificada")</x:f>
        <x:v>Independente</x:v>
      </x:c>
      <x:c r="F1783" s="168" t="str">
        <x:v>Finaxis Corretora de Títulos e Valores Mobiliários S.A.</x:v>
      </x:c>
      <x:c r="G1783" s="168" t="str">
        <x:v>BANCO FINAXIS S.A.</x:v>
      </x:c>
      <x:c r="H1783" s="168" t="str">
        <x:v>Fomento Mercantil</x:v>
      </x:c>
      <x:c r="I1783" s="168" t="str">
        <x:v>Fomento Mercantil</x:v>
      </x:c>
      <x:c r="J1783" s="168" t="str">
        <x:v>CI</x:v>
      </x:c>
      <x:c r="K1783" s="174" t="n">
        <x:v>9</x:v>
      </x:c>
      <x:c r="L1783" s="187" t="str">
        <x:v>Não classificado</x:v>
      </x:c>
    </x:row>
    <x:row r="1784">
      <x:c r="A1784" s="177" t="str">
        <x:v>60.595.957/0001-50</x:v>
      </x:c>
      <x:c r="B1784" s="168" t="str">
        <x:v>F6 FUNDO DE INVESTIMENTO EM DIREITOS CREDITÓRIOS MULTISSEGMENTOS</x:v>
      </x:c>
      <x:c r="C1784" s="190" t="n">
        <x:v>38449568.440000005</x:v>
      </x:c>
      <x:c r="D1784" s="168" t="str">
        <x:v>Petra Capital</x:v>
      </x:c>
      <x:c r="E1784" s="168" t="str">
        <x:f>IFERROR(INDEX('Classif Gestoras'!$H$6:$H$462,MATCH(D1784,'Classif Gestoras'!$A$6:$A$462,0)),"Não classificada")</x:f>
        <x:v>Independente</x:v>
      </x:c>
      <x:c r="F1784" s="168" t="str">
        <x:v>Finaxis Corretora de Títulos e Valores Mobiliários S.A.</x:v>
      </x:c>
      <x:c r="G1784" s="168" t="str">
        <x:v>BANCO FINAXIS S.A.</x:v>
      </x:c>
      <x:c r="H1784" s="168" t="str">
        <x:v>Agro, Indústria e Comércio</x:v>
      </x:c>
      <x:c r="I1784" s="168" t="str">
        <x:v>Recebíveis Comerciais</x:v>
      </x:c>
      <x:c r="J1784" s="168" t="str">
        <x:v>CI</x:v>
      </x:c>
      <x:c r="K1784" s="174" t="n">
        <x:v>6</x:v>
      </x:c>
      <x:c r="L1784" s="187" t="str">
        <x:v>Não classificado</x:v>
      </x:c>
    </x:row>
    <x:row r="1785">
      <x:c r="A1785" s="177" t="str">
        <x:v>26.452.257/0001-78</x:v>
      </x:c>
      <x:c r="B1785" s="168" t="str">
        <x:v>AURI FUNDO DE INVESTIMENTO EM DIREITOS CREDITÓRIOS RESPONSABILIDADE LIMITADA</x:v>
      </x:c>
      <x:c r="C1785" s="190" t="n">
        <x:v>38368553.2</x:v>
      </x:c>
      <x:c r="D1785" s="168" t="str">
        <x:v>Bless Capital Gestora de Recursos Ltda.</x:v>
      </x:c>
      <x:c r="E1785" s="168" t="str">
        <x:f>IFERROR(INDEX('Classif Gestoras'!$H$6:$H$462,MATCH(D1785,'Classif Gestoras'!$A$6:$A$462,0)),"Não classificada")</x:f>
        <x:v>Independente</x:v>
      </x:c>
      <x:c r="F1785" s="168" t="str">
        <x:v>ID Corretora de Títulos e Valores Mobiliários S.A.</x:v>
      </x:c>
      <x:c r="G1785" s="168" t="str">
        <x:v>ID CORRETORA DE TITULOS E VALORES MOBILIARIOS S.A.</x:v>
      </x:c>
      <x:c r="H1785" s="168" t="str">
        <x:v>Outros</x:v>
      </x:c>
      <x:c r="I1785" s="168" t="str">
        <x:v>Multicarteira Outros</x:v>
      </x:c>
      <x:c r="J1785" s="168" t="str">
        <x:v>CI</x:v>
      </x:c>
      <x:c r="K1785" s="174" t="n">
        <x:v>37</x:v>
      </x:c>
      <x:c r="L1785" s="187" t="str">
        <x:v>Proxy multicedente/multissacado — revisar</x:v>
      </x:c>
    </x:row>
    <x:row r="1786">
      <x:c r="A1786" s="177" t="str">
        <x:v>54.856.185/0001-60</x:v>
      </x:c>
      <x:c r="B1786" s="168" t="str">
        <x:v>FDCE FUNDO DE INVESTIMENTO EM DIREITOS CREDITÓRIOS</x:v>
      </x:c>
      <x:c r="C1786" s="190" t="n">
        <x:v>38252135.86</x:v>
      </x:c>
      <x:c r="D1786" s="168" t="str">
        <x:v>Redwood Asset Management</x:v>
      </x:c>
      <x:c r="E1786" s="168" t="str">
        <x:f>IFERROR(INDEX('Classif Gestoras'!$H$6:$H$462,MATCH(D1786,'Classif Gestoras'!$A$6:$A$462,0)),"Não classificada")</x:f>
        <x:v>Independente</x:v>
      </x:c>
      <x:c r="F1786" s="168" t="str">
        <x:v>PLANNER CV</x:v>
      </x:c>
      <x:c r="G1786" s="168" t="str">
        <x:v>PLANNER CORRETORA DE VALORES S.A.</x:v>
      </x:c>
      <x:c r="H1786" s="168" t="str">
        <x:v>Outros</x:v>
      </x:c>
      <x:c r="I1786" s="168" t="str">
        <x:v>Multicarteira Outros</x:v>
      </x:c>
      <x:c r="J1786" s="168" t="str">
        <x:v>CI</x:v>
      </x:c>
      <x:c r="K1786" s="174" t="n">
        <x:v>1</x:v>
      </x:c>
      <x:c r="L1786" s="187" t="str">
        <x:v>Proxy multicedente/multissacado — revisar</x:v>
      </x:c>
    </x:row>
    <x:row r="1787">
      <x:c r="A1787" s="177" t="str">
        <x:v>53.936.215/0001-85</x:v>
      </x:c>
      <x:c r="B1787" s="168" t="str">
        <x:v>FDR FUNDO DE INVESTIMENTO EM DIREITOS CREDITÓRIOS</x:v>
      </x:c>
      <x:c r="C1787" s="190" t="n">
        <x:v>38232928.43</x:v>
      </x:c>
      <x:c r="D1787" s="168" t="str">
        <x:v>ICON CAPITAL</x:v>
      </x:c>
      <x:c r="E1787" s="168" t="str">
        <x:f>IFERROR(INDEX('Classif Gestoras'!$H$6:$H$462,MATCH(D1787,'Classif Gestoras'!$A$6:$A$462,0)),"Não classificada")</x:f>
        <x:v>Independente</x:v>
      </x:c>
      <x:c r="F1787" s="168" t="str">
        <x:v>FIDD DISTRIBUIDORA DE TITULOS E VALORES MOBILIARIOS LTD</x:v>
      </x:c>
      <x:c r="G1787" s="168" t="str">
        <x:v>FIDD DISTRIBUIDORA DE TITULOS E VALORES MOBILIARIOS LTDA.</x:v>
      </x:c>
      <x:c r="H1787" s="168" t="str">
        <x:v>Outros</x:v>
      </x:c>
      <x:c r="I1787" s="168" t="str">
        <x:v>Multicarteira Outros</x:v>
      </x:c>
      <x:c r="J1787" s="168" t="str">
        <x:v>CI</x:v>
      </x:c>
      <x:c r="K1787" s="174" t="n">
        <x:v>5</x:v>
      </x:c>
      <x:c r="L1787" s="187" t="str">
        <x:v>Proxy multicedente/multissacado — revisar</x:v>
      </x:c>
    </x:row>
    <x:row r="1788">
      <x:c r="A1788" s="177" t="str">
        <x:v>54.705.382/0001-88</x:v>
      </x:c>
      <x:c r="B1788" s="168" t="str">
        <x:v>CASHGO FUNDO DE INVESTIMENTO EM DIREITOS CREDITÓRIOS - RESPONSABILIDADE LIMITADA</x:v>
      </x:c>
      <x:c r="C1788" s="190" t="n">
        <x:v>38176008.559999995</x:v>
      </x:c>
      <x:c r="D1788" s="168" t="str">
        <x:v>AUGME CAPITAL GESTÃO DE RECURSOS LTDA.</x:v>
      </x:c>
      <x:c r="E1788" s="168" t="str">
        <x:f>IFERROR(INDEX('Classif Gestoras'!$H$6:$H$462,MATCH(D1788,'Classif Gestoras'!$A$6:$A$462,0)),"Não classificada")</x:f>
        <x:v>Independente</x:v>
      </x:c>
      <x:c r="F1788" s="168" t="str">
        <x:v>BANCO DAYCOVAL S/A</x:v>
      </x:c>
      <x:c r="G1788" s="168" t="str">
        <x:v>BANCO DAYCOVAL S.A.</x:v>
      </x:c>
      <x:c r="H1788" s="168" t="str">
        <x:v>Financeiro</x:v>
      </x:c>
      <x:c r="I1788" s="168" t="str">
        <x:v>Crédito Imobiliário</x:v>
      </x:c>
      <x:c r="J1788" s="168" t="str">
        <x:v>CI</x:v>
      </x:c>
      <x:c r="K1788" s="174" t="n">
        <x:v>64</x:v>
      </x:c>
      <x:c r="L1788" s="187" t="str">
        <x:v>Não classificado</x:v>
      </x:c>
    </x:row>
    <x:row r="1789">
      <x:c r="A1789" s="177" t="str">
        <x:v>53.643.695/0001-96</x:v>
      </x:c>
      <x:c r="B1789" s="168" t="str">
        <x:v>CUIVRÉ FUNDO DE INVESTIMENTO EM DIREITOS CREDITÓRIOS</x:v>
      </x:c>
      <x:c r="C1789" s="190" t="n">
        <x:v>38114227.7</x:v>
      </x:c>
      <x:c r="D1789" s="168" t="str">
        <x:v>SUESTE CAPITAL GESTÃO DE RECURSOS LTDA.</x:v>
      </x:c>
      <x:c r="E1789" s="168" t="str">
        <x:f>IFERROR(INDEX('Classif Gestoras'!$H$6:$H$462,MATCH(D1789,'Classif Gestoras'!$A$6:$A$462,0)),"Não classificada")</x:f>
        <x:v>Independente</x:v>
      </x:c>
      <x:c r="F1789" s="168" t="str">
        <x:v>XPI CCTVM S/A</x:v>
      </x:c>
      <x:c r="G1789" s="168" t="str">
        <x:v>OLIVEIRA TRUST DTVM S.A.</x:v>
      </x:c>
      <x:c r="H1789" s="168" t="str">
        <x:v>Fomento Mercantil</x:v>
      </x:c>
      <x:c r="I1789" s="168" t="str">
        <x:v>Fomento Mercantil</x:v>
      </x:c>
      <x:c r="J1789" s="168" t="str">
        <x:v>CI</x:v>
      </x:c>
      <x:c r="K1789" s="174" t="n">
        <x:v>6</x:v>
      </x:c>
      <x:c r="L1789" s="187" t="str">
        <x:v>Não classificado</x:v>
      </x:c>
    </x:row>
    <x:row r="1790">
      <x:c r="A1790" s="177" t="str">
        <x:v>19.425.573/0001-95</x:v>
      </x:c>
      <x:c r="B1790" s="168" t="str">
        <x:v>FINANÇA NP - FUNDO DE INVESTIMENTO EM DIREITOS CREDITORIOS NÃO PADRONIZADOS MULTISSETORIAL</x:v>
      </x:c>
      <x:c r="C1790" s="190" t="n">
        <x:v>38097520.72</x:v>
      </x:c>
      <x:c r="D1790" s="168" t="str">
        <x:v>TERCON ASSET MANAGEMENT</x:v>
      </x:c>
      <x:c r="E1790" s="168" t="str">
        <x:f>IFERROR(INDEX('Classif Gestoras'!$H$6:$H$462,MATCH(D1790,'Classif Gestoras'!$A$6:$A$462,0)),"Não classificada")</x:f>
        <x:v>Independente</x:v>
      </x:c>
      <x:c r="F1790" s="168" t="str">
        <x:v>Singulare</x:v>
      </x:c>
      <x:c r="G1790" s="168" t="str">
        <x:v>QI CORRETORA DE TÍTULOS E VALORES MOBILIÁRIOS S.A.</x:v>
      </x:c>
      <x:c r="H1790" s="168" t="str">
        <x:v>Fomento Mercantil</x:v>
      </x:c>
      <x:c r="I1790" s="168" t="str">
        <x:v>Fomento Mercantil</x:v>
      </x:c>
      <x:c r="J1790" s="168" t="str">
        <x:v>CI</x:v>
      </x:c>
      <x:c r="K1790" s="174" t="n">
        <x:v>2</x:v>
      </x:c>
      <x:c r="L1790" s="187" t="str">
        <x:v>Não classificado</x:v>
      </x:c>
    </x:row>
    <x:row r="1791">
      <x:c r="A1791" s="177" t="str">
        <x:v>31.159.172/0001-36</x:v>
      </x:c>
      <x:c r="B1791" s="168" t="str">
        <x:v>VALORA CAPITAL PARTNERS HY FUNDO DE INVESTIMENTO EM DIREITOS CREDITÓRIOS RESPONSABILIDADE LIMITADA</x:v>
      </x:c>
      <x:c r="C1791" s="190" t="n">
        <x:v>37944543.7315</x:v>
      </x:c>
      <x:c r="D1791" s="168" t="str">
        <x:v>VALORA RENDA FIXA LTDA.</x:v>
      </x:c>
      <x:c r="E1791" s="168" t="str">
        <x:f>IFERROR(INDEX('Classif Gestoras'!$H$6:$H$462,MATCH(D1791,'Classif Gestoras'!$A$6:$A$462,0)),"Não classificada")</x:f>
        <x:v>Independente</x:v>
      </x:c>
      <x:c r="F1791" s="168" t="str">
        <x:v>BTG Pactual Servicos Financeiros S/A DTVM</x:v>
      </x:c>
      <x:c r="G1791" s="168" t="str">
        <x:v>BANCO BTG PACTUAL S/A</x:v>
      </x:c>
      <x:c r="H1791" s="168" t="str">
        <x:v>Outros</x:v>
      </x:c>
      <x:c r="I1791" s="168" t="str">
        <x:v>Multicarteira Outros</x:v>
      </x:c>
      <x:c r="J1791" s="168" t="str">
        <x:v>CI</x:v>
      </x:c>
      <x:c r="K1791" s="174" t="n">
        <x:v>27</x:v>
      </x:c>
      <x:c r="L1791" s="187" t="str">
        <x:v>Proxy multicedente/multissacado — revisar</x:v>
      </x:c>
    </x:row>
    <x:row r="1792">
      <x:c r="A1792" s="177" t="str">
        <x:v>40.226.165/0001-09</x:v>
      </x:c>
      <x:c r="B1792" s="168" t="str">
        <x:v>VAIL PRECATÓRIO FUNDO DE INVESTIMENTO EM DIREITOS CREDITÓRIOS NÃO PADRONIZADO</x:v>
      </x:c>
      <x:c r="C1792" s="190" t="n">
        <x:v>37901065.32</x:v>
      </x:c>
      <x:c r="D1792" s="168" t="str">
        <x:v>Patrimonial Gestão</x:v>
      </x:c>
      <x:c r="E1792" s="168" t="str">
        <x:f>IFERROR(INDEX('Classif Gestoras'!$H$6:$H$462,MATCH(D1792,'Classif Gestoras'!$A$6:$A$462,0)),"Não classificada")</x:f>
        <x:v>Independente</x:v>
      </x:c>
      <x:c r="F1792" s="168" t="str">
        <x:v>Singulare</x:v>
      </x:c>
      <x:c r="G1792" s="168" t="str">
        <x:v>QI CORRETORA DE TÍTULOS E VALORES MOBILIÁRIOS S.A.</x:v>
      </x:c>
      <x:c r="H1792" s="168" t="str">
        <x:v>Outros</x:v>
      </x:c>
      <x:c r="I1792" s="168" t="str">
        <x:v>Poder Público</x:v>
      </x:c>
      <x:c r="J1792" s="168" t="str">
        <x:v>CI</x:v>
      </x:c>
      <x:c r="K1792" s="174" t="n">
        <x:v>60</x:v>
      </x:c>
      <x:c r="L1792" s="187" t="str">
        <x:v>Não classificado</x:v>
      </x:c>
    </x:row>
    <x:row r="1793">
      <x:c r="A1793" s="177" t="str">
        <x:v>38.305.947/0001-83</x:v>
      </x:c>
      <x:c r="B1793" s="168" t="str">
        <x:v>ESTRUTURADO FUNDO DE INVESTIMENTO EM DIREITOS CREDITÓRIOS</x:v>
      </x:c>
      <x:c r="C1793" s="190" t="n">
        <x:v>37868553.05</x:v>
      </x:c>
      <x:c r="D1793" s="168" t="str">
        <x:v>Solis</x:v>
      </x:c>
      <x:c r="E1793" s="168" t="str">
        <x:f>IFERROR(INDEX('Classif Gestoras'!$H$6:$H$462,MATCH(D1793,'Classif Gestoras'!$A$6:$A$462,0)),"Não classificada")</x:f>
        <x:v>Independente</x:v>
      </x:c>
      <x:c r="F1793" s="168" t="str">
        <x:v>HEMERA DTVM</x:v>
      </x:c>
      <x:c r="G1793" s="168" t="str">
        <x:v>HEMERA DISTRIBUIDORA DE TITULOS E VALORES MOBILIARIOS LTDA</x:v>
      </x:c>
      <x:c r="H1793" s="168" t="str">
        <x:v>Outros</x:v>
      </x:c>
      <x:c r="I1793" s="168" t="str">
        <x:v>Multicarteira Outros</x:v>
      </x:c>
      <x:c r="J1793" s="168" t="str">
        <x:v>CI</x:v>
      </x:c>
      <x:c r="K1793" s="174" t="n">
        <x:v>1</x:v>
      </x:c>
      <x:c r="L1793" s="187" t="str">
        <x:v>Proxy multicedente/multissacado — revisar</x:v>
      </x:c>
    </x:row>
    <x:row r="1794">
      <x:c r="A1794" s="177" t="str">
        <x:v>65.225.163/0001-18</x:v>
      </x:c>
      <x:c r="B1794" s="168" t="str">
        <x:v>FUNDO DE INVESTIMENTO EM DIREITOS CREDITÓRIOS VAREJO CORPORATIVO I - RESPONSABILIDADE LIMITADA</x:v>
      </x:c>
      <x:c r="C1794" s="190" t="n">
        <x:v>37854519.87</x:v>
      </x:c>
      <x:c r="D1794" s="168" t="str">
        <x:v>Capitânia Alternatives S/A</x:v>
      </x:c>
      <x:c r="E1794" s="168" t="str">
        <x:f>IFERROR(INDEX('Classif Gestoras'!$H$6:$H$462,MATCH(D1794,'Classif Gestoras'!$A$6:$A$462,0)),"Não classificada")</x:f>
        <x:v>Independente</x:v>
      </x:c>
      <x:c r="F1794" s="168" t="str">
        <x:v>BRL TRUST DTVM</x:v>
      </x:c>
      <x:c r="G1794" s="168" t="str">
        <x:v>BRL TRUST DISTRIBUIDORA DE TITULOS E VALORES MOBILIARIOS S.A.</x:v>
      </x:c>
      <x:c r="H1794" s="168" t="str">
        <x:v>Agro, Indústria e Comércio</x:v>
      </x:c>
      <x:c r="I1794" s="168" t="str">
        <x:v>Crédito Corporativo</x:v>
      </x:c>
      <x:c r="J1794" s="168" t="str">
        <x:v>CI</x:v>
      </x:c>
      <x:c r="K1794" s="174" t="n">
        <x:v>19</x:v>
      </x:c>
      <x:c r="L1794" s="187" t="str">
        <x:v>Não classificado</x:v>
      </x:c>
    </x:row>
    <x:row r="1795">
      <x:c r="A1795" s="177" t="str">
        <x:v>47.936.340/0001-92</x:v>
      </x:c>
      <x:c r="B1795" s="168" t="str">
        <x:v>CNPJ 47936340000192</x:v>
      </x:c>
      <x:c r="C1795" s="190" t="n">
        <x:v>37835060.5</x:v>
      </x:c>
      <x:c r="D1795" s="168" t="str">
        <x:v>OPEA GESTORA DE RECURSOS</x:v>
      </x:c>
      <x:c r="E1795" s="168" t="str">
        <x:f>IFERROR(INDEX('Classif Gestoras'!$H$6:$H$462,MATCH(D1795,'Classif Gestoras'!$A$6:$A$462,0)),"Não classificada")</x:f>
        <x:v>Independente</x:v>
      </x:c>
      <x:c r="F1795" s="168" t="str">
        <x:v>VÓRTX DTVM</x:v>
      </x:c>
      <x:c r="G1795" s="168" t="str">
        <x:v>Não identificado</x:v>
      </x:c>
      <x:c r="H1795" s="168" t="str">
        <x:v>Agro, Indústria e Comércio</x:v>
      </x:c>
      <x:c r="I1795" s="168" t="str">
        <x:v>Recebíveis Comerciais</x:v>
      </x:c>
      <x:c r="J1795" s="168" t="str">
        <x:v>CI</x:v>
      </x:c>
      <x:c r="K1795" s="174"/>
      <x:c r="L1795" s="187" t="str">
        <x:v>Não classificado</x:v>
      </x:c>
    </x:row>
    <x:row r="1796">
      <x:c r="A1796" s="177" t="str">
        <x:v>23.381.539/0001-33</x:v>
      </x:c>
      <x:c r="B1796" s="168" t="str">
        <x:v>LESTE CREDIT FUNDO DE INVESTIMENTO EM DIREITOS CREDITÓRIOS RESPONSABILIDADE LIMITADA</x:v>
      </x:c>
      <x:c r="C1796" s="190" t="n">
        <x:v>37820128.4</x:v>
      </x:c>
      <x:c r="D1796" s="168" t="str">
        <x:v>Leste Credit Gestão de Recursos LTDA.</x:v>
      </x:c>
      <x:c r="E1796" s="168" t="str">
        <x:f>IFERROR(INDEX('Classif Gestoras'!$H$6:$H$462,MATCH(D1796,'Classif Gestoras'!$A$6:$A$462,0)),"Não classificada")</x:f>
        <x:v>Independente</x:v>
      </x:c>
      <x:c r="F1796" s="168" t="str">
        <x:v>BRL TRUST DTVM</x:v>
      </x:c>
      <x:c r="G1796" s="168" t="str">
        <x:v>BRL TRUST DISTRIBUIDORA DE TITULOS E VALORES MOBILIARIOS S.A.</x:v>
      </x:c>
      <x:c r="H1796" s="168" t="str">
        <x:v>Outros</x:v>
      </x:c>
      <x:c r="I1796" s="168" t="str">
        <x:v>Multicarteira Outros</x:v>
      </x:c>
      <x:c r="J1796" s="168" t="str">
        <x:v>CI</x:v>
      </x:c>
      <x:c r="K1796" s="174" t="n">
        <x:v>4</x:v>
      </x:c>
      <x:c r="L1796" s="187" t="str">
        <x:v>Proxy multicedente/multissacado — revisar</x:v>
      </x:c>
    </x:row>
    <x:row r="1797">
      <x:c r="A1797" s="177" t="str">
        <x:v>10.841.829/0001-70</x:v>
      </x:c>
      <x:c r="B1797" s="168" t="str">
        <x:v>SPREADSUL FUNDO DE INVESTIMENTO EM DIREITOS CREDITÓRIOS</x:v>
      </x:c>
      <x:c r="C1797" s="190" t="n">
        <x:v>37607204.89</x:v>
      </x:c>
      <x:c r="D1797" s="168" t="str">
        <x:v>ARTESANAL MCMS</x:v>
      </x:c>
      <x:c r="E1797" s="168" t="str">
        <x:f>IFERROR(INDEX('Classif Gestoras'!$H$6:$H$462,MATCH(D1797,'Classif Gestoras'!$A$6:$A$462,0)),"Não classificada")</x:f>
        <x:v>Independente</x:v>
      </x:c>
      <x:c r="F1797" s="168" t="str">
        <x:v>Singulare</x:v>
      </x:c>
      <x:c r="G1797" s="168" t="str">
        <x:v>QI CORRETORA DE TÍTULOS E VALORES MOBILIÁRIOS S.A.</x:v>
      </x:c>
      <x:c r="H1797" s="168" t="str">
        <x:v>Fomento Mercantil</x:v>
      </x:c>
      <x:c r="I1797" s="168" t="str">
        <x:v>Fomento Mercantil</x:v>
      </x:c>
      <x:c r="J1797" s="168" t="str">
        <x:v>CI</x:v>
      </x:c>
      <x:c r="K1797" s="174" t="n">
        <x:v>3</x:v>
      </x:c>
      <x:c r="L1797" s="187" t="str">
        <x:v>Não classificado</x:v>
      </x:c>
    </x:row>
    <x:row r="1798">
      <x:c r="A1798" s="177" t="str">
        <x:v>41.801.984/0001-97</x:v>
      </x:c>
      <x:c r="B1798" s="168" t="str">
        <x:v>BOAK ABERTO FUNDO DE INVESTIMENTO EM DIREITOS CREDITÓRIOS - RESPONSABILIDADE LIMITADA</x:v>
      </x:c>
      <x:c r="C1798" s="190" t="n">
        <x:v>37598738.48</x:v>
      </x:c>
      <x:c r="D1798" s="168" t="str">
        <x:v>Plural Investimentos Gestão de Recursos Ltda.</x:v>
      </x:c>
      <x:c r="E1798" s="168" t="str">
        <x:f>IFERROR(INDEX('Classif Gestoras'!$H$6:$H$462,MATCH(D1798,'Classif Gestoras'!$A$6:$A$462,0)),"Não classificada")</x:f>
        <x:v>Ligada a banco</x:v>
      </x:c>
      <x:c r="F1798" s="168" t="str">
        <x:v>Genial Investimentos Corretora de Valores Mobiliários S.A.</x:v>
      </x:c>
      <x:c r="G1798" s="168" t="str">
        <x:v>BANCO GENIAL S.A.</x:v>
      </x:c>
      <x:c r="H1798" s="168" t="str">
        <x:v>Outros</x:v>
      </x:c>
      <x:c r="I1798" s="168" t="str">
        <x:v>Multicarteira Outros</x:v>
      </x:c>
      <x:c r="J1798" s="168" t="str">
        <x:v>CI</x:v>
      </x:c>
      <x:c r="K1798" s="174" t="n">
        <x:v>2</x:v>
      </x:c>
      <x:c r="L1798" s="187" t="str">
        <x:v>Proxy multicedente/multissacado — revisar</x:v>
      </x:c>
    </x:row>
    <x:row r="1799">
      <x:c r="A1799" s="177" t="str">
        <x:v>42.556.334/0001-96</x:v>
      </x:c>
      <x:c r="B1799" s="168" t="str">
        <x:v>DIGITAL STRATEGY FUNDO DE INVESTIMENTO EM DIREITOS CREDITÓRIOS - RESPONSABILIDADE LIMITADA</x:v>
      </x:c>
      <x:c r="C1799" s="190" t="n">
        <x:v>37587697.04</x:v>
      </x:c>
      <x:c r="D1799" s="168" t="str">
        <x:v>Quatá Investimentos</x:v>
      </x:c>
      <x:c r="E1799" s="168" t="str">
        <x:f>IFERROR(INDEX('Classif Gestoras'!$H$6:$H$462,MATCH(D1799,'Classif Gestoras'!$A$6:$A$462,0)),"Não classificada")</x:f>
        <x:v>Independente</x:v>
      </x:c>
      <x:c r="F1799" s="168" t="str">
        <x:v>BRL TRUST DTVM</x:v>
      </x:c>
      <x:c r="G1799" s="168" t="str">
        <x:v>BRL TRUST DISTRIBUIDORA DE TITULOS E VALORES MOBILIARIOS S.A.</x:v>
      </x:c>
      <x:c r="H1799" s="168" t="str">
        <x:v>Outros</x:v>
      </x:c>
      <x:c r="I1799" s="168" t="str">
        <x:v>Multicarteira Outros</x:v>
      </x:c>
      <x:c r="J1799" s="168" t="str">
        <x:v>CI</x:v>
      </x:c>
      <x:c r="K1799" s="174" t="n">
        <x:v>5</x:v>
      </x:c>
      <x:c r="L1799" s="187" t="str">
        <x:v>Proxy multicedente/multissacado — revisar</x:v>
      </x:c>
    </x:row>
    <x:row r="1800">
      <x:c r="A1800" s="177" t="str">
        <x:v>62.800.204/0001-64</x:v>
      </x:c>
      <x:c r="B1800" s="168" t="str">
        <x:v>DOMINUS WISE FUNDO DE INVESTIMENTO EM DIREITOS CREDITÓRIOS</x:v>
      </x:c>
      <x:c r="C1800" s="190" t="n">
        <x:v>37545904.18</x:v>
      </x:c>
      <x:c r="D1800" s="168" t="str">
        <x:v>KILIMA ASSET MANAGEMENT</x:v>
      </x:c>
      <x:c r="E1800" s="168" t="str">
        <x:f>IFERROR(INDEX('Classif Gestoras'!$H$6:$H$462,MATCH(D1800,'Classif Gestoras'!$A$6:$A$462,0)),"Não classificada")</x:f>
        <x:v>Independente</x:v>
      </x:c>
      <x:c r="F1800" s="168" t="str">
        <x:v>BRL TRUST DTVM</x:v>
      </x:c>
      <x:c r="G1800" s="168" t="str">
        <x:v>BRL TRUST DISTRIBUIDORA DE TITULOS E VALORES MOBILIARIOS S.A.</x:v>
      </x:c>
      <x:c r="H1800" s="168" t="str">
        <x:v>Fomento Mercantil</x:v>
      </x:c>
      <x:c r="I1800" s="168" t="str">
        <x:v>Fomento Mercantil</x:v>
      </x:c>
      <x:c r="J1800" s="168" t="str">
        <x:v>CI</x:v>
      </x:c>
      <x:c r="K1800" s="174" t="n">
        <x:v>2</x:v>
      </x:c>
      <x:c r="L1800" s="187" t="str">
        <x:v>Não classificado</x:v>
      </x:c>
    </x:row>
    <x:row r="1801">
      <x:c r="A1801" s="177" t="str">
        <x:v>54.486.959/0001-08</x:v>
      </x:c>
      <x:c r="B1801" s="168" t="str">
        <x:v>GALES FUNDO DE INVESTIMENTO EM DIREITOS CREDITÓRIOS - RESPONSABILIDADE LIMITADA</x:v>
      </x:c>
      <x:c r="C1801" s="190" t="n">
        <x:v>37517596.52</x:v>
      </x:c>
      <x:c r="D1801" s="168" t="str">
        <x:v>SOSU CAPITAL GESTÃO DE INVESTIMENTOS LTDA.</x:v>
      </x:c>
      <x:c r="E1801" s="168" t="str">
        <x:f>IFERROR(INDEX('Classif Gestoras'!$H$6:$H$462,MATCH(D1801,'Classif Gestoras'!$A$6:$A$462,0)),"Não classificada")</x:f>
        <x:v>Independente</x:v>
      </x:c>
      <x:c r="F1801" s="168" t="str">
        <x:v>BRL TRUST DTVM</x:v>
      </x:c>
      <x:c r="G1801" s="168" t="str">
        <x:v>BRL TRUST DISTRIBUIDORA DE TITULOS E VALORES MOBILIARIOS S.A.</x:v>
      </x:c>
      <x:c r="H1801" s="168" t="str">
        <x:v>Outros</x:v>
      </x:c>
      <x:c r="I1801" s="168" t="str">
        <x:v>Poder Público</x:v>
      </x:c>
      <x:c r="J1801" s="168" t="str">
        <x:v>CI</x:v>
      </x:c>
      <x:c r="K1801" s="174" t="n">
        <x:v>21</x:v>
      </x:c>
      <x:c r="L1801" s="187" t="str">
        <x:v>Não classificado</x:v>
      </x:c>
    </x:row>
    <x:row r="1802">
      <x:c r="A1802" s="177" t="str">
        <x:v>28.879.529/0001-46</x:v>
      </x:c>
      <x:c r="B1802" s="168" t="str">
        <x:v>CREDISA FUNDO DE INVESTIMENTO EM DIREITOS CREDITÓRIOS</x:v>
      </x:c>
      <x:c r="C1802" s="190" t="n">
        <x:v>37516437.22</x:v>
      </x:c>
      <x:c r="D1802" s="168" t="str">
        <x:v>TERCON ASSET MANAGEMENT</x:v>
      </x:c>
      <x:c r="E1802" s="168" t="str">
        <x:f>IFERROR(INDEX('Classif Gestoras'!$H$6:$H$462,MATCH(D1802,'Classif Gestoras'!$A$6:$A$462,0)),"Não classificada")</x:f>
        <x:v>Independente</x:v>
      </x:c>
      <x:c r="F1802" s="168" t="str">
        <x:v>Singulare</x:v>
      </x:c>
      <x:c r="G1802" s="168" t="str">
        <x:v>Não identificado</x:v>
      </x:c>
      <x:c r="H1802" s="168" t="str">
        <x:v>Fomento Mercantil</x:v>
      </x:c>
      <x:c r="I1802" s="168" t="str">
        <x:v>Fomento Mercantil</x:v>
      </x:c>
      <x:c r="J1802" s="168" t="str">
        <x:v>CI</x:v>
      </x:c>
      <x:c r="K1802" s="174" t="n">
        <x:v>1</x:v>
      </x:c>
      <x:c r="L1802" s="187" t="str">
        <x:v>Não classificado</x:v>
      </x:c>
    </x:row>
    <x:row r="1803">
      <x:c r="A1803" s="177" t="str">
        <x:v>13.990.000/0001-28</x:v>
      </x:c>
      <x:c r="B1803" s="168" t="str">
        <x:v>FUNDO DE INVESTIMENTO EM DIREITOS CREDITÓRIOS MULTISETORIAL ITÁLIA</x:v>
      </x:c>
      <x:c r="C1803" s="190" t="n">
        <x:v>37443527.49</x:v>
      </x:c>
      <x:c r="D1803" s="168" t="str">
        <x:v>Vila Rica Capital</x:v>
      </x:c>
      <x:c r="E1803" s="168" t="str">
        <x:f>IFERROR(INDEX('Classif Gestoras'!$H$6:$H$462,MATCH(D1803,'Classif Gestoras'!$A$6:$A$462,0)),"Não classificada")</x:f>
        <x:v>Independente</x:v>
      </x:c>
      <x:c r="F1803" s="168" t="str">
        <x:v>BRL TRUST DTVM</x:v>
      </x:c>
      <x:c r="G1803" s="168" t="str">
        <x:v>BRL TRUST DISTRIBUIDORA DE TITULOS E VALORES MOBILIARIOS S.A.</x:v>
      </x:c>
      <x:c r="H1803" s="168" t="str">
        <x:v>Outros</x:v>
      </x:c>
      <x:c r="I1803" s="168" t="str">
        <x:v>Multicarteira Outros</x:v>
      </x:c>
      <x:c r="J1803" s="168" t="str">
        <x:v>CI</x:v>
      </x:c>
      <x:c r="K1803" s="174" t="n">
        <x:v>47</x:v>
      </x:c>
      <x:c r="L1803" s="187" t="str">
        <x:v>Proxy multicedente/multissacado — revisar</x:v>
      </x:c>
    </x:row>
    <x:row r="1804">
      <x:c r="A1804" s="177" t="str">
        <x:v>19.527.871/0001-96</x:v>
      </x:c>
      <x:c r="B1804" s="168" t="str">
        <x:v>TS FUNDO DE INVESTIMENTO EM DIREITOS CREDITÓRIOS</x:v>
      </x:c>
      <x:c r="C1804" s="190" t="n">
        <x:v>37354663.56</x:v>
      </x:c>
      <x:c r="D1804" s="168" t="str">
        <x:v>Redwood Asset Management</x:v>
      </x:c>
      <x:c r="E1804" s="168" t="str">
        <x:f>IFERROR(INDEX('Classif Gestoras'!$H$6:$H$462,MATCH(D1804,'Classif Gestoras'!$A$6:$A$462,0)),"Não classificada")</x:f>
        <x:v>Independente</x:v>
      </x:c>
      <x:c r="F1804" s="168" t="str">
        <x:v>PLANNER CV</x:v>
      </x:c>
      <x:c r="G1804" s="168" t="str">
        <x:v>PLANNER CORRETORA DE VALORES S.A.</x:v>
      </x:c>
      <x:c r="H1804" s="168" t="str">
        <x:v>Outros</x:v>
      </x:c>
      <x:c r="I1804" s="168" t="str">
        <x:v>Multicarteira Outros</x:v>
      </x:c>
      <x:c r="J1804" s="168" t="str">
        <x:v>CI</x:v>
      </x:c>
      <x:c r="K1804" s="174" t="n">
        <x:v>1</x:v>
      </x:c>
      <x:c r="L1804" s="187" t="str">
        <x:v>Proxy multicedente/multissacado — revisar</x:v>
      </x:c>
    </x:row>
    <x:row r="1805">
      <x:c r="A1805" s="177" t="str">
        <x:v>28.960.803/0001-07</x:v>
      </x:c>
      <x:c r="B1805" s="168" t="str">
        <x:v>M SUL FUNDO DE INVESTIMENTO EM DIREITOS CREDITORIOS</x:v>
      </x:c>
      <x:c r="C1805" s="190" t="n">
        <x:v>37353207.03</x:v>
      </x:c>
      <x:c r="D1805" s="168" t="str">
        <x:v>Libertas Asset</x:v>
      </x:c>
      <x:c r="E1805" s="168" t="str">
        <x:f>IFERROR(INDEX('Classif Gestoras'!$H$6:$H$462,MATCH(D1805,'Classif Gestoras'!$A$6:$A$462,0)),"Não classificada")</x:f>
        <x:v>Independente</x:v>
      </x:c>
      <x:c r="F1805" s="168" t="str">
        <x:v>ACTUAL DTVM</x:v>
      </x:c>
      <x:c r="G1805" s="168" t="str">
        <x:v>LASTRO RDV DTVM LTDA</x:v>
      </x:c>
      <x:c r="H1805" s="168" t="str">
        <x:v>Fomento Mercantil</x:v>
      </x:c>
      <x:c r="I1805" s="168" t="str">
        <x:v>Fomento Mercantil</x:v>
      </x:c>
      <x:c r="J1805" s="168" t="str">
        <x:v>CI</x:v>
      </x:c>
      <x:c r="K1805" s="174" t="n">
        <x:v>4</x:v>
      </x:c>
      <x:c r="L1805" s="187" t="str">
        <x:v>Não classificado</x:v>
      </x:c>
    </x:row>
    <x:row r="1806">
      <x:c r="A1806" s="177" t="str">
        <x:v>64.679.924/0001-49</x:v>
      </x:c>
      <x:c r="B1806" s="168" t="str">
        <x:v>MOZART FUNDO DE INVESTIMENTO EM DIREITOS CREDITÓRIOS</x:v>
      </x:c>
      <x:c r="C1806" s="190" t="n">
        <x:v>37285713.53</x:v>
      </x:c>
      <x:c r="D1806" s="168" t="str">
        <x:v>Multiplica Capital</x:v>
      </x:c>
      <x:c r="E1806" s="168" t="str">
        <x:f>IFERROR(INDEX('Classif Gestoras'!$H$6:$H$462,MATCH(D1806,'Classif Gestoras'!$A$6:$A$462,0)),"Não classificada")</x:f>
        <x:v>Independente</x:v>
      </x:c>
      <x:c r="F1806" s="168" t="str">
        <x:v>Singulare</x:v>
      </x:c>
      <x:c r="G1806" s="168" t="str">
        <x:v>QI CORRETORA DE TÍTULOS E VALORES MOBILIÁRIOS S.A.</x:v>
      </x:c>
      <x:c r="H1806" s="168" t="str">
        <x:v>Fomento Mercantil</x:v>
      </x:c>
      <x:c r="I1806" s="168" t="str">
        <x:v>Fomento Mercantil</x:v>
      </x:c>
      <x:c r="J1806" s="168" t="str">
        <x:v>CI</x:v>
      </x:c>
      <x:c r="K1806" s="174" t="n">
        <x:v>1</x:v>
      </x:c>
      <x:c r="L1806" s="187" t="str">
        <x:v>Não classificado</x:v>
      </x:c>
    </x:row>
    <x:row r="1807">
      <x:c r="A1807" s="177" t="str">
        <x:v>25.306.519/0001-23</x:v>
      </x:c>
      <x:c r="B1807" s="168" t="str">
        <x:v>FUNDO DE INVESTIMENTO EM DIREITOS CREDITÓRIOS GOAL NP</x:v>
      </x:c>
      <x:c r="C1807" s="190" t="n">
        <x:v>37262961.88999999</x:v>
      </x:c>
      <x:c r="D1807" s="168" t="str">
        <x:v>BRZ Gestão de Recursos</x:v>
      </x:c>
      <x:c r="E1807" s="168" t="str">
        <x:f>IFERROR(INDEX('Classif Gestoras'!$H$6:$H$462,MATCH(D1807,'Classif Gestoras'!$A$6:$A$462,0)),"Não classificada")</x:f>
        <x:v>Independente</x:v>
      </x:c>
      <x:c r="F1807" s="168" t="str">
        <x:v>Oliveira Trust DTVM</x:v>
      </x:c>
      <x:c r="G1807" s="168" t="str">
        <x:v>OLIVEIRA TRUST DTVM S.A.</x:v>
      </x:c>
      <x:c r="H1807" s="168" t="str">
        <x:v>Fomento Mercantil</x:v>
      </x:c>
      <x:c r="I1807" s="168" t="str">
        <x:v>Fomento Mercantil</x:v>
      </x:c>
      <x:c r="J1807" s="168" t="str">
        <x:v>CI</x:v>
      </x:c>
      <x:c r="K1807" s="174" t="n">
        <x:v>11</x:v>
      </x:c>
      <x:c r="L1807" s="187" t="str">
        <x:v>Não classificado</x:v>
      </x:c>
    </x:row>
    <x:row r="1808">
      <x:c r="A1808" s="177" t="str">
        <x:v>52.356.126/0001-05</x:v>
      </x:c>
      <x:c r="B1808" s="168" t="str">
        <x:v>ENCORE FUNDO DE INVESTIMENTO EM DIREITOS CREDITÓRIOS</x:v>
      </x:c>
      <x:c r="C1808" s="190" t="n">
        <x:v>37150121.55</x:v>
      </x:c>
      <x:c r="D1808" s="168" t="str">
        <x:v>Versal Finance Gestão de Recursos LTDA.</x:v>
      </x:c>
      <x:c r="E1808" s="168" t="str">
        <x:f>IFERROR(INDEX('Classif Gestoras'!$H$6:$H$462,MATCH(D1808,'Classif Gestoras'!$A$6:$A$462,0)),"Não classificada")</x:f>
        <x:v>Independente</x:v>
      </x:c>
      <x:c r="F1808" s="168" t="str">
        <x:v>LIONS DTVM</x:v>
      </x:c>
      <x:c r="G1808" s="168" t="str">
        <x:v>LIONS TRUST DISTRIBUIDORA DE TÍTULOS E VALORES MOBILIÁRIOS LTDA.</x:v>
      </x:c>
      <x:c r="H1808" s="168" t="str">
        <x:v>Agro, Indústria e Comércio</x:v>
      </x:c>
      <x:c r="I1808" s="168" t="str">
        <x:v>Recebíveis Comerciais</x:v>
      </x:c>
      <x:c r="J1808" s="168" t="str">
        <x:v>CI</x:v>
      </x:c>
      <x:c r="K1808" s="174" t="n">
        <x:v>2</x:v>
      </x:c>
      <x:c r="L1808" s="187" t="str">
        <x:v>Não classificado</x:v>
      </x:c>
    </x:row>
    <x:row r="1809">
      <x:c r="A1809" s="177" t="str">
        <x:v>53.624.183/0001-82</x:v>
      </x:c>
      <x:c r="B1809" s="168" t="str">
        <x:v>PAGEDU FUNDO DE INVESTIMENTO EM DIREITOS CREDITÓRIOS</x:v>
      </x:c>
      <x:c r="C1809" s="190" t="n">
        <x:v>37145781.44</x:v>
      </x:c>
      <x:c r="D1809" s="168" t="str">
        <x:v>VERT Gestora de Recursos Financeiros Ltda.</x:v>
      </x:c>
      <x:c r="E1809" s="168" t="str">
        <x:f>IFERROR(INDEX('Classif Gestoras'!$H$6:$H$462,MATCH(D1809,'Classif Gestoras'!$A$6:$A$462,0)),"Não classificada")</x:f>
        <x:v>Independente</x:v>
      </x:c>
      <x:c r="F1809" s="168" t="str">
        <x:v>Oliveira Trust DTVM</x:v>
      </x:c>
      <x:c r="G1809" s="168" t="str">
        <x:v>OLIVEIRA TRUST DTVM S.A.</x:v>
      </x:c>
      <x:c r="H1809" s="168" t="str">
        <x:v>Outros</x:v>
      </x:c>
      <x:c r="I1809" s="168" t="str">
        <x:v>Multicarteira Outros</x:v>
      </x:c>
      <x:c r="J1809" s="168" t="str">
        <x:v>CI</x:v>
      </x:c>
      <x:c r="K1809" s="174" t="n">
        <x:v>1</x:v>
      </x:c>
      <x:c r="L1809" s="187" t="str">
        <x:v>Proxy multicedente/multissacado — revisar</x:v>
      </x:c>
    </x:row>
    <x:row r="1810">
      <x:c r="A1810" s="177" t="str">
        <x:v>41.391.208/0001-66</x:v>
      </x:c>
      <x:c r="B1810" s="168" t="str">
        <x:v>FOUR EVEN FUNDO DE INVESTIMENTO EM DIREITOS CREDITÓRIOS NÃO PADRONIZADOS</x:v>
      </x:c>
      <x:c r="C1810" s="190" t="n">
        <x:v>37025094.23</x:v>
      </x:c>
      <x:c r="D1810" s="168" t="str">
        <x:v>M8 Partners</x:v>
      </x:c>
      <x:c r="E1810" s="168" t="str">
        <x:f>IFERROR(INDEX('Classif Gestoras'!$H$6:$H$462,MATCH(D1810,'Classif Gestoras'!$A$6:$A$462,0)),"Não classificada")</x:f>
        <x:v>Independente</x:v>
      </x:c>
      <x:c r="F1810" s="168" t="str">
        <x:v>Singulare</x:v>
      </x:c>
      <x:c r="G1810" s="168" t="str">
        <x:v>QI CORRETORA DE TÍTULOS E VALORES MOBILIÁRIOS S.A.</x:v>
      </x:c>
      <x:c r="H1810" s="168" t="str">
        <x:v>Outros</x:v>
      </x:c>
      <x:c r="I1810" s="168" t="str">
        <x:v>Multicarteira Outros</x:v>
      </x:c>
      <x:c r="J1810" s="168" t="str">
        <x:v>CI</x:v>
      </x:c>
      <x:c r="K1810" s="174" t="n">
        <x:v>7</x:v>
      </x:c>
      <x:c r="L1810" s="187" t="str">
        <x:v>Proxy multicedente/multissacado — revisar</x:v>
      </x:c>
    </x:row>
    <x:row r="1811">
      <x:c r="A1811" s="177" t="str">
        <x:v>62.590.185/0001-99</x:v>
      </x:c>
      <x:c r="B1811" s="168" t="str">
        <x:v>BC CONSÓRCIO II FUNDO DE INVESTIMENTO EM DIREITOS CREDITÓRIOS RESPONSABILIDADE LIMITADA</x:v>
      </x:c>
      <x:c r="C1811" s="190" t="n">
        <x:v>37012705.99</x:v>
      </x:c>
      <x:c r="D1811" s="168" t="str">
        <x:v>ORRAM GESTÃO DE RECURSOS LTDA.</x:v>
      </x:c>
      <x:c r="E1811" s="168" t="str">
        <x:f>IFERROR(INDEX('Classif Gestoras'!$H$6:$H$462,MATCH(D1811,'Classif Gestoras'!$A$6:$A$462,0)),"Não classificada")</x:f>
        <x:v>Independente</x:v>
      </x:c>
      <x:c r="F1811" s="168" t="str">
        <x:v>Oliveira Trust DTVM</x:v>
      </x:c>
      <x:c r="G1811" s="168" t="str">
        <x:v>OLIVEIRA TRUST DTVM S.A.</x:v>
      </x:c>
      <x:c r="H1811" s="168" t="str">
        <x:v>Financeiro</x:v>
      </x:c>
      <x:c r="I1811" s="168" t="str">
        <x:v>Multicarteira Financeiro</x:v>
      </x:c>
      <x:c r="J1811" s="168" t="str">
        <x:v>CI</x:v>
      </x:c>
      <x:c r="K1811" s="174" t="n">
        <x:v>19</x:v>
      </x:c>
      <x:c r="L1811" s="187" t="str">
        <x:v>Proxy multicedente/multissacado — revisar</x:v>
      </x:c>
    </x:row>
    <x:row r="1812">
      <x:c r="A1812" s="177" t="str">
        <x:v>39.270.085/0001-63</x:v>
      </x:c>
      <x:c r="B1812" s="168" t="str">
        <x:v>PHD FEEDER FUNDO DE INVESTIMENTO EM DIREITOS CREDITÓRIOS</x:v>
      </x:c>
      <x:c r="C1812" s="190" t="n">
        <x:v>36937687.69</x:v>
      </x:c>
      <x:c r="D1812" s="168" t="str">
        <x:v>M8 Partners</x:v>
      </x:c>
      <x:c r="E1812" s="168" t="str">
        <x:f>IFERROR(INDEX('Classif Gestoras'!$H$6:$H$462,MATCH(D1812,'Classif Gestoras'!$A$6:$A$462,0)),"Não classificada")</x:f>
        <x:v>Independente</x:v>
      </x:c>
      <x:c r="F1812" s="168" t="str">
        <x:v>Singulare</x:v>
      </x:c>
      <x:c r="G1812" s="168" t="str">
        <x:v>QI CORRETORA DE TÍTULOS E VALORES MOBILIÁRIOS S.A.</x:v>
      </x:c>
      <x:c r="H1812" s="168" t="str">
        <x:v>Outros</x:v>
      </x:c>
      <x:c r="I1812" s="168" t="str">
        <x:v>Multicarteira Outros</x:v>
      </x:c>
      <x:c r="J1812" s="168" t="str">
        <x:v>CI</x:v>
      </x:c>
      <x:c r="K1812" s="174" t="n">
        <x:v>1</x:v>
      </x:c>
      <x:c r="L1812" s="187" t="str">
        <x:v>Proxy multicedente/multissacado — revisar</x:v>
      </x:c>
    </x:row>
    <x:row r="1813">
      <x:c r="A1813" s="177" t="str">
        <x:v>54.244.336/0001-29</x:v>
      </x:c>
      <x:c r="B1813" s="168" t="str">
        <x:v>SANTÉ FUNDO DE INVESTIMENTO EM DIREITOS CREDITORIOS</x:v>
      </x:c>
      <x:c r="C1813" s="190" t="n">
        <x:v>36917861.26</x:v>
      </x:c>
      <x:c r="D1813" s="168" t="str">
        <x:v>TERCON ASSET MANAGEMENT</x:v>
      </x:c>
      <x:c r="E1813" s="168" t="str">
        <x:f>IFERROR(INDEX('Classif Gestoras'!$H$6:$H$462,MATCH(D1813,'Classif Gestoras'!$A$6:$A$462,0)),"Não classificada")</x:f>
        <x:v>Independente</x:v>
      </x:c>
      <x:c r="F1813" s="168" t="str">
        <x:v>Singulare</x:v>
      </x:c>
      <x:c r="G1813" s="168" t="str">
        <x:v>QI CORRETORA DE TÍTULOS E VALORES MOBILIÁRIOS S.A.</x:v>
      </x:c>
      <x:c r="H1813" s="168" t="str">
        <x:v>Fomento Mercantil</x:v>
      </x:c>
      <x:c r="I1813" s="168" t="str">
        <x:v>Fomento Mercantil</x:v>
      </x:c>
      <x:c r="J1813" s="168" t="str">
        <x:v>CI</x:v>
      </x:c>
      <x:c r="K1813" s="174" t="n">
        <x:v>5</x:v>
      </x:c>
      <x:c r="L1813" s="187" t="str">
        <x:v>Não classificado</x:v>
      </x:c>
    </x:row>
    <x:row r="1814">
      <x:c r="A1814" s="177" t="str">
        <x:v>54.422.007/0001-20</x:v>
      </x:c>
      <x:c r="B1814" s="168" t="str">
        <x:v>INTRABANK MULTICRED FUNDO DE INVESTIMENTO EM DIREITOS CREDITÓRIOS FINANCEIROS DE RESPONSABILIDADE LI</x:v>
      </x:c>
      <x:c r="C1814" s="190" t="n">
        <x:v>36861552.33</x:v>
      </x:c>
      <x:c r="D1814" s="168" t="str">
        <x:v>Intrabank Asset</x:v>
      </x:c>
      <x:c r="E1814" s="168" t="str">
        <x:f>IFERROR(INDEX('Classif Gestoras'!$H$6:$H$462,MATCH(D1814,'Classif Gestoras'!$A$6:$A$462,0)),"Não classificada")</x:f>
        <x:v>Independente</x:v>
      </x:c>
      <x:c r="F1814" s="168" t="str">
        <x:v>HEMERA DTVM</x:v>
      </x:c>
      <x:c r="G1814" s="168" t="str">
        <x:v>HEMERA DISTRIBUIDORA DE TITULOS E VALORES MOBILIARIOS LTDA</x:v>
      </x:c>
      <x:c r="H1814" s="168" t="str">
        <x:v>Financeiro</x:v>
      </x:c>
      <x:c r="I1814" s="168" t="str">
        <x:v>Multicarteira Financeiro</x:v>
      </x:c>
      <x:c r="J1814" s="168" t="str">
        <x:v>CI</x:v>
      </x:c>
      <x:c r="K1814" s="174" t="n">
        <x:v>1</x:v>
      </x:c>
      <x:c r="L1814" s="187" t="str">
        <x:v>Proxy multicedente/multissacado — revisar</x:v>
      </x:c>
    </x:row>
    <x:row r="1815">
      <x:c r="A1815" s="177" t="str">
        <x:v>59.928.229/0001-33</x:v>
      </x:c>
      <x:c r="B1815" s="168" t="str">
        <x:v>NILO FUNDO DE INVESTIMENTO EM DIREITOS CREDITÓRIOS- RESPONSABILIDADE LIMITADA</x:v>
      </x:c>
      <x:c r="C1815" s="190" t="n">
        <x:v>36849897.27</x:v>
      </x:c>
      <x:c r="D1815" s="168" t="str">
        <x:v>ANTHARUS GESTORA DE RECURSOS LTDA</x:v>
      </x:c>
      <x:c r="E1815" s="168" t="str">
        <x:f>IFERROR(INDEX('Classif Gestoras'!$H$6:$H$462,MATCH(D1815,'Classif Gestoras'!$A$6:$A$462,0)),"Não classificada")</x:f>
        <x:v>Independente</x:v>
      </x:c>
      <x:c r="F1815" s="168" t="str">
        <x:v>HEMERA DTVM</x:v>
      </x:c>
      <x:c r="G1815" s="168" t="str">
        <x:v>HEMERA DISTRIBUIDORA DE TITULOS E VALORES MOBILIARIOS LTDA</x:v>
      </x:c>
      <x:c r="H1815" s="168" t="str">
        <x:v>Outros</x:v>
      </x:c>
      <x:c r="I1815" s="168" t="str">
        <x:v>Multicarteira Outros</x:v>
      </x:c>
      <x:c r="J1815" s="168" t="str">
        <x:v>CI</x:v>
      </x:c>
      <x:c r="K1815" s="174" t="n">
        <x:v>43</x:v>
      </x:c>
      <x:c r="L1815" s="187" t="str">
        <x:v>Proxy multicedente/multissacado — revisar</x:v>
      </x:c>
    </x:row>
    <x:row r="1816">
      <x:c r="A1816" s="177" t="str">
        <x:v>52.511.370/0001-97</x:v>
      </x:c>
      <x:c r="B1816" s="168" t="str">
        <x:v>ALGARVE TETRA II FUNDO DE INVESTIMENTO EM DIREITOS CREDITÓRIOS</x:v>
      </x:c>
      <x:c r="C1816" s="190" t="n">
        <x:v>36792735.89</x:v>
      </x:c>
      <x:c r="D1816" s="168" t="str">
        <x:v>Algarve Capital</x:v>
      </x:c>
      <x:c r="E1816" s="168" t="str">
        <x:f>IFERROR(INDEX('Classif Gestoras'!$H$6:$H$462,MATCH(D1816,'Classif Gestoras'!$A$6:$A$462,0)),"Não classificada")</x:f>
        <x:v>Independente</x:v>
      </x:c>
      <x:c r="F1816" s="168" t="str">
        <x:v>BANCO DAYCOVAL S/A</x:v>
      </x:c>
      <x:c r="G1816" s="168" t="str">
        <x:v>BANCO DAYCOVAL S.A.</x:v>
      </x:c>
      <x:c r="H1816" s="168" t="str">
        <x:v>Outros</x:v>
      </x:c>
      <x:c r="I1816" s="168" t="str">
        <x:v>Multicarteira Outros</x:v>
      </x:c>
      <x:c r="J1816" s="168" t="str">
        <x:v>CI</x:v>
      </x:c>
      <x:c r="K1816" s="174" t="n">
        <x:v>1</x:v>
      </x:c>
      <x:c r="L1816" s="187" t="str">
        <x:v>Proxy multicedente/multissacado — revisar</x:v>
      </x:c>
    </x:row>
    <x:row r="1817">
      <x:c r="A1817" s="177" t="str">
        <x:v>27.531.301/0001-06</x:v>
      </x:c>
      <x:c r="B1817" s="168" t="str">
        <x:v>QUANTHAS FUNDO DE INVESTIMENTO EM DIREITOS CREDITÓRIOS MULTISSETORIAL - RESPONSABILIDADE LIMITADA</x:v>
      </x:c>
      <x:c r="C1817" s="190" t="n">
        <x:v>36755811.62</x:v>
      </x:c>
      <x:c r="D1817" s="168" t="str">
        <x:v>OURO PRETO INVESTIMENTOS</x:v>
      </x:c>
      <x:c r="E1817" s="168" t="str">
        <x:f>IFERROR(INDEX('Classif Gestoras'!$H$6:$H$462,MATCH(D1817,'Classif Gestoras'!$A$6:$A$462,0)),"Não classificada")</x:f>
        <x:v>Independente</x:v>
      </x:c>
      <x:c r="F1817" s="168" t="str">
        <x:v>ID Corretora de Títulos e Valores Mobiliários S.A.</x:v>
      </x:c>
      <x:c r="G1817" s="168" t="str">
        <x:v>ID CORRETORA DE TITULOS E VALORES MOBILIARIOS S.A.</x:v>
      </x:c>
      <x:c r="H1817" s="168" t="str">
        <x:v>Fomento Mercantil</x:v>
      </x:c>
      <x:c r="I1817" s="168" t="str">
        <x:v>Fomento Mercantil</x:v>
      </x:c>
      <x:c r="J1817" s="168" t="str">
        <x:v>CI</x:v>
      </x:c>
      <x:c r="K1817" s="174" t="n">
        <x:v>8</x:v>
      </x:c>
      <x:c r="L1817" s="187" t="str">
        <x:v>Não classificado</x:v>
      </x:c>
    </x:row>
    <x:row r="1818">
      <x:c r="A1818" s="177" t="str">
        <x:v>55.569.572/0001-88</x:v>
      </x:c>
      <x:c r="B1818" s="168" t="str">
        <x:v>M7 CORAL FUNDO DE INVESTIMENTO EM DIREITOS CREDITÓRIOS</x:v>
      </x:c>
      <x:c r="C1818" s="190" t="n">
        <x:v>36751234.78</x:v>
      </x:c>
      <x:c r="D1818" s="168" t="str">
        <x:v>Menestys</x:v>
      </x:c>
      <x:c r="E1818" s="168" t="str">
        <x:f>IFERROR(INDEX('Classif Gestoras'!$H$6:$H$462,MATCH(D1818,'Classif Gestoras'!$A$6:$A$462,0)),"Não classificada")</x:f>
        <x:v>Independente</x:v>
      </x:c>
      <x:c r="F1818" s="168" t="str">
        <x:v>Qore DTVM</x:v>
      </x:c>
      <x:c r="G1818" s="168" t="str">
        <x:v>QORE DISTRIBUIDORA DE TÍTULOS E VALORES MOBILIÁRIOS LTDA.</x:v>
      </x:c>
      <x:c r="H1818" s="168" t="str">
        <x:v>Agro, Indústria e Comércio</x:v>
      </x:c>
      <x:c r="I1818" s="168" t="str">
        <x:v>Multicarteira Agro, Indústria e Comércio</x:v>
      </x:c>
      <x:c r="J1818" s="168" t="str">
        <x:v>CI</x:v>
      </x:c>
      <x:c r="K1818" s="174" t="n">
        <x:v>11</x:v>
      </x:c>
      <x:c r="L1818" s="187" t="str">
        <x:v>Proxy multicedente/multissacado — revisar</x:v>
      </x:c>
    </x:row>
    <x:row r="1819">
      <x:c r="A1819" s="177" t="str">
        <x:v>57.654.431/0001-99</x:v>
      </x:c>
      <x:c r="B1819" s="168" t="str">
        <x:v>ARC TURBI FUNDO DE INVESTIMENTO EM DIREITOS CREDITÓRIOS</x:v>
      </x:c>
      <x:c r="C1819" s="190" t="n">
        <x:v>36698112.56</x:v>
      </x:c>
      <x:c r="D1819" s="168" t="str">
        <x:v>ARC Capital</x:v>
      </x:c>
      <x:c r="E1819" s="168" t="str">
        <x:f>IFERROR(INDEX('Classif Gestoras'!$H$6:$H$462,MATCH(D1819,'Classif Gestoras'!$A$6:$A$462,0)),"Não classificada")</x:f>
        <x:v>Independente</x:v>
      </x:c>
      <x:c r="F1819" s="168" t="str">
        <x:v>BANCO DAYCOVAL S/A</x:v>
      </x:c>
      <x:c r="G1819" s="168" t="str">
        <x:v>BANCO DAYCOVAL S.A.</x:v>
      </x:c>
      <x:c r="H1819" s="168" t="str">
        <x:v>Outros</x:v>
      </x:c>
      <x:c r="I1819" s="168" t="str">
        <x:v>Multicarteira Outros</x:v>
      </x:c>
      <x:c r="J1819" s="168" t="str">
        <x:v>CI</x:v>
      </x:c>
      <x:c r="K1819" s="174" t="n">
        <x:v>4</x:v>
      </x:c>
      <x:c r="L1819" s="187" t="str">
        <x:v>Proxy multicedente/multissacado — revisar</x:v>
      </x:c>
    </x:row>
    <x:row r="1820">
      <x:c r="A1820" s="177" t="str">
        <x:v>42.358.012/0001-32</x:v>
      </x:c>
      <x:c r="B1820" s="168" t="str">
        <x:v>LONDRES FUNDO DE INVESTIMENTO EM DIREITOS CREDITÓRIOS NÃO PADRONIZADO</x:v>
      </x:c>
      <x:c r="C1820" s="190" t="n">
        <x:v>36660313.55</x:v>
      </x:c>
      <x:c r="D1820" s="168" t="str">
        <x:v>Acura Gestora de Recursos LTDA.</x:v>
      </x:c>
      <x:c r="E1820" s="168" t="str">
        <x:f>IFERROR(INDEX('Classif Gestoras'!$H$6:$H$462,MATCH(D1820,'Classif Gestoras'!$A$6:$A$462,0)),"Não classificada")</x:f>
        <x:v>Independente</x:v>
      </x:c>
      <x:c r="F1820" s="168" t="str">
        <x:v>SEFER DTVM</x:v>
      </x:c>
      <x:c r="G1820" s="168" t="str">
        <x:v>SEFER INVESTIMENTOS DISTRIBUIDORA DE TÍTULOS E VALORES MOBILIÁRIOS LTDA.</x:v>
      </x:c>
      <x:c r="H1820" s="168" t="str">
        <x:v>Outros</x:v>
      </x:c>
      <x:c r="I1820" s="168" t="str">
        <x:v>Multicarteira Outros</x:v>
      </x:c>
      <x:c r="J1820" s="168" t="str">
        <x:v>CI</x:v>
      </x:c>
      <x:c r="K1820" s="174" t="n">
        <x:v>1</x:v>
      </x:c>
      <x:c r="L1820" s="187" t="str">
        <x:v>Proxy multicedente/multissacado — revisar</x:v>
      </x:c>
    </x:row>
    <x:row r="1821">
      <x:c r="A1821" s="177" t="str">
        <x:v>41.557.609/0001-43</x:v>
      </x:c>
      <x:c r="B1821" s="168" t="str">
        <x:v>SUN FUNDO DE INVESTIMENTO EM DIREITOS CREDITÓRIOS NÃO-PADRONIZADOS RESPONSABILIDADE LIMITADA</x:v>
      </x:c>
      <x:c r="C1821" s="190" t="n">
        <x:v>36592943.440000005</x:v>
      </x:c>
      <x:c r="D1821" s="168" t="str">
        <x:v>IDGR</x:v>
      </x:c>
      <x:c r="E1821" s="168" t="str">
        <x:f>IFERROR(INDEX('Classif Gestoras'!$H$6:$H$462,MATCH(D1821,'Classif Gestoras'!$A$6:$A$462,0)),"Não classificada")</x:f>
        <x:v>Independente</x:v>
      </x:c>
      <x:c r="F1821" s="168" t="str">
        <x:v>ID Corretora de Títulos e Valores Mobiliários S.A.</x:v>
      </x:c>
      <x:c r="G1821" s="168" t="str">
        <x:v>ID CORRETORA DE TITULOS E VALORES MOBILIARIOS S.A.</x:v>
      </x:c>
      <x:c r="H1821" s="168" t="str">
        <x:v>Outros</x:v>
      </x:c>
      <x:c r="I1821" s="168" t="str">
        <x:v>Multicarteira Outros</x:v>
      </x:c>
      <x:c r="J1821" s="168" t="str">
        <x:v>CI</x:v>
      </x:c>
      <x:c r="K1821" s="174" t="n">
        <x:v>3</x:v>
      </x:c>
      <x:c r="L1821" s="187" t="str">
        <x:v>Proxy multicedente/multissacado — revisar</x:v>
      </x:c>
    </x:row>
    <x:row r="1822">
      <x:c r="A1822" s="177" t="str">
        <x:v>63.985.864/0001-20</x:v>
      </x:c>
      <x:c r="B1822" s="168" t="str">
        <x:v>FUNDO DE INVESTIMENTO EM DIREITOS CREDITÓRIOS REV FINANCEIRO RESPONSABILIDADE LIMITADA</x:v>
      </x:c>
      <x:c r="C1822" s="190" t="n">
        <x:v>36394158.75</x:v>
      </x:c>
      <x:c r="D1822" s="168" t="str">
        <x:v>VALORA RENDA FIXA ESTRUTURADOS LTDA.</x:v>
      </x:c>
      <x:c r="E1822" s="168" t="str">
        <x:f>IFERROR(INDEX('Classif Gestoras'!$H$6:$H$462,MATCH(D1822,'Classif Gestoras'!$A$6:$A$462,0)),"Não classificada")</x:f>
        <x:v>Independente</x:v>
      </x:c>
      <x:c r="F1822" s="168" t="str">
        <x:v>VERT Distribuidora de Títulos e Valores Mobiliários Ltd</x:v>
      </x:c>
      <x:c r="G1822" s="168" t="str">
        <x:v>VERT DISTRIBUIDORA DE TÍTULOS E VALORES MOBILIÁRIOS LTDA.</x:v>
      </x:c>
      <x:c r="H1822" s="168" t="str">
        <x:v>Financeiro</x:v>
      </x:c>
      <x:c r="I1822" s="168" t="str">
        <x:v>Crédito Consignado</x:v>
      </x:c>
      <x:c r="J1822" s="168" t="str">
        <x:v>CI</x:v>
      </x:c>
      <x:c r="K1822" s="174" t="n">
        <x:v>2</x:v>
      </x:c>
      <x:c r="L1822" s="187" t="str">
        <x:v>Não classificado</x:v>
      </x:c>
    </x:row>
    <x:row r="1823">
      <x:c r="A1823" s="177" t="str">
        <x:v>64.120.858/0001-72</x:v>
      </x:c>
      <x:c r="B1823" s="168" t="str">
        <x:v>FD BNK FUNDO DE INVESTIMENTO EM DIREITOS CREDITÓRIOS</x:v>
      </x:c>
      <x:c r="C1823" s="190" t="n">
        <x:v>36375483.6</x:v>
      </x:c>
      <x:c r="D1823" s="168" t="str">
        <x:v>ICON CAPITAL</x:v>
      </x:c>
      <x:c r="E1823" s="168" t="str">
        <x:f>IFERROR(INDEX('Classif Gestoras'!$H$6:$H$462,MATCH(D1823,'Classif Gestoras'!$A$6:$A$462,0)),"Não classificada")</x:f>
        <x:v>Independente</x:v>
      </x:c>
      <x:c r="F1823" s="168" t="str">
        <x:v>FIDD DISTRIBUIDORA DE TITULOS E VALORES MOBILIARIOS LTD</x:v>
      </x:c>
      <x:c r="G1823" s="168" t="str">
        <x:v>FIDD DISTRIBUIDORA DE TITULOS E VALORES MOBILIARIOS LTDA.</x:v>
      </x:c>
      <x:c r="H1823" s="168" t="str">
        <x:v>Agro, Indústria e Comércio</x:v>
      </x:c>
      <x:c r="I1823" s="168" t="str">
        <x:v>Multicarteira Agro, Indústria e Comércio</x:v>
      </x:c>
      <x:c r="J1823" s="168" t="str">
        <x:v>CI</x:v>
      </x:c>
      <x:c r="K1823" s="174" t="n">
        <x:v>4</x:v>
      </x:c>
      <x:c r="L1823" s="187" t="str">
        <x:v>Proxy multicedente/multissacado — revisar</x:v>
      </x:c>
    </x:row>
    <x:row r="1824">
      <x:c r="A1824" s="177" t="str">
        <x:v>38.315.192/0001-06</x:v>
      </x:c>
      <x:c r="B1824" s="168" t="str">
        <x:v>FIRMA PLUS FUNDO DE INVESTIMENTO EM DIREITOS CREDITÓRIOS</x:v>
      </x:c>
      <x:c r="C1824" s="190" t="n">
        <x:v>36359355.67999999</x:v>
      </x:c>
      <x:c r="D1824" s="168" t="str">
        <x:v>Solis</x:v>
      </x:c>
      <x:c r="E1824" s="168" t="str">
        <x:f>IFERROR(INDEX('Classif Gestoras'!$H$6:$H$462,MATCH(D1824,'Classif Gestoras'!$A$6:$A$462,0)),"Não classificada")</x:f>
        <x:v>Independente</x:v>
      </x:c>
      <x:c r="F1824" s="168" t="str">
        <x:v>HEMERA DTVM</x:v>
      </x:c>
      <x:c r="G1824" s="168" t="str">
        <x:v>HEMERA DISTRIBUIDORA DE TITULOS E VALORES MOBILIARIOS LTDA</x:v>
      </x:c>
      <x:c r="H1824" s="168" t="str">
        <x:v>Outros</x:v>
      </x:c>
      <x:c r="I1824" s="168" t="str">
        <x:v>Multicarteira Outros</x:v>
      </x:c>
      <x:c r="J1824" s="168" t="str">
        <x:v>CI</x:v>
      </x:c>
      <x:c r="K1824" s="174" t="n">
        <x:v>18</x:v>
      </x:c>
      <x:c r="L1824" s="187" t="str">
        <x:v>Proxy multicedente/multissacado — revisar</x:v>
      </x:c>
    </x:row>
    <x:row r="1825">
      <x:c r="A1825" s="177" t="str">
        <x:v>35.476.474/0001-99</x:v>
      </x:c>
      <x:c r="B1825" s="168" t="str">
        <x:v>CENTRAL CAPITAL FUNDO DE INVESTIMENTO EM DIREITOS CREDITÓRIOS RESPONSABILIDADE LIMITADA</x:v>
      </x:c>
      <x:c r="C1825" s="190" t="n">
        <x:v>36339964.690000005</x:v>
      </x:c>
      <x:c r="D1825" s="168" t="str">
        <x:v>Libertas Asset</x:v>
      </x:c>
      <x:c r="E1825" s="168" t="str">
        <x:f>IFERROR(INDEX('Classif Gestoras'!$H$6:$H$462,MATCH(D1825,'Classif Gestoras'!$A$6:$A$462,0)),"Não classificada")</x:f>
        <x:v>Independente</x:v>
      </x:c>
      <x:c r="F1825" s="168" t="str">
        <x:v>ACTUAL DTVM</x:v>
      </x:c>
      <x:c r="G1825" s="168" t="str">
        <x:v>LASTRO RDV DTVM LTDA</x:v>
      </x:c>
      <x:c r="H1825" s="168" t="str">
        <x:v>Fomento Mercantil</x:v>
      </x:c>
      <x:c r="I1825" s="168" t="str">
        <x:v>Fomento Mercantil</x:v>
      </x:c>
      <x:c r="J1825" s="168" t="str">
        <x:v>CI</x:v>
      </x:c>
      <x:c r="K1825" s="174" t="n">
        <x:v>5</x:v>
      </x:c>
      <x:c r="L1825" s="187" t="str">
        <x:v>Não classificado</x:v>
      </x:c>
    </x:row>
    <x:row r="1826">
      <x:c r="A1826" s="177" t="str">
        <x:v>20.861.236/0001-20</x:v>
      </x:c>
      <x:c r="B1826" s="168" t="str">
        <x:v>MAXINVESTOR FUNDO DE INVESTIMENTO EM DIREITOS CREDITÓRIOS NÃO-PADRONIZADOS MULTISSETORIAL LP</x:v>
      </x:c>
      <x:c r="C1826" s="190" t="n">
        <x:v>36284344.97</x:v>
      </x:c>
      <x:c r="D1826" s="168" t="str">
        <x:v>OURO PRETO INVESTIMENTOS</x:v>
      </x:c>
      <x:c r="E1826" s="168" t="str">
        <x:f>IFERROR(INDEX('Classif Gestoras'!$H$6:$H$462,MATCH(D1826,'Classif Gestoras'!$A$6:$A$462,0)),"Não classificada")</x:f>
        <x:v>Independente</x:v>
      </x:c>
      <x:c r="F1826" s="168" t="str">
        <x:v>Singulare</x:v>
      </x:c>
      <x:c r="G1826" s="168" t="str">
        <x:v>QI CORRETORA DE TÍTULOS E VALORES MOBILIÁRIOS S.A.</x:v>
      </x:c>
      <x:c r="H1826" s="168" t="str">
        <x:v>Fomento Mercantil</x:v>
      </x:c>
      <x:c r="I1826" s="168" t="str">
        <x:v>Fomento Mercantil</x:v>
      </x:c>
      <x:c r="J1826" s="168" t="str">
        <x:v>CI</x:v>
      </x:c>
      <x:c r="K1826" s="174" t="n">
        <x:v>2</x:v>
      </x:c>
      <x:c r="L1826" s="187" t="str">
        <x:v>Não classificado</x:v>
      </x:c>
    </x:row>
    <x:row r="1827">
      <x:c r="A1827" s="177" t="str">
        <x:v>51.498.070/0001-52</x:v>
      </x:c>
      <x:c r="B1827" s="168" t="str">
        <x:v>GHIA CRÉDITO CORPORATIVO FUNDO DE INVESTIMENTO EM DIREITOS CREDITÓRIOS RESPONSABILIDADE LIMITADA</x:v>
      </x:c>
      <x:c r="C1827" s="190" t="n">
        <x:v>36273839.62</x:v>
      </x:c>
      <x:c r="D1827" s="168" t="str">
        <x:v>Ghia Asset Management</x:v>
      </x:c>
      <x:c r="E1827" s="168" t="str">
        <x:f>IFERROR(INDEX('Classif Gestoras'!$H$6:$H$462,MATCH(D1827,'Classif Gestoras'!$A$6:$A$462,0)),"Não classificada")</x:f>
        <x:v>Independente</x:v>
      </x:c>
      <x:c r="F1827" s="168" t="str">
        <x:v>Singulare</x:v>
      </x:c>
      <x:c r="G1827" s="168" t="str">
        <x:v>QI CORRETORA DE TÍTULOS E VALORES MOBILIÁRIOS S.A.</x:v>
      </x:c>
      <x:c r="H1827" s="168" t="str">
        <x:v>Outros</x:v>
      </x:c>
      <x:c r="I1827" s="168" t="str">
        <x:v>Multicarteira Outros</x:v>
      </x:c>
      <x:c r="J1827" s="168" t="str">
        <x:v>CI</x:v>
      </x:c>
      <x:c r="K1827" s="174" t="n">
        <x:v>5</x:v>
      </x:c>
      <x:c r="L1827" s="187" t="str">
        <x:v>Proxy multicedente/multissacado — revisar</x:v>
      </x:c>
    </x:row>
    <x:row r="1828">
      <x:c r="A1828" s="177" t="str">
        <x:v>35.265.609/0001-77</x:v>
      </x:c>
      <x:c r="B1828" s="168" t="str">
        <x:v>KAPA CAPITAL FUNDO DE INVESTIMENTO EM DIREITOS CREDITÓRIOS</x:v>
      </x:c>
      <x:c r="C1828" s="190" t="n">
        <x:v>36225214.93</x:v>
      </x:c>
      <x:c r="D1828" s="168" t="str">
        <x:v>Libertas Asset</x:v>
      </x:c>
      <x:c r="E1828" s="168" t="str">
        <x:f>IFERROR(INDEX('Classif Gestoras'!$H$6:$H$462,MATCH(D1828,'Classif Gestoras'!$A$6:$A$462,0)),"Não classificada")</x:f>
        <x:v>Independente</x:v>
      </x:c>
      <x:c r="F1828" s="168" t="str">
        <x:v>ACTUAL DTVM</x:v>
      </x:c>
      <x:c r="G1828" s="168" t="str">
        <x:v>LASTRO RDV DTVM LTDA</x:v>
      </x:c>
      <x:c r="H1828" s="168" t="str">
        <x:v>Fomento Mercantil</x:v>
      </x:c>
      <x:c r="I1828" s="168" t="str">
        <x:v>Fomento Mercantil</x:v>
      </x:c>
      <x:c r="J1828" s="168" t="str">
        <x:v>CI</x:v>
      </x:c>
      <x:c r="K1828" s="174" t="n">
        <x:v>1</x:v>
      </x:c>
      <x:c r="L1828" s="187" t="str">
        <x:v>Não classificado</x:v>
      </x:c>
    </x:row>
    <x:row r="1829">
      <x:c r="A1829" s="177" t="str">
        <x:v>58.594.141/0001-60</x:v>
      </x:c>
      <x:c r="B1829" s="168" t="str">
        <x:v>AUGME PRO 051 MASTER FUNDO DE INVESTIMENTO EM DIREITOS CREDITÓRIOS DE RESPONSABILIDADE LIMITADA</x:v>
      </x:c>
      <x:c r="C1829" s="190" t="n">
        <x:v>36220329.23</x:v>
      </x:c>
      <x:c r="D1829" s="168" t="str">
        <x:v>AUGME CAPITAL GESTÃO DE RECURSOS LTDA.</x:v>
      </x:c>
      <x:c r="E1829" s="168" t="str">
        <x:f>IFERROR(INDEX('Classif Gestoras'!$H$6:$H$462,MATCH(D1829,'Classif Gestoras'!$A$6:$A$462,0)),"Não classificada")</x:f>
        <x:v>Independente</x:v>
      </x:c>
      <x:c r="F1829" s="168" t="str">
        <x:v>BANCO DAYCOVAL S/A</x:v>
      </x:c>
      <x:c r="G1829" s="168" t="str">
        <x:v>BANCO DAYCOVAL S.A.</x:v>
      </x:c>
      <x:c r="H1829" s="168" t="str">
        <x:v>Outros</x:v>
      </x:c>
      <x:c r="I1829" s="168" t="str">
        <x:v>Multicarteira Outros</x:v>
      </x:c>
      <x:c r="J1829" s="168" t="str">
        <x:v>CI</x:v>
      </x:c>
      <x:c r="K1829" s="174" t="n">
        <x:v>1</x:v>
      </x:c>
      <x:c r="L1829" s="187" t="str">
        <x:v>Proxy multicedente/multissacado — revisar</x:v>
      </x:c>
    </x:row>
    <x:row r="1830">
      <x:c r="A1830" s="177" t="str">
        <x:v>46.339.426/0001-75</x:v>
      </x:c>
      <x:c r="B1830" s="168" t="str">
        <x:v>VALORA QI FUNDO DE INVESTIMENTO EM DIREITOS CREDITÓRIOS RESPONSABILIDADE LIMITADA</x:v>
      </x:c>
      <x:c r="C1830" s="190" t="n">
        <x:v>35969716.8714</x:v>
      </x:c>
      <x:c r="D1830" s="168" t="str">
        <x:v>VALORA RENDA FIXA LTDA.</x:v>
      </x:c>
      <x:c r="E1830" s="168" t="str">
        <x:f>IFERROR(INDEX('Classif Gestoras'!$H$6:$H$462,MATCH(D1830,'Classif Gestoras'!$A$6:$A$462,0)),"Não classificada")</x:f>
        <x:v>Independente</x:v>
      </x:c>
      <x:c r="F1830" s="168" t="str">
        <x:v>BTG Pactual Servicos Financeiros S/A DTVM</x:v>
      </x:c>
      <x:c r="G1830" s="168" t="str">
        <x:v>BANCO BTG PACTUAL S/A</x:v>
      </x:c>
      <x:c r="H1830" s="168" t="str">
        <x:v>Outros</x:v>
      </x:c>
      <x:c r="I1830" s="168" t="str">
        <x:v>Multicarteira Outros</x:v>
      </x:c>
      <x:c r="J1830" s="168" t="str">
        <x:v>CI</x:v>
      </x:c>
      <x:c r="K1830" s="174" t="n">
        <x:v>8</x:v>
      </x:c>
      <x:c r="L1830" s="187" t="str">
        <x:v>Proxy multicedente/multissacado — revisar</x:v>
      </x:c>
    </x:row>
    <x:row r="1831">
      <x:c r="A1831" s="177" t="str">
        <x:v>58.232.693/0001-28</x:v>
      </x:c>
      <x:c r="B1831" s="168" t="str">
        <x:v>ALLOY FUNDO DE INVESTIMENTO EM DIREITOS CREDITÓRIOS</x:v>
      </x:c>
      <x:c r="C1831" s="190" t="n">
        <x:v>35966635.75</x:v>
      </x:c>
      <x:c r="D1831" s="168" t="str">
        <x:v>Renova Gestora</x:v>
      </x:c>
      <x:c r="E1831" s="168" t="str">
        <x:f>IFERROR(INDEX('Classif Gestoras'!$H$6:$H$462,MATCH(D1831,'Classif Gestoras'!$A$6:$A$462,0)),"Não classificada")</x:f>
        <x:v>Independente</x:v>
      </x:c>
      <x:c r="F1831" s="168" t="str">
        <x:v>MONETAR DISTRIBUIDORA DE TITUL</x:v>
      </x:c>
      <x:c r="G1831" s="168" t="str">
        <x:v>TERRA INVESTIMENTOS DISTRIBUIDORA DE TITULOS E VALORES MOBILIARIOS LTDA</x:v>
      </x:c>
      <x:c r="H1831" s="168" t="str">
        <x:v>Fomento Mercantil</x:v>
      </x:c>
      <x:c r="I1831" s="168" t="str">
        <x:v>Fomento Mercantil</x:v>
      </x:c>
      <x:c r="J1831" s="168" t="str">
        <x:v>CI</x:v>
      </x:c>
      <x:c r="K1831" s="174" t="n">
        <x:v>23</x:v>
      </x:c>
      <x:c r="L1831" s="187" t="str">
        <x:v>Não classificado</x:v>
      </x:c>
    </x:row>
    <x:row r="1832">
      <x:c r="A1832" s="177" t="str">
        <x:v>34.027.522/0001-07</x:v>
      </x:c>
      <x:c r="B1832" s="168" t="str">
        <x:v>BANSULCRED FUNDO DE INVESTIMENTO EM DIREITOS CREDITÓRIOS</x:v>
      </x:c>
      <x:c r="C1832" s="190" t="n">
        <x:v>35868638.43</x:v>
      </x:c>
      <x:c r="D1832" s="168" t="str">
        <x:v>TERCON ASSET MANAGEMENT</x:v>
      </x:c>
      <x:c r="E1832" s="168" t="str">
        <x:f>IFERROR(INDEX('Classif Gestoras'!$H$6:$H$462,MATCH(D1832,'Classif Gestoras'!$A$6:$A$462,0)),"Não classificada")</x:f>
        <x:v>Independente</x:v>
      </x:c>
      <x:c r="F1832" s="168" t="str">
        <x:v>Singulare</x:v>
      </x:c>
      <x:c r="G1832" s="168" t="str">
        <x:v>QI CORRETORA DE TÍTULOS E VALORES MOBILIÁRIOS S.A.</x:v>
      </x:c>
      <x:c r="H1832" s="168" t="str">
        <x:v>Fomento Mercantil</x:v>
      </x:c>
      <x:c r="I1832" s="168" t="str">
        <x:v>Fomento Mercantil</x:v>
      </x:c>
      <x:c r="J1832" s="168" t="str">
        <x:v>CI</x:v>
      </x:c>
      <x:c r="K1832" s="174" t="n">
        <x:v>1</x:v>
      </x:c>
      <x:c r="L1832" s="187" t="str">
        <x:v>Não classificado</x:v>
      </x:c>
    </x:row>
    <x:row r="1833">
      <x:c r="A1833" s="177" t="str">
        <x:v>59.701.895/0001-34</x:v>
      </x:c>
      <x:c r="B1833" s="168" t="str">
        <x:v>MV I FUNDO DE INVESTIMENTO EM DIREITOS CREDITÓRIOS RESPONSABILIDADE LIMITADA</x:v>
      </x:c>
      <x:c r="C1833" s="190" t="n">
        <x:v>35849531.39</x:v>
      </x:c>
      <x:c r="D1833" s="168" t="str">
        <x:v>TAG Investimentos</x:v>
      </x:c>
      <x:c r="E1833" s="168" t="str">
        <x:f>IFERROR(INDEX('Classif Gestoras'!$H$6:$H$462,MATCH(D1833,'Classif Gestoras'!$A$6:$A$462,0)),"Não classificada")</x:f>
        <x:v>Independente</x:v>
      </x:c>
      <x:c r="F1833" s="168" t="str">
        <x:v>VÓRTX DTVM</x:v>
      </x:c>
      <x:c r="G1833" s="168" t="str">
        <x:v>VORTX DISTRIBUIDORA DE TITULOS E VALORES MOBILIARIOS LTDA.</x:v>
      </x:c>
      <x:c r="H1833" s="168" t="str">
        <x:v>Outros</x:v>
      </x:c>
      <x:c r="I1833" s="168" t="str">
        <x:v>Poder Público</x:v>
      </x:c>
      <x:c r="J1833" s="168" t="str">
        <x:v>CI</x:v>
      </x:c>
      <x:c r="K1833" s="174" t="n">
        <x:v>48</x:v>
      </x:c>
      <x:c r="L1833" s="187" t="str">
        <x:v>Não classificado</x:v>
      </x:c>
    </x:row>
    <x:row r="1834">
      <x:c r="A1834" s="177" t="str">
        <x:v>54.462.447/0001-01</x:v>
      </x:c>
      <x:c r="B1834" s="168" t="str">
        <x:v>FIDERE DA AMAZÔNIA FUNDO DE INVESTIMENTO EM DIREITOS CREDITÓRIOS</x:v>
      </x:c>
      <x:c r="C1834" s="190" t="n">
        <x:v>35786859.29</x:v>
      </x:c>
      <x:c r="D1834" s="168" t="str">
        <x:v>TERCON ASSET MANAGEMENT</x:v>
      </x:c>
      <x:c r="E1834" s="168" t="str">
        <x:f>IFERROR(INDEX('Classif Gestoras'!$H$6:$H$462,MATCH(D1834,'Classif Gestoras'!$A$6:$A$462,0)),"Não classificada")</x:f>
        <x:v>Independente</x:v>
      </x:c>
      <x:c r="F1834" s="168" t="str">
        <x:v>Singulare</x:v>
      </x:c>
      <x:c r="G1834" s="168" t="str">
        <x:v>QI CORRETORA DE TÍTULOS E VALORES MOBILIÁRIOS S.A.</x:v>
      </x:c>
      <x:c r="H1834" s="168" t="str">
        <x:v>Fomento Mercantil</x:v>
      </x:c>
      <x:c r="I1834" s="168" t="str">
        <x:v>Fomento Mercantil</x:v>
      </x:c>
      <x:c r="J1834" s="168" t="str">
        <x:v>CI</x:v>
      </x:c>
      <x:c r="K1834" s="174" t="n">
        <x:v>1</x:v>
      </x:c>
      <x:c r="L1834" s="187" t="str">
        <x:v>Não classificado</x:v>
      </x:c>
    </x:row>
    <x:row r="1835">
      <x:c r="A1835" s="177" t="str">
        <x:v>42.031.145/0001-08</x:v>
      </x:c>
      <x:c r="B1835" s="168" t="str">
        <x:v>VÊNETO FUNDO DE INVESTIMENTO EM DIREITOS CREDITÓRIOS</x:v>
      </x:c>
      <x:c r="C1835" s="190" t="n">
        <x:v>35747084.26</x:v>
      </x:c>
      <x:c r="D1835" s="168" t="str">
        <x:v>Bless Capital Gestora de Recursos Ltda.</x:v>
      </x:c>
      <x:c r="E1835" s="168" t="str">
        <x:f>IFERROR(INDEX('Classif Gestoras'!$H$6:$H$462,MATCH(D1835,'Classif Gestoras'!$A$6:$A$462,0)),"Não classificada")</x:f>
        <x:v>Independente</x:v>
      </x:c>
      <x:c r="F1835" s="168" t="str">
        <x:v>ID Corretora de Títulos e Valores Mobiliários S.A.</x:v>
      </x:c>
      <x:c r="G1835" s="168" t="str">
        <x:v>ID CORRETORA DE TITULOS E VALORES MOBILIARIOS S.A.</x:v>
      </x:c>
      <x:c r="H1835" s="168" t="str">
        <x:v>Outros</x:v>
      </x:c>
      <x:c r="I1835" s="168" t="str">
        <x:v>Multicarteira Outros</x:v>
      </x:c>
      <x:c r="J1835" s="168" t="str">
        <x:v>CI</x:v>
      </x:c>
      <x:c r="K1835" s="174" t="n">
        <x:v>3</x:v>
      </x:c>
      <x:c r="L1835" s="187" t="str">
        <x:v>Proxy multicedente/multissacado — revisar</x:v>
      </x:c>
    </x:row>
    <x:row r="1836">
      <x:c r="A1836" s="177" t="str">
        <x:v>55.693.852/0001-01</x:v>
      </x:c>
      <x:c r="B1836" s="168" t="str">
        <x:v>MÓDENA FUNDO DE INVESTIMENTO EM DIREITOS CREDITÓRIOS NÃO-PADRONIZADOS</x:v>
      </x:c>
      <x:c r="C1836" s="190" t="n">
        <x:v>35719354.019999996</x:v>
      </x:c>
      <x:c r="D1836" s="168" t="str">
        <x:v>Positiva Investimentos Ltda</x:v>
      </x:c>
      <x:c r="E1836" s="168" t="str">
        <x:f>IFERROR(INDEX('Classif Gestoras'!$H$6:$H$462,MATCH(D1836,'Classif Gestoras'!$A$6:$A$462,0)),"Não classificada")</x:f>
        <x:v>Independente</x:v>
      </x:c>
      <x:c r="F1836" s="168" t="str">
        <x:v>SEFER DTVM</x:v>
      </x:c>
      <x:c r="G1836" s="168" t="str">
        <x:v>SEFER INVESTIMENTOS DISTRIBUIDORA DE TÍTULOS E VALORES MOBILIÁRIOS LTDA.</x:v>
      </x:c>
      <x:c r="H1836" s="168" t="str">
        <x:v>Outros</x:v>
      </x:c>
      <x:c r="I1836" s="168" t="str">
        <x:v>Multicarteira Outros</x:v>
      </x:c>
      <x:c r="J1836" s="168" t="str">
        <x:v>CI</x:v>
      </x:c>
      <x:c r="K1836" s="174" t="n">
        <x:v>0</x:v>
      </x:c>
      <x:c r="L1836" s="187" t="str">
        <x:v>Proxy multicedente/multissacado — revisar</x:v>
      </x:c>
    </x:row>
    <x:row r="1837">
      <x:c r="A1837" s="177" t="str">
        <x:v>40.754.316/0001-93</x:v>
      </x:c>
      <x:c r="B1837" s="168" t="str">
        <x:v>NPL BRASIL I - FUNDO DE INVESTIMENTO EM DIREITOS CREDITÓRIOS</x:v>
      </x:c>
      <x:c r="C1837" s="190" t="n">
        <x:v>35655669.42999999</x:v>
      </x:c>
      <x:c r="D1837" s="168" t="str">
        <x:v>GAMA INVESTIMENTOS LTDA.</x:v>
      </x:c>
      <x:c r="E1837" s="168" t="str">
        <x:f>IFERROR(INDEX('Classif Gestoras'!$H$6:$H$462,MATCH(D1837,'Classif Gestoras'!$A$6:$A$462,0)),"Não classificada")</x:f>
        <x:v>Independente</x:v>
      </x:c>
      <x:c r="F1837" s="168" t="str">
        <x:v>BTG Pactual Servicos Financeiros S/A DTVM</x:v>
      </x:c>
      <x:c r="G1837" s="168" t="str">
        <x:v>BANCO BTG PACTUAL S/A</x:v>
      </x:c>
      <x:c r="H1837" s="168" t="str">
        <x:v>Outros</x:v>
      </x:c>
      <x:c r="I1837" s="168" t="str">
        <x:v>Recuperação</x:v>
      </x:c>
      <x:c r="J1837" s="168" t="str">
        <x:v>CI</x:v>
      </x:c>
      <x:c r="K1837" s="174" t="n">
        <x:v>31</x:v>
      </x:c>
      <x:c r="L1837" s="187" t="str">
        <x:v>Não classificado</x:v>
      </x:c>
    </x:row>
    <x:row r="1838">
      <x:c r="A1838" s="177" t="str">
        <x:v>37.310.965/0001-90</x:v>
      </x:c>
      <x:c r="B1838" s="168" t="str">
        <x:v>G5 SANEAMENTO FUNDO DE INVESTIMENTO EM DIREITOS CREDITÓRIOS</x:v>
      </x:c>
      <x:c r="C1838" s="190" t="n">
        <x:v>35561502.96</x:v>
      </x:c>
      <x:c r="D1838" s="168" t="str">
        <x:v>G5 Adm. de Recursos</x:v>
      </x:c>
      <x:c r="E1838" s="168" t="str">
        <x:f>IFERROR(INDEX('Classif Gestoras'!$H$6:$H$462,MATCH(D1838,'Classif Gestoras'!$A$6:$A$462,0)),"Não classificada")</x:f>
        <x:v>Independente</x:v>
      </x:c>
      <x:c r="F1838" s="168" t="str">
        <x:v>Singulare</x:v>
      </x:c>
      <x:c r="G1838" s="168" t="str">
        <x:v>QI CORRETORA DE TÍTULOS E VALORES MOBILIÁRIOS S.A.</x:v>
      </x:c>
      <x:c r="H1838" s="168" t="str">
        <x:v>Outros</x:v>
      </x:c>
      <x:c r="I1838" s="168" t="str">
        <x:v>Multicarteira Outros</x:v>
      </x:c>
      <x:c r="J1838" s="168" t="str">
        <x:v>CI</x:v>
      </x:c>
      <x:c r="K1838" s="174" t="n">
        <x:v>2</x:v>
      </x:c>
      <x:c r="L1838" s="187" t="str">
        <x:v>Proxy multicedente/multissacado — revisar</x:v>
      </x:c>
    </x:row>
    <x:row r="1839">
      <x:c r="A1839" s="177" t="str">
        <x:v>13.348.521/0001-86</x:v>
      </x:c>
      <x:c r="B1839" s="168" t="str">
        <x:v>RDG FUNDO DE INVESTIMENTO EM DIREITOS CREDITÓRIOS MULTISSETORIAL LP</x:v>
      </x:c>
      <x:c r="C1839" s="190" t="n">
        <x:v>35528793.36</x:v>
      </x:c>
      <x:c r="D1839" s="168" t="str">
        <x:v>TERCON ASSET MANAGEMENT</x:v>
      </x:c>
      <x:c r="E1839" s="168" t="str">
        <x:f>IFERROR(INDEX('Classif Gestoras'!$H$6:$H$462,MATCH(D1839,'Classif Gestoras'!$A$6:$A$462,0)),"Não classificada")</x:f>
        <x:v>Independente</x:v>
      </x:c>
      <x:c r="F1839" s="168" t="str">
        <x:v>Singulare</x:v>
      </x:c>
      <x:c r="G1839" s="168" t="str">
        <x:v>QI CORRETORA DE TÍTULOS E VALORES MOBILIÁRIOS S.A.</x:v>
      </x:c>
      <x:c r="H1839" s="168" t="str">
        <x:v>Fomento Mercantil</x:v>
      </x:c>
      <x:c r="I1839" s="168" t="str">
        <x:v>Fomento Mercantil</x:v>
      </x:c>
      <x:c r="J1839" s="168" t="str">
        <x:v>CI</x:v>
      </x:c>
      <x:c r="K1839" s="174" t="n">
        <x:v>1</x:v>
      </x:c>
      <x:c r="L1839" s="187" t="str">
        <x:v>Não classificado</x:v>
      </x:c>
    </x:row>
    <x:row r="1840">
      <x:c r="A1840" s="177" t="str">
        <x:v>44.642.151/0001-19</x:v>
      </x:c>
      <x:c r="B1840" s="168" t="str">
        <x:v>EMPRESTA I FUNDO DE INVESTIMENTO EM DIREITOS CREDITÓRIOS FINANCEIROS DE RESPONSABILIDE LIMITADA</x:v>
      </x:c>
      <x:c r="C1840" s="190" t="n">
        <x:v>35473282.17999999</x:v>
      </x:c>
      <x:c r="D1840" s="168" t="str">
        <x:v>Ghia Asset Management</x:v>
      </x:c>
      <x:c r="E1840" s="168" t="str">
        <x:f>IFERROR(INDEX('Classif Gestoras'!$H$6:$H$462,MATCH(D1840,'Classif Gestoras'!$A$6:$A$462,0)),"Não classificada")</x:f>
        <x:v>Independente</x:v>
      </x:c>
      <x:c r="F1840" s="168" t="str">
        <x:v>VÓRTX DTVM</x:v>
      </x:c>
      <x:c r="G1840" s="168" t="str">
        <x:v>VORTX DISTRIBUIDORA DE TITULOS E VALORES MOBILIARIOS LTDA.</x:v>
      </x:c>
      <x:c r="H1840" s="168" t="str">
        <x:v>Financeiro</x:v>
      </x:c>
      <x:c r="I1840" s="168" t="str">
        <x:v>Crédito Consignado</x:v>
      </x:c>
      <x:c r="J1840" s="168" t="str">
        <x:v>CI</x:v>
      </x:c>
      <x:c r="K1840" s="174" t="n">
        <x:v>31</x:v>
      </x:c>
      <x:c r="L1840" s="187" t="str">
        <x:v>Não classificado</x:v>
      </x:c>
    </x:row>
    <x:row r="1841">
      <x:c r="A1841" s="177" t="str">
        <x:v>61.670.371/0001-75</x:v>
      </x:c>
      <x:c r="B1841" s="168" t="str">
        <x:v>PBL CREDITOS JUDICIAIS FUNDO DE INVESTIMENTO EM DIREITOS CREDITÓRIOS DE RESPONSABILIDADE LIMITADA</x:v>
      </x:c>
      <x:c r="C1841" s="190" t="n">
        <x:v>35251739.14</x:v>
      </x:c>
      <x:c r="D1841" s="168" t="str">
        <x:v>GENIAL GESTÃO LTDA.</x:v>
      </x:c>
      <x:c r="E1841" s="168" t="str">
        <x:f>IFERROR(INDEX('Classif Gestoras'!$H$6:$H$462,MATCH(D1841,'Classif Gestoras'!$A$6:$A$462,0)),"Não classificada")</x:f>
        <x:v>Ligada a banco</x:v>
      </x:c>
      <x:c r="F1841" s="168" t="str">
        <x:v>Genial Investimentos Corretora de Valores Mobiliários S.A.</x:v>
      </x:c>
      <x:c r="G1841" s="168" t="str">
        <x:v>BANCO GENIAL S.A.</x:v>
      </x:c>
      <x:c r="H1841" s="168" t="str">
        <x:v>Outros</x:v>
      </x:c>
      <x:c r="I1841" s="168" t="str">
        <x:v>Poder Público</x:v>
      </x:c>
      <x:c r="J1841" s="168" t="str">
        <x:v>CI</x:v>
      </x:c>
      <x:c r="K1841" s="174" t="n">
        <x:v>17</x:v>
      </x:c>
      <x:c r="L1841" s="187" t="str">
        <x:v>Não classificado</x:v>
      </x:c>
    </x:row>
    <x:row r="1842">
      <x:c r="A1842" s="177" t="str">
        <x:v>52.343.885/0001-25</x:v>
      </x:c>
      <x:c r="B1842" s="168" t="str">
        <x:v>LCBANK FUNDO DE INVESTIMENTO EM DIREITOS CREDITÓRIOS NÃO PADRONIZADOS</x:v>
      </x:c>
      <x:c r="C1842" s="190" t="n">
        <x:v>35105649.28</x:v>
      </x:c>
      <x:c r="D1842" s="168" t="str">
        <x:v>GV ATACAMA CAPITAL LTDA.</x:v>
      </x:c>
      <x:c r="E1842" s="168" t="str">
        <x:f>IFERROR(INDEX('Classif Gestoras'!$H$6:$H$462,MATCH(D1842,'Classif Gestoras'!$A$6:$A$462,0)),"Não classificada")</x:f>
        <x:v>Independente</x:v>
      </x:c>
      <x:c r="F1842" s="168" t="str">
        <x:v>ID Corretora de Títulos e Valores Mobiliários S.A.</x:v>
      </x:c>
      <x:c r="G1842" s="168" t="str">
        <x:v>ID CORRETORA DE TITULOS E VALORES MOBILIARIOS S.A.</x:v>
      </x:c>
      <x:c r="H1842" s="168" t="str">
        <x:v>Outros</x:v>
      </x:c>
      <x:c r="I1842" s="168" t="str">
        <x:v>Poder Público</x:v>
      </x:c>
      <x:c r="J1842" s="168" t="str">
        <x:v>CI</x:v>
      </x:c>
      <x:c r="K1842" s="174" t="n">
        <x:v>2</x:v>
      </x:c>
      <x:c r="L1842" s="187" t="str">
        <x:v>Não classificado</x:v>
      </x:c>
    </x:row>
    <x:row r="1843">
      <x:c r="A1843" s="177" t="str">
        <x:v>12.036.226/0001-21</x:v>
      </x:c>
      <x:c r="B1843" s="168" t="str">
        <x:v>SG III FUNDO DE INVESTIMENTO EM DIREITOS CREDITÓRIOS NÃO-PADRONIZADOS</x:v>
      </x:c>
      <x:c r="C1843" s="190" t="n">
        <x:v>35069971.6625</x:v>
      </x:c>
      <x:c r="D1843" s="168" t="str">
        <x:v>Jus Capital Gestão de Recursos LTDA</x:v>
      </x:c>
      <x:c r="E1843" s="168" t="str">
        <x:f>IFERROR(INDEX('Classif Gestoras'!$H$6:$H$462,MATCH(D1843,'Classif Gestoras'!$A$6:$A$462,0)),"Não classificada")</x:f>
        <x:v>Independente</x:v>
      </x:c>
      <x:c r="F1843" s="168" t="str">
        <x:v>BTG Pactual Servicos Financeiros S/A DTVM</x:v>
      </x:c>
      <x:c r="G1843" s="168" t="str">
        <x:v>BANCO BTG PACTUAL S/A</x:v>
      </x:c>
      <x:c r="H1843" s="168" t="str">
        <x:v>Outros</x:v>
      </x:c>
      <x:c r="I1843" s="168" t="str">
        <x:v>Poder Público</x:v>
      </x:c>
      <x:c r="J1843" s="168" t="str">
        <x:v>CIPC</x:v>
      </x:c>
      <x:c r="K1843" s="174" t="n">
        <x:v>1</x:v>
      </x:c>
      <x:c r="L1843" s="187" t="str">
        <x:v>Não classificado</x:v>
      </x:c>
    </x:row>
    <x:row r="1844">
      <x:c r="A1844" s="177" t="str">
        <x:v>57.786.054/0001-41</x:v>
      </x:c>
      <x:c r="B1844" s="168" t="str">
        <x:v>SUCCESSUS FUNDO DE INVESTIMENTO EM DIREITOS CREDITÓRIOS</x:v>
      </x:c>
      <x:c r="C1844" s="190" t="n">
        <x:v>35033302.47</x:v>
      </x:c>
      <x:c r="D1844" s="168" t="str">
        <x:v>Redwood Asset Management</x:v>
      </x:c>
      <x:c r="E1844" s="168" t="str">
        <x:f>IFERROR(INDEX('Classif Gestoras'!$H$6:$H$462,MATCH(D1844,'Classif Gestoras'!$A$6:$A$462,0)),"Não classificada")</x:f>
        <x:v>Independente</x:v>
      </x:c>
      <x:c r="F1844" s="168" t="str">
        <x:v>PLANNER CV</x:v>
      </x:c>
      <x:c r="G1844" s="168" t="str">
        <x:v>PLANNER CORRETORA DE VALORES S.A.</x:v>
      </x:c>
      <x:c r="H1844" s="168" t="str">
        <x:v>Fomento Mercantil</x:v>
      </x:c>
      <x:c r="I1844" s="168" t="str">
        <x:v>Fomento Mercantil</x:v>
      </x:c>
      <x:c r="J1844" s="168" t="str">
        <x:v>CI</x:v>
      </x:c>
      <x:c r="K1844" s="174" t="n">
        <x:v>1</x:v>
      </x:c>
      <x:c r="L1844" s="187" t="str">
        <x:v>Não classificado</x:v>
      </x:c>
    </x:row>
    <x:row r="1845">
      <x:c r="A1845" s="177" t="str">
        <x:v>49.583.436/0001-40</x:v>
      </x:c>
      <x:c r="B1845" s="168" t="str">
        <x:v>OSAKA FUNDO DE INVESTIMENTO EM DIREITOS CREDITÓRIOS DE RESPONSABILIDADE LIMITADA</x:v>
      </x:c>
      <x:c r="C1845" s="190" t="n">
        <x:v>35027540.16</x:v>
      </x:c>
      <x:c r="D1845" s="168" t="str">
        <x:v>Renova Gestora</x:v>
      </x:c>
      <x:c r="E1845" s="168" t="str">
        <x:f>IFERROR(INDEX('Classif Gestoras'!$H$6:$H$462,MATCH(D1845,'Classif Gestoras'!$A$6:$A$462,0)),"Não classificada")</x:f>
        <x:v>Independente</x:v>
      </x:c>
      <x:c r="F1845" s="168" t="str">
        <x:v>MONETAR DISTRIBUIDORA DE TITUL</x:v>
      </x:c>
      <x:c r="G1845" s="168" t="str">
        <x:v>TERRA INVESTIMENTOS DISTRIBUIDORA DE TITULOS E VALORES MOBILIARIOS LTDA</x:v>
      </x:c>
      <x:c r="H1845" s="168" t="str">
        <x:v>Outros</x:v>
      </x:c>
      <x:c r="I1845" s="168" t="str">
        <x:v>Multicarteira Outros</x:v>
      </x:c>
      <x:c r="J1845" s="168" t="str">
        <x:v>CI</x:v>
      </x:c>
      <x:c r="K1845" s="174" t="n">
        <x:v>2</x:v>
      </x:c>
      <x:c r="L1845" s="187" t="str">
        <x:v>Proxy multicedente/multissacado — revisar</x:v>
      </x:c>
    </x:row>
    <x:row r="1846">
      <x:c r="A1846" s="177" t="str">
        <x:v>22.415.372/0001-11</x:v>
      </x:c>
      <x:c r="B1846" s="168" t="str">
        <x:v>FUNDO DE RECUPERAÇÃO DE ATIVOS FIDC - RESPONSABILIDADE LIMITADA</x:v>
      </x:c>
      <x:c r="C1846" s="190" t="n">
        <x:v>34974997.48</x:v>
      </x:c>
      <x:c r="D1846" s="168" t="str">
        <x:v>JIVE INVESTMENTS</x:v>
      </x:c>
      <x:c r="E1846" s="168" t="str">
        <x:f>IFERROR(INDEX('Classif Gestoras'!$H$6:$H$462,MATCH(D1846,'Classif Gestoras'!$A$6:$A$462,0)),"Não classificada")</x:f>
        <x:v>Independente</x:v>
      </x:c>
      <x:c r="F1846" s="168" t="str">
        <x:v>MAF Distribuidora de Títulos e Valores Mobiliários S.A.</x:v>
      </x:c>
      <x:c r="G1846" s="168" t="str">
        <x:v>MAF DISTRIBUIDORA DE TITULOS E VALORES MOBILIARIOS S.A.</x:v>
      </x:c>
      <x:c r="H1846" s="168" t="str">
        <x:v>Outros</x:v>
      </x:c>
      <x:c r="I1846" s="168" t="str">
        <x:v>Multicarteira Outros</x:v>
      </x:c>
      <x:c r="J1846" s="168" t="str">
        <x:v>CI</x:v>
      </x:c>
      <x:c r="K1846" s="174" t="n">
        <x:v>5</x:v>
      </x:c>
      <x:c r="L1846" s="187" t="str">
        <x:v>Proxy multicedente/multissacado — revisar</x:v>
      </x:c>
    </x:row>
    <x:row r="1847">
      <x:c r="A1847" s="177" t="str">
        <x:v>64.168.109/0001-15</x:v>
      </x:c>
      <x:c r="B1847" s="168" t="str">
        <x:v>JC SALUS FUNDO DE INVESTIMENTO EM DIREITOS CREDITÓRIOS</x:v>
      </x:c>
      <x:c r="C1847" s="190" t="n">
        <x:v>34770729.839999996</x:v>
      </x:c>
      <x:c r="D1847" s="168" t="str">
        <x:v>Jus Capital Gestão de Recursos LTDA</x:v>
      </x:c>
      <x:c r="E1847" s="168" t="str">
        <x:f>IFERROR(INDEX('Classif Gestoras'!$H$6:$H$462,MATCH(D1847,'Classif Gestoras'!$A$6:$A$462,0)),"Não classificada")</x:f>
        <x:v>Independente</x:v>
      </x:c>
      <x:c r="F1847" s="168" t="str">
        <x:v>Singulare</x:v>
      </x:c>
      <x:c r="G1847" s="168" t="str">
        <x:v>QI CORRETORA DE TÍTULOS E VALORES MOBILIÁRIOS S.A.</x:v>
      </x:c>
      <x:c r="H1847" s="168" t="str">
        <x:v>Outros</x:v>
      </x:c>
      <x:c r="I1847" s="168" t="str">
        <x:v>Poder Público</x:v>
      </x:c>
      <x:c r="J1847" s="168" t="str">
        <x:v>CI</x:v>
      </x:c>
      <x:c r="K1847" s="174" t="n">
        <x:v>2</x:v>
      </x:c>
      <x:c r="L1847" s="187" t="str">
        <x:v>Não classificado</x:v>
      </x:c>
    </x:row>
    <x:row r="1848">
      <x:c r="A1848" s="177" t="str">
        <x:v>24.270.499/0001-15</x:v>
      </x:c>
      <x:c r="B1848" s="168" t="str">
        <x:v>SÃO LUÍS FUNDO DE INVESTIMENTO EM DIREITOS CREDITÓRIOS</x:v>
      </x:c>
      <x:c r="C1848" s="190" t="n">
        <x:v>34752072.86</x:v>
      </x:c>
      <x:c r="D1848" s="168" t="str">
        <x:v>Redwood Asset Management</x:v>
      </x:c>
      <x:c r="E1848" s="168" t="str">
        <x:f>IFERROR(INDEX('Classif Gestoras'!$H$6:$H$462,MATCH(D1848,'Classif Gestoras'!$A$6:$A$462,0)),"Não classificada")</x:f>
        <x:v>Independente</x:v>
      </x:c>
      <x:c r="F1848" s="168" t="str">
        <x:v>PLANNER CV</x:v>
      </x:c>
      <x:c r="G1848" s="168" t="str">
        <x:v>PLANNER CORRETORA DE VALORES S.A.</x:v>
      </x:c>
      <x:c r="H1848" s="168" t="str">
        <x:v>Outros</x:v>
      </x:c>
      <x:c r="I1848" s="168" t="str">
        <x:v>Multicarteira Outros</x:v>
      </x:c>
      <x:c r="J1848" s="168" t="str">
        <x:v>CI</x:v>
      </x:c>
      <x:c r="K1848" s="174" t="n">
        <x:v>4</x:v>
      </x:c>
      <x:c r="L1848" s="187" t="str">
        <x:v>Proxy multicedente/multissacado — revisar</x:v>
      </x:c>
    </x:row>
    <x:row r="1849">
      <x:c r="A1849" s="177" t="str">
        <x:v>60.300.116/0001-78</x:v>
      </x:c>
      <x:c r="B1849" s="168" t="str">
        <x:v>ACCRÉDITO FUNDO DE INVESTIMENTO EM DIREITOS CREDITÓRIOS RESPONSABILIDADE LIMITADA</x:v>
      </x:c>
      <x:c r="C1849" s="190" t="n">
        <x:v>34693446.42</x:v>
      </x:c>
      <x:c r="D1849" s="168" t="str">
        <x:v>Redwood Asset Management</x:v>
      </x:c>
      <x:c r="E1849" s="168" t="str">
        <x:f>IFERROR(INDEX('Classif Gestoras'!$H$6:$H$462,MATCH(D1849,'Classif Gestoras'!$A$6:$A$462,0)),"Não classificada")</x:f>
        <x:v>Independente</x:v>
      </x:c>
      <x:c r="F1849" s="168" t="str">
        <x:v>PLANNER CV</x:v>
      </x:c>
      <x:c r="G1849" s="168" t="str">
        <x:v>PLANNER CORRETORA DE VALORES S.A.</x:v>
      </x:c>
      <x:c r="H1849" s="168" t="str">
        <x:v>Outros</x:v>
      </x:c>
      <x:c r="I1849" s="168" t="str">
        <x:v>Multicarteira Outros</x:v>
      </x:c>
      <x:c r="J1849" s="168" t="str">
        <x:v>CI</x:v>
      </x:c>
      <x:c r="K1849" s="174" t="n">
        <x:v>1</x:v>
      </x:c>
      <x:c r="L1849" s="187" t="str">
        <x:v>Proxy multicedente/multissacado — revisar</x:v>
      </x:c>
    </x:row>
    <x:row r="1850">
      <x:c r="A1850" s="177" t="str">
        <x:v>60.137.602/0001-17</x:v>
      </x:c>
      <x:c r="B1850" s="168" t="str">
        <x:v>AMERICA FUNDO DE INVESTIMENTO EM DIREITOS CREDITÓRIOS RESPONSABILIDADE LIMITADA</x:v>
      </x:c>
      <x:c r="C1850" s="190" t="n">
        <x:v>34677918.87</x:v>
      </x:c>
      <x:c r="D1850" s="168" t="str">
        <x:v>Golden Asset Gestora de Recursos</x:v>
      </x:c>
      <x:c r="E1850" s="168" t="str">
        <x:f>IFERROR(INDEX('Classif Gestoras'!$H$6:$H$462,MATCH(D1850,'Classif Gestoras'!$A$6:$A$462,0)),"Não classificada")</x:f>
        <x:v>Independente</x:v>
      </x:c>
      <x:c r="F1850" s="168" t="str">
        <x:v>ID Corretora de Títulos e Valores Mobiliários S.A.</x:v>
      </x:c>
      <x:c r="G1850" s="168" t="str">
        <x:v>HEMERA DISTRIBUIDORA DE TITULOS E VALORES MOBILIARIOS LTDA</x:v>
      </x:c>
      <x:c r="H1850" s="168" t="str">
        <x:v>Outros</x:v>
      </x:c>
      <x:c r="I1850" s="168" t="str">
        <x:v>Multicarteira Outros</x:v>
      </x:c>
      <x:c r="J1850" s="168" t="str">
        <x:v>CI</x:v>
      </x:c>
      <x:c r="K1850" s="174" t="n">
        <x:v>23</x:v>
      </x:c>
      <x:c r="L1850" s="187" t="str">
        <x:v>Proxy multicedente/multissacado — revisar</x:v>
      </x:c>
    </x:row>
    <x:row r="1851">
      <x:c r="A1851" s="177" t="str">
        <x:v>55.105.668/0001-95</x:v>
      </x:c>
      <x:c r="B1851" s="168" t="str">
        <x:v>VITTRA FUNDO DE INVESTIMENTO EM DIREITOS CREDITÓRIOS DE RESPONSABILIDADE LIMITADA</x:v>
      </x:c>
      <x:c r="C1851" s="190" t="n">
        <x:v>34665075.67</x:v>
      </x:c>
      <x:c r="D1851" s="168" t="str">
        <x:v>Catálise Investimentos</x:v>
      </x:c>
      <x:c r="E1851" s="168" t="str">
        <x:f>IFERROR(INDEX('Classif Gestoras'!$H$6:$H$462,MATCH(D1851,'Classif Gestoras'!$A$6:$A$462,0)),"Não classificada")</x:f>
        <x:v>Independente</x:v>
      </x:c>
      <x:c r="F1851" s="168" t="str">
        <x:v>CATÁLISE DTVM</x:v>
      </x:c>
      <x:c r="G1851" s="168" t="str">
        <x:v>BANCO DAYCOVAL S.A.</x:v>
      </x:c>
      <x:c r="H1851" s="168" t="str">
        <x:v>Agro, Indústria e Comércio</x:v>
      </x:c>
      <x:c r="I1851" s="168" t="str">
        <x:v>Recebíveis Comerciais</x:v>
      </x:c>
      <x:c r="J1851" s="168" t="str">
        <x:v>CI</x:v>
      </x:c>
      <x:c r="K1851" s="174" t="n">
        <x:v>1</x:v>
      </x:c>
      <x:c r="L1851" s="187" t="str">
        <x:v>Não classificado</x:v>
      </x:c>
    </x:row>
    <x:row r="1852">
      <x:c r="A1852" s="177" t="str">
        <x:v>49.290.956/0001-64</x:v>
      </x:c>
      <x:c r="B1852" s="168" t="str">
        <x:v>PASSARE FUNDO DE INVESTIMENTO EM DIREITOS CREDITÓRIOS NÃO-PADRONIZADOS</x:v>
      </x:c>
      <x:c r="C1852" s="190" t="n">
        <x:v>34564460.19</x:v>
      </x:c>
      <x:c r="D1852" s="168" t="str">
        <x:v>PACTUAL CAPITAL PART</x:v>
      </x:c>
      <x:c r="E1852" s="168" t="str">
        <x:f>IFERROR(INDEX('Classif Gestoras'!$H$6:$H$462,MATCH(D1852,'Classif Gestoras'!$A$6:$A$462,0)),"Não classificada")</x:f>
        <x:v>Independente</x:v>
      </x:c>
      <x:c r="F1852" s="168" t="str">
        <x:v>BTG Pactual Servicos Financeiros S/A DTVM</x:v>
      </x:c>
      <x:c r="G1852" s="168" t="str">
        <x:v>BANCO BTG PACTUAL S/A</x:v>
      </x:c>
      <x:c r="H1852" s="168" t="str">
        <x:v>Outros</x:v>
      </x:c>
      <x:c r="I1852" s="168" t="str">
        <x:v>Recuperação</x:v>
      </x:c>
      <x:c r="J1852" s="168" t="str">
        <x:v>CI</x:v>
      </x:c>
      <x:c r="K1852" s="174" t="n">
        <x:v>6</x:v>
      </x:c>
      <x:c r="L1852" s="187" t="str">
        <x:v>Não classificado</x:v>
      </x:c>
    </x:row>
    <x:row r="1853">
      <x:c r="A1853" s="177" t="str">
        <x:v>54.851.950/0001-59</x:v>
      </x:c>
      <x:c r="B1853" s="168" t="str">
        <x:v>PROBANK FIDC FINANCEIROS, IMOBILIÁRIOS, VAREJISTAS E INDUSTRIAIS DE RESPONSABILIDADE LIMITADA</x:v>
      </x:c>
      <x:c r="C1853" s="190" t="n">
        <x:v>34550149.44</x:v>
      </x:c>
      <x:c r="D1853" s="168" t="str">
        <x:v>DAYCOVAL ASSET MANAG</x:v>
      </x:c>
      <x:c r="E1853" s="168" t="str">
        <x:f>IFERROR(INDEX('Classif Gestoras'!$H$6:$H$462,MATCH(D1853,'Classif Gestoras'!$A$6:$A$462,0)),"Não classificada")</x:f>
        <x:v>Ligada a banco</x:v>
      </x:c>
      <x:c r="F1853" s="168" t="str">
        <x:v>BANCO DAYCOVAL S/A</x:v>
      </x:c>
      <x:c r="G1853" s="168" t="str">
        <x:v>BANCO DAYCOVAL S.A.</x:v>
      </x:c>
      <x:c r="H1853" s="168" t="str">
        <x:v>Outros</x:v>
      </x:c>
      <x:c r="I1853" s="168" t="str">
        <x:v>Multicarteira Outros</x:v>
      </x:c>
      <x:c r="J1853" s="168" t="str">
        <x:v>CI</x:v>
      </x:c>
      <x:c r="K1853" s="174" t="n">
        <x:v>3</x:v>
      </x:c>
      <x:c r="L1853" s="187" t="str">
        <x:v>Proxy multicedente/multissacado — revisar</x:v>
      </x:c>
    </x:row>
    <x:row r="1854">
      <x:c r="A1854" s="177" t="str">
        <x:v>53.211.671/0001-68</x:v>
      </x:c>
      <x:c r="B1854" s="168" t="str">
        <x:v>FIDC GUARDIAN INSS FUNDO DE INVESTIMENTO EM DIREITOS CREDITÓRIOS RESPONSABILIDADE LIMITADA</x:v>
      </x:c>
      <x:c r="C1854" s="190" t="n">
        <x:v>34546272.43</x:v>
      </x:c>
      <x:c r="D1854" s="168" t="str">
        <x:v>Guardian Gestora</x:v>
      </x:c>
      <x:c r="E1854" s="168" t="str">
        <x:f>IFERROR(INDEX('Classif Gestoras'!$H$6:$H$462,MATCH(D1854,'Classif Gestoras'!$A$6:$A$462,0)),"Não classificada")</x:f>
        <x:v>Independente</x:v>
      </x:c>
      <x:c r="F1854" s="168" t="str">
        <x:v>Banvox DTVM</x:v>
      </x:c>
      <x:c r="G1854" s="168" t="str">
        <x:v>BANCO DAYCOVAL S.A.</x:v>
      </x:c>
      <x:c r="H1854" s="168" t="str">
        <x:v>Financeiro</x:v>
      </x:c>
      <x:c r="I1854" s="168" t="str">
        <x:v>Crédito Consignado</x:v>
      </x:c>
      <x:c r="J1854" s="168" t="str">
        <x:v>CI</x:v>
      </x:c>
      <x:c r="K1854" s="174" t="n">
        <x:v>93</x:v>
      </x:c>
      <x:c r="L1854" s="187" t="str">
        <x:v>Não classificado</x:v>
      </x:c>
    </x:row>
    <x:row r="1855">
      <x:c r="A1855" s="177" t="str">
        <x:v>64.013.807/0001-41</x:v>
      </x:c>
      <x:c r="B1855" s="168" t="str">
        <x:v>REDWOOD HIGH YIELD CP FUNDO DE INVESTIMENTO EM DIREITOS CREDITÓRIOS RESPONSABILIDADE LIMITADA</x:v>
      </x:c>
      <x:c r="C1855" s="190" t="n">
        <x:v>34519359.2</x:v>
      </x:c>
      <x:c r="D1855" s="168" t="str">
        <x:v>Redwood Asset Management</x:v>
      </x:c>
      <x:c r="E1855" s="168" t="str">
        <x:f>IFERROR(INDEX('Classif Gestoras'!$H$6:$H$462,MATCH(D1855,'Classif Gestoras'!$A$6:$A$462,0)),"Não classificada")</x:f>
        <x:v>Independente</x:v>
      </x:c>
      <x:c r="F1855" s="168" t="str">
        <x:v>PLANNER CV</x:v>
      </x:c>
      <x:c r="G1855" s="168" t="str">
        <x:v>PLANNER CORRETORA DE VALORES S.A.</x:v>
      </x:c>
      <x:c r="H1855" s="168" t="str">
        <x:v>Outros</x:v>
      </x:c>
      <x:c r="I1855" s="168" t="str">
        <x:v>Multicarteira Outros</x:v>
      </x:c>
      <x:c r="J1855" s="168" t="str">
        <x:v>CI</x:v>
      </x:c>
      <x:c r="K1855" s="174" t="n">
        <x:v>5</x:v>
      </x:c>
      <x:c r="L1855" s="187" t="str">
        <x:v>Proxy multicedente/multissacado — revisar</x:v>
      </x:c>
    </x:row>
    <x:row r="1856">
      <x:c r="A1856" s="177" t="str">
        <x:v>18.392.964/0001-98</x:v>
      </x:c>
      <x:c r="B1856" s="168" t="str">
        <x:v>CNPJ 18392964000198</x:v>
      </x:c>
      <x:c r="C1856" s="190" t="n">
        <x:v>34367046.989999995</x:v>
      </x:c>
      <x:c r="D1856" s="168" t="str">
        <x:v>WNT Gestora de Recursos Ltda.</x:v>
      </x:c>
      <x:c r="E1856" s="168" t="str">
        <x:f>IFERROR(INDEX('Classif Gestoras'!$H$6:$H$462,MATCH(D1856,'Classif Gestoras'!$A$6:$A$462,0)),"Não classificada")</x:f>
        <x:v>Independente</x:v>
      </x:c>
      <x:c r="F1856" s="168" t="str">
        <x:v>WNT DTVM</x:v>
      </x:c>
      <x:c r="G1856" s="168" t="str">
        <x:v>Não identificado</x:v>
      </x:c>
      <x:c r="H1856" s="168" t="str">
        <x:v>Fomento Mercantil</x:v>
      </x:c>
      <x:c r="I1856" s="168" t="str">
        <x:v>Fomento Mercantil</x:v>
      </x:c>
      <x:c r="J1856" s="168" t="str">
        <x:v>CI</x:v>
      </x:c>
      <x:c r="K1856" s="174"/>
      <x:c r="L1856" s="187" t="str">
        <x:v>Não classificado</x:v>
      </x:c>
    </x:row>
    <x:row r="1857">
      <x:c r="A1857" s="177" t="str">
        <x:v>60.101.506/0001-19</x:v>
      </x:c>
      <x:c r="B1857" s="168" t="str">
        <x:v>VIRTUS FUNDO DE INVESTIMENTO EM DIREITOS CREDITÓRIOS</x:v>
      </x:c>
      <x:c r="C1857" s="190" t="n">
        <x:v>34341589.36</x:v>
      </x:c>
      <x:c r="D1857" s="168" t="str">
        <x:v>OURO PRETO INVESTIMENTOS</x:v>
      </x:c>
      <x:c r="E1857" s="168" t="str">
        <x:f>IFERROR(INDEX('Classif Gestoras'!$H$6:$H$462,MATCH(D1857,'Classif Gestoras'!$A$6:$A$462,0)),"Não classificada")</x:f>
        <x:v>Independente</x:v>
      </x:c>
      <x:c r="F1857" s="168" t="str">
        <x:v>Limine Trust Distribuidora de Titulos e Valores Mobiliá</x:v>
      </x:c>
      <x:c r="G1857" s="168" t="str">
        <x:v>LIMINE TRUST DISTRIBUIDORA DE TITULOS E VALORES MOBILIARIOS LTDA.</x:v>
      </x:c>
      <x:c r="H1857" s="168" t="str">
        <x:v>Fomento Mercantil</x:v>
      </x:c>
      <x:c r="I1857" s="168" t="str">
        <x:v>Fomento Mercantil</x:v>
      </x:c>
      <x:c r="J1857" s="168" t="str">
        <x:v>CI</x:v>
      </x:c>
      <x:c r="K1857" s="174" t="n">
        <x:v>3</x:v>
      </x:c>
      <x:c r="L1857" s="187" t="str">
        <x:v>Não classificado</x:v>
      </x:c>
    </x:row>
    <x:row r="1858">
      <x:c r="A1858" s="177" t="str">
        <x:v>61.286.809/0001-16</x:v>
      </x:c>
      <x:c r="B1858" s="168" t="str">
        <x:v>HESTIA FUNDO DE INVESTIMENTO EM DIREITOS CREDITÓRIOS DE RESPONSABILIDADE LIMITADA</x:v>
      </x:c>
      <x:c r="C1858" s="190" t="n">
        <x:v>34276109.92</x:v>
      </x:c>
      <x:c r="D1858" s="168" t="str">
        <x:v>Veritas Capital Management</x:v>
      </x:c>
      <x:c r="E1858" s="168" t="str">
        <x:f>IFERROR(INDEX('Classif Gestoras'!$H$6:$H$462,MATCH(D1858,'Classif Gestoras'!$A$6:$A$462,0)),"Não classificada")</x:f>
        <x:v>Independente</x:v>
      </x:c>
      <x:c r="F1858" s="168" t="str">
        <x:v>PLANNER CV</x:v>
      </x:c>
      <x:c r="G1858" s="168" t="str">
        <x:v>PLANNER CORRETORA DE VALORES S.A.</x:v>
      </x:c>
      <x:c r="H1858" s="168" t="str">
        <x:v>Outros</x:v>
      </x:c>
      <x:c r="I1858" s="168" t="str">
        <x:v>Multicarteira Outros</x:v>
      </x:c>
      <x:c r="J1858" s="168" t="str">
        <x:v>CI</x:v>
      </x:c>
      <x:c r="K1858" s="174" t="n">
        <x:v>1</x:v>
      </x:c>
      <x:c r="L1858" s="187" t="str">
        <x:v>Proxy multicedente/multissacado — revisar</x:v>
      </x:c>
    </x:row>
    <x:row r="1859">
      <x:c r="A1859" s="177" t="str">
        <x:v>41.075.407/0001-65</x:v>
      </x:c>
      <x:c r="B1859" s="168" t="str">
        <x:v>JGP ESTRUTURADOS FUNDO DE INVESTIMENTO EM DIREITOS CREDITÓRIOS - RESPONSABILIDADE LIMITADA</x:v>
      </x:c>
      <x:c r="C1859" s="190" t="n">
        <x:v>34188942.28999999</x:v>
      </x:c>
      <x:c r="D1859" s="168" t="str">
        <x:v>JGP Gestão de Crédito LTDA.</x:v>
      </x:c>
      <x:c r="E1859" s="168" t="str">
        <x:f>IFERROR(INDEX('Classif Gestoras'!$H$6:$H$462,MATCH(D1859,'Classif Gestoras'!$A$6:$A$462,0)),"Não classificada")</x:f>
        <x:v>Independente</x:v>
      </x:c>
      <x:c r="F1859" s="168" t="str">
        <x:v>BNY MELLON SERVICOS</x:v>
      </x:c>
      <x:c r="G1859" s="168" t="str">
        <x:v>BNY MELLON BANCO S.A.</x:v>
      </x:c>
      <x:c r="H1859" s="168" t="str">
        <x:v>Outros</x:v>
      </x:c>
      <x:c r="I1859" s="168" t="str">
        <x:v>Multicarteira Outros</x:v>
      </x:c>
      <x:c r="J1859" s="168" t="str">
        <x:v>CI</x:v>
      </x:c>
      <x:c r="K1859" s="174" t="n">
        <x:v>22</x:v>
      </x:c>
      <x:c r="L1859" s="187" t="str">
        <x:v>Proxy multicedente/multissacado — revisar</x:v>
      </x:c>
    </x:row>
    <x:row r="1860">
      <x:c r="A1860" s="177" t="str">
        <x:v>48.502.650/0001-61</x:v>
      </x:c>
      <x:c r="B1860" s="168" t="str">
        <x:v>SILVERSTONE FUNDO DE INVESTIMENTO EM DIREITOS CREDITÓRIOS NÃO-PADRONIZADOS RESPONSABILIDADE LIMITADA</x:v>
      </x:c>
      <x:c r="C1860" s="190" t="n">
        <x:v>34149754.88</x:v>
      </x:c>
      <x:c r="D1860" s="168" t="str">
        <x:v>IDGR</x:v>
      </x:c>
      <x:c r="E1860" s="168" t="str">
        <x:f>IFERROR(INDEX('Classif Gestoras'!$H$6:$H$462,MATCH(D1860,'Classif Gestoras'!$A$6:$A$462,0)),"Não classificada")</x:f>
        <x:v>Independente</x:v>
      </x:c>
      <x:c r="F1860" s="168" t="str">
        <x:v>ID Corretora de Títulos e Valores Mobiliários S.A.</x:v>
      </x:c>
      <x:c r="G1860" s="168" t="str">
        <x:v>ID CORRETORA DE TITULOS E VALORES MOBILIARIOS S.A.</x:v>
      </x:c>
      <x:c r="H1860" s="168" t="str">
        <x:v>Outros</x:v>
      </x:c>
      <x:c r="I1860" s="168" t="str">
        <x:v>Multicarteira Outros</x:v>
      </x:c>
      <x:c r="J1860" s="168" t="str">
        <x:v>CI</x:v>
      </x:c>
      <x:c r="K1860" s="174" t="n">
        <x:v>1</x:v>
      </x:c>
      <x:c r="L1860" s="187" t="str">
        <x:v>Proxy multicedente/multissacado — revisar</x:v>
      </x:c>
    </x:row>
    <x:row r="1861">
      <x:c r="A1861" s="177" t="str">
        <x:v>60.234.640/0001-98</x:v>
      </x:c>
      <x:c r="B1861" s="168" t="str">
        <x:v>BANQI III FUNDO DE INVESTIMENTO EM DIREITOS CREDITÓRIOS</x:v>
      </x:c>
      <x:c r="C1861" s="190" t="n">
        <x:v>34086084.67</x:v>
      </x:c>
      <x:c r="D1861" s="168" t="str">
        <x:v>GENIAL GESTÃO LTDA.</x:v>
      </x:c>
      <x:c r="E1861" s="168" t="str">
        <x:f>IFERROR(INDEX('Classif Gestoras'!$H$6:$H$462,MATCH(D1861,'Classif Gestoras'!$A$6:$A$462,0)),"Não classificada")</x:f>
        <x:v>Ligada a banco</x:v>
      </x:c>
      <x:c r="F1861" s="168" t="str">
        <x:v>Genial Investimentos Corretora de Valores Mobiliários S.A.</x:v>
      </x:c>
      <x:c r="G1861" s="168" t="str">
        <x:v>BANCO GENIAL S.A.</x:v>
      </x:c>
      <x:c r="H1861" s="168" t="str">
        <x:v>Agro, Indústria e Comércio</x:v>
      </x:c>
      <x:c r="I1861" s="168" t="str">
        <x:v>Recebíveis Comerciais</x:v>
      </x:c>
      <x:c r="J1861" s="168" t="str">
        <x:v>CI</x:v>
      </x:c>
      <x:c r="K1861" s="174" t="n">
        <x:v>3</x:v>
      </x:c>
      <x:c r="L1861" s="187" t="str">
        <x:v>Não classificado</x:v>
      </x:c>
    </x:row>
    <x:row r="1862">
      <x:c r="A1862" s="177" t="str">
        <x:v>26.545.364/0001-40</x:v>
      </x:c>
      <x:c r="B1862" s="168" t="str">
        <x:v>MT - FUNDO DE INVESTIMENTO EM DIREITOS CREDITORIOS</x:v>
      </x:c>
      <x:c r="C1862" s="190" t="n">
        <x:v>34057372.43</x:v>
      </x:c>
      <x:c r="D1862" s="168" t="str">
        <x:v>WNT Gestora de Recursos Ltda.</x:v>
      </x:c>
      <x:c r="E1862" s="168" t="str">
        <x:f>IFERROR(INDEX('Classif Gestoras'!$H$6:$H$462,MATCH(D1862,'Classif Gestoras'!$A$6:$A$462,0)),"Não classificada")</x:f>
        <x:v>Independente</x:v>
      </x:c>
      <x:c r="F1862" s="168" t="str">
        <x:v>WNT DTVM</x:v>
      </x:c>
      <x:c r="G1862" s="168" t="str">
        <x:v>WNT CAPITAL DISTRIBUIDORA DE TITULOS E VALORES MOBILIARIOS S.A.</x:v>
      </x:c>
      <x:c r="H1862" s="168" t="str">
        <x:v>Outros</x:v>
      </x:c>
      <x:c r="I1862" s="168" t="str">
        <x:v>Multicarteira Outros</x:v>
      </x:c>
      <x:c r="J1862" s="168" t="str">
        <x:v>CI</x:v>
      </x:c>
      <x:c r="K1862" s="174" t="n">
        <x:v>8</x:v>
      </x:c>
      <x:c r="L1862" s="187" t="str">
        <x:v>Proxy multicedente/multissacado — revisar</x:v>
      </x:c>
    </x:row>
    <x:row r="1863">
      <x:c r="A1863" s="177" t="str">
        <x:v>60.869.787/0001-54</x:v>
      </x:c>
      <x:c r="B1863" s="168" t="str">
        <x:v>VRE FUNDO DE INVESTIMENTO EM DIREITOS CREDITÓRIOS RESPONSABILIDADE LIMITADA</x:v>
      </x:c>
      <x:c r="C1863" s="190" t="n">
        <x:v>34049247.75</x:v>
      </x:c>
      <x:c r="D1863" s="168" t="str">
        <x:v>Redwood Asset Management</x:v>
      </x:c>
      <x:c r="E1863" s="168" t="str">
        <x:f>IFERROR(INDEX('Classif Gestoras'!$H$6:$H$462,MATCH(D1863,'Classif Gestoras'!$A$6:$A$462,0)),"Não classificada")</x:f>
        <x:v>Independente</x:v>
      </x:c>
      <x:c r="F1863" s="168" t="str">
        <x:v>PLANNER CV</x:v>
      </x:c>
      <x:c r="G1863" s="168" t="str">
        <x:v>PLANNER CORRETORA DE VALORES S.A.</x:v>
      </x:c>
      <x:c r="H1863" s="168" t="str">
        <x:v>Outros</x:v>
      </x:c>
      <x:c r="I1863" s="168" t="str">
        <x:v>Multicarteira Outros</x:v>
      </x:c>
      <x:c r="J1863" s="168" t="str">
        <x:v>CI</x:v>
      </x:c>
      <x:c r="K1863" s="174" t="n">
        <x:v>1</x:v>
      </x:c>
      <x:c r="L1863" s="187" t="str">
        <x:v>Proxy multicedente/multissacado — revisar</x:v>
      </x:c>
    </x:row>
    <x:row r="1864">
      <x:c r="A1864" s="177" t="str">
        <x:v>37.569.593/0001-11</x:v>
      </x:c>
      <x:c r="B1864" s="168" t="str">
        <x:v>MJC FUNDO DE INVESTIMENTO EM DIREITOS CREDITÓRIOS CLASSE ÚNICA FECHADA</x:v>
      </x:c>
      <x:c r="C1864" s="190" t="n">
        <x:v>33994699.65</x:v>
      </x:c>
      <x:c r="D1864" s="168" t="str">
        <x:v>CARMEL GESTORA DE ATIVOS LTDA</x:v>
      </x:c>
      <x:c r="E1864" s="168" t="str">
        <x:f>IFERROR(INDEX('Classif Gestoras'!$H$6:$H$462,MATCH(D1864,'Classif Gestoras'!$A$6:$A$462,0)),"Não classificada")</x:f>
        <x:v>Independente</x:v>
      </x:c>
      <x:c r="F1864" s="168" t="str">
        <x:v>PLANNER CV</x:v>
      </x:c>
      <x:c r="G1864" s="168" t="str">
        <x:v>PLANNER CORRETORA DE VALORES S.A.</x:v>
      </x:c>
      <x:c r="H1864" s="168" t="str">
        <x:v>Outros</x:v>
      </x:c>
      <x:c r="I1864" s="168" t="str">
        <x:v>Não se aplica</x:v>
      </x:c>
      <x:c r="J1864" s="168" t="str">
        <x:v>CI</x:v>
      </x:c>
      <x:c r="K1864" s="174" t="n">
        <x:v>3</x:v>
      </x:c>
      <x:c r="L1864" s="187" t="str">
        <x:v>Não classificado</x:v>
      </x:c>
    </x:row>
    <x:row r="1865">
      <x:c r="A1865" s="177" t="str">
        <x:v>46.390.267/0001-33</x:v>
      </x:c>
      <x:c r="B1865" s="168" t="str">
        <x:v>CARAJÁS FUNDO DE INVESTIMENTO EM DIREITOS CREDITÓRIOS NÃO PADRONIZADO CRÉDITO CORPORATIVO</x:v>
      </x:c>
      <x:c r="C1865" s="190" t="n">
        <x:v>33968345.93</x:v>
      </x:c>
      <x:c r="D1865" s="168" t="str">
        <x:v>Harbour Capital</x:v>
      </x:c>
      <x:c r="E1865" s="168" t="str">
        <x:f>IFERROR(INDEX('Classif Gestoras'!$H$6:$H$462,MATCH(D1865,'Classif Gestoras'!$A$6:$A$462,0)),"Não classificada")</x:f>
        <x:v>Independente</x:v>
      </x:c>
      <x:c r="F1865" s="168" t="str">
        <x:v>Singulare</x:v>
      </x:c>
      <x:c r="G1865" s="168" t="str">
        <x:v>QI CORRETORA DE TÍTULOS E VALORES MOBILIÁRIOS S.A.</x:v>
      </x:c>
      <x:c r="H1865" s="168" t="str">
        <x:v>Fomento Mercantil</x:v>
      </x:c>
      <x:c r="I1865" s="168" t="str">
        <x:v>Fomento Mercantil</x:v>
      </x:c>
      <x:c r="J1865" s="168" t="str">
        <x:v>CI</x:v>
      </x:c>
      <x:c r="K1865" s="174" t="n">
        <x:v>11</x:v>
      </x:c>
      <x:c r="L1865" s="187" t="str">
        <x:v>Não classificado</x:v>
      </x:c>
    </x:row>
    <x:row r="1866">
      <x:c r="A1866" s="177" t="str">
        <x:v>36.669.346/0001-24</x:v>
      </x:c>
      <x:c r="B1866" s="168" t="str">
        <x:v>FUNDO DE INVESTIMENTO EM DIREITOS CREDITÓRIOS INSOLVÊNCIA</x:v>
      </x:c>
      <x:c r="C1866" s="190" t="n">
        <x:v>33944475.77</x:v>
      </x:c>
      <x:c r="D1866" s="168" t="str">
        <x:v>BRL TRUST DTVM</x:v>
      </x:c>
      <x:c r="E1866" s="168" t="str">
        <x:f>IFERROR(INDEX('Classif Gestoras'!$H$6:$H$462,MATCH(D1866,'Classif Gestoras'!$A$6:$A$462,0)),"Não classificada")</x:f>
        <x:v>Independente</x:v>
      </x:c>
      <x:c r="F1866" s="168" t="str">
        <x:v>BRL TRUST DTVM</x:v>
      </x:c>
      <x:c r="G1866" s="168" t="str">
        <x:v>BRL TRUST DISTRIBUIDORA DE TITULOS E VALORES MOBILIARIOS S.A.</x:v>
      </x:c>
      <x:c r="H1866" s="168" t="str">
        <x:v>Agro, Indústria e Comércio</x:v>
      </x:c>
      <x:c r="I1866" s="168" t="str">
        <x:v>Infraestrutura</x:v>
      </x:c>
      <x:c r="J1866" s="168" t="str">
        <x:v>CI</x:v>
      </x:c>
      <x:c r="K1866" s="174" t="n">
        <x:v>1</x:v>
      </x:c>
      <x:c r="L1866" s="187" t="str">
        <x:v>Não classificado</x:v>
      </x:c>
    </x:row>
    <x:row r="1867">
      <x:c r="A1867" s="177" t="str">
        <x:v>45.145.168/0001-23</x:v>
      </x:c>
      <x:c r="B1867" s="168" t="str">
        <x:v>JURUENA FUNDO DE INVESTIMENTO EM DIREITOS CREDITÓRIOS</x:v>
      </x:c>
      <x:c r="C1867" s="190" t="n">
        <x:v>33941288.99</x:v>
      </x:c>
      <x:c r="D1867" s="168" t="str">
        <x:v>Libertas Asset</x:v>
      </x:c>
      <x:c r="E1867" s="168" t="str">
        <x:f>IFERROR(INDEX('Classif Gestoras'!$H$6:$H$462,MATCH(D1867,'Classif Gestoras'!$A$6:$A$462,0)),"Não classificada")</x:f>
        <x:v>Independente</x:v>
      </x:c>
      <x:c r="F1867" s="168" t="str">
        <x:v>ACTUAL DTVM</x:v>
      </x:c>
      <x:c r="G1867" s="168" t="str">
        <x:v>LASTRO RDV DTVM LTDA</x:v>
      </x:c>
      <x:c r="H1867" s="168" t="str">
        <x:v>Outros</x:v>
      </x:c>
      <x:c r="I1867" s="168" t="str">
        <x:v>Multicarteira Outros</x:v>
      </x:c>
      <x:c r="J1867" s="168" t="str">
        <x:v>CI</x:v>
      </x:c>
      <x:c r="K1867" s="174" t="n">
        <x:v>1</x:v>
      </x:c>
      <x:c r="L1867" s="187" t="str">
        <x:v>Proxy multicedente/multissacado — revisar</x:v>
      </x:c>
    </x:row>
    <x:row r="1868">
      <x:c r="A1868" s="177" t="str">
        <x:v>45.755.835/0001-90</x:v>
      </x:c>
      <x:c r="B1868" s="168" t="str">
        <x:v>B7 FUNDO DE INVESTIMENTO EM PRECATÓRIOS E DIREITOS CREDITÓRIOS NÃO PADRONIZADOS</x:v>
      </x:c>
      <x:c r="C1868" s="190" t="n">
        <x:v>33906996.18</x:v>
      </x:c>
      <x:c r="D1868" s="168" t="str">
        <x:v>CONTEA CAPITAL</x:v>
      </x:c>
      <x:c r="E1868" s="168" t="str">
        <x:f>IFERROR(INDEX('Classif Gestoras'!$H$6:$H$462,MATCH(D1868,'Classif Gestoras'!$A$6:$A$462,0)),"Não classificada")</x:f>
        <x:v>Independente</x:v>
      </x:c>
      <x:c r="F1868" s="168" t="str">
        <x:v>Singulare</x:v>
      </x:c>
      <x:c r="G1868" s="168" t="str">
        <x:v>QI CORRETORA DE TÍTULOS E VALORES MOBILIÁRIOS S.A.</x:v>
      </x:c>
      <x:c r="H1868" s="168" t="str">
        <x:v>Outros</x:v>
      </x:c>
      <x:c r="I1868" s="168" t="str">
        <x:v>Poder Público</x:v>
      </x:c>
      <x:c r="J1868" s="168" t="str">
        <x:v>CI</x:v>
      </x:c>
      <x:c r="K1868" s="174" t="n">
        <x:v>24</x:v>
      </x:c>
      <x:c r="L1868" s="187" t="str">
        <x:v>Não classificado</x:v>
      </x:c>
    </x:row>
    <x:row r="1869">
      <x:c r="A1869" s="177" t="str">
        <x:v>62.966.067/0001-32</x:v>
      </x:c>
      <x:c r="B1869" s="168" t="str">
        <x:v>FIDUCIA FUNDO DE INVESTIMENTO EM DIREITOS CREDITÓRIOS CRÉDITO CORPORATIVO</x:v>
      </x:c>
      <x:c r="C1869" s="190" t="n">
        <x:v>33869802</x:v>
      </x:c>
      <x:c r="D1869" s="168" t="str">
        <x:v>Harbour Capital</x:v>
      </x:c>
      <x:c r="E1869" s="168" t="str">
        <x:f>IFERROR(INDEX('Classif Gestoras'!$H$6:$H$462,MATCH(D1869,'Classif Gestoras'!$A$6:$A$462,0)),"Não classificada")</x:f>
        <x:v>Independente</x:v>
      </x:c>
      <x:c r="F1869" s="168" t="str">
        <x:v>AZUMI DISTRIBUIDORA DE TÍTULOS E VALORES MOBILIÁRIOS LT</x:v>
      </x:c>
      <x:c r="G1869" s="168" t="str">
        <x:v>AZUMI DISTRIBUIDORA DE TÍTULOS E VALORES MOBILIÁRIOS LTDA.</x:v>
      </x:c>
      <x:c r="H1869" s="168" t="str">
        <x:v>Fomento Mercantil</x:v>
      </x:c>
      <x:c r="I1869" s="168" t="str">
        <x:v>Fomento Mercantil</x:v>
      </x:c>
      <x:c r="J1869" s="168" t="str">
        <x:v>CI</x:v>
      </x:c>
      <x:c r="K1869" s="174" t="n">
        <x:v>2</x:v>
      </x:c>
      <x:c r="L1869" s="187" t="str">
        <x:v>Não classificado</x:v>
      </x:c>
    </x:row>
    <x:row r="1870">
      <x:c r="A1870" s="177" t="str">
        <x:v>35.940.459/0001-50</x:v>
      </x:c>
      <x:c r="B1870" s="168" t="str">
        <x:v>FERPAR - FUNDO DE INVESTIMENTO EM DIREITOS CREDITÓRIOS NÃO PADRONIZADOS</x:v>
      </x:c>
      <x:c r="C1870" s="190" t="n">
        <x:v>33862929.480000004</x:v>
      </x:c>
      <x:c r="D1870" s="168" t="str">
        <x:v>Catálise Investimentos</x:v>
      </x:c>
      <x:c r="E1870" s="168" t="str">
        <x:f>IFERROR(INDEX('Classif Gestoras'!$H$6:$H$462,MATCH(D1870,'Classif Gestoras'!$A$6:$A$462,0)),"Não classificada")</x:f>
        <x:v>Independente</x:v>
      </x:c>
      <x:c r="F1870" s="168" t="str">
        <x:v>FIDD DISTRIBUIDORA DE TITULOS E VALORES MOBILIARIOS LTD</x:v>
      </x:c>
      <x:c r="G1870" s="168" t="str">
        <x:v>FIDD DISTRIBUIDORA DE TITULOS E VALORES MOBILIARIOS LTDA.</x:v>
      </x:c>
      <x:c r="H1870" s="168" t="str">
        <x:v>Outros</x:v>
      </x:c>
      <x:c r="I1870" s="168" t="str">
        <x:v>Multicarteira Outros</x:v>
      </x:c>
      <x:c r="J1870" s="168" t="str">
        <x:v>CI</x:v>
      </x:c>
      <x:c r="K1870" s="174" t="n">
        <x:v>1</x:v>
      </x:c>
      <x:c r="L1870" s="187" t="str">
        <x:v>Proxy multicedente/multissacado — revisar</x:v>
      </x:c>
    </x:row>
    <x:row r="1871">
      <x:c r="A1871" s="177" t="str">
        <x:v>55.749.847/0001-65</x:v>
      </x:c>
      <x:c r="B1871" s="168" t="str">
        <x:v>BR8 FUNDO DE INVESTIMENTO EM DIREITOS CREDITÓRIOS</x:v>
      </x:c>
      <x:c r="C1871" s="190" t="n">
        <x:v>33791814.63999999</x:v>
      </x:c>
      <x:c r="D1871" s="168" t="str">
        <x:v>Catálise Investimentos</x:v>
      </x:c>
      <x:c r="E1871" s="168" t="str">
        <x:f>IFERROR(INDEX('Classif Gestoras'!$H$6:$H$462,MATCH(D1871,'Classif Gestoras'!$A$6:$A$462,0)),"Não classificada")</x:f>
        <x:v>Independente</x:v>
      </x:c>
      <x:c r="F1871" s="168" t="str">
        <x:v>FIDD DISTRIBUIDORA DE TITULOS E VALORES MOBILIARIOS LTD</x:v>
      </x:c>
      <x:c r="G1871" s="168" t="str">
        <x:v>FIDD DISTRIBUIDORA DE TITULOS E VALORES MOBILIARIOS LTDA.</x:v>
      </x:c>
      <x:c r="H1871" s="168" t="str">
        <x:v>Agro, Indústria e Comércio</x:v>
      </x:c>
      <x:c r="I1871" s="168" t="str">
        <x:v>Recebíveis Comerciais</x:v>
      </x:c>
      <x:c r="J1871" s="168" t="str">
        <x:v>CI</x:v>
      </x:c>
      <x:c r="K1871" s="174" t="n">
        <x:v>8</x:v>
      </x:c>
      <x:c r="L1871" s="187" t="str">
        <x:v>Não classificado</x:v>
      </x:c>
    </x:row>
    <x:row r="1872">
      <x:c r="A1872" s="177" t="str">
        <x:v>23.200.278/0001-08</x:v>
      </x:c>
      <x:c r="B1872" s="168" t="str">
        <x:v>LIVE FUNDO DE INVESTIMENTO EM DIREITOS CREDITÓRIOS MULTISEGMENTOS</x:v>
      </x:c>
      <x:c r="C1872" s="190" t="n">
        <x:v>33763801.980000004</x:v>
      </x:c>
      <x:c r="D1872" s="168" t="str">
        <x:v>Petra Capital</x:v>
      </x:c>
      <x:c r="E1872" s="168" t="str">
        <x:f>IFERROR(INDEX('Classif Gestoras'!$H$6:$H$462,MATCH(D1872,'Classif Gestoras'!$A$6:$A$462,0)),"Não classificada")</x:f>
        <x:v>Independente</x:v>
      </x:c>
      <x:c r="F1872" s="168" t="str">
        <x:v>Finaxis Corretora de Títulos e Valores Mobiliários S.A.</x:v>
      </x:c>
      <x:c r="G1872" s="168" t="str">
        <x:v>BANCO FINAXIS S.A.</x:v>
      </x:c>
      <x:c r="H1872" s="168" t="str">
        <x:v>Outros</x:v>
      </x:c>
      <x:c r="I1872" s="168" t="str">
        <x:v>Multicarteira Outros</x:v>
      </x:c>
      <x:c r="J1872" s="168" t="str">
        <x:v>CI</x:v>
      </x:c>
      <x:c r="K1872" s="174" t="n">
        <x:v>2</x:v>
      </x:c>
      <x:c r="L1872" s="187" t="str">
        <x:v>Proxy multicedente/multissacado — revisar</x:v>
      </x:c>
    </x:row>
    <x:row r="1873">
      <x:c r="A1873" s="177" t="str">
        <x:v>60.096.277/0001-91</x:v>
      </x:c>
      <x:c r="B1873" s="168" t="str">
        <x:v>ELO FUNDO DE INVESTIMENTO EM DIREITOS CREDITÓRIOS RESPONSABILIDADE LIMITADA</x:v>
      </x:c>
      <x:c r="C1873" s="190" t="n">
        <x:v>33614502.89</x:v>
      </x:c>
      <x:c r="D1873" s="168" t="str">
        <x:v>CVPAR Investimentos ltda</x:v>
      </x:c>
      <x:c r="E1873" s="168" t="str">
        <x:f>IFERROR(INDEX('Classif Gestoras'!$H$6:$H$462,MATCH(D1873,'Classif Gestoras'!$A$6:$A$462,0)),"Não classificada")</x:f>
        <x:v>Independente</x:v>
      </x:c>
      <x:c r="F1873" s="168" t="str">
        <x:v>ID Corretora de Títulos e Valores Mobiliários S.A.</x:v>
      </x:c>
      <x:c r="G1873" s="168" t="str">
        <x:v>ID CORRETORA DE TITULOS E VALORES MOBILIARIOS S.A.</x:v>
      </x:c>
      <x:c r="H1873" s="168" t="str">
        <x:v>Outros</x:v>
      </x:c>
      <x:c r="I1873" s="168" t="str">
        <x:v>Multicarteira Outros</x:v>
      </x:c>
      <x:c r="J1873" s="168" t="str">
        <x:v>CI</x:v>
      </x:c>
      <x:c r="K1873" s="174" t="n">
        <x:v>6</x:v>
      </x:c>
      <x:c r="L1873" s="187" t="str">
        <x:v>Proxy multicedente/multissacado — revisar</x:v>
      </x:c>
    </x:row>
    <x:row r="1874">
      <x:c r="A1874" s="177" t="str">
        <x:v>62.967.950/0001-47</x:v>
      </x:c>
      <x:c r="B1874" s="168" t="str">
        <x:v>MAGGIORE FUNDO DE INVESTIMENTO EM DIREITOS CREDITÓRIOS CRÉDITO CORPORATIVO</x:v>
      </x:c>
      <x:c r="C1874" s="190" t="n">
        <x:v>33561921.5</x:v>
      </x:c>
      <x:c r="D1874" s="168" t="str">
        <x:v>Harbour Capital</x:v>
      </x:c>
      <x:c r="E1874" s="168" t="str">
        <x:f>IFERROR(INDEX('Classif Gestoras'!$H$6:$H$462,MATCH(D1874,'Classif Gestoras'!$A$6:$A$462,0)),"Não classificada")</x:f>
        <x:v>Independente</x:v>
      </x:c>
      <x:c r="F1874" s="168" t="str">
        <x:v>AZUMI DISTRIBUIDORA DE TÍTULOS E VALORES MOBILIÁRIOS LT</x:v>
      </x:c>
      <x:c r="G1874" s="168" t="str">
        <x:v>AZUMI DISTRIBUIDORA DE TÍTULOS E VALORES MOBILIÁRIOS LTDA.</x:v>
      </x:c>
      <x:c r="H1874" s="168" t="str">
        <x:v>Fomento Mercantil</x:v>
      </x:c>
      <x:c r="I1874" s="168" t="str">
        <x:v>Fomento Mercantil</x:v>
      </x:c>
      <x:c r="J1874" s="168" t="str">
        <x:v>CI</x:v>
      </x:c>
      <x:c r="K1874" s="174" t="n">
        <x:v>3</x:v>
      </x:c>
      <x:c r="L1874" s="187" t="str">
        <x:v>Não classificado</x:v>
      </x:c>
    </x:row>
    <x:row r="1875">
      <x:c r="A1875" s="177" t="str">
        <x:v>60.601.973/0001-08</x:v>
      </x:c>
      <x:c r="B1875" s="168" t="str">
        <x:v>CLASSE I DO TUNDRA FIDC DE RESPONSABILIDADE LIMITADA</x:v>
      </x:c>
      <x:c r="C1875" s="190" t="n">
        <x:v>33459269.35</x:v>
      </x:c>
      <x:c r="D1875" s="168" t="str">
        <x:v>Geribá Investimentos Ltda.</x:v>
      </x:c>
      <x:c r="E1875" s="168" t="str">
        <x:f>IFERROR(INDEX('Classif Gestoras'!$H$6:$H$462,MATCH(D1875,'Classif Gestoras'!$A$6:$A$462,0)),"Não classificada")</x:f>
        <x:v>Independente</x:v>
      </x:c>
      <x:c r="F1875" s="168" t="str">
        <x:v>MONETAR DISTRIBUIDORA DE TITUL</x:v>
      </x:c>
      <x:c r="G1875" s="168" t="str">
        <x:v>TERRA INVESTIMENTOS DISTRIBUIDORA DE TITULOS E VALORES MOBILIARIOS LTDA</x:v>
      </x:c>
      <x:c r="H1875" s="168" t="str">
        <x:v>Outros</x:v>
      </x:c>
      <x:c r="I1875" s="168" t="str">
        <x:v>Multicarteira Outros</x:v>
      </x:c>
      <x:c r="J1875" s="168" t="str">
        <x:v>CI</x:v>
      </x:c>
      <x:c r="K1875" s="174" t="n">
        <x:v>17</x:v>
      </x:c>
      <x:c r="L1875" s="187" t="str">
        <x:v>Proxy multicedente/multissacado — revisar</x:v>
      </x:c>
    </x:row>
    <x:row r="1876">
      <x:c r="A1876" s="177" t="str">
        <x:v>62.456.242/0001-41</x:v>
      </x:c>
      <x:c r="B1876" s="168" t="str">
        <x:v>CREDIFIT CONSIGNADO PRIVADO FUNDO DE INVESTIMENTO EM DIREITOS CREDITORIOS - RESPONSABILIDADE LIMITAD</x:v>
      </x:c>
      <x:c r="C1876" s="190" t="n">
        <x:v>33413821.200000003</x:v>
      </x:c>
      <x:c r="D1876" s="168" t="str">
        <x:v>Paraguaçu Investimentos</x:v>
      </x:c>
      <x:c r="E1876" s="168" t="str">
        <x:f>IFERROR(INDEX('Classif Gestoras'!$H$6:$H$462,MATCH(D1876,'Classif Gestoras'!$A$6:$A$462,0)),"Não classificada")</x:f>
        <x:v>Independente</x:v>
      </x:c>
      <x:c r="F1876" s="168" t="str">
        <x:v>Singulare</x:v>
      </x:c>
      <x:c r="G1876" s="168" t="str">
        <x:v>QI CORRETORA DE TÍTULOS E VALORES MOBILIÁRIOS S.A.</x:v>
      </x:c>
      <x:c r="H1876" s="168" t="str">
        <x:v>Financeiro</x:v>
      </x:c>
      <x:c r="I1876" s="168" t="str">
        <x:v>Crédito Consignado</x:v>
      </x:c>
      <x:c r="J1876" s="168" t="str">
        <x:v>CI</x:v>
      </x:c>
      <x:c r="K1876" s="174" t="n">
        <x:v>11</x:v>
      </x:c>
      <x:c r="L1876" s="187" t="str">
        <x:v>Não classificado</x:v>
      </x:c>
    </x:row>
    <x:row r="1877">
      <x:c r="A1877" s="177" t="str">
        <x:v>63.670.619/0001-23</x:v>
      </x:c>
      <x:c r="B1877" s="168" t="str">
        <x:v>ANTENA MULTI TELE INFRA FIDC</x:v>
      </x:c>
      <x:c r="C1877" s="190" t="n">
        <x:v>33303943.21</x:v>
      </x:c>
      <x:c r="D1877" s="168" t="str">
        <x:v>Menestys</x:v>
      </x:c>
      <x:c r="E1877" s="168" t="str">
        <x:f>IFERROR(INDEX('Classif Gestoras'!$H$6:$H$462,MATCH(D1877,'Classif Gestoras'!$A$6:$A$462,0)),"Não classificada")</x:f>
        <x:v>Independente</x:v>
      </x:c>
      <x:c r="F1877" s="168" t="str">
        <x:v>FIDD DISTRIBUIDORA DE TITULOS E VALORES MOBILIARIOS LTD</x:v>
      </x:c>
      <x:c r="G1877" s="168" t="str">
        <x:v>FIDD DISTRIBUIDORA DE TITULOS E VALORES MOBILIARIOS LTDA.</x:v>
      </x:c>
      <x:c r="H1877" s="168" t="str">
        <x:v>Agro, Indústria e Comércio</x:v>
      </x:c>
      <x:c r="I1877" s="168" t="str">
        <x:v>Multicarteira Agro, Indústria e Comércio</x:v>
      </x:c>
      <x:c r="J1877" s="168" t="str">
        <x:v>CI</x:v>
      </x:c>
      <x:c r="K1877" s="174" t="n">
        <x:v>4</x:v>
      </x:c>
      <x:c r="L1877" s="187" t="str">
        <x:v>Proxy multicedente/multissacado — revisar</x:v>
      </x:c>
    </x:row>
    <x:row r="1878">
      <x:c r="A1878" s="177" t="str">
        <x:v>44.173.467/0001-09</x:v>
      </x:c>
      <x:c r="B1878" s="168" t="str">
        <x:v>MT INSS RECEIVABLES III FUNDO DE INVESTIMENTO EM DIREITOS CREDITÓRIOS RESPONSABILIDADE</x:v>
      </x:c>
      <x:c r="C1878" s="190" t="n">
        <x:v>33297040.92</x:v>
      </x:c>
      <x:c r="D1878" s="168" t="str">
        <x:v>BTG Pactual Asset</x:v>
      </x:c>
      <x:c r="E1878" s="168" t="str">
        <x:f>IFERROR(INDEX('Classif Gestoras'!$H$6:$H$462,MATCH(D1878,'Classif Gestoras'!$A$6:$A$462,0)),"Não classificada")</x:f>
        <x:v>Ligada a banco</x:v>
      </x:c>
      <x:c r="F1878" s="168" t="str">
        <x:v>BTG Pactual Servicos Financeiros S/A DTVM</x:v>
      </x:c>
      <x:c r="G1878" s="168" t="str">
        <x:v>BANCO BTG PACTUAL S/A</x:v>
      </x:c>
      <x:c r="H1878" s="168" t="str">
        <x:v>Financeiro</x:v>
      </x:c>
      <x:c r="I1878" s="168" t="str">
        <x:v>Crédito Consignado</x:v>
      </x:c>
      <x:c r="J1878" s="168" t="str">
        <x:v>CI</x:v>
      </x:c>
      <x:c r="K1878" s="174" t="n">
        <x:v>3</x:v>
      </x:c>
      <x:c r="L1878" s="187" t="str">
        <x:v>Não classificado</x:v>
      </x:c>
    </x:row>
    <x:row r="1879">
      <x:c r="A1879" s="177" t="str">
        <x:v>14.718.674/0001-30</x:v>
      </x:c>
      <x:c r="B1879" s="168" t="str">
        <x:v>JGM LP FUNDO DE INVESTIMENTO EM DIREITOS CREDITÓRIOS MULTISSETORIAL</x:v>
      </x:c>
      <x:c r="C1879" s="190" t="n">
        <x:v>33190511.420470003</x:v>
      </x:c>
      <x:c r="D1879" s="168" t="str">
        <x:v>TERCON ASSET MANAGEMENT</x:v>
      </x:c>
      <x:c r="E1879" s="168" t="str">
        <x:f>IFERROR(INDEX('Classif Gestoras'!$H$6:$H$462,MATCH(D1879,'Classif Gestoras'!$A$6:$A$462,0)),"Não classificada")</x:f>
        <x:v>Independente</x:v>
      </x:c>
      <x:c r="F1879" s="168" t="str">
        <x:v>Singulare</x:v>
      </x:c>
      <x:c r="G1879" s="168" t="str">
        <x:v>QI CORRETORA DE TÍTULOS E VALORES MOBILIÁRIOS S.A.</x:v>
      </x:c>
      <x:c r="H1879" s="168" t="str">
        <x:v>Fomento Mercantil</x:v>
      </x:c>
      <x:c r="I1879" s="168" t="str">
        <x:v>Fomento Mercantil</x:v>
      </x:c>
      <x:c r="J1879" s="168" t="str">
        <x:v>CI</x:v>
      </x:c>
      <x:c r="K1879" s="174" t="n">
        <x:v>19</x:v>
      </x:c>
      <x:c r="L1879" s="187" t="str">
        <x:v>Não classificado</x:v>
      </x:c>
    </x:row>
    <x:row r="1880">
      <x:c r="A1880" s="177" t="str">
        <x:v>59.685.331/0001-55</x:v>
      </x:c>
      <x:c r="B1880" s="168" t="str">
        <x:v>CROMO FUNDO DE INVESTIMENTO EM DIREITOS CREDITÓRIOS RESPONSABILIDADE LIMITADA</x:v>
      </x:c>
      <x:c r="C1880" s="190" t="n">
        <x:v>33072200.3</x:v>
      </x:c>
      <x:c r="D1880" s="168" t="str">
        <x:v>SUESTE CAPITAL GESTÃO DE RECURSOS LTDA.</x:v>
      </x:c>
      <x:c r="E1880" s="168" t="str">
        <x:f>IFERROR(INDEX('Classif Gestoras'!$H$6:$H$462,MATCH(D1880,'Classif Gestoras'!$A$6:$A$462,0)),"Não classificada")</x:f>
        <x:v>Independente</x:v>
      </x:c>
      <x:c r="F1880" s="168" t="str">
        <x:v>XPI CCTVM S/A</x:v>
      </x:c>
      <x:c r="G1880" s="168" t="str">
        <x:v>OLIVEIRA TRUST DTVM S.A.</x:v>
      </x:c>
      <x:c r="H1880" s="168" t="str">
        <x:v>Outros</x:v>
      </x:c>
      <x:c r="I1880" s="168" t="str">
        <x:v>Multicarteira Outros</x:v>
      </x:c>
      <x:c r="J1880" s="168" t="str">
        <x:v>CI</x:v>
      </x:c>
      <x:c r="K1880" s="174" t="n">
        <x:v>5</x:v>
      </x:c>
      <x:c r="L1880" s="187" t="str">
        <x:v>Proxy multicedente/multissacado — revisar</x:v>
      </x:c>
    </x:row>
    <x:row r="1881">
      <x:c r="A1881" s="177" t="str">
        <x:v>53.215.146/0001-10</x:v>
      </x:c>
      <x:c r="B1881" s="168" t="str">
        <x:v>DHAMA AGNI FUNDO DE INVESTIMENTO EM DIREITOS CREDITÓRIOS RESPONSABILIDADE LIMITADA</x:v>
      </x:c>
      <x:c r="C1881" s="190" t="n">
        <x:v>33015553.6</x:v>
      </x:c>
      <x:c r="D1881" s="168" t="str">
        <x:v>Dhama Capital Ltda</x:v>
      </x:c>
      <x:c r="E1881" s="168" t="str">
        <x:f>IFERROR(INDEX('Classif Gestoras'!$H$6:$H$462,MATCH(D1881,'Classif Gestoras'!$A$6:$A$462,0)),"Não classificada")</x:f>
        <x:v>Independente</x:v>
      </x:c>
      <x:c r="F1881" s="168" t="str">
        <x:v>BTG Pactual Servicos Financeiros S/A DTVM</x:v>
      </x:c>
      <x:c r="G1881" s="168" t="str">
        <x:v>BANCO BTG PACTUAL S/A</x:v>
      </x:c>
      <x:c r="H1881" s="168" t="str">
        <x:v>Outros</x:v>
      </x:c>
      <x:c r="I1881" s="168" t="str">
        <x:v>Multicarteira Outros</x:v>
      </x:c>
      <x:c r="J1881" s="168" t="str">
        <x:v>CI</x:v>
      </x:c>
      <x:c r="K1881" s="174" t="n">
        <x:v>5</x:v>
      </x:c>
      <x:c r="L1881" s="187" t="str">
        <x:v>Proxy multicedente/multissacado — revisar</x:v>
      </x:c>
    </x:row>
    <x:row r="1882">
      <x:c r="A1882" s="177" t="str">
        <x:v>59.509.925/0001-05</x:v>
      </x:c>
      <x:c r="B1882" s="168" t="str">
        <x:v>CERRADO FUNDO DE INVESTIMENTOS EM DIREITOS CREDITÓRIOS MULTISSETORIAL</x:v>
      </x:c>
      <x:c r="C1882" s="190" t="n">
        <x:v>32968505.36</x:v>
      </x:c>
      <x:c r="D1882" s="168" t="str">
        <x:v>BENAVENT ASSET LTDA</x:v>
      </x:c>
      <x:c r="E1882" s="168" t="str">
        <x:f>IFERROR(INDEX('Classif Gestoras'!$H$6:$H$462,MATCH(D1882,'Classif Gestoras'!$A$6:$A$462,0)),"Não classificada")</x:f>
        <x:v>Independente</x:v>
      </x:c>
      <x:c r="F1882" s="168" t="str">
        <x:v>PLANNER CV</x:v>
      </x:c>
      <x:c r="G1882" s="168" t="str">
        <x:v>PLANNER CORRETORA DE VALORES S.A.</x:v>
      </x:c>
      <x:c r="H1882" s="168" t="str">
        <x:v>Outros</x:v>
      </x:c>
      <x:c r="I1882" s="168" t="str">
        <x:v>Multicarteira Outros</x:v>
      </x:c>
      <x:c r="J1882" s="168" t="str">
        <x:v>CI</x:v>
      </x:c>
      <x:c r="K1882" s="174" t="n">
        <x:v>4</x:v>
      </x:c>
      <x:c r="L1882" s="187" t="str">
        <x:v>Proxy multicedente/multissacado — revisar</x:v>
      </x:c>
    </x:row>
    <x:row r="1883">
      <x:c r="A1883" s="177" t="str">
        <x:v>63.054.582/0001-09</x:v>
      </x:c>
      <x:c r="B1883" s="168" t="str">
        <x:v>GRBIGO FUNDO DE INVESTIMENTO EM DIREITOS CREDITÓRIOS DE RESPONSABILIDADE LIMITADA</x:v>
      </x:c>
      <x:c r="C1883" s="190" t="n">
        <x:v>32850156.549999997</x:v>
      </x:c>
      <x:c r="D1883" s="168" t="str">
        <x:v>Catálise Investimentos</x:v>
      </x:c>
      <x:c r="E1883" s="168" t="str">
        <x:f>IFERROR(INDEX('Classif Gestoras'!$H$6:$H$462,MATCH(D1883,'Classif Gestoras'!$A$6:$A$462,0)),"Não classificada")</x:f>
        <x:v>Independente</x:v>
      </x:c>
      <x:c r="F1883" s="168" t="str">
        <x:v>CATÁLISE DTVM</x:v>
      </x:c>
      <x:c r="G1883" s="168" t="str">
        <x:v>BANCO DAYCOVAL S.A.</x:v>
      </x:c>
      <x:c r="H1883" s="168" t="str">
        <x:v>Agro, Indústria e Comércio</x:v>
      </x:c>
      <x:c r="I1883" s="168" t="str">
        <x:v>Multicarteira Agro, Indústria e Comércio</x:v>
      </x:c>
      <x:c r="J1883" s="168" t="str">
        <x:v>CI</x:v>
      </x:c>
      <x:c r="K1883" s="174" t="n">
        <x:v>1</x:v>
      </x:c>
      <x:c r="L1883" s="187" t="str">
        <x:v>Proxy multicedente/multissacado — revisar</x:v>
      </x:c>
    </x:row>
    <x:row r="1884">
      <x:c r="A1884" s="177" t="str">
        <x:v>22.443.425/0001-08</x:v>
      </x:c>
      <x:c r="B1884" s="168" t="str">
        <x:v>ITAPEVA X MULTICARTEIRA FUNDO DE INVESTIMENTO EM DIREITOS CREDITÓRIOS RESPONSABILIDADE LIMITADA</x:v>
      </x:c>
      <x:c r="C1884" s="190" t="n">
        <x:v>32799376.299999997</x:v>
      </x:c>
      <x:c r="D1884" s="168" t="str">
        <x:v>RCB PORTFOLIOS</x:v>
      </x:c>
      <x:c r="E1884" s="168" t="str">
        <x:f>IFERROR(INDEX('Classif Gestoras'!$H$6:$H$462,MATCH(D1884,'Classif Gestoras'!$A$6:$A$462,0)),"Não classificada")</x:f>
        <x:v>Independente</x:v>
      </x:c>
      <x:c r="F1884" s="168" t="str">
        <x:v>Banvox DTVM</x:v>
      </x:c>
      <x:c r="G1884" s="168" t="str">
        <x:v>OSLO CAPITAL DISTRIBUIDORA DE TITULOS E VALORES MOBILIARIOS S.A.</x:v>
      </x:c>
      <x:c r="H1884" s="168" t="str">
        <x:v>Outros</x:v>
      </x:c>
      <x:c r="I1884" s="168" t="str">
        <x:v>Multicarteira Outros</x:v>
      </x:c>
      <x:c r="J1884" s="168" t="str">
        <x:v>CI</x:v>
      </x:c>
      <x:c r="K1884" s="174" t="n">
        <x:v>2</x:v>
      </x:c>
      <x:c r="L1884" s="187" t="str">
        <x:v>Proxy multicedente/multissacado — revisar</x:v>
      </x:c>
    </x:row>
    <x:row r="1885">
      <x:c r="A1885" s="177" t="str">
        <x:v>35.982.683/0001-04</x:v>
      </x:c>
      <x:c r="B1885" s="168" t="str">
        <x:v>GPR FUNDO DE INVESTIMENTO EM DIREITOS CREDITORIOS</x:v>
      </x:c>
      <x:c r="C1885" s="190" t="n">
        <x:v>32697320.440000005</x:v>
      </x:c>
      <x:c r="D1885" s="168" t="str">
        <x:v>Menestys</x:v>
      </x:c>
      <x:c r="E1885" s="168" t="str">
        <x:f>IFERROR(INDEX('Classif Gestoras'!$H$6:$H$462,MATCH(D1885,'Classif Gestoras'!$A$6:$A$462,0)),"Não classificada")</x:f>
        <x:v>Independente</x:v>
      </x:c>
      <x:c r="F1885" s="168" t="str">
        <x:v>Singulare</x:v>
      </x:c>
      <x:c r="G1885" s="168" t="str">
        <x:v>QI CORRETORA DE TÍTULOS E VALORES MOBILIÁRIOS S.A.</x:v>
      </x:c>
      <x:c r="H1885" s="168" t="str">
        <x:v>Fomento Mercantil</x:v>
      </x:c>
      <x:c r="I1885" s="168" t="str">
        <x:v>Fomento Mercantil</x:v>
      </x:c>
      <x:c r="J1885" s="168" t="str">
        <x:v>CI</x:v>
      </x:c>
      <x:c r="K1885" s="174" t="n">
        <x:v>11</x:v>
      </x:c>
      <x:c r="L1885" s="187" t="str">
        <x:v>Não classificado</x:v>
      </x:c>
    </x:row>
    <x:row r="1886">
      <x:c r="A1886" s="177" t="str">
        <x:v>50.292.336/0001-43</x:v>
      </x:c>
      <x:c r="B1886" s="168" t="str">
        <x:v>SPECIAL SITUATIONS III FUNDO DE INVESTIMENTO EM DIREITOS CREDITÓRIOS</x:v>
      </x:c>
      <x:c r="C1886" s="190" t="n">
        <x:v>32613200.74</x:v>
      </x:c>
      <x:c r="D1886" s="168" t="str">
        <x:v>ROOT CAPITAL</x:v>
      </x:c>
      <x:c r="E1886" s="168" t="str">
        <x:f>IFERROR(INDEX('Classif Gestoras'!$H$6:$H$462,MATCH(D1886,'Classif Gestoras'!$A$6:$A$462,0)),"Não classificada")</x:f>
        <x:v>Independente</x:v>
      </x:c>
      <x:c r="F1886" s="168" t="str">
        <x:v>BNY MELLON SERVICOS</x:v>
      </x:c>
      <x:c r="G1886" s="168" t="str">
        <x:v>BNY MELLON BANCO S.A.</x:v>
      </x:c>
      <x:c r="H1886" s="168" t="str">
        <x:v>Outros</x:v>
      </x:c>
      <x:c r="I1886" s="168" t="str">
        <x:v>Multicarteira Outros</x:v>
      </x:c>
      <x:c r="J1886" s="168" t="str">
        <x:v>CI</x:v>
      </x:c>
      <x:c r="K1886" s="174" t="n">
        <x:v>1</x:v>
      </x:c>
      <x:c r="L1886" s="187" t="str">
        <x:v>Proxy multicedente/multissacado — revisar</x:v>
      </x:c>
    </x:row>
    <x:row r="1887">
      <x:c r="A1887" s="177" t="str">
        <x:v>23.956.975/0001-93</x:v>
      </x:c>
      <x:c r="B1887" s="168" t="str">
        <x:v>VERITAS FORSETI FUNDO DE INVESTIMENTO EM DIREITOS CREDITÓRIOS - RESPONSABILIDADE LIMITADA</x:v>
      </x:c>
      <x:c r="C1887" s="190" t="n">
        <x:v>32581109.195339996</x:v>
      </x:c>
      <x:c r="D1887" s="168" t="str">
        <x:v>Veritas Capital Management</x:v>
      </x:c>
      <x:c r="E1887" s="168" t="str">
        <x:f>IFERROR(INDEX('Classif Gestoras'!$H$6:$H$462,MATCH(D1887,'Classif Gestoras'!$A$6:$A$462,0)),"Não classificada")</x:f>
        <x:v>Independente</x:v>
      </x:c>
      <x:c r="F1887" s="168" t="str">
        <x:v>Singulare</x:v>
      </x:c>
      <x:c r="G1887" s="168" t="str">
        <x:v>QI CORRETORA DE TÍTULOS E VALORES MOBILIÁRIOS S.A.</x:v>
      </x:c>
      <x:c r="H1887" s="168" t="str">
        <x:v>Outros</x:v>
      </x:c>
      <x:c r="I1887" s="168" t="str">
        <x:v>Poder Público</x:v>
      </x:c>
      <x:c r="J1887" s="168" t="str">
        <x:v>CI</x:v>
      </x:c>
      <x:c r="K1887" s="174" t="n">
        <x:v>23</x:v>
      </x:c>
      <x:c r="L1887" s="187" t="str">
        <x:v>Não classificado</x:v>
      </x:c>
    </x:row>
    <x:row r="1888">
      <x:c r="A1888" s="177" t="str">
        <x:v>20.636.504/0001-00</x:v>
      </x:c>
      <x:c r="B1888" s="168" t="str">
        <x:v>PLENO INVEST FUNDO DE INVESTIMENTO EM DIREITOS CREDITÓRIOS</x:v>
      </x:c>
      <x:c r="C1888" s="190" t="n">
        <x:v>32573139.77</x:v>
      </x:c>
      <x:c r="D1888" s="168" t="str">
        <x:v>TERCON ASSET MANAGEMENT</x:v>
      </x:c>
      <x:c r="E1888" s="168" t="str">
        <x:f>IFERROR(INDEX('Classif Gestoras'!$H$6:$H$462,MATCH(D1888,'Classif Gestoras'!$A$6:$A$462,0)),"Não classificada")</x:f>
        <x:v>Independente</x:v>
      </x:c>
      <x:c r="F1888" s="168" t="str">
        <x:v>Singulare</x:v>
      </x:c>
      <x:c r="G1888" s="168" t="str">
        <x:v>QI CORRETORA DE TÍTULOS E VALORES MOBILIÁRIOS S.A.</x:v>
      </x:c>
      <x:c r="H1888" s="168" t="str">
        <x:v>Fomento Mercantil</x:v>
      </x:c>
      <x:c r="I1888" s="168" t="str">
        <x:v>Fomento Mercantil</x:v>
      </x:c>
      <x:c r="J1888" s="168" t="str">
        <x:v>CI</x:v>
      </x:c>
      <x:c r="K1888" s="174" t="n">
        <x:v>1</x:v>
      </x:c>
      <x:c r="L1888" s="187" t="str">
        <x:v>Não classificado</x:v>
      </x:c>
    </x:row>
    <x:row r="1889">
      <x:c r="A1889" s="177" t="str">
        <x:v>11.026.623/0001-50</x:v>
      </x:c>
      <x:c r="B1889" s="168" t="str">
        <x:v>BENFICA FUNDO DE INVESTIMENTO EM DIREITOS CREDITÓRIOS</x:v>
      </x:c>
      <x:c r="C1889" s="190" t="n">
        <x:v>32556554.250000004</x:v>
      </x:c>
      <x:c r="D1889" s="168" t="str">
        <x:v>TERCON ASSET MANAGEMENT</x:v>
      </x:c>
      <x:c r="E1889" s="168" t="str">
        <x:f>IFERROR(INDEX('Classif Gestoras'!$H$6:$H$462,MATCH(D1889,'Classif Gestoras'!$A$6:$A$462,0)),"Não classificada")</x:f>
        <x:v>Independente</x:v>
      </x:c>
      <x:c r="F1889" s="168" t="str">
        <x:v>Singulare</x:v>
      </x:c>
      <x:c r="G1889" s="168" t="str">
        <x:v>QI CORRETORA DE TÍTULOS E VALORES MOBILIÁRIOS S.A.</x:v>
      </x:c>
      <x:c r="H1889" s="168" t="str">
        <x:v>Fomento Mercantil</x:v>
      </x:c>
      <x:c r="I1889" s="168" t="str">
        <x:v>Fomento Mercantil</x:v>
      </x:c>
      <x:c r="J1889" s="168" t="str">
        <x:v>CI</x:v>
      </x:c>
      <x:c r="K1889" s="174" t="n">
        <x:v>14</x:v>
      </x:c>
      <x:c r="L1889" s="187" t="str">
        <x:v>Não classificado</x:v>
      </x:c>
    </x:row>
    <x:row r="1890">
      <x:c r="A1890" s="177" t="str">
        <x:v>11.491.061/0001-15</x:v>
      </x:c>
      <x:c r="B1890" s="168" t="str">
        <x:v>DANIELE II - FUNDO DE INVESTIMENTO EM DIREITOS CREDITÓRIOS MULTISSEGMENTOS</x:v>
      </x:c>
      <x:c r="C1890" s="190" t="n">
        <x:v>32507354.19</x:v>
      </x:c>
      <x:c r="D1890" s="168" t="str">
        <x:v>Petra Capital</x:v>
      </x:c>
      <x:c r="E1890" s="168" t="str">
        <x:f>IFERROR(INDEX('Classif Gestoras'!$H$6:$H$462,MATCH(D1890,'Classif Gestoras'!$A$6:$A$462,0)),"Não classificada")</x:f>
        <x:v>Independente</x:v>
      </x:c>
      <x:c r="F1890" s="168" t="str">
        <x:v>Finaxis Corretora de Títulos e Valores Mobiliários S.A.</x:v>
      </x:c>
      <x:c r="G1890" s="168" t="str">
        <x:v>BANCO FINAXIS S.A.</x:v>
      </x:c>
      <x:c r="H1890" s="168" t="str">
        <x:v>Fomento Mercantil</x:v>
      </x:c>
      <x:c r="I1890" s="168" t="str">
        <x:v>Fomento Mercantil</x:v>
      </x:c>
      <x:c r="J1890" s="168" t="str">
        <x:v>CI</x:v>
      </x:c>
      <x:c r="K1890" s="174" t="n">
        <x:v>1</x:v>
      </x:c>
      <x:c r="L1890" s="187" t="str">
        <x:v>Não classificado</x:v>
      </x:c>
    </x:row>
    <x:row r="1891">
      <x:c r="A1891" s="177" t="str">
        <x:v>49.000.711/0001-55</x:v>
      </x:c>
      <x:c r="B1891" s="168" t="str">
        <x:v>CPO1 FUNDO DE INVESTIMENTO EM DIREITOS CREDITÓRIOS</x:v>
      </x:c>
      <x:c r="C1891" s="190" t="n">
        <x:v>32459285.01</x:v>
      </x:c>
      <x:c r="D1891" s="168" t="str">
        <x:v>Harbour Capital</x:v>
      </x:c>
      <x:c r="E1891" s="168" t="str">
        <x:f>IFERROR(INDEX('Classif Gestoras'!$H$6:$H$462,MATCH(D1891,'Classif Gestoras'!$A$6:$A$462,0)),"Não classificada")</x:f>
        <x:v>Independente</x:v>
      </x:c>
      <x:c r="F1891" s="168" t="str">
        <x:v>Qore DTVM</x:v>
      </x:c>
      <x:c r="G1891" s="168" t="str">
        <x:v>QORE DISTRIBUIDORA DE TÍTULOS E VALORES MOBILIÁRIOS LTDA.</x:v>
      </x:c>
      <x:c r="H1891" s="168" t="str">
        <x:v>Outros</x:v>
      </x:c>
      <x:c r="I1891" s="168" t="str">
        <x:v>Multicarteira Outros</x:v>
      </x:c>
      <x:c r="J1891" s="168" t="str">
        <x:v>CI</x:v>
      </x:c>
      <x:c r="K1891" s="174" t="n">
        <x:v>2</x:v>
      </x:c>
      <x:c r="L1891" s="187" t="str">
        <x:v>Proxy multicedente/multissacado — revisar</x:v>
      </x:c>
    </x:row>
    <x:row r="1892">
      <x:c r="A1892" s="177" t="str">
        <x:v>63.778.221/0001-05</x:v>
      </x:c>
      <x:c r="B1892" s="168" t="str">
        <x:v>LTA IRONTREND ONE FUNDO DE INVESTIMENTO EM DIREITOS CREDITÓRIOS</x:v>
      </x:c>
      <x:c r="C1892" s="190" t="n">
        <x:v>32353218.26</x:v>
      </x:c>
      <x:c r="D1892" s="168" t="str">
        <x:v>QUAESTUS GESTÃO DE INVESTIMENTOS LTDA.</x:v>
      </x:c>
      <x:c r="E1892" s="168" t="str">
        <x:f>IFERROR(INDEX('Classif Gestoras'!$H$6:$H$462,MATCH(D1892,'Classif Gestoras'!$A$6:$A$462,0)),"Não classificada")</x:f>
        <x:v>Independente</x:v>
      </x:c>
      <x:c r="F1892" s="168" t="str">
        <x:v>MONETAR DISTRIBUIDORA DE TITUL</x:v>
      </x:c>
      <x:c r="G1892" s="168" t="str">
        <x:v>TERRA INVESTIMENTOS DISTRIBUIDORA DE TITULOS E VALORES MOBILIARIOS LTDA</x:v>
      </x:c>
      <x:c r="H1892" s="168" t="str">
        <x:v>Outros</x:v>
      </x:c>
      <x:c r="I1892" s="168" t="str">
        <x:v>Multicarteira Outros</x:v>
      </x:c>
      <x:c r="J1892" s="168" t="str">
        <x:v>CI</x:v>
      </x:c>
      <x:c r="K1892" s="174" t="n">
        <x:v>3</x:v>
      </x:c>
      <x:c r="L1892" s="187" t="str">
        <x:v>Proxy multicedente/multissacado — revisar</x:v>
      </x:c>
    </x:row>
    <x:row r="1893">
      <x:c r="A1893" s="177" t="str">
        <x:v>45.144.657/0001-60</x:v>
      </x:c>
      <x:c r="B1893" s="168" t="str">
        <x:v>VECTIS PRO SOLUTTI CRÉDITOS JUDICIAIS FIDC DE RESPONSABILIDADE LIMITADA</x:v>
      </x:c>
      <x:c r="C1893" s="190" t="n">
        <x:v>32305393.32999999</x:v>
      </x:c>
      <x:c r="D1893" s="168" t="str">
        <x:v>Vectis Gestão</x:v>
      </x:c>
      <x:c r="E1893" s="168" t="str">
        <x:f>IFERROR(INDEX('Classif Gestoras'!$H$6:$H$462,MATCH(D1893,'Classif Gestoras'!$A$6:$A$462,0)),"Não classificada")</x:f>
        <x:v>Independente</x:v>
      </x:c>
      <x:c r="F1893" s="168" t="str">
        <x:v>BANCO DAYCOVAL S/A</x:v>
      </x:c>
      <x:c r="G1893" s="168" t="str">
        <x:v>BANCO DAYCOVAL S.A.</x:v>
      </x:c>
      <x:c r="H1893" s="168" t="str">
        <x:v>Outros</x:v>
      </x:c>
      <x:c r="I1893" s="168" t="str">
        <x:v>Multicarteira Outros</x:v>
      </x:c>
      <x:c r="J1893" s="168" t="str">
        <x:v>CI</x:v>
      </x:c>
      <x:c r="K1893" s="174" t="n">
        <x:v>26</x:v>
      </x:c>
      <x:c r="L1893" s="187" t="str">
        <x:v>Proxy multicedente/multissacado — revisar</x:v>
      </x:c>
    </x:row>
    <x:row r="1894">
      <x:c r="A1894" s="177" t="str">
        <x:v>63.565.094/0001-66</x:v>
      </x:c>
      <x:c r="B1894" s="168" t="str">
        <x:v>ALGARVE GAMA FUNDO DE INVESTIMENTO EM DIREITOS CREDITÓRIOS RESPONSABILIDADE LIMITADA</x:v>
      </x:c>
      <x:c r="C1894" s="190" t="n">
        <x:v>32243266.729999997</x:v>
      </x:c>
      <x:c r="D1894" s="168" t="str">
        <x:v>Algarve Capital</x:v>
      </x:c>
      <x:c r="E1894" s="168" t="str">
        <x:f>IFERROR(INDEX('Classif Gestoras'!$H$6:$H$462,MATCH(D1894,'Classif Gestoras'!$A$6:$A$462,0)),"Não classificada")</x:f>
        <x:v>Independente</x:v>
      </x:c>
      <x:c r="F1894" s="168" t="str">
        <x:v>BANCO DAYCOVAL S/A</x:v>
      </x:c>
      <x:c r="G1894" s="168" t="str">
        <x:v>BANCO DAYCOVAL S.A.</x:v>
      </x:c>
      <x:c r="H1894" s="168" t="str">
        <x:v>Outros</x:v>
      </x:c>
      <x:c r="I1894" s="168" t="str">
        <x:v>Multicarteira Outros</x:v>
      </x:c>
      <x:c r="J1894" s="168" t="str">
        <x:v>CI</x:v>
      </x:c>
      <x:c r="K1894" s="174" t="n">
        <x:v>6</x:v>
      </x:c>
      <x:c r="L1894" s="187" t="str">
        <x:v>Proxy multicedente/multissacado — revisar</x:v>
      </x:c>
    </x:row>
    <x:row r="1895">
      <x:c r="A1895" s="177" t="str">
        <x:v>45.188.001/0001-40</x:v>
      </x:c>
      <x:c r="B1895" s="168" t="str">
        <x:v>PERSA FUNDO DE INVESTIMENTO EM DIREITOS CREDITÓRIOS NÃO-PADRONIZADOS</x:v>
      </x:c>
      <x:c r="C1895" s="190" t="n">
        <x:v>32228065.67</x:v>
      </x:c>
      <x:c r="D1895" s="168" t="str">
        <x:v>Multiplica Capital</x:v>
      </x:c>
      <x:c r="E1895" s="168" t="str">
        <x:f>IFERROR(INDEX('Classif Gestoras'!$H$6:$H$462,MATCH(D1895,'Classif Gestoras'!$A$6:$A$462,0)),"Não classificada")</x:f>
        <x:v>Independente</x:v>
      </x:c>
      <x:c r="F1895" s="168" t="str">
        <x:v>Singulare</x:v>
      </x:c>
      <x:c r="G1895" s="168" t="str">
        <x:v>QI CORRETORA DE TÍTULOS E VALORES MOBILIÁRIOS S.A.</x:v>
      </x:c>
      <x:c r="H1895" s="168" t="str">
        <x:v>Fomento Mercantil</x:v>
      </x:c>
      <x:c r="I1895" s="168" t="str">
        <x:v>Fomento Mercantil</x:v>
      </x:c>
      <x:c r="J1895" s="168" t="str">
        <x:v>CI</x:v>
      </x:c>
      <x:c r="K1895" s="174" t="n">
        <x:v>1</x:v>
      </x:c>
      <x:c r="L1895" s="187" t="str">
        <x:v>Não classificado</x:v>
      </x:c>
    </x:row>
    <x:row r="1896">
      <x:c r="A1896" s="177" t="str">
        <x:v>52.258.634/0001-42</x:v>
      </x:c>
      <x:c r="B1896" s="168" t="str">
        <x:v>CASHEW FUNDO DE INVESTIMENTO EM DIREITOS CREDITÓRIOS</x:v>
      </x:c>
      <x:c r="C1896" s="190" t="n">
        <x:v>32210297.180000003</x:v>
      </x:c>
      <x:c r="D1896" s="168" t="str">
        <x:v>Siguler Guff Gestora de Investimentos (Asset Management</x:v>
      </x:c>
      <x:c r="E1896" s="168" t="str">
        <x:f>IFERROR(INDEX('Classif Gestoras'!$H$6:$H$462,MATCH(D1896,'Classif Gestoras'!$A$6:$A$462,0)),"Não classificada")</x:f>
        <x:v>Independente</x:v>
      </x:c>
      <x:c r="F1896" s="168" t="str">
        <x:v>BTG Pactual Servicos Financeiros S/A DTVM</x:v>
      </x:c>
      <x:c r="G1896" s="168" t="str">
        <x:v>BANCO BTG PACTUAL S/A</x:v>
      </x:c>
      <x:c r="H1896" s="168" t="str">
        <x:v>Outros</x:v>
      </x:c>
      <x:c r="I1896" s="168" t="str">
        <x:v>Multicarteira Outros</x:v>
      </x:c>
      <x:c r="J1896" s="168" t="str">
        <x:v>CI</x:v>
      </x:c>
      <x:c r="K1896" s="174" t="n">
        <x:v>1</x:v>
      </x:c>
      <x:c r="L1896" s="187" t="str">
        <x:v>Proxy multicedente/multissacado — revisar</x:v>
      </x:c>
    </x:row>
    <x:row r="1897">
      <x:c r="A1897" s="177" t="str">
        <x:v>40.365.950/0001-34</x:v>
      </x:c>
      <x:c r="B1897" s="168" t="str">
        <x:v>INSS CONSIGNADO (PDL) I FUNDO DE INVESTIMENTO EM DIREITOS CREDITÓRIOS RESPONSABILIDADE LIMITADA</x:v>
      </x:c>
      <x:c r="C1897" s="190" t="n">
        <x:v>32197677.41</x:v>
      </x:c>
      <x:c r="D1897" s="168" t="str">
        <x:v>BTG Pactual Asset</x:v>
      </x:c>
      <x:c r="E1897" s="168" t="str">
        <x:f>IFERROR(INDEX('Classif Gestoras'!$H$6:$H$462,MATCH(D1897,'Classif Gestoras'!$A$6:$A$462,0)),"Não classificada")</x:f>
        <x:v>Ligada a banco</x:v>
      </x:c>
      <x:c r="F1897" s="168" t="str">
        <x:v>BTG Pactual Servicos Financeiros S/A DTVM</x:v>
      </x:c>
      <x:c r="G1897" s="168" t="str">
        <x:v>BANCO BTG PACTUAL S/A</x:v>
      </x:c>
      <x:c r="H1897" s="168" t="str">
        <x:v>Financeiro</x:v>
      </x:c>
      <x:c r="I1897" s="168" t="str">
        <x:v>Crédito Consignado</x:v>
      </x:c>
      <x:c r="J1897" s="168" t="str">
        <x:v>CI</x:v>
      </x:c>
      <x:c r="K1897" s="174" t="n">
        <x:v>1</x:v>
      </x:c>
      <x:c r="L1897" s="187" t="str">
        <x:v>Não classificado</x:v>
      </x:c>
    </x:row>
    <x:row r="1898">
      <x:c r="A1898" s="177" t="str">
        <x:v>45.523.682/0001-55</x:v>
      </x:c>
      <x:c r="B1898" s="168" t="str">
        <x:v>TITAN FUNDO DE INVESTIMENTO EM DIREITOS CREDITÓRIOS</x:v>
      </x:c>
      <x:c r="C1898" s="190" t="n">
        <x:v>32104043.47</x:v>
      </x:c>
      <x:c r="D1898" s="168" t="str">
        <x:v>TERCON ASSET MANAGEMENT</x:v>
      </x:c>
      <x:c r="E1898" s="168" t="str">
        <x:f>IFERROR(INDEX('Classif Gestoras'!$H$6:$H$462,MATCH(D1898,'Classif Gestoras'!$A$6:$A$462,0)),"Não classificada")</x:f>
        <x:v>Independente</x:v>
      </x:c>
      <x:c r="F1898" s="168" t="str">
        <x:v>Singulare</x:v>
      </x:c>
      <x:c r="G1898" s="168" t="str">
        <x:v>QI CORRETORA DE TÍTULOS E VALORES MOBILIÁRIOS S.A.</x:v>
      </x:c>
      <x:c r="H1898" s="168" t="str">
        <x:v>Fomento Mercantil</x:v>
      </x:c>
      <x:c r="I1898" s="168" t="str">
        <x:v>Fomento Mercantil</x:v>
      </x:c>
      <x:c r="J1898" s="168" t="str">
        <x:v>CI</x:v>
      </x:c>
      <x:c r="K1898" s="174" t="n">
        <x:v>9</x:v>
      </x:c>
      <x:c r="L1898" s="187" t="str">
        <x:v>Não classificado</x:v>
      </x:c>
    </x:row>
    <x:row r="1899">
      <x:c r="A1899" s="177" t="str">
        <x:v>46.322.877/0001-08</x:v>
      </x:c>
      <x:c r="B1899" s="168" t="str">
        <x:v>AUGME NAMARI VENTURE DEBT FUNDO DE INVESTIMENTO EM DIREITOS CREDITÓRIOS DE RESPONSABILIDADE LIMITADA</x:v>
      </x:c>
      <x:c r="C1899" s="190" t="n">
        <x:v>32066336.44</x:v>
      </x:c>
      <x:c r="D1899" s="168" t="str">
        <x:v>AUGME CAPITAL GESTÃO DE RECURSOS LTDA.</x:v>
      </x:c>
      <x:c r="E1899" s="168" t="str">
        <x:f>IFERROR(INDEX('Classif Gestoras'!$H$6:$H$462,MATCH(D1899,'Classif Gestoras'!$A$6:$A$462,0)),"Não classificada")</x:f>
        <x:v>Independente</x:v>
      </x:c>
      <x:c r="F1899" s="168" t="str">
        <x:v>BANCO DAYCOVAL S/A</x:v>
      </x:c>
      <x:c r="G1899" s="168" t="str">
        <x:v>BANCO DAYCOVAL S.A.</x:v>
      </x:c>
      <x:c r="H1899" s="168" t="str">
        <x:v>Outros</x:v>
      </x:c>
      <x:c r="I1899" s="168" t="str">
        <x:v>Multicarteira Outros</x:v>
      </x:c>
      <x:c r="J1899" s="168" t="str">
        <x:v>CI</x:v>
      </x:c>
      <x:c r="K1899" s="174" t="n">
        <x:v>29</x:v>
      </x:c>
      <x:c r="L1899" s="187" t="str">
        <x:v>Proxy multicedente/multissacado — revisar</x:v>
      </x:c>
    </x:row>
    <x:row r="1900">
      <x:c r="A1900" s="177" t="str">
        <x:v>55.483.719/0001-12</x:v>
      </x:c>
      <x:c r="B1900" s="168" t="str">
        <x:v>FUNDO DE INVESTIMENTO EM DIREITOS CREDITÓRIOS FGTS VISION RESPONSABILIDADE LIMITADA</x:v>
      </x:c>
      <x:c r="C1900" s="190" t="n">
        <x:v>31997812.67</x:v>
      </x:c>
      <x:c r="D1900" s="168" t="str">
        <x:v>QI GESTAO DE RECURSOS LTDA</x:v>
      </x:c>
      <x:c r="E1900" s="168" t="str">
        <x:f>IFERROR(INDEX('Classif Gestoras'!$H$6:$H$462,MATCH(D1900,'Classif Gestoras'!$A$6:$A$462,0)),"Não classificada")</x:f>
        <x:v>Independente</x:v>
      </x:c>
      <x:c r="F1900" s="168" t="str">
        <x:v>QI DISTRIBUIDORA DE TITULOS E VALORES MOBILIARIOS LTDA</x:v>
      </x:c>
      <x:c r="G1900" s="168" t="str">
        <x:v>LASTRO RDV DTVM LTDA</x:v>
      </x:c>
      <x:c r="H1900" s="168" t="str">
        <x:v>Financeiro</x:v>
      </x:c>
      <x:c r="I1900" s="168" t="str">
        <x:v>Crédito Consignado</x:v>
      </x:c>
      <x:c r="J1900" s="168" t="str">
        <x:v>CI</x:v>
      </x:c>
      <x:c r="K1900" s="174" t="n">
        <x:v>1</x:v>
      </x:c>
      <x:c r="L1900" s="187" t="str">
        <x:v>Não classificado</x:v>
      </x:c>
    </x:row>
    <x:row r="1901">
      <x:c r="A1901" s="177" t="str">
        <x:v>59.197.255/0001-39</x:v>
      </x:c>
      <x:c r="B1901" s="168" t="str">
        <x:v>BF3 FUNDO DE INVESTIMENTO EM DIREITOS CREDITÓRIOS</x:v>
      </x:c>
      <x:c r="C1901" s="190" t="n">
        <x:v>31902803.75</x:v>
      </x:c>
      <x:c r="D1901" s="168" t="str">
        <x:v>Soma Asset</x:v>
      </x:c>
      <x:c r="E1901" s="168" t="str">
        <x:f>IFERROR(INDEX('Classif Gestoras'!$H$6:$H$462,MATCH(D1901,'Classif Gestoras'!$A$6:$A$462,0)),"Não classificada")</x:f>
        <x:v>Independente</x:v>
      </x:c>
      <x:c r="F1901" s="168" t="str">
        <x:v>Singulare</x:v>
      </x:c>
      <x:c r="G1901" s="168" t="str">
        <x:v>QI CORRETORA DE TÍTULOS E VALORES MOBILIÁRIOS S.A.</x:v>
      </x:c>
      <x:c r="H1901" s="168" t="str">
        <x:v>Outros</x:v>
      </x:c>
      <x:c r="I1901" s="168" t="str">
        <x:v>Multicarteira Outros</x:v>
      </x:c>
      <x:c r="J1901" s="168" t="str">
        <x:v>CI</x:v>
      </x:c>
      <x:c r="K1901" s="174" t="n">
        <x:v>1</x:v>
      </x:c>
      <x:c r="L1901" s="187" t="str">
        <x:v>Proxy multicedente/multissacado — revisar</x:v>
      </x:c>
    </x:row>
    <x:row r="1902">
      <x:c r="A1902" s="177" t="str">
        <x:v>61.528.551/0001-17</x:v>
      </x:c>
      <x:c r="B1902" s="168" t="str">
        <x:v>AVGA CAPITAL WM XYZ NEXT ERA SPECIAL OPPORTUNITIES FIDC RESPONSABILIDADE LIMITADA</x:v>
      </x:c>
      <x:c r="C1902" s="190" t="n">
        <x:v>31777305.42</x:v>
      </x:c>
      <x:c r="D1902" s="168" t="str">
        <x:v>GESTORA DE RECURSOS ID - GRID LTDA.</x:v>
      </x:c>
      <x:c r="E1902" s="168" t="str">
        <x:f>IFERROR(INDEX('Classif Gestoras'!$H$6:$H$462,MATCH(D1902,'Classif Gestoras'!$A$6:$A$462,0)),"Não classificada")</x:f>
        <x:v>Independente</x:v>
      </x:c>
      <x:c r="F1902" s="168" t="str">
        <x:v>ID Corretora de Títulos e Valores Mobiliários S.A.</x:v>
      </x:c>
      <x:c r="G1902" s="168" t="str">
        <x:v>ID CORRETORA DE TITULOS E VALORES MOBILIARIOS S.A.</x:v>
      </x:c>
      <x:c r="H1902" s="168" t="str">
        <x:v>Outros</x:v>
      </x:c>
      <x:c r="I1902" s="168" t="str">
        <x:v>Multicarteira Outros</x:v>
      </x:c>
      <x:c r="J1902" s="168" t="str">
        <x:v>CI</x:v>
      </x:c>
      <x:c r="K1902" s="174" t="n">
        <x:v>1</x:v>
      </x:c>
      <x:c r="L1902" s="187" t="str">
        <x:v>Proxy multicedente/multissacado — revisar</x:v>
      </x:c>
    </x:row>
    <x:row r="1903">
      <x:c r="A1903" s="177" t="str">
        <x:v>45.019.002/0001-60</x:v>
      </x:c>
      <x:c r="B1903" s="168" t="str">
        <x:v>WAY ENGELUZ FUNDO DE INVESTIMENTO EM DIREITOS CREDITÓRIOS RESPONSABILIDADE LIMITADA</x:v>
      </x:c>
      <x:c r="C1903" s="190" t="n">
        <x:v>31775236.339999996</x:v>
      </x:c>
      <x:c r="D1903" s="168" t="str">
        <x:v>CONTEA CAPITAL</x:v>
      </x:c>
      <x:c r="E1903" s="168" t="str">
        <x:f>IFERROR(INDEX('Classif Gestoras'!$H$6:$H$462,MATCH(D1903,'Classif Gestoras'!$A$6:$A$462,0)),"Não classificada")</x:f>
        <x:v>Independente</x:v>
      </x:c>
      <x:c r="F1903" s="168" t="str">
        <x:v>ID Corretora de Títulos e Valores Mobiliários S.A.</x:v>
      </x:c>
      <x:c r="G1903" s="168" t="str">
        <x:v>ID CORRETORA DE TITULOS E VALORES MOBILIARIOS S.A.</x:v>
      </x:c>
      <x:c r="H1903" s="168" t="str">
        <x:v>Outros</x:v>
      </x:c>
      <x:c r="I1903" s="168" t="str">
        <x:v>Multicarteira Outros</x:v>
      </x:c>
      <x:c r="J1903" s="168" t="str">
        <x:v>CI</x:v>
      </x:c>
      <x:c r="K1903" s="174" t="n">
        <x:v>18</x:v>
      </x:c>
      <x:c r="L1903" s="187" t="str">
        <x:v>Proxy multicedente/multissacado — revisar</x:v>
      </x:c>
    </x:row>
    <x:row r="1904">
      <x:c r="A1904" s="177" t="str">
        <x:v>61.250.504/0001-54</x:v>
      </x:c>
      <x:c r="B1904" s="168" t="str">
        <x:v>JAUNE FUNDO DE INVESTIMENTO EM DIREITO CREDITÓRIOS DE RESPONSABILIDADE LIMITADA</x:v>
      </x:c>
      <x:c r="C1904" s="190" t="n">
        <x:v>31763834.19</x:v>
      </x:c>
      <x:c r="D1904" s="168" t="str">
        <x:v>Catálise Investimentos</x:v>
      </x:c>
      <x:c r="E1904" s="168" t="str">
        <x:f>IFERROR(INDEX('Classif Gestoras'!$H$6:$H$462,MATCH(D1904,'Classif Gestoras'!$A$6:$A$462,0)),"Não classificada")</x:f>
        <x:v>Independente</x:v>
      </x:c>
      <x:c r="F1904" s="168" t="str">
        <x:v>CATÁLISE DTVM</x:v>
      </x:c>
      <x:c r="G1904" s="168" t="str">
        <x:v>BANCO DAYCOVAL S.A.</x:v>
      </x:c>
      <x:c r="H1904" s="168" t="str">
        <x:v>Agro, Indústria e Comércio</x:v>
      </x:c>
      <x:c r="I1904" s="168" t="str">
        <x:v>Multicarteira Agro, Indústria e Comércio</x:v>
      </x:c>
      <x:c r="J1904" s="168" t="str">
        <x:v>CI</x:v>
      </x:c>
      <x:c r="K1904" s="174" t="n">
        <x:v>3</x:v>
      </x:c>
      <x:c r="L1904" s="187" t="str">
        <x:v>Proxy multicedente/multissacado — revisar</x:v>
      </x:c>
    </x:row>
    <x:row r="1905">
      <x:c r="A1905" s="177" t="str">
        <x:v>23.216.640/0001-39</x:v>
      </x:c>
      <x:c r="B1905" s="168" t="str">
        <x:v>JC SILOS FUNDO DE INVESTIMENTO EM DIREITOS CREDITÓRIOS NÃO-PADRONIZADO</x:v>
      </x:c>
      <x:c r="C1905" s="190" t="n">
        <x:v>31699441.070000004</x:v>
      </x:c>
      <x:c r="D1905" s="168" t="str">
        <x:v>Jus Capital Gestão de Recursos LTDA</x:v>
      </x:c>
      <x:c r="E1905" s="168" t="str">
        <x:f>IFERROR(INDEX('Classif Gestoras'!$H$6:$H$462,MATCH(D1905,'Classif Gestoras'!$A$6:$A$462,0)),"Não classificada")</x:f>
        <x:v>Independente</x:v>
      </x:c>
      <x:c r="F1905" s="168" t="str">
        <x:v>Singulare</x:v>
      </x:c>
      <x:c r="G1905" s="168" t="str">
        <x:v>QI CORRETORA DE TÍTULOS E VALORES MOBILIÁRIOS S.A.</x:v>
      </x:c>
      <x:c r="H1905" s="168" t="str">
        <x:v>Outros</x:v>
      </x:c>
      <x:c r="I1905" s="168" t="str">
        <x:v>Poder Público</x:v>
      </x:c>
      <x:c r="J1905" s="168" t="str">
        <x:v>CI</x:v>
      </x:c>
      <x:c r="K1905" s="174" t="n">
        <x:v>6</x:v>
      </x:c>
      <x:c r="L1905" s="187" t="str">
        <x:v>Não classificado</x:v>
      </x:c>
    </x:row>
    <x:row r="1906">
      <x:c r="A1906" s="177" t="str">
        <x:v>46.610.394/0001-09</x:v>
      </x:c>
      <x:c r="B1906" s="168" t="str">
        <x:v>LAW FUNDO DE INVESTIMENTO EM DIREITOS CREDITÓRIOS MULTISSETORIAL</x:v>
      </x:c>
      <x:c r="C1906" s="190" t="n">
        <x:v>31667174.61</x:v>
      </x:c>
      <x:c r="D1906" s="168" t="str">
        <x:v>OURO PRETO INVESTIMENTOS</x:v>
      </x:c>
      <x:c r="E1906" s="168" t="str">
        <x:f>IFERROR(INDEX('Classif Gestoras'!$H$6:$H$462,MATCH(D1906,'Classif Gestoras'!$A$6:$A$462,0)),"Não classificada")</x:f>
        <x:v>Independente</x:v>
      </x:c>
      <x:c r="F1906" s="168" t="str">
        <x:v>Singulare</x:v>
      </x:c>
      <x:c r="G1906" s="168" t="str">
        <x:v>QI CORRETORA DE TÍTULOS E VALORES MOBILIÁRIOS S.A.</x:v>
      </x:c>
      <x:c r="H1906" s="168" t="str">
        <x:v>Fomento Mercantil</x:v>
      </x:c>
      <x:c r="I1906" s="168" t="str">
        <x:v>Fomento Mercantil</x:v>
      </x:c>
      <x:c r="J1906" s="168" t="str">
        <x:v>CI</x:v>
      </x:c>
      <x:c r="K1906" s="174" t="n">
        <x:v>15</x:v>
      </x:c>
      <x:c r="L1906" s="187" t="str">
        <x:v>Não classificado</x:v>
      </x:c>
    </x:row>
    <x:row r="1907">
      <x:c r="A1907" s="177" t="str">
        <x:v>59.263.667/0001-20</x:v>
      </x:c>
      <x:c r="B1907" s="168" t="str">
        <x:v>FUNDO DE INVESTIMENTO EM DIREITOS CREDITÓRIOS NÃO PADRONIZADOS NPL MASSIFICADO</x:v>
      </x:c>
      <x:c r="C1907" s="190" t="n">
        <x:v>31650581.48</x:v>
      </x:c>
      <x:c r="D1907" s="168" t="str">
        <x:v>OSLO DTVM S. A.</x:v>
      </x:c>
      <x:c r="E1907" s="168" t="str">
        <x:f>IFERROR(INDEX('Classif Gestoras'!$H$6:$H$462,MATCH(D1907,'Classif Gestoras'!$A$6:$A$462,0)),"Não classificada")</x:f>
        <x:v>Independente</x:v>
      </x:c>
      <x:c r="F1907" s="168" t="str">
        <x:v>OSLO DTVM S. A.</x:v>
      </x:c>
      <x:c r="G1907" s="168" t="str">
        <x:v>OSLO CAPITAL DISTRIBUIDORA DE TITULOS E VALORES MOBILIARIOS S.A.</x:v>
      </x:c>
      <x:c r="H1907" s="168" t="str">
        <x:v>Outros</x:v>
      </x:c>
      <x:c r="I1907" s="168" t="str">
        <x:v>Multicarteira Outros</x:v>
      </x:c>
      <x:c r="J1907" s="168" t="str">
        <x:v>CI</x:v>
      </x:c>
      <x:c r="K1907" s="174" t="n">
        <x:v>1</x:v>
      </x:c>
      <x:c r="L1907" s="187" t="str">
        <x:v>Proxy multicedente/multissacado — revisar</x:v>
      </x:c>
    </x:row>
    <x:row r="1908">
      <x:c r="A1908" s="177" t="str">
        <x:v>32.990.730/0001-73</x:v>
      </x:c>
      <x:c r="B1908" s="168" t="str">
        <x:v>C+ VALORA FUNDO DE INVESTIMENTO EM DIREITOS CREDITÓRIOS</x:v>
      </x:c>
      <x:c r="C1908" s="190" t="n">
        <x:v>31635080.77</x:v>
      </x:c>
      <x:c r="D1908" s="168" t="str">
        <x:v>VALORA RENDA FIXA ESTRUTURADOS LTDA.</x:v>
      </x:c>
      <x:c r="E1908" s="168" t="str">
        <x:f>IFERROR(INDEX('Classif Gestoras'!$H$6:$H$462,MATCH(D1908,'Classif Gestoras'!$A$6:$A$462,0)),"Não classificada")</x:f>
        <x:v>Independente</x:v>
      </x:c>
      <x:c r="F1908" s="168" t="str">
        <x:v>Singulare</x:v>
      </x:c>
      <x:c r="G1908" s="168" t="str">
        <x:v>QI CORRETORA DE TÍTULOS E VALORES MOBILIÁRIOS S.A.</x:v>
      </x:c>
      <x:c r="H1908" s="168" t="str">
        <x:v>Financeiro</x:v>
      </x:c>
      <x:c r="I1908" s="168" t="str">
        <x:v>Multicarteira Financeiro</x:v>
      </x:c>
      <x:c r="J1908" s="168" t="str">
        <x:v>CI</x:v>
      </x:c>
      <x:c r="K1908" s="174" t="n">
        <x:v>24</x:v>
      </x:c>
      <x:c r="L1908" s="187" t="str">
        <x:v>Proxy multicedente/multissacado — revisar</x:v>
      </x:c>
    </x:row>
    <x:row r="1909">
      <x:c r="A1909" s="177" t="str">
        <x:v>52.532.399/0001-55</x:v>
      </x:c>
      <x:c r="B1909" s="168" t="str">
        <x:v>VERGINIA FUNDO DE INVESTIMENTO EM DIREITOS CREDITÓRIOS</x:v>
      </x:c>
      <x:c r="C1909" s="190" t="n">
        <x:v>31631103.94</x:v>
      </x:c>
      <x:c r="D1909" s="168" t="str">
        <x:v>Catálise Investimentos</x:v>
      </x:c>
      <x:c r="E1909" s="168" t="str">
        <x:f>IFERROR(INDEX('Classif Gestoras'!$H$6:$H$462,MATCH(D1909,'Classif Gestoras'!$A$6:$A$462,0)),"Não classificada")</x:f>
        <x:v>Independente</x:v>
      </x:c>
      <x:c r="F1909" s="168" t="str">
        <x:v>CATÁLISE DTVM</x:v>
      </x:c>
      <x:c r="G1909" s="168" t="str">
        <x:v>BANCO DAYCOVAL S.A.</x:v>
      </x:c>
      <x:c r="H1909" s="168" t="str">
        <x:v>Agro, Indústria e Comércio</x:v>
      </x:c>
      <x:c r="I1909" s="168" t="str">
        <x:v>Recebíveis Comerciais</x:v>
      </x:c>
      <x:c r="J1909" s="168" t="str">
        <x:v>CI</x:v>
      </x:c>
      <x:c r="K1909" s="174" t="n">
        <x:v>1</x:v>
      </x:c>
      <x:c r="L1909" s="187" t="str">
        <x:v>Não classificado</x:v>
      </x:c>
    </x:row>
    <x:row r="1910">
      <x:c r="A1910" s="177" t="str">
        <x:v>54.954.874/0001-07</x:v>
      </x:c>
      <x:c r="B1910" s="168" t="str">
        <x:v>AMAZÔNIA FUNDO DE INVESTIMENTO EM DIREITOS CREDITÓRIOS</x:v>
      </x:c>
      <x:c r="C1910" s="190" t="n">
        <x:v>31607068.36</x:v>
      </x:c>
      <x:c r="D1910" s="168" t="str">
        <x:v>CATALUNYA GESTÃO DE RECURSOS LTDA .</x:v>
      </x:c>
      <x:c r="E1910" s="168" t="str">
        <x:f>IFERROR(INDEX('Classif Gestoras'!$H$6:$H$462,MATCH(D1910,'Classif Gestoras'!$A$6:$A$462,0)),"Não classificada")</x:f>
        <x:v>Independente</x:v>
      </x:c>
      <x:c r="F1910" s="168" t="str">
        <x:v>FIDD DISTRIBUIDORA DE TITULOS E VALORES MOBILIARIOS LTD</x:v>
      </x:c>
      <x:c r="G1910" s="168" t="str">
        <x:v>FIDD DISTRIBUIDORA DE TITULOS E VALORES MOBILIARIOS LTDA.</x:v>
      </x:c>
      <x:c r="H1910" s="168" t="str">
        <x:v>Outros</x:v>
      </x:c>
      <x:c r="I1910" s="168" t="str">
        <x:v>Multicarteira Outros</x:v>
      </x:c>
      <x:c r="J1910" s="168" t="str">
        <x:v>CI</x:v>
      </x:c>
      <x:c r="K1910" s="174" t="n">
        <x:v>1</x:v>
      </x:c>
      <x:c r="L1910" s="187" t="str">
        <x:v>Proxy multicedente/multissacado — revisar</x:v>
      </x:c>
    </x:row>
    <x:row r="1911">
      <x:c r="A1911" s="177" t="str">
        <x:v>33.521.203/0001-82</x:v>
      </x:c>
      <x:c r="B1911" s="168" t="str">
        <x:v>VALYOS FUNDO DE INVESTIMENTO EM DIREITOS CREDITÓRIOS IMOBILIÁRIOS DE RESPONSABILIDADE LIMITADA</x:v>
      </x:c>
      <x:c r="C1911" s="190" t="n">
        <x:v>31575916.750000004</x:v>
      </x:c>
      <x:c r="D1911" s="168" t="str">
        <x:v>VALORA IMOBILIÁRIO E INFRAESTRUTURA LTDA</x:v>
      </x:c>
      <x:c r="E1911" s="168" t="str">
        <x:f>IFERROR(INDEX('Classif Gestoras'!$H$6:$H$462,MATCH(D1911,'Classif Gestoras'!$A$6:$A$462,0)),"Não classificada")</x:f>
        <x:v>Independente</x:v>
      </x:c>
      <x:c r="F1911" s="168" t="str">
        <x:v>BANCO DAYCOVAL S/A</x:v>
      </x:c>
      <x:c r="G1911" s="168" t="str">
        <x:v>BANCO DAYCOVAL S.A.</x:v>
      </x:c>
      <x:c r="H1911" s="168" t="str">
        <x:v>Financeiro</x:v>
      </x:c>
      <x:c r="I1911" s="168" t="str">
        <x:v>Crédito Imobiliário</x:v>
      </x:c>
      <x:c r="J1911" s="168" t="str">
        <x:v>CI</x:v>
      </x:c>
      <x:c r="K1911" s="174" t="n">
        <x:v>14</x:v>
      </x:c>
      <x:c r="L1911" s="187" t="str">
        <x:v>Não classificado</x:v>
      </x:c>
    </x:row>
    <x:row r="1912">
      <x:c r="A1912" s="177" t="str">
        <x:v>42.449.623/0001-96</x:v>
      </x:c>
      <x:c r="B1912" s="168" t="str">
        <x:v>FUNDO DE INVESTIMENTO EM DIREITOS CREDITÓRIOS RECONLOG BANK</x:v>
      </x:c>
      <x:c r="C1912" s="190" t="n">
        <x:v>31564587.48</x:v>
      </x:c>
      <x:c r="D1912" s="168" t="str">
        <x:v>Renova Gestora</x:v>
      </x:c>
      <x:c r="E1912" s="168" t="str">
        <x:f>IFERROR(INDEX('Classif Gestoras'!$H$6:$H$462,MATCH(D1912,'Classif Gestoras'!$A$6:$A$462,0)),"Não classificada")</x:f>
        <x:v>Independente</x:v>
      </x:c>
      <x:c r="F1912" s="168" t="str">
        <x:v>MONETAR DISTRIBUIDORA DE TITUL</x:v>
      </x:c>
      <x:c r="G1912" s="168" t="str">
        <x:v>TERRA INVESTIMENTOS DISTRIBUIDORA DE TITULOS E VALORES MOBILIARIOS LTDA</x:v>
      </x:c>
      <x:c r="H1912" s="168" t="str">
        <x:v>Outros</x:v>
      </x:c>
      <x:c r="I1912" s="168" t="str">
        <x:v>Multicarteira Outros</x:v>
      </x:c>
      <x:c r="J1912" s="168" t="str">
        <x:v>CI</x:v>
      </x:c>
      <x:c r="K1912" s="174" t="n">
        <x:v>8</x:v>
      </x:c>
      <x:c r="L1912" s="187" t="str">
        <x:v>Proxy multicedente/multissacado — revisar</x:v>
      </x:c>
    </x:row>
    <x:row r="1913">
      <x:c r="A1913" s="177" t="str">
        <x:v>64.009.633/0001-43</x:v>
      </x:c>
      <x:c r="B1913" s="168" t="str">
        <x:v>RCJ FUNDO DE INVESTIMENTO EM DIREITOS CREDITÓRIOS RESPONSABILIDADE LIMITADA</x:v>
      </x:c>
      <x:c r="C1913" s="190" t="n">
        <x:v>31553470.74</x:v>
      </x:c>
      <x:c r="D1913" s="168" t="str">
        <x:v>Tivio Capital</x:v>
      </x:c>
      <x:c r="E1913" s="168" t="str">
        <x:f>IFERROR(INDEX('Classif Gestoras'!$H$6:$H$462,MATCH(D1913,'Classif Gestoras'!$A$6:$A$462,0)),"Não classificada")</x:f>
        <x:v>Independente</x:v>
      </x:c>
      <x:c r="F1913" s="168" t="str">
        <x:v>VÓRTX DTVM</x:v>
      </x:c>
      <x:c r="G1913" s="168" t="str">
        <x:v>VORTX DISTRIBUIDORA DE TITULOS E VALORES MOBILIARIOS LTDA.</x:v>
      </x:c>
      <x:c r="H1913" s="168" t="str">
        <x:v>Agro, Indústria e Comércio</x:v>
      </x:c>
      <x:c r="I1913" s="168" t="str">
        <x:v>Recebíveis Comerciais</x:v>
      </x:c>
      <x:c r="J1913" s="168" t="str">
        <x:v>CI</x:v>
      </x:c>
      <x:c r="K1913" s="174" t="n">
        <x:v>1</x:v>
      </x:c>
      <x:c r="L1913" s="187" t="str">
        <x:v>Não classificado</x:v>
      </x:c>
    </x:row>
    <x:row r="1914">
      <x:c r="A1914" s="177" t="str">
        <x:v>53.463.970/0001-90</x:v>
      </x:c>
      <x:c r="B1914" s="168" t="str">
        <x:v>CNPJ 53463970000190</x:v>
      </x:c>
      <x:c r="C1914" s="190" t="n">
        <x:v>31553214.979999997</x:v>
      </x:c>
      <x:c r="D1914" s="168" t="str">
        <x:v>Hinov Capital</x:v>
      </x:c>
      <x:c r="E1914" s="168" t="str">
        <x:f>IFERROR(INDEX('Classif Gestoras'!$H$6:$H$462,MATCH(D1914,'Classif Gestoras'!$A$6:$A$462,0)),"Não classificada")</x:f>
        <x:v>Independente</x:v>
      </x:c>
      <x:c r="F1914" s="168" t="str">
        <x:v>ACTUAL DTVM</x:v>
      </x:c>
      <x:c r="G1914" s="168" t="str">
        <x:v>Não identificado</x:v>
      </x:c>
      <x:c r="H1914" s="168" t="str">
        <x:v>Fomento Mercantil</x:v>
      </x:c>
      <x:c r="I1914" s="168" t="str">
        <x:v>Fomento Mercantil</x:v>
      </x:c>
      <x:c r="J1914" s="168" t="str">
        <x:v>CI</x:v>
      </x:c>
      <x:c r="K1914" s="174"/>
      <x:c r="L1914" s="187" t="str">
        <x:v>Não classificado</x:v>
      </x:c>
    </x:row>
    <x:row r="1915">
      <x:c r="A1915" s="177" t="str">
        <x:v>48.213.067/0001-30</x:v>
      </x:c>
      <x:c r="B1915" s="168" t="str">
        <x:v>FUNDO DE INVESTIMENTO EM DIREITOS CREDITÓRIOS AMOVERI RESPONSABILIDADE LIMITADA</x:v>
      </x:c>
      <x:c r="C1915" s="190" t="n">
        <x:v>31431316.98</x:v>
      </x:c>
      <x:c r="D1915" s="168" t="str">
        <x:v>Kanastra</x:v>
      </x:c>
      <x:c r="E1915" s="168" t="str">
        <x:f>IFERROR(INDEX('Classif Gestoras'!$H$6:$H$462,MATCH(D1915,'Classif Gestoras'!$A$6:$A$462,0)),"Não classificada")</x:f>
        <x:v>Independente</x:v>
      </x:c>
      <x:c r="F1915" s="168" t="str">
        <x:v>Limine Trust Distribuidora de Titulos e Valores Mobiliá</x:v>
      </x:c>
      <x:c r="G1915" s="168" t="str">
        <x:v>LIMINE TRUST DISTRIBUIDORA DE TITULOS E VALORES MOBILIARIOS LTDA.</x:v>
      </x:c>
      <x:c r="H1915" s="168" t="str">
        <x:v>Agro, Indústria e Comércio</x:v>
      </x:c>
      <x:c r="I1915" s="168" t="str">
        <x:v>Recebíveis Comerciais</x:v>
      </x:c>
      <x:c r="J1915" s="168" t="str">
        <x:v>CI</x:v>
      </x:c>
      <x:c r="K1915" s="174" t="n">
        <x:v>7</x:v>
      </x:c>
      <x:c r="L1915" s="187" t="str">
        <x:v>Não classificado</x:v>
      </x:c>
    </x:row>
    <x:row r="1916">
      <x:c r="A1916" s="177" t="str">
        <x:v>63.821.288/0001-85</x:v>
      </x:c>
      <x:c r="B1916" s="168" t="str">
        <x:v>EXANTE - CG CRÉDITOS PRIVADOS AUTO I - FUNDO DE INVESTIMENTO EM DIREITOS CREDITÓRIOS</x:v>
      </x:c>
      <x:c r="C1916" s="190" t="n">
        <x:v>31357233.13</x:v>
      </x:c>
      <x:c r="D1916" s="168" t="str">
        <x:v>Exante Asset Management</x:v>
      </x:c>
      <x:c r="E1916" s="168" t="str">
        <x:f>IFERROR(INDEX('Classif Gestoras'!$H$6:$H$462,MATCH(D1916,'Classif Gestoras'!$A$6:$A$462,0)),"Não classificada")</x:f>
        <x:v>Independente</x:v>
      </x:c>
      <x:c r="F1916" s="168" t="str">
        <x:v>PLANNER CV</x:v>
      </x:c>
      <x:c r="G1916" s="168" t="str">
        <x:v>PLANNER CORRETORA DE VALORES S.A.</x:v>
      </x:c>
      <x:c r="H1916" s="168" t="str">
        <x:v>Outros</x:v>
      </x:c>
      <x:c r="I1916" s="168" t="str">
        <x:v>Multicarteira Outros</x:v>
      </x:c>
      <x:c r="J1916" s="168" t="str">
        <x:v>CI</x:v>
      </x:c>
      <x:c r="K1916" s="174" t="n">
        <x:v>9</x:v>
      </x:c>
      <x:c r="L1916" s="187" t="str">
        <x:v>Proxy multicedente/multissacado — revisar</x:v>
      </x:c>
    </x:row>
    <x:row r="1917">
      <x:c r="A1917" s="177" t="str">
        <x:v>58.347.004/0001-20</x:v>
      </x:c>
      <x:c r="B1917" s="168" t="str">
        <x:v>SOLAR BELMONTE FUNDO DE INVESTIMENTO EM DIREITOS CREDITÓRIOS</x:v>
      </x:c>
      <x:c r="C1917" s="190" t="n">
        <x:v>31349728.05245</x:v>
      </x:c>
      <x:c r="D1917" s="168" t="str">
        <x:v>Iggy Investimentos</x:v>
      </x:c>
      <x:c r="E1917" s="168" t="str">
        <x:f>IFERROR(INDEX('Classif Gestoras'!$H$6:$H$462,MATCH(D1917,'Classif Gestoras'!$A$6:$A$462,0)),"Não classificada")</x:f>
        <x:v>Independente</x:v>
      </x:c>
      <x:c r="F1917" s="168" t="str">
        <x:v>Singulare</x:v>
      </x:c>
      <x:c r="G1917" s="168" t="str">
        <x:v>QI CORRETORA DE TÍTULOS E VALORES MOBILIÁRIOS S.A.</x:v>
      </x:c>
      <x:c r="H1917" s="168" t="str">
        <x:v>Fomento Mercantil</x:v>
      </x:c>
      <x:c r="I1917" s="168" t="str">
        <x:v>Fomento Mercantil</x:v>
      </x:c>
      <x:c r="J1917" s="168" t="str">
        <x:v>CI</x:v>
      </x:c>
      <x:c r="K1917" s="174" t="n">
        <x:v>8</x:v>
      </x:c>
      <x:c r="L1917" s="187" t="str">
        <x:v>Não classificado</x:v>
      </x:c>
    </x:row>
    <x:row r="1918">
      <x:c r="A1918" s="177" t="str">
        <x:v>11.003.181/0001-26</x:v>
      </x:c>
      <x:c r="B1918" s="168" t="str">
        <x:v>BBIF MASTER FUNDO DE INVESTIMENTO EM DIREITOS CREDITÓRIOS LP</x:v>
      </x:c>
      <x:c r="C1918" s="190" t="n">
        <x:v>31303785.870000005</x:v>
      </x:c>
      <x:c r="D1918" s="168" t="str">
        <x:v>GENIAL GESTÃO LTDA.</x:v>
      </x:c>
      <x:c r="E1918" s="168" t="str">
        <x:f>IFERROR(INDEX('Classif Gestoras'!$H$6:$H$462,MATCH(D1918,'Classif Gestoras'!$A$6:$A$462,0)),"Não classificada")</x:f>
        <x:v>Ligada a banco</x:v>
      </x:c>
      <x:c r="F1918" s="168" t="str">
        <x:v>S3 Caceis Brasil Distribuidora de Títulos e Valores Mob</x:v>
      </x:c>
      <x:c r="G1918" s="168" t="str">
        <x:v>S3 CACEIS BRASIL DISTRIBUIDORA DE TITULOS E VALORES MOBILIARIOS S.A</x:v>
      </x:c>
      <x:c r="H1918" s="168" t="str">
        <x:v>Outros</x:v>
      </x:c>
      <x:c r="I1918" s="168" t="str">
        <x:v>Multicarteira Outros</x:v>
      </x:c>
      <x:c r="J1918" s="168" t="str">
        <x:v>CI</x:v>
      </x:c>
      <x:c r="K1918" s="174" t="n">
        <x:v>13</x:v>
      </x:c>
      <x:c r="L1918" s="187" t="str">
        <x:v>Proxy multicedente/multissacado — revisar</x:v>
      </x:c>
    </x:row>
    <x:row r="1919">
      <x:c r="A1919" s="177" t="str">
        <x:v>43.722.793/0001-65</x:v>
      </x:c>
      <x:c r="B1919" s="168" t="str">
        <x:v>F2 BANK FUNDO DE INVESTIMENTO EM DIREITOS CREDITÓRIOS</x:v>
      </x:c>
      <x:c r="C1919" s="190" t="n">
        <x:v>31281710.37</x:v>
      </x:c>
      <x:c r="D1919" s="168" t="str">
        <x:v>Catálise Investimentos</x:v>
      </x:c>
      <x:c r="E1919" s="168" t="str">
        <x:f>IFERROR(INDEX('Classif Gestoras'!$H$6:$H$462,MATCH(D1919,'Classif Gestoras'!$A$6:$A$462,0)),"Não classificada")</x:f>
        <x:v>Independente</x:v>
      </x:c>
      <x:c r="F1919" s="168" t="str">
        <x:v>CATÁLISE DTVM</x:v>
      </x:c>
      <x:c r="G1919" s="168" t="str">
        <x:v>BANCO DAYCOVAL S.A.</x:v>
      </x:c>
      <x:c r="H1919" s="168" t="str">
        <x:v>Agro, Indústria e Comércio</x:v>
      </x:c>
      <x:c r="I1919" s="168" t="str">
        <x:v>Recebíveis Comerciais</x:v>
      </x:c>
      <x:c r="J1919" s="168" t="str">
        <x:v>CI</x:v>
      </x:c>
      <x:c r="K1919" s="174" t="n">
        <x:v>1</x:v>
      </x:c>
      <x:c r="L1919" s="187" t="str">
        <x:v>Não classificado</x:v>
      </x:c>
    </x:row>
    <x:row r="1920">
      <x:c r="A1920" s="177" t="str">
        <x:v>39.273.409/0001-17</x:v>
      </x:c>
      <x:c r="B1920" s="168" t="str">
        <x:v>MINKE FUNDO DE INVESTIMENTO EM DIREITOS CREDITÓRIOS</x:v>
      </x:c>
      <x:c r="C1920" s="190" t="n">
        <x:v>31275181.249999996</x:v>
      </x:c>
      <x:c r="D1920" s="168" t="str">
        <x:v>Galápagos</x:v>
      </x:c>
      <x:c r="E1920" s="168" t="str">
        <x:f>IFERROR(INDEX('Classif Gestoras'!$H$6:$H$462,MATCH(D1920,'Classif Gestoras'!$A$6:$A$462,0)),"Não classificada")</x:f>
        <x:v>Independente</x:v>
      </x:c>
      <x:c r="F1920" s="168" t="str">
        <x:v>Singulare</x:v>
      </x:c>
      <x:c r="G1920" s="168" t="str">
        <x:v>ID CORRETORA DE TITULOS E VALORES MOBILIARIOS S.A.</x:v>
      </x:c>
      <x:c r="H1920" s="168" t="str">
        <x:v>Fomento Mercantil</x:v>
      </x:c>
      <x:c r="I1920" s="168" t="str">
        <x:v>Fomento Mercantil</x:v>
      </x:c>
      <x:c r="J1920" s="168" t="str">
        <x:v>CI</x:v>
      </x:c>
      <x:c r="K1920" s="174" t="n">
        <x:v>8</x:v>
      </x:c>
      <x:c r="L1920" s="187" t="str">
        <x:v>Não classificado</x:v>
      </x:c>
    </x:row>
    <x:row r="1921">
      <x:c r="A1921" s="177" t="str">
        <x:v>53.165.079/0001-77</x:v>
      </x:c>
      <x:c r="B1921" s="168" t="str">
        <x:v>GDV CAPTA FUNDO DE INVESTIMENTO EM DIREITOS CREDITÓRIOS</x:v>
      </x:c>
      <x:c r="C1921" s="190" t="n">
        <x:v>31260811.840000004</x:v>
      </x:c>
      <x:c r="D1921" s="168" t="str">
        <x:v>FIDD Administração de Recursos Ltda.</x:v>
      </x:c>
      <x:c r="E1921" s="168" t="str">
        <x:f>IFERROR(INDEX('Classif Gestoras'!$H$6:$H$462,MATCH(D1921,'Classif Gestoras'!$A$6:$A$462,0)),"Não classificada")</x:f>
        <x:v>Independente</x:v>
      </x:c>
      <x:c r="F1921" s="168" t="str">
        <x:v>FIDD DISTRIBUIDORA DE TITULOS E VALORES MOBILIARIOS LTD</x:v>
      </x:c>
      <x:c r="G1921" s="168" t="str">
        <x:v>FIDD DISTRIBUIDORA DE TITULOS E VALORES MOBILIARIOS LTDA.</x:v>
      </x:c>
      <x:c r="H1921" s="168" t="str">
        <x:v>Outros</x:v>
      </x:c>
      <x:c r="I1921" s="168" t="str">
        <x:v>Multicarteira Outros</x:v>
      </x:c>
      <x:c r="J1921" s="168" t="str">
        <x:v>CI</x:v>
      </x:c>
      <x:c r="K1921" s="174" t="n">
        <x:v>1</x:v>
      </x:c>
      <x:c r="L1921" s="187" t="str">
        <x:v>Proxy multicedente/multissacado — revisar</x:v>
      </x:c>
    </x:row>
    <x:row r="1922">
      <x:c r="A1922" s="177" t="str">
        <x:v>35.609.597/0001-50</x:v>
      </x:c>
      <x:c r="B1922" s="168" t="str">
        <x:v>BLP W FUNDO DE INVESTIMENTO EM DIREITOS CREDITÓRIOS DE RESPONSABILIDADE LIMITADA</x:v>
      </x:c>
      <x:c r="C1922" s="190" t="n">
        <x:v>31234573.4</x:v>
      </x:c>
      <x:c r="D1922" s="168" t="str">
        <x:v>BLP CAPITAL</x:v>
      </x:c>
      <x:c r="E1922" s="168" t="str">
        <x:f>IFERROR(INDEX('Classif Gestoras'!$H$6:$H$462,MATCH(D1922,'Classif Gestoras'!$A$6:$A$462,0)),"Não classificada")</x:f>
        <x:v>Independente</x:v>
      </x:c>
      <x:c r="F1922" s="168" t="str">
        <x:v>TRUSTEE DTVM</x:v>
      </x:c>
      <x:c r="G1922" s="168" t="str">
        <x:v>TRUSTEE DISTRIBUIDORA DE TITULOS E VALORES MOBILIARIOS LTDA.</x:v>
      </x:c>
      <x:c r="H1922" s="168" t="str">
        <x:v>Outros</x:v>
      </x:c>
      <x:c r="I1922" s="168" t="str">
        <x:v>Multicarteira Outros</x:v>
      </x:c>
      <x:c r="J1922" s="168" t="str">
        <x:v>CI</x:v>
      </x:c>
      <x:c r="K1922" s="174" t="n">
        <x:v>48</x:v>
      </x:c>
      <x:c r="L1922" s="187" t="str">
        <x:v>Proxy multicedente/multissacado — revisar</x:v>
      </x:c>
    </x:row>
    <x:row r="1923">
      <x:c r="A1923" s="177" t="str">
        <x:v>56.213.199/0001-90</x:v>
      </x:c>
      <x:c r="B1923" s="168" t="str">
        <x:v>FUNDO DE INVESTIMENTO EM DIREITOS CREDITÓRIOS UNIBLUE INVESTCOOP</x:v>
      </x:c>
      <x:c r="C1923" s="190" t="n">
        <x:v>31204912.36</x:v>
      </x:c>
      <x:c r="D1923" s="168" t="str">
        <x:v>INVESTCOOP ASSET MANAGEMENT LTDA</x:v>
      </x:c>
      <x:c r="E1923" s="168" t="str">
        <x:f>IFERROR(INDEX('Classif Gestoras'!$H$6:$H$462,MATCH(D1923,'Classif Gestoras'!$A$6:$A$462,0)),"Não classificada")</x:f>
        <x:v>Independente</x:v>
      </x:c>
      <x:c r="F1923" s="168" t="str">
        <x:v>BTG Pactual Servicos Financeiros S/A DTVM</x:v>
      </x:c>
      <x:c r="G1923" s="168" t="str">
        <x:v>BANCO BTG PACTUAL S/A</x:v>
      </x:c>
      <x:c r="H1923" s="168" t="str">
        <x:v>Agro, Indústria e Comércio</x:v>
      </x:c>
      <x:c r="I1923" s="168" t="str">
        <x:v>Recebíveis Comerciais</x:v>
      </x:c>
      <x:c r="J1923" s="168" t="str">
        <x:v>CI</x:v>
      </x:c>
      <x:c r="K1923" s="174" t="n">
        <x:v>3</x:v>
      </x:c>
      <x:c r="L1923" s="187" t="str">
        <x:v>Não classificado</x:v>
      </x:c>
    </x:row>
    <x:row r="1924">
      <x:c r="A1924" s="177" t="str">
        <x:v>62.543.066/0001-85</x:v>
      </x:c>
      <x:c r="B1924" s="168" t="str">
        <x:v>VALONGO FUNDO DE INVESTIMENTO EM DIREITOS CREDITÓRIOS DE RESPONSABILIDADE LIMITADA</x:v>
      </x:c>
      <x:c r="C1924" s="190" t="n">
        <x:v>31153573.34</x:v>
      </x:c>
      <x:c r="D1924" s="168" t="str">
        <x:v>Multinvest Capital</x:v>
      </x:c>
      <x:c r="E1924" s="168" t="str">
        <x:f>IFERROR(INDEX('Classif Gestoras'!$H$6:$H$462,MATCH(D1924,'Classif Gestoras'!$A$6:$A$462,0)),"Não classificada")</x:f>
        <x:v>Independente</x:v>
      </x:c>
      <x:c r="F1924" s="168" t="str">
        <x:v>BANCO DAYCOVAL S/A</x:v>
      </x:c>
      <x:c r="G1924" s="168" t="str">
        <x:v>BANCO DAYCOVAL S.A.</x:v>
      </x:c>
      <x:c r="H1924" s="168" t="str">
        <x:v>Outros</x:v>
      </x:c>
      <x:c r="I1924" s="168" t="str">
        <x:v>Multicarteira Outros</x:v>
      </x:c>
      <x:c r="J1924" s="168" t="str">
        <x:v>CI</x:v>
      </x:c>
      <x:c r="K1924" s="174" t="n">
        <x:v>1</x:v>
      </x:c>
      <x:c r="L1924" s="187" t="str">
        <x:v>Proxy multicedente/multissacado — revisar</x:v>
      </x:c>
    </x:row>
    <x:row r="1925">
      <x:c r="A1925" s="177" t="str">
        <x:v>50.824.501/0001-60</x:v>
      </x:c>
      <x:c r="B1925" s="168" t="str">
        <x:v>NETMONEY FUNDO DE INVESTIMENTO EM DIREITOS CREDITÓRIOS</x:v>
      </x:c>
      <x:c r="C1925" s="190" t="n">
        <x:v>31144426.17</x:v>
      </x:c>
      <x:c r="D1925" s="168" t="str">
        <x:v>TERCON ASSET MANAGEMENT</x:v>
      </x:c>
      <x:c r="E1925" s="168" t="str">
        <x:f>IFERROR(INDEX('Classif Gestoras'!$H$6:$H$462,MATCH(D1925,'Classif Gestoras'!$A$6:$A$462,0)),"Não classificada")</x:f>
        <x:v>Independente</x:v>
      </x:c>
      <x:c r="F1925" s="168" t="str">
        <x:v>Limine Trust Distribuidora de Titulos e Valores Mobiliá</x:v>
      </x:c>
      <x:c r="G1925" s="168" t="str">
        <x:v>LIMINE TRUST DISTRIBUIDORA DE TITULOS E VALORES MOBILIARIOS LTDA.</x:v>
      </x:c>
      <x:c r="H1925" s="168" t="str">
        <x:v>Outros</x:v>
      </x:c>
      <x:c r="I1925" s="168" t="str">
        <x:v>Multicarteira Outros</x:v>
      </x:c>
      <x:c r="J1925" s="168" t="str">
        <x:v>CI</x:v>
      </x:c>
      <x:c r="K1925" s="174" t="n">
        <x:v>8</x:v>
      </x:c>
      <x:c r="L1925" s="187" t="str">
        <x:v>Proxy multicedente/multissacado — revisar</x:v>
      </x:c>
    </x:row>
    <x:row r="1926">
      <x:c r="A1926" s="177" t="str">
        <x:v>63.902.334/0001-70</x:v>
      </x:c>
      <x:c r="B1926" s="168" t="str">
        <x:v>ULTRA ARTESANAL FIC DE FUNDO DE INVESTIMENTO EM DIREITOS CREDITÓRIOS MULTICARTEIRA DE RESP LIMITADA</x:v>
      </x:c>
      <x:c r="C1926" s="190" t="n">
        <x:v>31140856.96</x:v>
      </x:c>
      <x:c r="D1926" s="168" t="str">
        <x:v>Artesanal Investimentos</x:v>
      </x:c>
      <x:c r="E1926" s="168" t="str">
        <x:f>IFERROR(INDEX('Classif Gestoras'!$H$6:$H$462,MATCH(D1926,'Classif Gestoras'!$A$6:$A$462,0)),"Não classificada")</x:f>
        <x:v>Independente</x:v>
      </x:c>
      <x:c r="F1926" s="168" t="str">
        <x:v>Genial Investimentos Corretora de Valores Mobiliários S.A.</x:v>
      </x:c>
      <x:c r="G1926" s="168" t="str">
        <x:v>BANCO GENIAL S.A.</x:v>
      </x:c>
      <x:c r="H1926" s="168" t="str">
        <x:v>Outros</x:v>
      </x:c>
      <x:c r="I1926" s="168" t="str">
        <x:v>Multicarteira Outros</x:v>
      </x:c>
      <x:c r="J1926" s="168" t="str">
        <x:v>CI</x:v>
      </x:c>
      <x:c r="K1926" s="174" t="n">
        <x:v>55</x:v>
      </x:c>
      <x:c r="L1926" s="187" t="str">
        <x:v>Proxy multicedente/multissacado — revisar</x:v>
      </x:c>
    </x:row>
    <x:row r="1927">
      <x:c r="A1927" s="177" t="str">
        <x:v>49.176.545/0001-42</x:v>
      </x:c>
      <x:c r="B1927" s="168" t="str">
        <x:v>RIVER II FUNDO DE INVESTIMENTO EM DIREITOS CREDITÓRIOS NÃO-PADRONIZADOS RESPONSABILIDADE LIMITADA</x:v>
      </x:c>
      <x:c r="C1927" s="190" t="n">
        <x:v>31064789.74</x:v>
      </x:c>
      <x:c r="D1927" s="168" t="str">
        <x:v>CONTEA CAPITAL</x:v>
      </x:c>
      <x:c r="E1927" s="168" t="str">
        <x:f>IFERROR(INDEX('Classif Gestoras'!$H$6:$H$462,MATCH(D1927,'Classif Gestoras'!$A$6:$A$462,0)),"Não classificada")</x:f>
        <x:v>Independente</x:v>
      </x:c>
      <x:c r="F1927" s="168" t="str">
        <x:v>ID Corretora de Títulos e Valores Mobiliários S.A.</x:v>
      </x:c>
      <x:c r="G1927" s="168" t="str">
        <x:v>ID CORRETORA DE TITULOS E VALORES MOBILIARIOS S.A.</x:v>
      </x:c>
      <x:c r="H1927" s="168" t="str">
        <x:v>Outros</x:v>
      </x:c>
      <x:c r="I1927" s="168" t="str">
        <x:v>Multicarteira Outros</x:v>
      </x:c>
      <x:c r="J1927" s="168" t="str">
        <x:v>CI</x:v>
      </x:c>
      <x:c r="K1927" s="174" t="n">
        <x:v>1</x:v>
      </x:c>
      <x:c r="L1927" s="187" t="str">
        <x:v>Proxy multicedente/multissacado — revisar</x:v>
      </x:c>
    </x:row>
    <x:row r="1928">
      <x:c r="A1928" s="177" t="str">
        <x:v>59.225.114/0001-82</x:v>
      </x:c>
      <x:c r="B1928" s="168" t="str">
        <x:v>FUNDO DE INVESTIMENTO EM DIREITOS CREDITÓRIOS FINEDU.TECH</x:v>
      </x:c>
      <x:c r="C1928" s="190" t="n">
        <x:v>31048959.550000004</x:v>
      </x:c>
      <x:c r="D1928" s="168" t="str">
        <x:v>CONTEA CAPITAL</x:v>
      </x:c>
      <x:c r="E1928" s="168" t="str">
        <x:f>IFERROR(INDEX('Classif Gestoras'!$H$6:$H$462,MATCH(D1928,'Classif Gestoras'!$A$6:$A$462,0)),"Não classificada")</x:f>
        <x:v>Independente</x:v>
      </x:c>
      <x:c r="F1928" s="168" t="str">
        <x:v>VÓRTX DTVM</x:v>
      </x:c>
      <x:c r="G1928" s="168" t="str">
        <x:v>VORTX DISTRIBUIDORA DE TITULOS E VALORES MOBILIARIOS LTDA.</x:v>
      </x:c>
      <x:c r="H1928" s="168" t="str">
        <x:v>Financeiro</x:v>
      </x:c>
      <x:c r="I1928" s="168" t="str">
        <x:v>Crédito Pessoal</x:v>
      </x:c>
      <x:c r="J1928" s="168" t="str">
        <x:v>CI</x:v>
      </x:c>
      <x:c r="K1928" s="174" t="n">
        <x:v>10</x:v>
      </x:c>
      <x:c r="L1928" s="187" t="str">
        <x:v>Não classificado</x:v>
      </x:c>
    </x:row>
    <x:row r="1929">
      <x:c r="A1929" s="177" t="str">
        <x:v>57.378.455/0001-62</x:v>
      </x:c>
      <x:c r="B1929" s="168" t="str">
        <x:v>TERTON FUNDO DE INVESTIMENTO DIREITOS CREDITÓRIOS DE RESPONSABILIDADE LIMITADA</x:v>
      </x:c>
      <x:c r="C1929" s="190" t="n">
        <x:v>31029075.1</x:v>
      </x:c>
      <x:c r="D1929" s="168" t="str">
        <x:v>Catálise Investimentos</x:v>
      </x:c>
      <x:c r="E1929" s="168" t="str">
        <x:f>IFERROR(INDEX('Classif Gestoras'!$H$6:$H$462,MATCH(D1929,'Classif Gestoras'!$A$6:$A$462,0)),"Não classificada")</x:f>
        <x:v>Independente</x:v>
      </x:c>
      <x:c r="F1929" s="168" t="str">
        <x:v>CATÁLISE DTVM</x:v>
      </x:c>
      <x:c r="G1929" s="168" t="str">
        <x:v>BANCO DAYCOVAL S.A.</x:v>
      </x:c>
      <x:c r="H1929" s="168" t="str">
        <x:v>Agro, Indústria e Comércio</x:v>
      </x:c>
      <x:c r="I1929" s="168" t="str">
        <x:v>Recebíveis Comerciais</x:v>
      </x:c>
      <x:c r="J1929" s="168" t="str">
        <x:v>CI</x:v>
      </x:c>
      <x:c r="K1929" s="174" t="n">
        <x:v>1</x:v>
      </x:c>
      <x:c r="L1929" s="187" t="str">
        <x:v>Não classificado</x:v>
      </x:c>
    </x:row>
    <x:row r="1930">
      <x:c r="A1930" s="177" t="str">
        <x:v>31.570.850/0001-59</x:v>
      </x:c>
      <x:c r="B1930" s="168" t="str">
        <x:v>MITTU FUNDO DE INVESTIMENTO EM DIREITOS CREDITÓRIOS</x:v>
      </x:c>
      <x:c r="C1930" s="190" t="n">
        <x:v>30900164.36</x:v>
      </x:c>
      <x:c r="D1930" s="168" t="str">
        <x:v>Solis</x:v>
      </x:c>
      <x:c r="E1930" s="168" t="str">
        <x:f>IFERROR(INDEX('Classif Gestoras'!$H$6:$H$462,MATCH(D1930,'Classif Gestoras'!$A$6:$A$462,0)),"Não classificada")</x:f>
        <x:v>Independente</x:v>
      </x:c>
      <x:c r="F1930" s="168" t="str">
        <x:v>HEMERA DTVM</x:v>
      </x:c>
      <x:c r="G1930" s="168" t="str">
        <x:v>HEMERA DISTRIBUIDORA DE TITULOS E VALORES MOBILIARIOS LTDA</x:v>
      </x:c>
      <x:c r="H1930" s="168" t="str">
        <x:v>Outros</x:v>
      </x:c>
      <x:c r="I1930" s="168" t="str">
        <x:v>Multicarteira Outros</x:v>
      </x:c>
      <x:c r="J1930" s="168" t="str">
        <x:v>CI</x:v>
      </x:c>
      <x:c r="K1930" s="174" t="n">
        <x:v>2</x:v>
      </x:c>
      <x:c r="L1930" s="187" t="str">
        <x:v>Proxy multicedente/multissacado — revisar</x:v>
      </x:c>
    </x:row>
    <x:row r="1931">
      <x:c r="A1931" s="177" t="str">
        <x:v>41.579.569/0001-30</x:v>
      </x:c>
      <x:c r="B1931" s="168" t="str">
        <x:v>BETTA FUNDO DE INVESTIMENTO EM DIREITOS CREDITÓRIOS</x:v>
      </x:c>
      <x:c r="C1931" s="190" t="n">
        <x:v>30850601.110000003</x:v>
      </x:c>
      <x:c r="D1931" s="168" t="str">
        <x:v>Apuama Capital</x:v>
      </x:c>
      <x:c r="E1931" s="168" t="str">
        <x:f>IFERROR(INDEX('Classif Gestoras'!$H$6:$H$462,MATCH(D1931,'Classif Gestoras'!$A$6:$A$462,0)),"Não classificada")</x:f>
        <x:v>Independente</x:v>
      </x:c>
      <x:c r="F1931" s="168" t="str">
        <x:v>FIDD DISTRIBUIDORA DE TITULOS E VALORES MOBILIARIOS LTD</x:v>
      </x:c>
      <x:c r="G1931" s="168" t="str">
        <x:v>FIDD DISTRIBUIDORA DE TITULOS E VALORES MOBILIARIOS LTDA.</x:v>
      </x:c>
      <x:c r="H1931" s="168" t="str">
        <x:v>Outros</x:v>
      </x:c>
      <x:c r="I1931" s="168" t="str">
        <x:v>Multicarteira Outros</x:v>
      </x:c>
      <x:c r="J1931" s="168" t="str">
        <x:v>CI</x:v>
      </x:c>
      <x:c r="K1931" s="174" t="n">
        <x:v>11</x:v>
      </x:c>
      <x:c r="L1931" s="187" t="str">
        <x:v>Proxy multicedente/multissacado — revisar</x:v>
      </x:c>
    </x:row>
    <x:row r="1932">
      <x:c r="A1932" s="177" t="str">
        <x:v>49.998.142/0001-89</x:v>
      </x:c>
      <x:c r="B1932" s="168" t="str">
        <x:v>MAGIC FUNDO DE INVESTIMENTO EM DIREITOS CREDITÓRIOS</x:v>
      </x:c>
      <x:c r="C1932" s="190" t="n">
        <x:v>30736072.08</x:v>
      </x:c>
      <x:c r="D1932" s="168" t="str">
        <x:v>Plural Investimentos Gestão de Recursos Ltda.</x:v>
      </x:c>
      <x:c r="E1932" s="168" t="str">
        <x:f>IFERROR(INDEX('Classif Gestoras'!$H$6:$H$462,MATCH(D1932,'Classif Gestoras'!$A$6:$A$462,0)),"Não classificada")</x:f>
        <x:v>Ligada a banco</x:v>
      </x:c>
      <x:c r="F1932" s="168" t="str">
        <x:v>Genial Investimentos Corretora de Valores Mobiliários S.A.</x:v>
      </x:c>
      <x:c r="G1932" s="168" t="str">
        <x:v>BANCO GENIAL S.A.</x:v>
      </x:c>
      <x:c r="H1932" s="168" t="str">
        <x:v>Outros</x:v>
      </x:c>
      <x:c r="I1932" s="168" t="str">
        <x:v>Recuperação</x:v>
      </x:c>
      <x:c r="J1932" s="168" t="str">
        <x:v>CI</x:v>
      </x:c>
      <x:c r="K1932" s="174" t="n">
        <x:v>1</x:v>
      </x:c>
      <x:c r="L1932" s="187" t="str">
        <x:v>Não classificado</x:v>
      </x:c>
    </x:row>
    <x:row r="1933">
      <x:c r="A1933" s="177" t="str">
        <x:v>09.609.468/0001-52</x:v>
      </x:c>
      <x:c r="B1933" s="168" t="str">
        <x:v>MACRO FUND - FUNDO DE INVESTIMENTO EM DIREITOS CREDITÓRIOS MULTISEGMENTOS</x:v>
      </x:c>
      <x:c r="C1933" s="190" t="n">
        <x:v>30684633.09</x:v>
      </x:c>
      <x:c r="D1933" s="168" t="str">
        <x:v>Petra Capital</x:v>
      </x:c>
      <x:c r="E1933" s="168" t="str">
        <x:f>IFERROR(INDEX('Classif Gestoras'!$H$6:$H$462,MATCH(D1933,'Classif Gestoras'!$A$6:$A$462,0)),"Não classificada")</x:f>
        <x:v>Independente</x:v>
      </x:c>
      <x:c r="F1933" s="168" t="str">
        <x:v>Banco Finaxis S.A.</x:v>
      </x:c>
      <x:c r="G1933" s="168" t="str">
        <x:v>BANCO FINAXIS S.A.</x:v>
      </x:c>
      <x:c r="H1933" s="168" t="str">
        <x:v>Fomento Mercantil</x:v>
      </x:c>
      <x:c r="I1933" s="168" t="str">
        <x:v>Fomento Mercantil</x:v>
      </x:c>
      <x:c r="J1933" s="168" t="str">
        <x:v>CI</x:v>
      </x:c>
      <x:c r="K1933" s="174" t="n">
        <x:v>1</x:v>
      </x:c>
      <x:c r="L1933" s="187" t="str">
        <x:v>Não classificado</x:v>
      </x:c>
    </x:row>
    <x:row r="1934">
      <x:c r="A1934" s="177" t="str">
        <x:v>57.182.898/0001-83</x:v>
      </x:c>
      <x:c r="B1934" s="168" t="str">
        <x:v>COPOBRAS FUNDO DE INVESTIMENTO EM DIREITOS CREDITÓRIOS DE RESPONSABILIDADE LIMITADA RECEBÍVEIS COME</x:v>
      </x:c>
      <x:c r="C1934" s="190" t="n">
        <x:v>30667232.43</x:v>
      </x:c>
      <x:c r="D1934" s="168" t="str">
        <x:v>Maud Capital</x:v>
      </x:c>
      <x:c r="E1934" s="168" t="str">
        <x:f>IFERROR(INDEX('Classif Gestoras'!$H$6:$H$462,MATCH(D1934,'Classif Gestoras'!$A$6:$A$462,0)),"Não classificada")</x:f>
        <x:v>Independente</x:v>
      </x:c>
      <x:c r="F1934" s="168" t="str">
        <x:v>OSLO DTVM S. A.</x:v>
      </x:c>
      <x:c r="G1934" s="168" t="str">
        <x:v>OSLO CAPITAL DISTRIBUIDORA DE TITULOS E VALORES MOBILIARIOS S.A.</x:v>
      </x:c>
      <x:c r="H1934" s="168" t="str">
        <x:v>Agro, Indústria e Comércio</x:v>
      </x:c>
      <x:c r="I1934" s="168" t="str">
        <x:v>Recebíveis Comerciais</x:v>
      </x:c>
      <x:c r="J1934" s="168" t="str">
        <x:v>CI</x:v>
      </x:c>
      <x:c r="K1934" s="174" t="n">
        <x:v>40</x:v>
      </x:c>
      <x:c r="L1934" s="187" t="str">
        <x:v>Não classificado</x:v>
      </x:c>
    </x:row>
    <x:row r="1935">
      <x:c r="A1935" s="177" t="str">
        <x:v>60.115.023/0001-73</x:v>
      </x:c>
      <x:c r="B1935" s="168" t="str">
        <x:v>SKIEN FUNDO DE INVESTIMENTO EM DIREITOS CREDITÓRIOS</x:v>
      </x:c>
      <x:c r="C1935" s="190" t="n">
        <x:v>30666257.94</x:v>
      </x:c>
      <x:c r="D1935" s="168" t="str">
        <x:v>Fram Capital Gestão de Ativos Ltda</x:v>
      </x:c>
      <x:c r="E1935" s="168" t="str">
        <x:f>IFERROR(INDEX('Classif Gestoras'!$H$6:$H$462,MATCH(D1935,'Classif Gestoras'!$A$6:$A$462,0)),"Não classificada")</x:f>
        <x:v>Independente</x:v>
      </x:c>
      <x:c r="F1935" s="168" t="str">
        <x:v>OSLO DTVM S. A.</x:v>
      </x:c>
      <x:c r="G1935" s="168" t="str">
        <x:v>OSLO CAPITAL DISTRIBUIDORA DE TITULOS E VALORES MOBILIARIOS S.A.</x:v>
      </x:c>
      <x:c r="H1935" s="168" t="str">
        <x:v>Outros</x:v>
      </x:c>
      <x:c r="I1935" s="168" t="str">
        <x:v>Multicarteira Outros</x:v>
      </x:c>
      <x:c r="J1935" s="168" t="str">
        <x:v>CI</x:v>
      </x:c>
      <x:c r="K1935" s="174" t="n">
        <x:v>1</x:v>
      </x:c>
      <x:c r="L1935" s="187" t="str">
        <x:v>Proxy multicedente/multissacado — revisar</x:v>
      </x:c>
    </x:row>
    <x:row r="1936">
      <x:c r="A1936" s="177" t="str">
        <x:v>55.897.261/0001-48</x:v>
      </x:c>
      <x:c r="B1936" s="168" t="str">
        <x:v>VIA CERTA FUNDO DE INVESTIMENTO EM DIREITOS CREDITÓRIOS FINANCEIROS</x:v>
      </x:c>
      <x:c r="C1936" s="190" t="n">
        <x:v>30600423.91</x:v>
      </x:c>
      <x:c r="D1936" s="168" t="str">
        <x:v>Integral Investimentos</x:v>
      </x:c>
      <x:c r="E1936" s="168" t="str">
        <x:f>IFERROR(INDEX('Classif Gestoras'!$H$6:$H$462,MATCH(D1936,'Classif Gestoras'!$A$6:$A$462,0)),"Não classificada")</x:f>
        <x:v>Independente</x:v>
      </x:c>
      <x:c r="F1936" s="168" t="str">
        <x:v>Oliveira Trust DTVM</x:v>
      </x:c>
      <x:c r="G1936" s="168" t="str">
        <x:v>OLIVEIRA TRUST DTVM S.A.</x:v>
      </x:c>
      <x:c r="H1936" s="168" t="str">
        <x:v>Financeiro</x:v>
      </x:c>
      <x:c r="I1936" s="168" t="str">
        <x:v>Crédito Pessoal</x:v>
      </x:c>
      <x:c r="J1936" s="168" t="str">
        <x:v>CI</x:v>
      </x:c>
      <x:c r="K1936" s="174" t="n">
        <x:v>45</x:v>
      </x:c>
      <x:c r="L1936" s="187" t="str">
        <x:v>Não classificado</x:v>
      </x:c>
    </x:row>
    <x:row r="1937">
      <x:c r="A1937" s="177" t="str">
        <x:v>12.400.426/0001-11</x:v>
      </x:c>
      <x:c r="B1937" s="168" t="str">
        <x:v>MOKA FUND I FUNDO DE INVESTIMENTO EM DIREITOS CREDITÓRIOS</x:v>
      </x:c>
      <x:c r="C1937" s="190" t="n">
        <x:v>30575316.08</x:v>
      </x:c>
      <x:c r="D1937" s="168" t="str">
        <x:v>Moka Gestora de Recursos de Terceiros LTDA.</x:v>
      </x:c>
      <x:c r="E1937" s="168" t="str">
        <x:f>IFERROR(INDEX('Classif Gestoras'!$H$6:$H$462,MATCH(D1937,'Classif Gestoras'!$A$6:$A$462,0)),"Não classificada")</x:f>
        <x:v>Independente</x:v>
      </x:c>
      <x:c r="F1937" s="168" t="str">
        <x:v>Singulare</x:v>
      </x:c>
      <x:c r="G1937" s="168" t="str">
        <x:v>QI CORRETORA DE TÍTULOS E VALORES MOBILIÁRIOS S.A.</x:v>
      </x:c>
      <x:c r="H1937" s="168" t="str">
        <x:v>Fomento Mercantil</x:v>
      </x:c>
      <x:c r="I1937" s="168" t="str">
        <x:v>Fomento Mercantil</x:v>
      </x:c>
      <x:c r="J1937" s="168" t="str">
        <x:v>CI</x:v>
      </x:c>
      <x:c r="K1937" s="174" t="n">
        <x:v>50</x:v>
      </x:c>
      <x:c r="L1937" s="187" t="str">
        <x:v>Não classificado</x:v>
      </x:c>
    </x:row>
    <x:row r="1938">
      <x:c r="A1938" s="177" t="str">
        <x:v>18.269.128/0001-10</x:v>
      </x:c>
      <x:c r="B1938" s="168" t="str">
        <x:v>DB 18 FUNDO DE INVESTIMENTO EM DIREITOS CREDITÓRIOS MULTISSETORIAL</x:v>
      </x:c>
      <x:c r="C1938" s="190" t="n">
        <x:v>30559324.359999996</x:v>
      </x:c>
      <x:c r="D1938" s="168" t="str">
        <x:v>Petra Capital</x:v>
      </x:c>
      <x:c r="E1938" s="168" t="str">
        <x:f>IFERROR(INDEX('Classif Gestoras'!$H$6:$H$462,MATCH(D1938,'Classif Gestoras'!$A$6:$A$462,0)),"Não classificada")</x:f>
        <x:v>Independente</x:v>
      </x:c>
      <x:c r="F1938" s="168" t="str">
        <x:v>Banco Finaxis S.A.</x:v>
      </x:c>
      <x:c r="G1938" s="168" t="str">
        <x:v>BANCO FINAXIS S.A.</x:v>
      </x:c>
      <x:c r="H1938" s="168" t="str">
        <x:v>Fomento Mercantil</x:v>
      </x:c>
      <x:c r="I1938" s="168" t="str">
        <x:v>Fomento Mercantil</x:v>
      </x:c>
      <x:c r="J1938" s="168" t="str">
        <x:v>CI</x:v>
      </x:c>
      <x:c r="K1938" s="174" t="n">
        <x:v>13</x:v>
      </x:c>
      <x:c r="L1938" s="187" t="str">
        <x:v>Não classificado</x:v>
      </x:c>
    </x:row>
    <x:row r="1939">
      <x:c r="A1939" s="177" t="str">
        <x:v>38.328.747/0001-46</x:v>
      </x:c>
      <x:c r="B1939" s="168" t="str">
        <x:v>JUSINVEST I - FUNDO DE INVESTIMENTO EM DIREITOS CREDITORIOS</x:v>
      </x:c>
      <x:c r="C1939" s="190" t="n">
        <x:v>30541215.17</x:v>
      </x:c>
      <x:c r="D1939" s="168" t="str">
        <x:v>Versal Finance Gestão de Recursos LTDA.</x:v>
      </x:c>
      <x:c r="E1939" s="168" t="str">
        <x:f>IFERROR(INDEX('Classif Gestoras'!$H$6:$H$462,MATCH(D1939,'Classif Gestoras'!$A$6:$A$462,0)),"Não classificada")</x:f>
        <x:v>Independente</x:v>
      </x:c>
      <x:c r="F1939" s="168" t="str">
        <x:v>Limine Trust Distribuidora de Titulos e Valores Mobiliá</x:v>
      </x:c>
      <x:c r="G1939" s="168" t="str">
        <x:v>LIMINE TRUST DISTRIBUIDORA DE TITULOS E VALORES MOBILIARIOS LTDA.</x:v>
      </x:c>
      <x:c r="H1939" s="168" t="str">
        <x:v>Outros</x:v>
      </x:c>
      <x:c r="I1939" s="168" t="str">
        <x:v>Multicarteira Outros</x:v>
      </x:c>
      <x:c r="J1939" s="168" t="str">
        <x:v>CI</x:v>
      </x:c>
      <x:c r="K1939" s="174" t="n">
        <x:v>14</x:v>
      </x:c>
      <x:c r="L1939" s="187" t="str">
        <x:v>Proxy multicedente/multissacado — revisar</x:v>
      </x:c>
    </x:row>
    <x:row r="1940">
      <x:c r="A1940" s="177" t="str">
        <x:v>59.400.657/0001-99</x:v>
      </x:c>
      <x:c r="B1940" s="168" t="str">
        <x:v>FUNDO DE INVESTIMENTO EM DIREITOS CREDITÓRIOS EXT VAMMO I RESPONSABILIDADE LIMITADA</x:v>
      </x:c>
      <x:c r="C1940" s="190" t="n">
        <x:v>30517957.27</x:v>
      </x:c>
      <x:c r="D1940" s="168" t="str">
        <x:v>Ext Capital</x:v>
      </x:c>
      <x:c r="E1940" s="168" t="str">
        <x:f>IFERROR(INDEX('Classif Gestoras'!$H$6:$H$462,MATCH(D1940,'Classif Gestoras'!$A$6:$A$462,0)),"Não classificada")</x:f>
        <x:v>Independente</x:v>
      </x:c>
      <x:c r="F1940" s="168" t="str">
        <x:v>BANCO DAYCOVAL S/A</x:v>
      </x:c>
      <x:c r="G1940" s="168" t="str">
        <x:v>BANCO DAYCOVAL S.A.</x:v>
      </x:c>
      <x:c r="H1940" s="168" t="str">
        <x:v>Financeiro</x:v>
      </x:c>
      <x:c r="I1940" s="168" t="str">
        <x:v>Multicarteira Financeiro</x:v>
      </x:c>
      <x:c r="J1940" s="168" t="str">
        <x:v>CI</x:v>
      </x:c>
      <x:c r="K1940" s="174" t="n">
        <x:v>8</x:v>
      </x:c>
      <x:c r="L1940" s="187" t="str">
        <x:v>Proxy multicedente/multissacado — revisar</x:v>
      </x:c>
    </x:row>
    <x:row r="1941">
      <x:c r="A1941" s="177" t="str">
        <x:v>53.390.769/0001-20</x:v>
      </x:c>
      <x:c r="B1941" s="168" t="str">
        <x:v>CONFIANÇA CONDOMÍNIO GARANTIDO FUNDO DE INVESTIMENTO EM DIREITOS CREDITÓRIOS</x:v>
      </x:c>
      <x:c r="C1941" s="190" t="n">
        <x:v>30437253.92</x:v>
      </x:c>
      <x:c r="D1941" s="168" t="str">
        <x:v>UC Gestora de Recursos</x:v>
      </x:c>
      <x:c r="E1941" s="168" t="str">
        <x:f>IFERROR(INDEX('Classif Gestoras'!$H$6:$H$462,MATCH(D1941,'Classif Gestoras'!$A$6:$A$462,0)),"Não classificada")</x:f>
        <x:v>Independente</x:v>
      </x:c>
      <x:c r="F1941" s="168" t="str">
        <x:v>Singulare</x:v>
      </x:c>
      <x:c r="G1941" s="168" t="str">
        <x:v>QI CORRETORA DE TÍTULOS E VALORES MOBILIÁRIOS S.A.</x:v>
      </x:c>
      <x:c r="H1941" s="168" t="str">
        <x:v>Fomento Mercantil</x:v>
      </x:c>
      <x:c r="I1941" s="168" t="str">
        <x:v>Fomento Mercantil</x:v>
      </x:c>
      <x:c r="J1941" s="168" t="str">
        <x:v>CI</x:v>
      </x:c>
      <x:c r="K1941" s="174" t="n">
        <x:v>3</x:v>
      </x:c>
      <x:c r="L1941" s="187" t="str">
        <x:v>Não classificado</x:v>
      </x:c>
    </x:row>
    <x:row r="1942">
      <x:c r="A1942" s="177" t="str">
        <x:v>22.397.286/0001-23</x:v>
      </x:c>
      <x:c r="B1942" s="168" t="str">
        <x:v>INVESTHOR FUNDO DE INVESTIMENTO EM DIREITOS CREDITÓRIOS</x:v>
      </x:c>
      <x:c r="C1942" s="190" t="n">
        <x:v>30413182.02</x:v>
      </x:c>
      <x:c r="D1942" s="168" t="str">
        <x:v>Solis</x:v>
      </x:c>
      <x:c r="E1942" s="168" t="str">
        <x:f>IFERROR(INDEX('Classif Gestoras'!$H$6:$H$462,MATCH(D1942,'Classif Gestoras'!$A$6:$A$462,0)),"Não classificada")</x:f>
        <x:v>Independente</x:v>
      </x:c>
      <x:c r="F1942" s="168" t="str">
        <x:v>HEMERA DTVM</x:v>
      </x:c>
      <x:c r="G1942" s="168" t="str">
        <x:v>HEMERA DISTRIBUIDORA DE TITULOS E VALORES MOBILIARIOS LTDA</x:v>
      </x:c>
      <x:c r="H1942" s="168" t="str">
        <x:v>Fomento Mercantil</x:v>
      </x:c>
      <x:c r="I1942" s="168" t="str">
        <x:v>Fomento Mercantil</x:v>
      </x:c>
      <x:c r="J1942" s="168" t="str">
        <x:v>CI</x:v>
      </x:c>
      <x:c r="K1942" s="174" t="n">
        <x:v>7</x:v>
      </x:c>
      <x:c r="L1942" s="187" t="str">
        <x:v>Não classificado</x:v>
      </x:c>
    </x:row>
    <x:row r="1943">
      <x:c r="A1943" s="177" t="str">
        <x:v>57.996.195/0001-99</x:v>
      </x:c>
      <x:c r="B1943" s="168" t="str">
        <x:v>CDC EMPRÉSTIMOS FUNDO DE INVESTIMENTO EM DIREITOS CREDITÓRIOS DE CLASSE ÚNICA FECHADA</x:v>
      </x:c>
      <x:c r="C1943" s="190" t="n">
        <x:v>30382306.930000003</x:v>
      </x:c>
      <x:c r="D1943" s="168" t="str">
        <x:v>CARMEL GESTORA DE ATIVOS LTDA</x:v>
      </x:c>
      <x:c r="E1943" s="168" t="str">
        <x:f>IFERROR(INDEX('Classif Gestoras'!$H$6:$H$462,MATCH(D1943,'Classif Gestoras'!$A$6:$A$462,0)),"Não classificada")</x:f>
        <x:v>Independente</x:v>
      </x:c>
      <x:c r="F1943" s="168" t="str">
        <x:v>BRL TRUST DTVM</x:v>
      </x:c>
      <x:c r="G1943" s="168" t="str">
        <x:v>BRL TRUST DISTRIBUIDORA DE TITULOS E VALORES MOBILIARIOS S.A.</x:v>
      </x:c>
      <x:c r="H1943" s="168" t="str">
        <x:v>Financeiro</x:v>
      </x:c>
      <x:c r="I1943" s="168" t="str">
        <x:v>Multicarteira Financeiro</x:v>
      </x:c>
      <x:c r="J1943" s="168" t="str">
        <x:v>CI</x:v>
      </x:c>
      <x:c r="K1943" s="174" t="n">
        <x:v>13</x:v>
      </x:c>
      <x:c r="L1943" s="187" t="str">
        <x:v>Proxy multicedente/multissacado — revisar</x:v>
      </x:c>
    </x:row>
    <x:row r="1944">
      <x:c r="A1944" s="177" t="str">
        <x:v>50.749.446/0001-91</x:v>
      </x:c>
      <x:c r="B1944" s="168" t="str">
        <x:v>CNPJ 50749446000191</x:v>
      </x:c>
      <x:c r="C1944" s="190" t="n">
        <x:v>30354314.79</x:v>
      </x:c>
      <x:c r="D1944" s="168" t="str">
        <x:v>CERES ASSET</x:v>
      </x:c>
      <x:c r="E1944" s="168" t="str">
        <x:f>IFERROR(INDEX('Classif Gestoras'!$H$6:$H$462,MATCH(D1944,'Classif Gestoras'!$A$6:$A$462,0)),"Não classificada")</x:f>
        <x:v>Independente</x:v>
      </x:c>
      <x:c r="F1944" s="168" t="str">
        <x:v>VÓRTX DTVM</x:v>
      </x:c>
      <x:c r="G1944" s="168" t="str">
        <x:v>Não identificado</x:v>
      </x:c>
      <x:c r="H1944" s="168" t="str">
        <x:v>Agro, Indústria e Comércio</x:v>
      </x:c>
      <x:c r="I1944" s="168" t="str">
        <x:v>Agronegócio</x:v>
      </x:c>
      <x:c r="J1944" s="168" t="str">
        <x:v>CI</x:v>
      </x:c>
      <x:c r="K1944" s="174"/>
      <x:c r="L1944" s="187" t="str">
        <x:v>Não classificado</x:v>
      </x:c>
    </x:row>
    <x:row r="1945">
      <x:c r="A1945" s="177" t="str">
        <x:v>61.942.198/0001-17</x:v>
      </x:c>
      <x:c r="B1945" s="168" t="str">
        <x:v>FUNDO DE INVESTIMENTO EM DIREITOS CREDITÓRIOS HAM - RESPONSABILIDADE LIMITADA</x:v>
      </x:c>
      <x:c r="C1945" s="190" t="n">
        <x:v>30336116.32</x:v>
      </x:c>
      <x:c r="D1945" s="168" t="str">
        <x:v>ANGÁ ASSET MANAGEMENT</x:v>
      </x:c>
      <x:c r="E1945" s="168" t="str">
        <x:f>IFERROR(INDEX('Classif Gestoras'!$H$6:$H$462,MATCH(D1945,'Classif Gestoras'!$A$6:$A$462,0)),"Não classificada")</x:f>
        <x:v>Independente</x:v>
      </x:c>
      <x:c r="F1945" s="168" t="str">
        <x:v>BANCO DAYCOVAL S/A</x:v>
      </x:c>
      <x:c r="G1945" s="168" t="str">
        <x:v>BANCO DAYCOVAL S.A.</x:v>
      </x:c>
      <x:c r="H1945" s="168" t="str">
        <x:v>Financeiro</x:v>
      </x:c>
      <x:c r="I1945" s="168" t="str">
        <x:v>Crédito Consignado</x:v>
      </x:c>
      <x:c r="J1945" s="168" t="str">
        <x:v>CI</x:v>
      </x:c>
      <x:c r="K1945" s="174" t="n">
        <x:v>10</x:v>
      </x:c>
      <x:c r="L1945" s="187" t="str">
        <x:v>Não classificado</x:v>
      </x:c>
    </x:row>
    <x:row r="1946">
      <x:c r="A1946" s="177" t="str">
        <x:v>65.668.467/0001-50</x:v>
      </x:c>
      <x:c r="B1946" s="168" t="str">
        <x:v>EVORA FUNDO DE INVESTIMENTO EM DIREITOS CREDITÓRIOS</x:v>
      </x:c>
      <x:c r="C1946" s="190" t="n">
        <x:v>30325424.8</x:v>
      </x:c>
      <x:c r="D1946" s="168" t="str">
        <x:v>FIDD Administração de Recursos Ltda.</x:v>
      </x:c>
      <x:c r="E1946" s="168" t="str">
        <x:f>IFERROR(INDEX('Classif Gestoras'!$H$6:$H$462,MATCH(D1946,'Classif Gestoras'!$A$6:$A$462,0)),"Não classificada")</x:f>
        <x:v>Independente</x:v>
      </x:c>
      <x:c r="F1946" s="168" t="str">
        <x:v>FIDD DISTRIBUIDORA DE TITULOS E VALORES MOBILIARIOS LTD</x:v>
      </x:c>
      <x:c r="G1946" s="168" t="str">
        <x:v>FIDD DISTRIBUIDORA DE TITULOS E VALORES MOBILIARIOS LTDA.</x:v>
      </x:c>
      <x:c r="H1946" s="168" t="str">
        <x:v>Outros</x:v>
      </x:c>
      <x:c r="I1946" s="168" t="str">
        <x:v>Multicarteira Outros</x:v>
      </x:c>
      <x:c r="J1946" s="168" t="str">
        <x:v>CI</x:v>
      </x:c>
      <x:c r="K1946" s="174" t="n">
        <x:v>1</x:v>
      </x:c>
      <x:c r="L1946" s="187" t="str">
        <x:v>Proxy multicedente/multissacado — revisar</x:v>
      </x:c>
    </x:row>
    <x:row r="1947">
      <x:c r="A1947" s="177" t="str">
        <x:v>65.470.525/0001-36</x:v>
      </x:c>
      <x:c r="B1947" s="168" t="str">
        <x:v>DHT GROWTH CAPITAL FUNDO DE INVESTIMENTO EM DIREITOS CREDITÓRIOS CRÉDITO CORPORATIVO</x:v>
      </x:c>
      <x:c r="C1947" s="190" t="n">
        <x:v>30312748.950000003</x:v>
      </x:c>
      <x:c r="D1947" s="168" t="str">
        <x:v>Harbour Capital</x:v>
      </x:c>
      <x:c r="E1947" s="168" t="str">
        <x:f>IFERROR(INDEX('Classif Gestoras'!$H$6:$H$462,MATCH(D1947,'Classif Gestoras'!$A$6:$A$462,0)),"Não classificada")</x:f>
        <x:v>Independente</x:v>
      </x:c>
      <x:c r="F1947" s="168" t="str">
        <x:v>AZUMI DISTRIBUIDORA DE TÍTULOS E VALORES MOBILIÁRIOS LT</x:v>
      </x:c>
      <x:c r="G1947" s="168" t="str">
        <x:v>AZUMI DISTRIBUIDORA DE TÍTULOS E VALORES MOBILIÁRIOS LTDA.</x:v>
      </x:c>
      <x:c r="H1947" s="168" t="str">
        <x:v>Fomento Mercantil</x:v>
      </x:c>
      <x:c r="I1947" s="168" t="str">
        <x:v>Fomento Mercantil</x:v>
      </x:c>
      <x:c r="J1947" s="168" t="str">
        <x:v>CI</x:v>
      </x:c>
      <x:c r="K1947" s="174" t="n">
        <x:v>2</x:v>
      </x:c>
      <x:c r="L1947" s="187" t="str">
        <x:v>Não classificado</x:v>
      </x:c>
    </x:row>
    <x:row r="1948">
      <x:c r="A1948" s="177" t="str">
        <x:v>65.836.995/0001-70</x:v>
      </x:c>
      <x:c r="B1948" s="168" t="str">
        <x:v>PNEUCASH II FUNDO DE INVESTIMENTO EM DIREITOS CREDITÓRIOS DE CLASSE ÚNICA FECHADA RESP LIMITADA</x:v>
      </x:c>
      <x:c r="C1948" s="190" t="n">
        <x:v>30275084.13</x:v>
      </x:c>
      <x:c r="D1948" s="168" t="str">
        <x:v>ANGÁ ASSET MANAGEMENT</x:v>
      </x:c>
      <x:c r="E1948" s="168" t="str">
        <x:f>IFERROR(INDEX('Classif Gestoras'!$H$6:$H$462,MATCH(D1948,'Classif Gestoras'!$A$6:$A$462,0)),"Não classificada")</x:f>
        <x:v>Independente</x:v>
      </x:c>
      <x:c r="F1948" s="168" t="str">
        <x:v>BANCO DAYCOVAL S/A</x:v>
      </x:c>
      <x:c r="G1948" s="168" t="str">
        <x:v>BANCO DAYCOVAL S.A.</x:v>
      </x:c>
      <x:c r="H1948" s="168" t="str">
        <x:v>Outros</x:v>
      </x:c>
      <x:c r="I1948" s="168" t="str">
        <x:v>Multicarteira Outros</x:v>
      </x:c>
      <x:c r="J1948" s="168" t="str">
        <x:v>CI</x:v>
      </x:c>
      <x:c r="K1948" s="174" t="n">
        <x:v>3</x:v>
      </x:c>
      <x:c r="L1948" s="187" t="str">
        <x:v>Proxy multicedente/multissacado — revisar</x:v>
      </x:c>
    </x:row>
    <x:row r="1949">
      <x:c r="A1949" s="177" t="str">
        <x:v>61.062.538/0001-15</x:v>
      </x:c>
      <x:c r="B1949" s="168" t="str">
        <x:v>EXT LOOMY FUNDO DE INVESTIMENTO EM DIREITOS CREDITÓRIOS RESPONSABILIDADE LIMITADA</x:v>
      </x:c>
      <x:c r="C1949" s="190" t="n">
        <x:v>30063693.430000003</x:v>
      </x:c>
      <x:c r="D1949" s="168" t="str">
        <x:v>Ext Capital</x:v>
      </x:c>
      <x:c r="E1949" s="168" t="str">
        <x:f>IFERROR(INDEX('Classif Gestoras'!$H$6:$H$462,MATCH(D1949,'Classif Gestoras'!$A$6:$A$462,0)),"Não classificada")</x:f>
        <x:v>Independente</x:v>
      </x:c>
      <x:c r="F1949" s="168" t="str">
        <x:v>Limine Trust Distribuidora de Titulos e Valores Mobiliá</x:v>
      </x:c>
      <x:c r="G1949" s="168" t="str">
        <x:v>LIMINE TRUST DISTRIBUIDORA DE TITULOS E VALORES MOBILIARIOS LTDA.</x:v>
      </x:c>
      <x:c r="H1949" s="168" t="str">
        <x:v>Outros</x:v>
      </x:c>
      <x:c r="I1949" s="168" t="str">
        <x:v>Multicarteira Outros</x:v>
      </x:c>
      <x:c r="J1949" s="168" t="str">
        <x:v>CI</x:v>
      </x:c>
      <x:c r="K1949" s="174" t="n">
        <x:v>9</x:v>
      </x:c>
      <x:c r="L1949" s="187" t="str">
        <x:v>Proxy multicedente/multissacado — revisar</x:v>
      </x:c>
    </x:row>
    <x:row r="1950">
      <x:c r="A1950" s="177" t="str">
        <x:v>46.405.697/0001-81</x:v>
      </x:c>
      <x:c r="B1950" s="168" t="str">
        <x:v>RELOAD FUNDO DE INVESTIMENTO EM DIREITOS CREDITÓRIOS</x:v>
      </x:c>
      <x:c r="C1950" s="190" t="n">
        <x:v>30046577.69</x:v>
      </x:c>
      <x:c r="D1950" s="168" t="str">
        <x:v>Milênio Capital</x:v>
      </x:c>
      <x:c r="E1950" s="168" t="str">
        <x:f>IFERROR(INDEX('Classif Gestoras'!$H$6:$H$462,MATCH(D1950,'Classif Gestoras'!$A$6:$A$462,0)),"Não classificada")</x:f>
        <x:v>Independente</x:v>
      </x:c>
      <x:c r="F1950" s="168" t="str">
        <x:v>BANCO DAYCOVAL S/A</x:v>
      </x:c>
      <x:c r="G1950" s="168" t="str">
        <x:v>BANCO DAYCOVAL S.A.</x:v>
      </x:c>
      <x:c r="H1950" s="168" t="str">
        <x:v>Financeiro</x:v>
      </x:c>
      <x:c r="I1950" s="168" t="str">
        <x:v>Financiamento de Veículos</x:v>
      </x:c>
      <x:c r="J1950" s="168" t="str">
        <x:v>CI</x:v>
      </x:c>
      <x:c r="K1950" s="174" t="n">
        <x:v>1</x:v>
      </x:c>
      <x:c r="L1950" s="187" t="str">
        <x:v>Não classificado</x:v>
      </x:c>
    </x:row>
    <x:row r="1951">
      <x:c r="A1951" s="177" t="str">
        <x:v>56.125.191/0001-72</x:v>
      </x:c>
      <x:c r="B1951" s="168" t="str">
        <x:v>IMOB RS FUNDO DE INVESTIMENTO EM DIREITOS CREDITÓRIOS - RESPONSABILIDADE LIMITADA</x:v>
      </x:c>
      <x:c r="C1951" s="190" t="n">
        <x:v>29953914.130000003</x:v>
      </x:c>
      <x:c r="D1951" s="168" t="str">
        <x:v>QI GESTAO DE RECURSOS LTDA</x:v>
      </x:c>
      <x:c r="E1951" s="168" t="str">
        <x:f>IFERROR(INDEX('Classif Gestoras'!$H$6:$H$462,MATCH(D1951,'Classif Gestoras'!$A$6:$A$462,0)),"Não classificada")</x:f>
        <x:v>Independente</x:v>
      </x:c>
      <x:c r="F1951" s="168" t="str">
        <x:v>QI DISTRIBUIDORA DE TITULOS E VALORES MOBILIARIOS LTDA</x:v>
      </x:c>
      <x:c r="G1951" s="168" t="str">
        <x:v>QI CORRETORA DE TÍTULOS E VALORES MOBILIÁRIOS S.A.</x:v>
      </x:c>
      <x:c r="H1951" s="168" t="str">
        <x:v>Financeiro</x:v>
      </x:c>
      <x:c r="I1951" s="168" t="str">
        <x:v>Crédito Imobiliário</x:v>
      </x:c>
      <x:c r="J1951" s="168" t="str">
        <x:v>CI</x:v>
      </x:c>
      <x:c r="K1951" s="174" t="n">
        <x:v>1</x:v>
      </x:c>
      <x:c r="L1951" s="187" t="str">
        <x:v>Não classificado</x:v>
      </x:c>
    </x:row>
    <x:row r="1952">
      <x:c r="A1952" s="177" t="str">
        <x:v>59.717.706/0001-11</x:v>
      </x:c>
      <x:c r="B1952" s="168" t="str">
        <x:v>SILVER BIRD FUNDO DE INVESTIMENTO EM DIREITOS CREDITÓRIOS</x:v>
      </x:c>
      <x:c r="C1952" s="190" t="n">
        <x:v>29936456.180000003</x:v>
      </x:c>
      <x:c r="D1952" s="168" t="str">
        <x:v>Number Asset Brasil Ltda.</x:v>
      </x:c>
      <x:c r="E1952" s="168" t="str">
        <x:f>IFERROR(INDEX('Classif Gestoras'!$H$6:$H$462,MATCH(D1952,'Classif Gestoras'!$A$6:$A$462,0)),"Não classificada")</x:f>
        <x:v>Independente</x:v>
      </x:c>
      <x:c r="F1952" s="168" t="str">
        <x:v>PLANNER CV</x:v>
      </x:c>
      <x:c r="G1952" s="168" t="str">
        <x:v>PLANNER CORRETORA DE VALORES S.A.</x:v>
      </x:c>
      <x:c r="H1952" s="168" t="str">
        <x:v>Outros</x:v>
      </x:c>
      <x:c r="I1952" s="168" t="str">
        <x:v>Multicarteira Outros</x:v>
      </x:c>
      <x:c r="J1952" s="168" t="str">
        <x:v>CI</x:v>
      </x:c>
      <x:c r="K1952" s="174" t="n">
        <x:v>1</x:v>
      </x:c>
      <x:c r="L1952" s="187" t="str">
        <x:v>Proxy multicedente/multissacado — revisar</x:v>
      </x:c>
    </x:row>
    <x:row r="1953">
      <x:c r="A1953" s="177" t="str">
        <x:v>58.242.641/0001-32</x:v>
      </x:c>
      <x:c r="B1953" s="168" t="str">
        <x:v>DC1 FUNDO DE INVESTIMENTO EM DIREITOS CREDITÓRIOS</x:v>
      </x:c>
      <x:c r="C1953" s="190" t="n">
        <x:v>29921469.14</x:v>
      </x:c>
      <x:c r="D1953" s="168" t="str">
        <x:v>DIRETA Capital</x:v>
      </x:c>
      <x:c r="E1953" s="168" t="str">
        <x:f>IFERROR(INDEX('Classif Gestoras'!$H$6:$H$462,MATCH(D1953,'Classif Gestoras'!$A$6:$A$462,0)),"Não classificada")</x:f>
        <x:v>Independente</x:v>
      </x:c>
      <x:c r="F1953" s="168" t="str">
        <x:v>Limine Trust Distribuidora de Titulos e Valores Mobiliá</x:v>
      </x:c>
      <x:c r="G1953" s="168" t="str">
        <x:v>LIMINE TRUST DISTRIBUIDORA DE TITULOS E VALORES MOBILIARIOS LTDA.</x:v>
      </x:c>
      <x:c r="H1953" s="168" t="str">
        <x:v>Agro, Indústria e Comércio</x:v>
      </x:c>
      <x:c r="I1953" s="168" t="str">
        <x:v>Multicarteira Agro, Indústria e Comércio</x:v>
      </x:c>
      <x:c r="J1953" s="168" t="str">
        <x:v>CI</x:v>
      </x:c>
      <x:c r="K1953" s="174" t="n">
        <x:v>3</x:v>
      </x:c>
      <x:c r="L1953" s="187" t="str">
        <x:v>Proxy multicedente/multissacado — revisar</x:v>
      </x:c>
    </x:row>
    <x:row r="1954">
      <x:c r="A1954" s="177" t="str">
        <x:v>60.543.693/0001-90</x:v>
      </x:c>
      <x:c r="B1954" s="168" t="str">
        <x:v>SCORE EQI PREC II FUNDO DE INVESTIMENTO EM DIREITOS CREDITÓRIOS</x:v>
      </x:c>
      <x:c r="C1954" s="190" t="n">
        <x:v>29871673.9</x:v>
      </x:c>
      <x:c r="D1954" s="168" t="str">
        <x:v>Score Capital</x:v>
      </x:c>
      <x:c r="E1954" s="168" t="str">
        <x:f>IFERROR(INDEX('Classif Gestoras'!$H$6:$H$462,MATCH(D1954,'Classif Gestoras'!$A$6:$A$462,0)),"Não classificada")</x:f>
        <x:v>Independente</x:v>
      </x:c>
      <x:c r="F1954" s="168" t="str">
        <x:v>BTG Pactual Servicos Financeiros S/A DTVM</x:v>
      </x:c>
      <x:c r="G1954" s="168" t="str">
        <x:v>BANCO BTG PACTUAL S/A</x:v>
      </x:c>
      <x:c r="H1954" s="168" t="str">
        <x:v>Outros</x:v>
      </x:c>
      <x:c r="I1954" s="168" t="str">
        <x:v>Poder Público</x:v>
      </x:c>
      <x:c r="J1954" s="168" t="str">
        <x:v>CI</x:v>
      </x:c>
      <x:c r="K1954" s="174" t="n">
        <x:v>83</x:v>
      </x:c>
      <x:c r="L1954" s="187" t="str">
        <x:v>Não classificado</x:v>
      </x:c>
    </x:row>
    <x:row r="1955">
      <x:c r="A1955" s="177" t="str">
        <x:v>54.968.636/0001-50</x:v>
      </x:c>
      <x:c r="B1955" s="168" t="str">
        <x:v>BEAUTY E CAFÉ FRANCHISING GROUP FUNDO DE INVESTIMENTO EM DIREITOS CREDITÓRIOS - INDÚSTRIA E COMÉRCIO</x:v>
      </x:c>
      <x:c r="C1955" s="190" t="n">
        <x:v>29827374.409999996</x:v>
      </x:c>
      <x:c r="D1955" s="168" t="str">
        <x:v>UC Gestora de Recursos</x:v>
      </x:c>
      <x:c r="E1955" s="168" t="str">
        <x:f>IFERROR(INDEX('Classif Gestoras'!$H$6:$H$462,MATCH(D1955,'Classif Gestoras'!$A$6:$A$462,0)),"Não classificada")</x:f>
        <x:v>Independente</x:v>
      </x:c>
      <x:c r="F1955" s="168" t="str">
        <x:v>Singulare</x:v>
      </x:c>
      <x:c r="G1955" s="168" t="str">
        <x:v>QI CORRETORA DE TÍTULOS E VALORES MOBILIÁRIOS S.A.</x:v>
      </x:c>
      <x:c r="H1955" s="168" t="str">
        <x:v>Fomento Mercantil</x:v>
      </x:c>
      <x:c r="I1955" s="168" t="str">
        <x:v>Fomento Mercantil</x:v>
      </x:c>
      <x:c r="J1955" s="168" t="str">
        <x:v>CI</x:v>
      </x:c>
      <x:c r="K1955" s="174" t="n">
        <x:v>3</x:v>
      </x:c>
      <x:c r="L1955" s="187" t="str">
        <x:v>Não classificado</x:v>
      </x:c>
    </x:row>
    <x:row r="1956">
      <x:c r="A1956" s="177" t="str">
        <x:v>36.009.621/0001-83</x:v>
      </x:c>
      <x:c r="B1956" s="168" t="str">
        <x:v>DMA9 FUNDO DE INVESTIMENTO EM DIREITOS CREDITÓRIOS RESPONSABILIDADE LIMITADA</x:v>
      </x:c>
      <x:c r="C1956" s="190" t="n">
        <x:v>29803002.42</x:v>
      </x:c>
      <x:c r="D1956" s="168" t="str">
        <x:v>Libertas Asset</x:v>
      </x:c>
      <x:c r="E1956" s="168" t="str">
        <x:f>IFERROR(INDEX('Classif Gestoras'!$H$6:$H$462,MATCH(D1956,'Classif Gestoras'!$A$6:$A$462,0)),"Não classificada")</x:f>
        <x:v>Independente</x:v>
      </x:c>
      <x:c r="F1956" s="168" t="str">
        <x:v>ACTUAL DTVM</x:v>
      </x:c>
      <x:c r="G1956" s="168" t="str">
        <x:v>LASTRO RDV DTVM LTDA</x:v>
      </x:c>
      <x:c r="H1956" s="168" t="str">
        <x:v>Fomento Mercantil</x:v>
      </x:c>
      <x:c r="I1956" s="168" t="str">
        <x:v>Fomento Mercantil</x:v>
      </x:c>
      <x:c r="J1956" s="168" t="str">
        <x:v>CI</x:v>
      </x:c>
      <x:c r="K1956" s="174" t="n">
        <x:v>2</x:v>
      </x:c>
      <x:c r="L1956" s="187" t="str">
        <x:v>Não classificado</x:v>
      </x:c>
    </x:row>
    <x:row r="1957">
      <x:c r="A1957" s="177" t="str">
        <x:v>63.023.974/0001-00</x:v>
      </x:c>
      <x:c r="B1957" s="168" t="str">
        <x:v>INCOR CRED FUNDO DE INVESTIMENTO EM DIREITOS CREDITÓRIOS RESPONSABILIDADE LIMITADA</x:v>
      </x:c>
      <x:c r="C1957" s="190" t="n">
        <x:v>29773121.63</x:v>
      </x:c>
      <x:c r="D1957" s="168" t="str">
        <x:v>Via Invest Gestão de Recursos Ltda.</x:v>
      </x:c>
      <x:c r="E1957" s="168" t="str">
        <x:f>IFERROR(INDEX('Classif Gestoras'!$H$6:$H$462,MATCH(D1957,'Classif Gestoras'!$A$6:$A$462,0)),"Não classificada")</x:f>
        <x:v>Independente</x:v>
      </x:c>
      <x:c r="F1957" s="168" t="str">
        <x:v>ID Corretora de Títulos e Valores Mobiliários S.A.</x:v>
      </x:c>
      <x:c r="G1957" s="168" t="str">
        <x:v>ID CORRETORA DE TITULOS E VALORES MOBILIARIOS S.A.</x:v>
      </x:c>
      <x:c r="H1957" s="168" t="str">
        <x:v>Outros</x:v>
      </x:c>
      <x:c r="I1957" s="168" t="str">
        <x:v>Multicarteira Outros</x:v>
      </x:c>
      <x:c r="J1957" s="168" t="str">
        <x:v>CI</x:v>
      </x:c>
      <x:c r="K1957" s="174" t="n">
        <x:v>7</x:v>
      </x:c>
      <x:c r="L1957" s="187" t="str">
        <x:v>Proxy multicedente/multissacado — revisar</x:v>
      </x:c>
    </x:row>
    <x:row r="1958">
      <x:c r="A1958" s="177" t="str">
        <x:v>43.143.480/0001-52</x:v>
      </x:c>
      <x:c r="B1958" s="168" t="str">
        <x:v>FIDC DE RESP LIMITADA REDE DE POSTOS MONTE CARLO</x:v>
      </x:c>
      <x:c r="C1958" s="190" t="n">
        <x:v>29716418.81</x:v>
      </x:c>
      <x:c r="D1958" s="168" t="str">
        <x:v>Namari Capital Gestão de Recursos Ltda.</x:v>
      </x:c>
      <x:c r="E1958" s="168" t="str">
        <x:f>IFERROR(INDEX('Classif Gestoras'!$H$6:$H$462,MATCH(D1958,'Classif Gestoras'!$A$6:$A$462,0)),"Não classificada")</x:f>
        <x:v>Independente</x:v>
      </x:c>
      <x:c r="F1958" s="168" t="str">
        <x:v>BANCO DAYCOVAL S/A</x:v>
      </x:c>
      <x:c r="G1958" s="168" t="str">
        <x:v>BANCO DAYCOVAL S.A.</x:v>
      </x:c>
      <x:c r="H1958" s="168" t="str">
        <x:v>Agro, Indústria e Comércio</x:v>
      </x:c>
      <x:c r="I1958" s="168" t="str">
        <x:v>Crédito Corporativo</x:v>
      </x:c>
      <x:c r="J1958" s="168" t="str">
        <x:v>CI</x:v>
      </x:c>
      <x:c r="K1958" s="174" t="n">
        <x:v>44</x:v>
      </x:c>
      <x:c r="L1958" s="187" t="str">
        <x:v>Não classificado</x:v>
      </x:c>
    </x:row>
    <x:row r="1959">
      <x:c r="A1959" s="177" t="str">
        <x:v>41.865.425/0001-40</x:v>
      </x:c>
      <x:c r="B1959" s="168" t="str">
        <x:v>BEAT FUNDO DE INVESTIMENTO EM DIREITOS CREDITORIOS - RESPONSABILIDADE LIMITADA</x:v>
      </x:c>
      <x:c r="C1959" s="190" t="n">
        <x:v>29688722.21</x:v>
      </x:c>
      <x:c r="D1959" s="168" t="str">
        <x:v>EAGLE CAPITAL</x:v>
      </x:c>
      <x:c r="E1959" s="168" t="str">
        <x:f>IFERROR(INDEX('Classif Gestoras'!$H$6:$H$462,MATCH(D1959,'Classif Gestoras'!$A$6:$A$462,0)),"Não classificada")</x:f>
        <x:v>Independente</x:v>
      </x:c>
      <x:c r="F1959" s="168" t="str">
        <x:v>LASTRO RDV DIST. DE</x:v>
      </x:c>
      <x:c r="G1959" s="168" t="str">
        <x:v>LASTRO RDV DTVM LTDA</x:v>
      </x:c>
      <x:c r="H1959" s="168" t="str">
        <x:v>Outros</x:v>
      </x:c>
      <x:c r="I1959" s="168" t="str">
        <x:v>Multicarteira Outros</x:v>
      </x:c>
      <x:c r="J1959" s="168" t="str">
        <x:v>CI</x:v>
      </x:c>
      <x:c r="K1959" s="174" t="n">
        <x:v>2</x:v>
      </x:c>
      <x:c r="L1959" s="187" t="str">
        <x:v>Proxy multicedente/multissacado — revisar</x:v>
      </x:c>
    </x:row>
    <x:row r="1960">
      <x:c r="A1960" s="177" t="str">
        <x:v>32.907.712/0001-85</x:v>
      </x:c>
      <x:c r="B1960" s="168" t="str">
        <x:v>ALIANÇA CRED FUNDO DE INVESTIMENTO EM DIREITOS CREDITÓRIOS NÃO PADRONIZADOS</x:v>
      </x:c>
      <x:c r="C1960" s="190" t="n">
        <x:v>29599720.84</x:v>
      </x:c>
      <x:c r="D1960" s="168" t="str">
        <x:v>TERCON ASSET MANAGEMENT</x:v>
      </x:c>
      <x:c r="E1960" s="168" t="str">
        <x:f>IFERROR(INDEX('Classif Gestoras'!$H$6:$H$462,MATCH(D1960,'Classif Gestoras'!$A$6:$A$462,0)),"Não classificada")</x:f>
        <x:v>Independente</x:v>
      </x:c>
      <x:c r="F1960" s="168" t="str">
        <x:v>Singulare</x:v>
      </x:c>
      <x:c r="G1960" s="168" t="str">
        <x:v>QI CORRETORA DE TÍTULOS E VALORES MOBILIÁRIOS S.A.</x:v>
      </x:c>
      <x:c r="H1960" s="168" t="str">
        <x:v>Fomento Mercantil</x:v>
      </x:c>
      <x:c r="I1960" s="168" t="str">
        <x:v>Fomento Mercantil</x:v>
      </x:c>
      <x:c r="J1960" s="168" t="str">
        <x:v>CI</x:v>
      </x:c>
      <x:c r="K1960" s="174" t="n">
        <x:v>5</x:v>
      </x:c>
      <x:c r="L1960" s="187" t="str">
        <x:v>Não classificado</x:v>
      </x:c>
    </x:row>
    <x:row r="1961">
      <x:c r="A1961" s="177" t="str">
        <x:v>58.355.344/0001-01</x:v>
      </x:c>
      <x:c r="B1961" s="168" t="str">
        <x:v>P051 FUNDO DE INVESTIMENTO EM DIREITOS CREDITÓRIOS DE RESPONSABILIDADE LIMITADA</x:v>
      </x:c>
      <x:c r="C1961" s="190" t="n">
        <x:v>29558611.45</x:v>
      </x:c>
      <x:c r="D1961" s="168" t="str">
        <x:v>Polo Capital Gestão de Recurso</x:v>
      </x:c>
      <x:c r="E1961" s="168" t="str">
        <x:f>IFERROR(INDEX('Classif Gestoras'!$H$6:$H$462,MATCH(D1961,'Classif Gestoras'!$A$6:$A$462,0)),"Não classificada")</x:f>
        <x:v>Independente</x:v>
      </x:c>
      <x:c r="F1961" s="168" t="str">
        <x:v>BANCO DAYCOVAL S/A</x:v>
      </x:c>
      <x:c r="G1961" s="168" t="str">
        <x:v>BANCO DAYCOVAL S.A.</x:v>
      </x:c>
      <x:c r="H1961" s="168" t="str">
        <x:v>Outros</x:v>
      </x:c>
      <x:c r="I1961" s="168" t="str">
        <x:v>Multicarteira Outros</x:v>
      </x:c>
      <x:c r="J1961" s="168" t="str">
        <x:v>CI</x:v>
      </x:c>
      <x:c r="K1961" s="174" t="n">
        <x:v>1</x:v>
      </x:c>
      <x:c r="L1961" s="187" t="str">
        <x:v>Proxy multicedente/multissacado — revisar</x:v>
      </x:c>
    </x:row>
    <x:row r="1962">
      <x:c r="A1962" s="177" t="str">
        <x:v>09.410.142/0001-00</x:v>
      </x:c>
      <x:c r="B1962" s="168" t="str">
        <x:v>TARGET FUNDO DE INVESTIMENTO EM DIREITOS CREDITORIOS- MULTICREDITO</x:v>
      </x:c>
      <x:c r="C1962" s="190" t="n">
        <x:v>29532329.18</x:v>
      </x:c>
      <x:c r="D1962" s="168" t="str">
        <x:v>TERCON ASSET MANAGEMENT</x:v>
      </x:c>
      <x:c r="E1962" s="168" t="str">
        <x:f>IFERROR(INDEX('Classif Gestoras'!$H$6:$H$462,MATCH(D1962,'Classif Gestoras'!$A$6:$A$462,0)),"Não classificada")</x:f>
        <x:v>Independente</x:v>
      </x:c>
      <x:c r="F1962" s="168" t="str">
        <x:v>MONETAR DISTRIBUIDORA DE TITUL</x:v>
      </x:c>
      <x:c r="G1962" s="168" t="str">
        <x:v>TERRA INVESTIMENTOS DISTRIBUIDORA DE TITULOS E VALORES MOBILIARIOS LTDA</x:v>
      </x:c>
      <x:c r="H1962" s="168" t="str">
        <x:v>Fomento Mercantil</x:v>
      </x:c>
      <x:c r="I1962" s="168" t="str">
        <x:v>Fomento Mercantil</x:v>
      </x:c>
      <x:c r="J1962" s="168" t="str">
        <x:v>CI</x:v>
      </x:c>
      <x:c r="K1962" s="174" t="n">
        <x:v>3</x:v>
      </x:c>
      <x:c r="L1962" s="187" t="str">
        <x:v>Não classificado</x:v>
      </x:c>
    </x:row>
    <x:row r="1963">
      <x:c r="A1963" s="177" t="str">
        <x:v>55.074.349/0001-60</x:v>
      </x:c>
      <x:c r="B1963" s="168" t="str">
        <x:v>CNPJ 55074349000160</x:v>
      </x:c>
      <x:c r="C1963" s="190" t="n">
        <x:v>29475571.28</x:v>
      </x:c>
      <x:c r="D1963" s="168" t="str">
        <x:v>Emerald Gestão de Investimento</x:v>
      </x:c>
      <x:c r="E1963" s="168" t="str">
        <x:f>IFERROR(INDEX('Classif Gestoras'!$H$6:$H$462,MATCH(D1963,'Classif Gestoras'!$A$6:$A$462,0)),"Não classificada")</x:f>
        <x:v>Independente</x:v>
      </x:c>
      <x:c r="F1963" s="168" t="str">
        <x:v>BANCO J. SAFRA S/A</x:v>
      </x:c>
      <x:c r="G1963" s="168" t="str">
        <x:v>Não identificado</x:v>
      </x:c>
      <x:c r="H1963" s="168" t="str">
        <x:v>Outros</x:v>
      </x:c>
      <x:c r="I1963" s="168" t="str">
        <x:v>Multicarteira Outros</x:v>
      </x:c>
      <x:c r="J1963" s="168" t="str">
        <x:v>CIPC</x:v>
      </x:c>
      <x:c r="K1963" s="174"/>
      <x:c r="L1963" s="187" t="str">
        <x:v>Proxy multicedente/multissacado — revisar</x:v>
      </x:c>
    </x:row>
    <x:row r="1964">
      <x:c r="A1964" s="177" t="str">
        <x:v>54.974.598/0001-49</x:v>
      </x:c>
      <x:c r="B1964" s="168" t="str">
        <x:v>SOLUS FUNDO DE INVESTIMENTO EM DIREITOS CREDITÓRIOS - RESPONSABILIDADE LIMITADA</x:v>
      </x:c>
      <x:c r="C1964" s="190" t="n">
        <x:v>29414698.41999999</x:v>
      </x:c>
      <x:c r="D1964" s="168" t="str">
        <x:v>Harbour Capital</x:v>
      </x:c>
      <x:c r="E1964" s="168" t="str">
        <x:f>IFERROR(INDEX('Classif Gestoras'!$H$6:$H$462,MATCH(D1964,'Classif Gestoras'!$A$6:$A$462,0)),"Não classificada")</x:f>
        <x:v>Independente</x:v>
      </x:c>
      <x:c r="F1964" s="168" t="str">
        <x:v>Singulare</x:v>
      </x:c>
      <x:c r="G1964" s="168" t="str">
        <x:v>QI CORRETORA DE TÍTULOS E VALORES MOBILIÁRIOS S.A.</x:v>
      </x:c>
      <x:c r="H1964" s="168" t="str">
        <x:v>Fomento Mercantil</x:v>
      </x:c>
      <x:c r="I1964" s="168" t="str">
        <x:v>Fomento Mercantil</x:v>
      </x:c>
      <x:c r="J1964" s="168" t="str">
        <x:v>CI</x:v>
      </x:c>
      <x:c r="K1964" s="174" t="n">
        <x:v>17</x:v>
      </x:c>
      <x:c r="L1964" s="187" t="str">
        <x:v>Não classificado</x:v>
      </x:c>
    </x:row>
    <x:row r="1965">
      <x:c r="A1965" s="177" t="str">
        <x:v>20.256.882/0001-68</x:v>
      </x:c>
      <x:c r="B1965" s="168" t="str">
        <x:v>SETTORE CRÉDITO PRIVADO FUNDO DE INVESTIMENTO EM DIREITOS CREDITÓRIOS</x:v>
      </x:c>
      <x:c r="C1965" s="190" t="n">
        <x:v>29395655.04</x:v>
      </x:c>
      <x:c r="D1965" s="168" t="str">
        <x:v>TERCON ASSET MANAGEMENT</x:v>
      </x:c>
      <x:c r="E1965" s="168" t="str">
        <x:f>IFERROR(INDEX('Classif Gestoras'!$H$6:$H$462,MATCH(D1965,'Classif Gestoras'!$A$6:$A$462,0)),"Não classificada")</x:f>
        <x:v>Independente</x:v>
      </x:c>
      <x:c r="F1965" s="168" t="str">
        <x:v>Limine Trust Distribuidora de Titulos e Valores Mobiliá</x:v>
      </x:c>
      <x:c r="G1965" s="168" t="str">
        <x:v>LIMINE TRUST DISTRIBUIDORA DE TITULOS E VALORES MOBILIARIOS LTDA.</x:v>
      </x:c>
      <x:c r="H1965" s="168" t="str">
        <x:v>Fomento Mercantil</x:v>
      </x:c>
      <x:c r="I1965" s="168" t="str">
        <x:v>Fomento Mercantil</x:v>
      </x:c>
      <x:c r="J1965" s="168" t="str">
        <x:v>CI</x:v>
      </x:c>
      <x:c r="K1965" s="174" t="n">
        <x:v>2</x:v>
      </x:c>
      <x:c r="L1965" s="187" t="str">
        <x:v>Não classificado</x:v>
      </x:c>
    </x:row>
    <x:row r="1966">
      <x:c r="A1966" s="177" t="str">
        <x:v>55.596.335/0001-06</x:v>
      </x:c>
      <x:c r="B1966" s="168" t="str">
        <x:v>GO.BANK FUNDO DE INVESTIMENTO EM DIREITOS CREDITÓRIOS</x:v>
      </x:c>
      <x:c r="C1966" s="190" t="n">
        <x:v>29348140.749999996</x:v>
      </x:c>
      <x:c r="D1966" s="168" t="str">
        <x:v>TERCON ASSET MANAGEMENT</x:v>
      </x:c>
      <x:c r="E1966" s="168" t="str">
        <x:f>IFERROR(INDEX('Classif Gestoras'!$H$6:$H$462,MATCH(D1966,'Classif Gestoras'!$A$6:$A$462,0)),"Não classificada")</x:f>
        <x:v>Independente</x:v>
      </x:c>
      <x:c r="F1966" s="168" t="str">
        <x:v>Singulare</x:v>
      </x:c>
      <x:c r="G1966" s="168" t="str">
        <x:v>QI CORRETORA DE TÍTULOS E VALORES MOBILIÁRIOS S.A.</x:v>
      </x:c>
      <x:c r="H1966" s="168" t="str">
        <x:v>Fomento Mercantil</x:v>
      </x:c>
      <x:c r="I1966" s="168" t="str">
        <x:v>Fomento Mercantil</x:v>
      </x:c>
      <x:c r="J1966" s="168" t="str">
        <x:v>CI</x:v>
      </x:c>
      <x:c r="K1966" s="174" t="n">
        <x:v>7</x:v>
      </x:c>
      <x:c r="L1966" s="187" t="str">
        <x:v>Não classificado</x:v>
      </x:c>
    </x:row>
    <x:row r="1967">
      <x:c r="A1967" s="177" t="str">
        <x:v>31.847.511/0001-77</x:v>
      </x:c>
      <x:c r="B1967" s="168" t="str">
        <x:v>EXITUS FUNDO DE INVESTIMENTO EM DIREITOS CREDITÓRIOS</x:v>
      </x:c>
      <x:c r="C1967" s="190" t="n">
        <x:v>29320441.55</x:v>
      </x:c>
      <x:c r="D1967" s="168" t="str">
        <x:v>LEGEND WM</x:v>
      </x:c>
      <x:c r="E1967" s="168" t="str">
        <x:f>IFERROR(INDEX('Classif Gestoras'!$H$6:$H$462,MATCH(D1967,'Classif Gestoras'!$A$6:$A$462,0)),"Não classificada")</x:f>
        <x:v>Independente</x:v>
      </x:c>
      <x:c r="F1967" s="168" t="str">
        <x:v>Banco Genial S.A.</x:v>
      </x:c>
      <x:c r="G1967" s="168" t="str">
        <x:v>BANCO GENIAL S.A.</x:v>
      </x:c>
      <x:c r="H1967" s="168" t="str">
        <x:v>Outros</x:v>
      </x:c>
      <x:c r="I1967" s="168" t="str">
        <x:v>Recuperação</x:v>
      </x:c>
      <x:c r="J1967" s="168" t="str">
        <x:v>CI</x:v>
      </x:c>
      <x:c r="K1967" s="174" t="n">
        <x:v>40</x:v>
      </x:c>
      <x:c r="L1967" s="187" t="str">
        <x:v>Não classificado</x:v>
      </x:c>
    </x:row>
    <x:row r="1968">
      <x:c r="A1968" s="177" t="str">
        <x:v>56.348.388/0001-70</x:v>
      </x:c>
      <x:c r="B1968" s="168" t="str">
        <x:v>JUSTOO CRÉDITO JUDICIAL PRIVADO FUNDO DE INVESTIMENTO EM DIREITOS CREDITÓRIOS</x:v>
      </x:c>
      <x:c r="C1968" s="190" t="n">
        <x:v>29239592.130000003</x:v>
      </x:c>
      <x:c r="D1968" s="168" t="str">
        <x:v>Menestys</x:v>
      </x:c>
      <x:c r="E1968" s="168" t="str">
        <x:f>IFERROR(INDEX('Classif Gestoras'!$H$6:$H$462,MATCH(D1968,'Classif Gestoras'!$A$6:$A$462,0)),"Não classificada")</x:f>
        <x:v>Independente</x:v>
      </x:c>
      <x:c r="F1968" s="168" t="str">
        <x:v>PLANNER CV</x:v>
      </x:c>
      <x:c r="G1968" s="168" t="str">
        <x:v>PLANNER CORRETORA DE VALORES S.A.</x:v>
      </x:c>
      <x:c r="H1968" s="168" t="str">
        <x:v>Outros</x:v>
      </x:c>
      <x:c r="I1968" s="168" t="str">
        <x:v>Multicarteira Outros</x:v>
      </x:c>
      <x:c r="J1968" s="168" t="str">
        <x:v>CI</x:v>
      </x:c>
      <x:c r="K1968" s="174" t="n">
        <x:v>19</x:v>
      </x:c>
      <x:c r="L1968" s="187" t="str">
        <x:v>Proxy multicedente/multissacado — revisar</x:v>
      </x:c>
    </x:row>
    <x:row r="1969">
      <x:c r="A1969" s="177" t="str">
        <x:v>41.387.466/0001-79</x:v>
      </x:c>
      <x:c r="B1969" s="168" t="str">
        <x:v>3G BANK - FUNDO DE INVESTIMENTO EM DIREITOS CREDITORIOS NAO-PADRONIZADOS</x:v>
      </x:c>
      <x:c r="C1969" s="190" t="n">
        <x:v>29190263.880000003</x:v>
      </x:c>
      <x:c r="D1969" s="168" t="str">
        <x:v>Catálise Investimentos</x:v>
      </x:c>
      <x:c r="E1969" s="168" t="str">
        <x:f>IFERROR(INDEX('Classif Gestoras'!$H$6:$H$462,MATCH(D1969,'Classif Gestoras'!$A$6:$A$462,0)),"Não classificada")</x:f>
        <x:v>Independente</x:v>
      </x:c>
      <x:c r="F1969" s="168" t="str">
        <x:v>CATÁLISE DTVM</x:v>
      </x:c>
      <x:c r="G1969" s="168" t="str">
        <x:v>BANCO DAYCOVAL S.A.</x:v>
      </x:c>
      <x:c r="H1969" s="168" t="str">
        <x:v>Agro, Indústria e Comércio</x:v>
      </x:c>
      <x:c r="I1969" s="168" t="str">
        <x:v>Multicarteira Agro, Indústria e Comércio</x:v>
      </x:c>
      <x:c r="J1969" s="168" t="str">
        <x:v>CI</x:v>
      </x:c>
      <x:c r="K1969" s="174" t="n">
        <x:v>1</x:v>
      </x:c>
      <x:c r="L1969" s="187" t="str">
        <x:v>Proxy multicedente/multissacado — revisar</x:v>
      </x:c>
    </x:row>
    <x:row r="1970">
      <x:c r="A1970" s="177" t="str">
        <x:v>53.292.327/0001-40</x:v>
      </x:c>
      <x:c r="B1970" s="168" t="str">
        <x:v>PENHA FUNDO DE INVESTIMENTO EM DIREITOS CREDITÓRIOS RESPONSABILIDADE LIMITADA</x:v>
      </x:c>
      <x:c r="C1970" s="190" t="n">
        <x:v>29171073.790000003</x:v>
      </x:c>
      <x:c r="D1970" s="168" t="str">
        <x:v>Paraguaçu Investimentos</x:v>
      </x:c>
      <x:c r="E1970" s="168" t="str">
        <x:f>IFERROR(INDEX('Classif Gestoras'!$H$6:$H$462,MATCH(D1970,'Classif Gestoras'!$A$6:$A$462,0)),"Não classificada")</x:f>
        <x:v>Independente</x:v>
      </x:c>
      <x:c r="F1970" s="168" t="str">
        <x:v>ID Corretora de Títulos e Valores Mobiliários S.A.</x:v>
      </x:c>
      <x:c r="G1970" s="168" t="str">
        <x:v>ID CORRETORA DE TITULOS E VALORES MOBILIARIOS S.A.</x:v>
      </x:c>
      <x:c r="H1970" s="168" t="str">
        <x:v>Outros</x:v>
      </x:c>
      <x:c r="I1970" s="168" t="str">
        <x:v>Multicarteira Outros</x:v>
      </x:c>
      <x:c r="J1970" s="168" t="str">
        <x:v>CI</x:v>
      </x:c>
      <x:c r="K1970" s="174" t="n">
        <x:v>3</x:v>
      </x:c>
      <x:c r="L1970" s="187" t="str">
        <x:v>Proxy multicedente/multissacado — revisar</x:v>
      </x:c>
    </x:row>
    <x:row r="1971">
      <x:c r="A1971" s="177" t="str">
        <x:v>61.621.939/0001-68</x:v>
      </x:c>
      <x:c r="B1971" s="168" t="str">
        <x:v>VGR IMOBILIÁRIO FUNDO DE INVESTIMENTO EM DIREITOS CREDITÓRIOS RESPONSABILIDADE LIMITADA</x:v>
      </x:c>
      <x:c r="C1971" s="190" t="n">
        <x:v>29164737.03</x:v>
      </x:c>
      <x:c r="D1971" s="168" t="str">
        <x:v>VGR - VERONA GESTORA DE RECURSOS LTDA</x:v>
      </x:c>
      <x:c r="E1971" s="168" t="str">
        <x:f>IFERROR(INDEX('Classif Gestoras'!$H$6:$H$462,MATCH(D1971,'Classif Gestoras'!$A$6:$A$462,0)),"Não classificada")</x:f>
        <x:v>Independente</x:v>
      </x:c>
      <x:c r="F1971" s="168" t="str">
        <x:v>HEMERA DTVM</x:v>
      </x:c>
      <x:c r="G1971" s="168" t="str">
        <x:v>HEMERA DISTRIBUIDORA DE TITULOS E VALORES MOBILIARIOS LTDA</x:v>
      </x:c>
      <x:c r="H1971" s="168" t="str">
        <x:v>Financeiro</x:v>
      </x:c>
      <x:c r="I1971" s="168" t="str">
        <x:v>Crédito Imobiliário</x:v>
      </x:c>
      <x:c r="J1971" s="168" t="str">
        <x:v>CI</x:v>
      </x:c>
      <x:c r="K1971" s="174" t="n">
        <x:v>10</x:v>
      </x:c>
      <x:c r="L1971" s="187" t="str">
        <x:v>Não classificado</x:v>
      </x:c>
    </x:row>
    <x:row r="1972">
      <x:c r="A1972" s="177" t="str">
        <x:v>60.776.193/0001-07</x:v>
      </x:c>
      <x:c r="B1972" s="168" t="str">
        <x:v>CAPITAL FUTEBOL FUNDO DE INVESTIMENTO EM DIREITOS CREDITÓRIOS DE RESPONSABILIDADE LIMITADA</x:v>
      </x:c>
      <x:c r="C1972" s="190" t="n">
        <x:v>29099091.47</x:v>
      </x:c>
      <x:c r="D1972" s="168" t="str">
        <x:v>Catálise Investimentos</x:v>
      </x:c>
      <x:c r="E1972" s="168" t="str">
        <x:f>IFERROR(INDEX('Classif Gestoras'!$H$6:$H$462,MATCH(D1972,'Classif Gestoras'!$A$6:$A$462,0)),"Não classificada")</x:f>
        <x:v>Independente</x:v>
      </x:c>
      <x:c r="F1972" s="168" t="str">
        <x:v>BANCO DAYCOVAL S/A</x:v>
      </x:c>
      <x:c r="G1972" s="168" t="str">
        <x:v>BANCO DAYCOVAL S.A.</x:v>
      </x:c>
      <x:c r="H1972" s="168" t="str">
        <x:v>Agro, Indústria e Comércio</x:v>
      </x:c>
      <x:c r="I1972" s="168" t="str">
        <x:v>Multicarteira Agro, Indústria e Comércio</x:v>
      </x:c>
      <x:c r="J1972" s="168" t="str">
        <x:v>CI</x:v>
      </x:c>
      <x:c r="K1972" s="174" t="n">
        <x:v>2</x:v>
      </x:c>
      <x:c r="L1972" s="187" t="str">
        <x:v>Proxy multicedente/multissacado — revisar</x:v>
      </x:c>
    </x:row>
    <x:row r="1973">
      <x:c r="A1973" s="177" t="str">
        <x:v>57.041.943/0001-80</x:v>
      </x:c>
      <x:c r="B1973" s="168" t="str">
        <x:v>CREDICAN FUNDO DE INVESTIMENTO EM DIREITOS CREDITÓRIOS RESPONSABILIDADE LIMITADA</x:v>
      </x:c>
      <x:c r="C1973" s="190" t="n">
        <x:v>29038975.99</x:v>
      </x:c>
      <x:c r="D1973" s="168" t="str">
        <x:v>Bless Capital Gestora de Recursos Ltda.</x:v>
      </x:c>
      <x:c r="E1973" s="168" t="str">
        <x:f>IFERROR(INDEX('Classif Gestoras'!$H$6:$H$462,MATCH(D1973,'Classif Gestoras'!$A$6:$A$462,0)),"Não classificada")</x:f>
        <x:v>Independente</x:v>
      </x:c>
      <x:c r="F1973" s="168" t="str">
        <x:v>ID Corretora de Títulos e Valores Mobiliários S.A.</x:v>
      </x:c>
      <x:c r="G1973" s="168" t="str">
        <x:v>ID CORRETORA DE TITULOS E VALORES MOBILIARIOS S.A.</x:v>
      </x:c>
      <x:c r="H1973" s="168" t="str">
        <x:v>Outros</x:v>
      </x:c>
      <x:c r="I1973" s="168" t="str">
        <x:v>Multicarteira Outros</x:v>
      </x:c>
      <x:c r="J1973" s="168" t="str">
        <x:v>CI</x:v>
      </x:c>
      <x:c r="K1973" s="174" t="n">
        <x:v>2</x:v>
      </x:c>
      <x:c r="L1973" s="187" t="str">
        <x:v>Proxy multicedente/multissacado — revisar</x:v>
      </x:c>
    </x:row>
    <x:row r="1974">
      <x:c r="A1974" s="177" t="str">
        <x:v>47.117.821/0001-76</x:v>
      </x:c>
      <x:c r="B1974" s="168" t="str">
        <x:v>B33 FUNDO DE INVESTIMENTO EM DIREITOS CREDITORIOS</x:v>
      </x:c>
      <x:c r="C1974" s="190" t="n">
        <x:v>29001613.570000004</x:v>
      </x:c>
      <x:c r="D1974" s="168" t="str">
        <x:v>Solis</x:v>
      </x:c>
      <x:c r="E1974" s="168" t="str">
        <x:f>IFERROR(INDEX('Classif Gestoras'!$H$6:$H$462,MATCH(D1974,'Classif Gestoras'!$A$6:$A$462,0)),"Não classificada")</x:f>
        <x:v>Independente</x:v>
      </x:c>
      <x:c r="F1974" s="168" t="str">
        <x:v>HEMERA DTVM</x:v>
      </x:c>
      <x:c r="G1974" s="168" t="str">
        <x:v>HEMERA DISTRIBUIDORA DE TITULOS E VALORES MOBILIARIOS LTDA</x:v>
      </x:c>
      <x:c r="H1974" s="168" t="str">
        <x:v>Outros</x:v>
      </x:c>
      <x:c r="I1974" s="168" t="str">
        <x:v>Poder Público</x:v>
      </x:c>
      <x:c r="J1974" s="168" t="str">
        <x:v>CI</x:v>
      </x:c>
      <x:c r="K1974" s="174" t="n">
        <x:v>27</x:v>
      </x:c>
      <x:c r="L1974" s="187" t="str">
        <x:v>Não classificado</x:v>
      </x:c>
    </x:row>
    <x:row r="1975">
      <x:c r="A1975" s="177" t="str">
        <x:v>52.883.033/0001-20</x:v>
      </x:c>
      <x:c r="B1975" s="168" t="str">
        <x:v>BES CARD FUNDO DE INVESTIMENTO EM DIREITOS CREDITÓRIOS - CREDITO PESSOAL</x:v>
      </x:c>
      <x:c r="C1975" s="190" t="n">
        <x:v>28995618.66</x:v>
      </x:c>
      <x:c r="D1975" s="168" t="str">
        <x:v>H2 CAPITAL</x:v>
      </x:c>
      <x:c r="E1975" s="168" t="str">
        <x:f>IFERROR(INDEX('Classif Gestoras'!$H$6:$H$462,MATCH(D1975,'Classif Gestoras'!$A$6:$A$462,0)),"Não classificada")</x:f>
        <x:v>Independente</x:v>
      </x:c>
      <x:c r="F1975" s="168" t="str">
        <x:v>Genial Investimentos Corretora de Valores Mobiliários S.A.</x:v>
      </x:c>
      <x:c r="G1975" s="168" t="str">
        <x:v>BANCO GENIAL S.A.</x:v>
      </x:c>
      <x:c r="H1975" s="168" t="str">
        <x:v>Financeiro</x:v>
      </x:c>
      <x:c r="I1975" s="168" t="str">
        <x:v>Crédito Pessoal</x:v>
      </x:c>
      <x:c r="J1975" s="168" t="str">
        <x:v>CI</x:v>
      </x:c>
      <x:c r="K1975" s="174" t="n">
        <x:v>1</x:v>
      </x:c>
      <x:c r="L1975" s="187" t="str">
        <x:v>Não classificado</x:v>
      </x:c>
    </x:row>
    <x:row r="1976">
      <x:c r="A1976" s="177" t="str">
        <x:v>64.381.894/0001-90</x:v>
      </x:c>
      <x:c r="B1976" s="168" t="str">
        <x:v>SIMPLIX CONSIGNADO PRIVADO II FUNDO DE INVESTIMENTO EM DIREITOS CREDITÓRIOS RESP LIMITADA</x:v>
      </x:c>
      <x:c r="C1976" s="190" t="n">
        <x:v>28923381.21</x:v>
      </x:c>
      <x:c r="D1976" s="168" t="str">
        <x:v>SIMPLIX ASSET MANAGEMENT LTDA.</x:v>
      </x:c>
      <x:c r="E1976" s="168" t="str">
        <x:f>IFERROR(INDEX('Classif Gestoras'!$H$6:$H$462,MATCH(D1976,'Classif Gestoras'!$A$6:$A$462,0)),"Não classificada")</x:f>
        <x:v>Independente</x:v>
      </x:c>
      <x:c r="F1976" s="168" t="str">
        <x:v>BANCO DAYCOVAL S/A</x:v>
      </x:c>
      <x:c r="G1976" s="168" t="str">
        <x:v>Não identificado</x:v>
      </x:c>
      <x:c r="H1976" s="168" t="str">
        <x:v>Financeiro</x:v>
      </x:c>
      <x:c r="I1976" s="168" t="str">
        <x:v>Crédito Consignado</x:v>
      </x:c>
      <x:c r="J1976" s="168" t="str">
        <x:v>CI</x:v>
      </x:c>
      <x:c r="K1976" s="174" t="n">
        <x:v>18</x:v>
      </x:c>
      <x:c r="L1976" s="187" t="str">
        <x:v>Não classificado</x:v>
      </x:c>
    </x:row>
    <x:row r="1977">
      <x:c r="A1977" s="177" t="str">
        <x:v>36.731.351/0001-10</x:v>
      </x:c>
      <x:c r="B1977" s="168" t="str">
        <x:v>COPPER CAPITAL FUNDO DE INVESTIMENTO EM DIREITOS CREDITÓRIOS PADRONIZADO</x:v>
      </x:c>
      <x:c r="C1977" s="190" t="n">
        <x:v>28818825.96999999</x:v>
      </x:c>
      <x:c r="D1977" s="168" t="str">
        <x:v>GFS INVESTIMENTOS</x:v>
      </x:c>
      <x:c r="E1977" s="168" t="str">
        <x:f>IFERROR(INDEX('Classif Gestoras'!$H$6:$H$462,MATCH(D1977,'Classif Gestoras'!$A$6:$A$462,0)),"Não classificada")</x:f>
        <x:v>Independente</x:v>
      </x:c>
      <x:c r="F1977" s="168" t="str">
        <x:v>MONETAR DISTRIBUIDORA DE TITUL</x:v>
      </x:c>
      <x:c r="G1977" s="168" t="str">
        <x:v>TERRA INVESTIMENTOS DISTRIBUIDORA DE TITULOS E VALORES MOBILIARIOS LTDA</x:v>
      </x:c>
      <x:c r="H1977" s="168" t="str">
        <x:v>Fomento Mercantil</x:v>
      </x:c>
      <x:c r="I1977" s="168" t="str">
        <x:v>Fomento Mercantil</x:v>
      </x:c>
      <x:c r="J1977" s="168" t="str">
        <x:v>CI</x:v>
      </x:c>
      <x:c r="K1977" s="174" t="n">
        <x:v>5</x:v>
      </x:c>
      <x:c r="L1977" s="187" t="str">
        <x:v>Não classificado</x:v>
      </x:c>
    </x:row>
    <x:row r="1978">
      <x:c r="A1978" s="177" t="str">
        <x:v>62.161.418/0001-38</x:v>
      </x:c>
      <x:c r="B1978" s="168" t="str">
        <x:v>AIBR FUNDO DE INVESTIMENTO EM DIREITOS CREDITÓRIOS DE RESPONSABILIDADE LIMITADA</x:v>
      </x:c>
      <x:c r="C1978" s="190" t="n">
        <x:v>28724770.01</x:v>
      </x:c>
      <x:c r="D1978" s="168" t="str">
        <x:v>QI GESTAO DE RECURSOS LTDA</x:v>
      </x:c>
      <x:c r="E1978" s="168" t="str">
        <x:f>IFERROR(INDEX('Classif Gestoras'!$H$6:$H$462,MATCH(D1978,'Classif Gestoras'!$A$6:$A$462,0)),"Não classificada")</x:f>
        <x:v>Independente</x:v>
      </x:c>
      <x:c r="F1978" s="168" t="str">
        <x:v>Singulare</x:v>
      </x:c>
      <x:c r="G1978" s="168" t="str">
        <x:v>QI CORRETORA DE TÍTULOS E VALORES MOBILIÁRIOS S.A.</x:v>
      </x:c>
      <x:c r="H1978" s="168" t="str">
        <x:v>Financeiro</x:v>
      </x:c>
      <x:c r="I1978" s="168" t="str">
        <x:v>Crédito Pessoal</x:v>
      </x:c>
      <x:c r="J1978" s="168" t="str">
        <x:v>CI</x:v>
      </x:c>
      <x:c r="K1978" s="174" t="n">
        <x:v>1</x:v>
      </x:c>
      <x:c r="L1978" s="187" t="str">
        <x:v>Não classificado</x:v>
      </x:c>
    </x:row>
    <x:row r="1979">
      <x:c r="A1979" s="177" t="str">
        <x:v>56.266.633/0001-09</x:v>
      </x:c>
      <x:c r="B1979" s="168" t="str">
        <x:v>ST 1013 FUNDO DE INVESTIMENTO EM DIREITOS CREDITÓRIOS RESPONSABILIDADE LIMITADA</x:v>
      </x:c>
      <x:c r="C1979" s="190" t="n">
        <x:v>28675277.52</x:v>
      </x:c>
      <x:c r="D1979" s="168" t="str">
        <x:v>Strata Capital</x:v>
      </x:c>
      <x:c r="E1979" s="168" t="str">
        <x:f>IFERROR(INDEX('Classif Gestoras'!$H$6:$H$462,MATCH(D1979,'Classif Gestoras'!$A$6:$A$462,0)),"Não classificada")</x:f>
        <x:v>Independente</x:v>
      </x:c>
      <x:c r="F1979" s="168" t="str">
        <x:v>BANCO DAYCOVAL S/A</x:v>
      </x:c>
      <x:c r="G1979" s="168" t="str">
        <x:v>BANCO DAYCOVAL S.A.</x:v>
      </x:c>
      <x:c r="H1979" s="168" t="str">
        <x:v>Outros</x:v>
      </x:c>
      <x:c r="I1979" s="168" t="str">
        <x:v>Multicarteira Outros</x:v>
      </x:c>
      <x:c r="J1979" s="168" t="str">
        <x:v>CI</x:v>
      </x:c>
      <x:c r="K1979" s="174" t="n">
        <x:v>6</x:v>
      </x:c>
      <x:c r="L1979" s="187" t="str">
        <x:v>Proxy multicedente/multissacado — revisar</x:v>
      </x:c>
    </x:row>
    <x:row r="1980">
      <x:c r="A1980" s="177" t="str">
        <x:v>51.497.411/0001-75</x:v>
      </x:c>
      <x:c r="B1980" s="168" t="str">
        <x:v>ST 1001 FUNDO DE INVESTIMENTO EM DIREITOS CREDITÓRIOS DE RESPONSABILIDADE LIMITADA</x:v>
      </x:c>
      <x:c r="C1980" s="190" t="n">
        <x:v>28611448.94</x:v>
      </x:c>
      <x:c r="D1980" s="168" t="str">
        <x:v>Strata Capital</x:v>
      </x:c>
      <x:c r="E1980" s="168" t="str">
        <x:f>IFERROR(INDEX('Classif Gestoras'!$H$6:$H$462,MATCH(D1980,'Classif Gestoras'!$A$6:$A$462,0)),"Não classificada")</x:f>
        <x:v>Independente</x:v>
      </x:c>
      <x:c r="F1980" s="168" t="str">
        <x:v>BANCO DAYCOVAL S/A</x:v>
      </x:c>
      <x:c r="G1980" s="168" t="str">
        <x:v>BANCO DAYCOVAL S.A.</x:v>
      </x:c>
      <x:c r="H1980" s="168" t="str">
        <x:v>Outros</x:v>
      </x:c>
      <x:c r="I1980" s="168" t="str">
        <x:v>Multicarteira Outros</x:v>
      </x:c>
      <x:c r="J1980" s="168" t="str">
        <x:v>CI</x:v>
      </x:c>
      <x:c r="K1980" s="174" t="n">
        <x:v>6</x:v>
      </x:c>
      <x:c r="L1980" s="187" t="str">
        <x:v>Proxy multicedente/multissacado — revisar</x:v>
      </x:c>
    </x:row>
    <x:row r="1981">
      <x:c r="A1981" s="177" t="str">
        <x:v>29.494.000/0001-77</x:v>
      </x:c>
      <x:c r="B1981" s="168" t="str">
        <x:v>MULTIBANK FUNDO DE INVESTIMENTO EM DIREITOS CREDITÓRIOS MULTISSETORIAL LP</x:v>
      </x:c>
      <x:c r="C1981" s="190" t="n">
        <x:v>28605863.89</x:v>
      </x:c>
      <x:c r="D1981" s="168" t="str">
        <x:v>TERCON ASSET MANAGEMENT</x:v>
      </x:c>
      <x:c r="E1981" s="168" t="str">
        <x:f>IFERROR(INDEX('Classif Gestoras'!$H$6:$H$462,MATCH(D1981,'Classif Gestoras'!$A$6:$A$462,0)),"Não classificada")</x:f>
        <x:v>Independente</x:v>
      </x:c>
      <x:c r="F1981" s="168" t="str">
        <x:v>Limine Trust Distribuidora de Titulos e Valores Mobiliá</x:v>
      </x:c>
      <x:c r="G1981" s="168" t="str">
        <x:v>LIMINE TRUST DISTRIBUIDORA DE TITULOS E VALORES MOBILIARIOS LTDA.</x:v>
      </x:c>
      <x:c r="H1981" s="168" t="str">
        <x:v>Outros</x:v>
      </x:c>
      <x:c r="I1981" s="168" t="str">
        <x:v>Multicarteira Outros</x:v>
      </x:c>
      <x:c r="J1981" s="168" t="str">
        <x:v>CI</x:v>
      </x:c>
      <x:c r="K1981" s="174" t="n">
        <x:v>9</x:v>
      </x:c>
      <x:c r="L1981" s="187" t="str">
        <x:v>Proxy multicedente/multissacado — revisar</x:v>
      </x:c>
    </x:row>
    <x:row r="1982">
      <x:c r="A1982" s="177" t="str">
        <x:v>48.979.218/0001-66</x:v>
      </x:c>
      <x:c r="B1982" s="168" t="str">
        <x:v>BRASIL SPECIAL SITUATIONS I FUNDO DE INVESTIMENTO EM DIREITOS CREDITORIOS</x:v>
      </x:c>
      <x:c r="C1982" s="190" t="n">
        <x:v>28525524.27</x:v>
      </x:c>
      <x:c r="D1982" s="168" t="str">
        <x:v>Redwood Asset Management</x:v>
      </x:c>
      <x:c r="E1982" s="168" t="str">
        <x:f>IFERROR(INDEX('Classif Gestoras'!$H$6:$H$462,MATCH(D1982,'Classif Gestoras'!$A$6:$A$462,0)),"Não classificada")</x:f>
        <x:v>Independente</x:v>
      </x:c>
      <x:c r="F1982" s="168" t="str">
        <x:v>PLANNER CV</x:v>
      </x:c>
      <x:c r="G1982" s="168" t="str">
        <x:v>PLANNER CORRETORA DE VALORES S.A.</x:v>
      </x:c>
      <x:c r="H1982" s="168" t="str">
        <x:v>Outros</x:v>
      </x:c>
      <x:c r="I1982" s="168" t="str">
        <x:v>Multicarteira Outros</x:v>
      </x:c>
      <x:c r="J1982" s="168" t="str">
        <x:v>CI</x:v>
      </x:c>
      <x:c r="K1982" s="174" t="n">
        <x:v>1</x:v>
      </x:c>
      <x:c r="L1982" s="187" t="str">
        <x:v>Proxy multicedente/multissacado — revisar</x:v>
      </x:c>
    </x:row>
    <x:row r="1983">
      <x:c r="A1983" s="177" t="str">
        <x:v>61.384.065/0001-72</x:v>
      </x:c>
      <x:c r="B1983" s="168" t="str">
        <x:v>PETRUS MULTICREDITO FUNDO DE INVESTIMENTO EM DIREITOS CREDITORIOS</x:v>
      </x:c>
      <x:c r="C1983" s="190" t="n">
        <x:v>28224034.15</x:v>
      </x:c>
      <x:c r="D1983" s="168" t="str">
        <x:v>Libertas Asset</x:v>
      </x:c>
      <x:c r="E1983" s="168" t="str">
        <x:f>IFERROR(INDEX('Classif Gestoras'!$H$6:$H$462,MATCH(D1983,'Classif Gestoras'!$A$6:$A$462,0)),"Não classificada")</x:f>
        <x:v>Independente</x:v>
      </x:c>
      <x:c r="F1983" s="168" t="str">
        <x:v>ACTUAL DTVM</x:v>
      </x:c>
      <x:c r="G1983" s="168" t="str">
        <x:v>TRUSTEE DISTRIBUIDORA DE TITULOS E VALORES MOBILIARIOS LTDA.</x:v>
      </x:c>
      <x:c r="H1983" s="168" t="str">
        <x:v>Fomento Mercantil</x:v>
      </x:c>
      <x:c r="I1983" s="168" t="str">
        <x:v>Fomento Mercantil</x:v>
      </x:c>
      <x:c r="J1983" s="168" t="str">
        <x:v>CI</x:v>
      </x:c>
      <x:c r="K1983" s="174" t="n">
        <x:v>1</x:v>
      </x:c>
      <x:c r="L1983" s="187" t="str">
        <x:v>Não classificado</x:v>
      </x:c>
    </x:row>
    <x:row r="1984">
      <x:c r="A1984" s="177" t="str">
        <x:v>12.769.511/0001-51</x:v>
      </x:c>
      <x:c r="B1984" s="168" t="str">
        <x:v>ID FINANCIAL FUNDO DE INVESTIMENTO EM DIREITOS CREDITÓRIOS MULTISEGMENTOS</x:v>
      </x:c>
      <x:c r="C1984" s="190" t="n">
        <x:v>27996369.09</x:v>
      </x:c>
      <x:c r="D1984" s="168" t="str">
        <x:v>Petra Capital</x:v>
      </x:c>
      <x:c r="E1984" s="168" t="str">
        <x:f>IFERROR(INDEX('Classif Gestoras'!$H$6:$H$462,MATCH(D1984,'Classif Gestoras'!$A$6:$A$462,0)),"Não classificada")</x:f>
        <x:v>Independente</x:v>
      </x:c>
      <x:c r="F1984" s="168" t="str">
        <x:v>Finaxis Corretora de Títulos e Valores Mobiliários S.A.</x:v>
      </x:c>
      <x:c r="G1984" s="168" t="str">
        <x:v>BANCO FINAXIS S.A.</x:v>
      </x:c>
      <x:c r="H1984" s="168" t="str">
        <x:v>Agro, Indústria e Comércio</x:v>
      </x:c>
      <x:c r="I1984" s="168" t="str">
        <x:v>Recebíveis Comerciais</x:v>
      </x:c>
      <x:c r="J1984" s="168" t="str">
        <x:v>CI</x:v>
      </x:c>
      <x:c r="K1984" s="174" t="n">
        <x:v>1</x:v>
      </x:c>
      <x:c r="L1984" s="187" t="str">
        <x:v>Não classificado</x:v>
      </x:c>
    </x:row>
    <x:row r="1985">
      <x:c r="A1985" s="177" t="str">
        <x:v>32.274.365/0001-09</x:v>
      </x:c>
      <x:c r="B1985" s="168" t="str">
        <x:v>FCC I - FUNDO DE INVESTIMENTO EM DIREITOS CREDITÓRIOS</x:v>
      </x:c>
      <x:c r="C1985" s="190" t="n">
        <x:v>27991952.15</x:v>
      </x:c>
      <x:c r="D1985" s="168" t="str">
        <x:v>Milênio Capital</x:v>
      </x:c>
      <x:c r="E1985" s="168" t="str">
        <x:f>IFERROR(INDEX('Classif Gestoras'!$H$6:$H$462,MATCH(D1985,'Classif Gestoras'!$A$6:$A$462,0)),"Não classificada")</x:f>
        <x:v>Independente</x:v>
      </x:c>
      <x:c r="F1985" s="168" t="str">
        <x:v>MAF Distribuidora de Títulos e Valores Mobiliários S.A.</x:v>
      </x:c>
      <x:c r="G1985" s="168" t="str">
        <x:v>MAF DISTRIBUIDORA DE TITULOS E VALORES MOBILIARIOS S.A.</x:v>
      </x:c>
      <x:c r="H1985" s="168" t="str">
        <x:v>Outros</x:v>
      </x:c>
      <x:c r="I1985" s="168" t="str">
        <x:v>Multicarteira Outros</x:v>
      </x:c>
      <x:c r="J1985" s="168" t="str">
        <x:v>CI</x:v>
      </x:c>
      <x:c r="K1985" s="174" t="n">
        <x:v>8</x:v>
      </x:c>
      <x:c r="L1985" s="187" t="str">
        <x:v>Proxy multicedente/multissacado — revisar</x:v>
      </x:c>
    </x:row>
    <x:row r="1986">
      <x:c r="A1986" s="177" t="str">
        <x:v>63.679.664/0001-49</x:v>
      </x:c>
      <x:c r="B1986" s="168" t="str">
        <x:v>TD I FUNDO DE INVESTIMENTO EM DIREITOS CREDITÓRIOS DE RESPONSABILIDADE LIMITADA</x:v>
      </x:c>
      <x:c r="C1986" s="190" t="n">
        <x:v>27941528.949999996</x:v>
      </x:c>
      <x:c r="D1986" s="168" t="str">
        <x:v>PIER GESTAO DE RECURSOS FINANCEIROS LTDA</x:v>
      </x:c>
      <x:c r="E1986" s="168" t="str">
        <x:f>IFERROR(INDEX('Classif Gestoras'!$H$6:$H$462,MATCH(D1986,'Classif Gestoras'!$A$6:$A$462,0)),"Não classificada")</x:f>
        <x:v>Independente</x:v>
      </x:c>
      <x:c r="F1986" s="168" t="str">
        <x:v>Oliveira Trust DTVM</x:v>
      </x:c>
      <x:c r="G1986" s="168" t="str">
        <x:v>OLIVEIRA TRUST DTVM S.A.</x:v>
      </x:c>
      <x:c r="H1986" s="168" t="str">
        <x:v>Financeiro</x:v>
      </x:c>
      <x:c r="I1986" s="168" t="str">
        <x:v>Crédito Pessoal</x:v>
      </x:c>
      <x:c r="J1986" s="168" t="str">
        <x:v>CI</x:v>
      </x:c>
      <x:c r="K1986" s="174" t="n">
        <x:v>9</x:v>
      </x:c>
      <x:c r="L1986" s="187" t="str">
        <x:v>Não classificado</x:v>
      </x:c>
    </x:row>
    <x:row r="1987">
      <x:c r="A1987" s="177" t="str">
        <x:v>36.359.698/0001-83</x:v>
      </x:c>
      <x:c r="B1987" s="168" t="str">
        <x:v>U.NIC FUNDO DE INVESTIMENTO EM DIREITOS CREDITÓRIOS</x:v>
      </x:c>
      <x:c r="C1987" s="190" t="n">
        <x:v>27938544.83</x:v>
      </x:c>
      <x:c r="D1987" s="168" t="str">
        <x:v>TERCON ASSET MANAGEMENT</x:v>
      </x:c>
      <x:c r="E1987" s="168" t="str">
        <x:f>IFERROR(INDEX('Classif Gestoras'!$H$6:$H$462,MATCH(D1987,'Classif Gestoras'!$A$6:$A$462,0)),"Não classificada")</x:f>
        <x:v>Independente</x:v>
      </x:c>
      <x:c r="F1987" s="168" t="str">
        <x:v>Singulare</x:v>
      </x:c>
      <x:c r="G1987" s="168" t="str">
        <x:v>QI CORRETORA DE TÍTULOS E VALORES MOBILIÁRIOS S.A.</x:v>
      </x:c>
      <x:c r="H1987" s="168" t="str">
        <x:v>Fomento Mercantil</x:v>
      </x:c>
      <x:c r="I1987" s="168" t="str">
        <x:v>Fomento Mercantil</x:v>
      </x:c>
      <x:c r="J1987" s="168" t="str">
        <x:v>CI</x:v>
      </x:c>
      <x:c r="K1987" s="174" t="n">
        <x:v>23</x:v>
      </x:c>
      <x:c r="L1987" s="187" t="str">
        <x:v>Não classificado</x:v>
      </x:c>
    </x:row>
    <x:row r="1988">
      <x:c r="A1988" s="177" t="str">
        <x:v>62.395.029/0001-77</x:v>
      </x:c>
      <x:c r="B1988" s="168" t="str">
        <x:v>W&amp;V FUNDO DE INVESTIMENTO EM DIREITOS CREDITÓRIOS RESPONSABILIDADE LIMITADA</x:v>
      </x:c>
      <x:c r="C1988" s="190" t="n">
        <x:v>27900400.31</x:v>
      </x:c>
      <x:c r="D1988" s="168" t="str">
        <x:v>Bless Capital Gestora de Recursos Ltda.</x:v>
      </x:c>
      <x:c r="E1988" s="168" t="str">
        <x:f>IFERROR(INDEX('Classif Gestoras'!$H$6:$H$462,MATCH(D1988,'Classif Gestoras'!$A$6:$A$462,0)),"Não classificada")</x:f>
        <x:v>Independente</x:v>
      </x:c>
      <x:c r="F1988" s="168" t="str">
        <x:v>ID Corretora de Títulos e Valores Mobiliários S.A.</x:v>
      </x:c>
      <x:c r="G1988" s="168" t="str">
        <x:v>ID CORRETORA DE TITULOS E VALORES MOBILIARIOS S.A.</x:v>
      </x:c>
      <x:c r="H1988" s="168" t="str">
        <x:v>Outros</x:v>
      </x:c>
      <x:c r="I1988" s="168" t="str">
        <x:v>Multicarteira Outros</x:v>
      </x:c>
      <x:c r="J1988" s="168" t="str">
        <x:v>CI</x:v>
      </x:c>
      <x:c r="K1988" s="174" t="n">
        <x:v>12</x:v>
      </x:c>
      <x:c r="L1988" s="187" t="str">
        <x:v>Proxy multicedente/multissacado — revisar</x:v>
      </x:c>
    </x:row>
    <x:row r="1989">
      <x:c r="A1989" s="177" t="str">
        <x:v>40.365.916/0001-60</x:v>
      </x:c>
      <x:c r="B1989" s="168" t="str">
        <x:v>STARBOARD SPECIAL SITUATIONS III FUNDO DE INVESTIMENTO EM DIREITOS CREDITÓRIOS</x:v>
      </x:c>
      <x:c r="C1989" s="190" t="n">
        <x:v>27679573.9</x:v>
      </x:c>
      <x:c r="D1989" s="168" t="str">
        <x:v>Starboard Asset</x:v>
      </x:c>
      <x:c r="E1989" s="168" t="str">
        <x:f>IFERROR(INDEX('Classif Gestoras'!$H$6:$H$462,MATCH(D1989,'Classif Gestoras'!$A$6:$A$462,0)),"Não classificada")</x:f>
        <x:v>Independente</x:v>
      </x:c>
      <x:c r="F1989" s="168" t="str">
        <x:v>BTG Pactual Servicos Financeiros S/A DTVM</x:v>
      </x:c>
      <x:c r="G1989" s="168" t="str">
        <x:v>BANCO BTG PACTUAL S/A</x:v>
      </x:c>
      <x:c r="H1989" s="168" t="str">
        <x:v>Outros</x:v>
      </x:c>
      <x:c r="I1989" s="168" t="str">
        <x:v>Multicarteira Outros</x:v>
      </x:c>
      <x:c r="J1989" s="168" t="str">
        <x:v>CI</x:v>
      </x:c>
      <x:c r="K1989" s="174" t="n">
        <x:v>192</x:v>
      </x:c>
      <x:c r="L1989" s="187" t="str">
        <x:v>Proxy multicedente/multissacado — revisar</x:v>
      </x:c>
    </x:row>
    <x:row r="1990">
      <x:c r="A1990" s="177" t="str">
        <x:v>18.593.058/0001-51</x:v>
      </x:c>
      <x:c r="B1990" s="168" t="str">
        <x:v>ZKR NP FUNDO DE INVESTIMENTO EM DIREITOS CREDITORIOS NAO PADRONIZADOS MULTISSETORIAL</x:v>
      </x:c>
      <x:c r="C1990" s="190" t="n">
        <x:v>27576818.61</x:v>
      </x:c>
      <x:c r="D1990" s="168" t="str">
        <x:v>TERCON ASSET MANAGEMENT</x:v>
      </x:c>
      <x:c r="E1990" s="168" t="str">
        <x:f>IFERROR(INDEX('Classif Gestoras'!$H$6:$H$462,MATCH(D1990,'Classif Gestoras'!$A$6:$A$462,0)),"Não classificada")</x:f>
        <x:v>Independente</x:v>
      </x:c>
      <x:c r="F1990" s="168" t="str">
        <x:v>Singulare</x:v>
      </x:c>
      <x:c r="G1990" s="168" t="str">
        <x:v>QI CORRETORA DE TÍTULOS E VALORES MOBILIÁRIOS S.A.</x:v>
      </x:c>
      <x:c r="H1990" s="168" t="str">
        <x:v>Fomento Mercantil</x:v>
      </x:c>
      <x:c r="I1990" s="168" t="str">
        <x:v>Fomento Mercantil</x:v>
      </x:c>
      <x:c r="J1990" s="168" t="str">
        <x:v>CI</x:v>
      </x:c>
      <x:c r="K1990" s="174" t="n">
        <x:v>4</x:v>
      </x:c>
      <x:c r="L1990" s="187" t="str">
        <x:v>Não classificado</x:v>
      </x:c>
    </x:row>
    <x:row r="1991">
      <x:c r="A1991" s="177" t="str">
        <x:v>59.929.292/0001-94</x:v>
      </x:c>
      <x:c r="B1991" s="168" t="str">
        <x:v>PREMIUM RECEBÍVEIS MULTISSETORIAL II FUNDO DE INVESTIMENTO EM DIREITOS CREDITÓRIOS - RESP LIMITADA</x:v>
      </x:c>
      <x:c r="C1991" s="190" t="n">
        <x:v>27553529.33</x:v>
      </x:c>
      <x:c r="D1991" s="168" t="str">
        <x:v>Solis</x:v>
      </x:c>
      <x:c r="E1991" s="168" t="str">
        <x:f>IFERROR(INDEX('Classif Gestoras'!$H$6:$H$462,MATCH(D1991,'Classif Gestoras'!$A$6:$A$462,0)),"Não classificada")</x:f>
        <x:v>Independente</x:v>
      </x:c>
      <x:c r="F1991" s="168" t="str">
        <x:v>HEMERA DTVM</x:v>
      </x:c>
      <x:c r="G1991" s="168" t="str">
        <x:v>HEMERA DISTRIBUIDORA DE TITULOS E VALORES MOBILIARIOS LTDA</x:v>
      </x:c>
      <x:c r="H1991" s="168" t="str">
        <x:v>Fomento Mercantil</x:v>
      </x:c>
      <x:c r="I1991" s="168" t="str">
        <x:v>Fomento Mercantil</x:v>
      </x:c>
      <x:c r="J1991" s="168" t="str">
        <x:v>CI</x:v>
      </x:c>
      <x:c r="K1991" s="174" t="n">
        <x:v>10</x:v>
      </x:c>
      <x:c r="L1991" s="187" t="str">
        <x:v>Não classificado</x:v>
      </x:c>
    </x:row>
    <x:row r="1992">
      <x:c r="A1992" s="177" t="str">
        <x:v>29.018.916/0001-50</x:v>
      </x:c>
      <x:c r="B1992" s="168" t="str">
        <x:v>UA FUNDO DE INVESTIMENTO EM DIREITOS CREDITÓRIOS NÃO-PADRONIZADOS</x:v>
      </x:c>
      <x:c r="C1992" s="190" t="n">
        <x:v>27546517.110000003</x:v>
      </x:c>
      <x:c r="D1992" s="168" t="str">
        <x:v>Quadra Gestão de Recursos S.A.</x:v>
      </x:c>
      <x:c r="E1992" s="168" t="str">
        <x:f>IFERROR(INDEX('Classif Gestoras'!$H$6:$H$462,MATCH(D1992,'Classif Gestoras'!$A$6:$A$462,0)),"Não classificada")</x:f>
        <x:v>Independente</x:v>
      </x:c>
      <x:c r="F1992" s="168" t="str">
        <x:v>BTG Pactual Servicos Financeiros S/A DTVM</x:v>
      </x:c>
      <x:c r="G1992" s="168" t="str">
        <x:v>BANCO BTG PACTUAL S/A</x:v>
      </x:c>
      <x:c r="H1992" s="168" t="str">
        <x:v>Outros</x:v>
      </x:c>
      <x:c r="I1992" s="168" t="str">
        <x:v>Multicarteira Outros</x:v>
      </x:c>
      <x:c r="J1992" s="168" t="str">
        <x:v>CI</x:v>
      </x:c>
      <x:c r="K1992" s="174" t="n">
        <x:v>2</x:v>
      </x:c>
      <x:c r="L1992" s="187" t="str">
        <x:v>Proxy multicedente/multissacado — revisar</x:v>
      </x:c>
    </x:row>
    <x:row r="1993">
      <x:c r="A1993" s="177" t="str">
        <x:v>64.077.421/0001-01</x:v>
      </x:c>
      <x:c r="B1993" s="168" t="str">
        <x:v>FUNDO DE INVESTIMENTO EM DIREITOS CREDITÓRIOS TARGET TRADING - RESPONSABILIDADE LIMITADA</x:v>
      </x:c>
      <x:c r="C1993" s="190" t="n">
        <x:v>27546482.89</x:v>
      </x:c>
      <x:c r="D1993" s="168" t="str">
        <x:v>Galápagos</x:v>
      </x:c>
      <x:c r="E1993" s="168" t="str">
        <x:f>IFERROR(INDEX('Classif Gestoras'!$H$6:$H$462,MATCH(D1993,'Classif Gestoras'!$A$6:$A$462,0)),"Não classificada")</x:f>
        <x:v>Independente</x:v>
      </x:c>
      <x:c r="F1993" s="168" t="str">
        <x:v>VÓRTX DTVM</x:v>
      </x:c>
      <x:c r="G1993" s="168" t="str">
        <x:v>VORTX DISTRIBUIDORA DE TITULOS E VALORES MOBILIARIOS LTDA.</x:v>
      </x:c>
      <x:c r="H1993" s="168" t="str">
        <x:v>Outros</x:v>
      </x:c>
      <x:c r="I1993" s="168" t="str">
        <x:v>Multicarteira Outros</x:v>
      </x:c>
      <x:c r="J1993" s="168" t="str">
        <x:v>CI</x:v>
      </x:c>
      <x:c r="K1993" s="174" t="n">
        <x:v>6</x:v>
      </x:c>
      <x:c r="L1993" s="187" t="str">
        <x:v>Proxy multicedente/multissacado — revisar</x:v>
      </x:c>
    </x:row>
    <x:row r="1994">
      <x:c r="A1994" s="177" t="str">
        <x:v>13.963.676/0001-22</x:v>
      </x:c>
      <x:c r="B1994" s="168" t="str">
        <x:v>HOPE II FUNDO DE INVESTIMENTO EM DIREITOS CREDITÓRIOS MULTISSEGMENTOS</x:v>
      </x:c>
      <x:c r="C1994" s="190" t="n">
        <x:v>27514467.1</x:v>
      </x:c>
      <x:c r="D1994" s="168" t="str">
        <x:v>HOPE ASSET</x:v>
      </x:c>
      <x:c r="E1994" s="168" t="str">
        <x:f>IFERROR(INDEX('Classif Gestoras'!$H$6:$H$462,MATCH(D1994,'Classif Gestoras'!$A$6:$A$462,0)),"Não classificada")</x:f>
        <x:v>Independente</x:v>
      </x:c>
      <x:c r="F1994" s="168" t="str">
        <x:v>Finaxis Corretora de Títulos e Valores Mobiliários S.A.</x:v>
      </x:c>
      <x:c r="G1994" s="168" t="str">
        <x:v>BANCO FINAXIS S.A.</x:v>
      </x:c>
      <x:c r="H1994" s="168" t="str">
        <x:v>Fomento Mercantil</x:v>
      </x:c>
      <x:c r="I1994" s="168" t="str">
        <x:v>Fomento Mercantil</x:v>
      </x:c>
      <x:c r="J1994" s="168" t="str">
        <x:v>CI</x:v>
      </x:c>
      <x:c r="K1994" s="174" t="n">
        <x:v>2</x:v>
      </x:c>
      <x:c r="L1994" s="187" t="str">
        <x:v>Não classificado</x:v>
      </x:c>
    </x:row>
    <x:row r="1995">
      <x:c r="A1995" s="177" t="str">
        <x:v>49.000.456/0001-40</x:v>
      </x:c>
      <x:c r="B1995" s="168" t="str">
        <x:v>P2 INVEST FUNDO DE INVESTIMENTOS EM DIREITOS CREDITÓRIOS</x:v>
      </x:c>
      <x:c r="C1995" s="190" t="n">
        <x:v>27491954.22</x:v>
      </x:c>
      <x:c r="D1995" s="168" t="str">
        <x:v>Catálise Investimentos</x:v>
      </x:c>
      <x:c r="E1995" s="168" t="str">
        <x:f>IFERROR(INDEX('Classif Gestoras'!$H$6:$H$462,MATCH(D1995,'Classif Gestoras'!$A$6:$A$462,0)),"Não classificada")</x:f>
        <x:v>Independente</x:v>
      </x:c>
      <x:c r="F1995" s="168" t="str">
        <x:v>FIDD DISTRIBUIDORA DE TITULOS E VALORES MOBILIARIOS LTD</x:v>
      </x:c>
      <x:c r="G1995" s="168" t="str">
        <x:v>FIDD DISTRIBUIDORA DE TITULOS E VALORES MOBILIARIOS LTDA.</x:v>
      </x:c>
      <x:c r="H1995" s="168" t="str">
        <x:v>Outros</x:v>
      </x:c>
      <x:c r="I1995" s="168" t="str">
        <x:v>Multicarteira Outros</x:v>
      </x:c>
      <x:c r="J1995" s="168" t="str">
        <x:v>CI</x:v>
      </x:c>
      <x:c r="K1995" s="174" t="n">
        <x:v>1</x:v>
      </x:c>
      <x:c r="L1995" s="187" t="str">
        <x:v>Proxy multicedente/multissacado — revisar</x:v>
      </x:c>
    </x:row>
    <x:row r="1996">
      <x:c r="A1996" s="177" t="str">
        <x:v>20.820.603/0001-47</x:v>
      </x:c>
      <x:c r="B1996" s="168" t="str">
        <x:v>RIV DE INVESTIMENTO IMOBILIÁRIO</x:v>
      </x:c>
      <x:c r="C1996" s="190" t="n">
        <x:v>27490502.89</x:v>
      </x:c>
      <x:c r="D1996" s="168" t="str">
        <x:v>Polo Capital Gestão de Recurso</x:v>
      </x:c>
      <x:c r="E1996" s="168" t="str">
        <x:f>IFERROR(INDEX('Classif Gestoras'!$H$6:$H$462,MATCH(D1996,'Classif Gestoras'!$A$6:$A$462,0)),"Não classificada")</x:f>
        <x:v>Independente</x:v>
      </x:c>
      <x:c r="F1996" s="168" t="str">
        <x:v>Singulare</x:v>
      </x:c>
      <x:c r="G1996" s="168" t="str">
        <x:v>QI CORRETORA DE TÍTULOS E VALORES MOBILIÁRIOS S.A.</x:v>
      </x:c>
      <x:c r="H1996" s="168" t="str">
        <x:v>Outros</x:v>
      </x:c>
      <x:c r="I1996" s="168" t="str">
        <x:v>Recuperação</x:v>
      </x:c>
      <x:c r="J1996" s="168" t="str">
        <x:v>CI</x:v>
      </x:c>
      <x:c r="K1996" s="174" t="n">
        <x:v>4</x:v>
      </x:c>
      <x:c r="L1996" s="187" t="str">
        <x:v>Não classificado</x:v>
      </x:c>
    </x:row>
    <x:row r="1997">
      <x:c r="A1997" s="177" t="str">
        <x:v>49.141.366/0001-70</x:v>
      </x:c>
      <x:c r="B1997" s="168" t="str">
        <x:v>VALE M CAPITAL FUNDO DE INVESTIMENTO EM DIREITOS CREDITÓRIOS</x:v>
      </x:c>
      <x:c r="C1997" s="190" t="n">
        <x:v>27425469.85</x:v>
      </x:c>
      <x:c r="D1997" s="168" t="str">
        <x:v>ASSET MANAGEMENT</x:v>
      </x:c>
      <x:c r="E1997" s="168" t="str">
        <x:f>IFERROR(INDEX('Classif Gestoras'!$H$6:$H$462,MATCH(D1997,'Classif Gestoras'!$A$6:$A$462,0)),"Não classificada")</x:f>
        <x:v>Independente</x:v>
      </x:c>
      <x:c r="F1997" s="168" t="str">
        <x:v>AZUMI DISTRIBUIDORA DE TÍTULOS E VALORES MOBILIÁRIOS LT</x:v>
      </x:c>
      <x:c r="G1997" s="168" t="str">
        <x:v>AZUMI DISTRIBUIDORA DE TÍTULOS E VALORES MOBILIÁRIOS LTDA.</x:v>
      </x:c>
      <x:c r="H1997" s="168" t="str">
        <x:v>Fomento Mercantil</x:v>
      </x:c>
      <x:c r="I1997" s="168" t="str">
        <x:v>Fomento Mercantil</x:v>
      </x:c>
      <x:c r="J1997" s="168" t="str">
        <x:v>CI</x:v>
      </x:c>
      <x:c r="K1997" s="174" t="n">
        <x:v>2</x:v>
      </x:c>
      <x:c r="L1997" s="187" t="str">
        <x:v>Não classificado</x:v>
      </x:c>
    </x:row>
    <x:row r="1998">
      <x:c r="A1998" s="177" t="str">
        <x:v>42.449.234/0001-60</x:v>
      </x:c>
      <x:c r="B1998" s="168" t="str">
        <x:v>REALINVEST FUNDO DE INVESTIMENTO EM DIREITOS CREDITÓRIOS</x:v>
      </x:c>
      <x:c r="C1998" s="190" t="n">
        <x:v>27424595.34</x:v>
      </x:c>
      <x:c r="D1998" s="168" t="str">
        <x:v>TERCON ASSET MANAGEMENT</x:v>
      </x:c>
      <x:c r="E1998" s="168" t="str">
        <x:f>IFERROR(INDEX('Classif Gestoras'!$H$6:$H$462,MATCH(D1998,'Classif Gestoras'!$A$6:$A$462,0)),"Não classificada")</x:f>
        <x:v>Independente</x:v>
      </x:c>
      <x:c r="F1998" s="168" t="str">
        <x:v>Singulare</x:v>
      </x:c>
      <x:c r="G1998" s="168" t="str">
        <x:v>QI CORRETORA DE TÍTULOS E VALORES MOBILIÁRIOS S.A.</x:v>
      </x:c>
      <x:c r="H1998" s="168" t="str">
        <x:v>Fomento Mercantil</x:v>
      </x:c>
      <x:c r="I1998" s="168" t="str">
        <x:v>Fomento Mercantil</x:v>
      </x:c>
      <x:c r="J1998" s="168" t="str">
        <x:v>CI</x:v>
      </x:c>
      <x:c r="K1998" s="174" t="n">
        <x:v>18</x:v>
      </x:c>
      <x:c r="L1998" s="187" t="str">
        <x:v>Não classificado</x:v>
      </x:c>
    </x:row>
    <x:row r="1999">
      <x:c r="A1999" s="177" t="str">
        <x:v>29.206.973/0001-63</x:v>
      </x:c>
      <x:c r="B1999" s="168" t="str">
        <x:v>VERTIGO 45 FUNDO DE INVESTIMENTO EM DIREITOS CREDITÓRIOS SEGMENTO ECONÔMICO FINANCEIRO</x:v>
      </x:c>
      <x:c r="C1999" s="190" t="n">
        <x:v>27396394.93</x:v>
      </x:c>
      <x:c r="D1999" s="168" t="str">
        <x:v>Petra Capital</x:v>
      </x:c>
      <x:c r="E1999" s="168" t="str">
        <x:f>IFERROR(INDEX('Classif Gestoras'!$H$6:$H$462,MATCH(D1999,'Classif Gestoras'!$A$6:$A$462,0)),"Não classificada")</x:f>
        <x:v>Independente</x:v>
      </x:c>
      <x:c r="F1999" s="168" t="str">
        <x:v>Finaxis Corretora de Títulos e Valores Mobiliários S.A.</x:v>
      </x:c>
      <x:c r="G1999" s="168" t="str">
        <x:v>BANCO FINAXIS S.A.</x:v>
      </x:c>
      <x:c r="H1999" s="168" t="str">
        <x:v>Financeiro</x:v>
      </x:c>
      <x:c r="I1999" s="168" t="str">
        <x:v>Multicarteira Financeiro</x:v>
      </x:c>
      <x:c r="J1999" s="168" t="str">
        <x:v>CI</x:v>
      </x:c>
      <x:c r="K1999" s="174" t="n">
        <x:v>12</x:v>
      </x:c>
      <x:c r="L1999" s="187" t="str">
        <x:v>Proxy multicedente/multissacado — revisar</x:v>
      </x:c>
    </x:row>
    <x:row r="2000">
      <x:c r="A2000" s="177" t="str">
        <x:v>54.478.603/0001-22</x:v>
      </x:c>
      <x:c r="B2000" s="168" t="str">
        <x:v>NOVALAR-ELETRO FUNDO DE INVESTIMENTO EM DIREITOS CREDITÓRIOS RESPONSABILIDADE LIMITADA</x:v>
      </x:c>
      <x:c r="C2000" s="190" t="n">
        <x:v>27379849.069999997</x:v>
      </x:c>
      <x:c r="D2000" s="168" t="str">
        <x:v>Renta Gestão de Recursos LTDA.</x:v>
      </x:c>
      <x:c r="E2000" s="168" t="str">
        <x:f>IFERROR(INDEX('Classif Gestoras'!$H$6:$H$462,MATCH(D2000,'Classif Gestoras'!$A$6:$A$462,0)),"Não classificada")</x:f>
        <x:v>Independente</x:v>
      </x:c>
      <x:c r="F2000" s="168" t="str">
        <x:v>ID Corretora de Títulos e Valores Mobiliários S.A.</x:v>
      </x:c>
      <x:c r="G2000" s="168" t="str">
        <x:v>ID CORRETORA DE TITULOS E VALORES MOBILIARIOS S.A.</x:v>
      </x:c>
      <x:c r="H2000" s="168" t="str">
        <x:v>Outros</x:v>
      </x:c>
      <x:c r="I2000" s="168" t="str">
        <x:v>Multicarteira Outros</x:v>
      </x:c>
      <x:c r="J2000" s="168" t="str">
        <x:v>CI</x:v>
      </x:c>
      <x:c r="K2000" s="174" t="n">
        <x:v>3</x:v>
      </x:c>
      <x:c r="L2000" s="187" t="str">
        <x:v>Proxy multicedente/multissacado — revisar</x:v>
      </x:c>
    </x:row>
    <x:row r="2001">
      <x:c r="A2001" s="177" t="str">
        <x:v>45.145.563/0001-06</x:v>
      </x:c>
      <x:c r="B2001" s="168" t="str">
        <x:v>LEGACY FUNDO DE INVESTIMENTO EM DIREITOS CREDITÓRIOS</x:v>
      </x:c>
      <x:c r="C2001" s="190" t="n">
        <x:v>27347956.000000004</x:v>
      </x:c>
      <x:c r="D2001" s="168" t="str">
        <x:v>Redwood Asset Management</x:v>
      </x:c>
      <x:c r="E2001" s="168" t="str">
        <x:f>IFERROR(INDEX('Classif Gestoras'!$H$6:$H$462,MATCH(D2001,'Classif Gestoras'!$A$6:$A$462,0)),"Não classificada")</x:f>
        <x:v>Independente</x:v>
      </x:c>
      <x:c r="F2001" s="168" t="str">
        <x:v>PLANNER CV</x:v>
      </x:c>
      <x:c r="G2001" s="168" t="str">
        <x:v>PLANNER CORRETORA DE VALORES S.A.</x:v>
      </x:c>
      <x:c r="H2001" s="168" t="str">
        <x:v>Outros</x:v>
      </x:c>
      <x:c r="I2001" s="168" t="str">
        <x:v>Multicarteira Outros</x:v>
      </x:c>
      <x:c r="J2001" s="168" t="str">
        <x:v>CI</x:v>
      </x:c>
      <x:c r="K2001" s="174" t="n">
        <x:v>2</x:v>
      </x:c>
      <x:c r="L2001" s="187" t="str">
        <x:v>Proxy multicedente/multissacado — revisar</x:v>
      </x:c>
    </x:row>
    <x:row r="2002">
      <x:c r="A2002" s="177" t="str">
        <x:v>54.304.772/0001-46</x:v>
      </x:c>
      <x:c r="B2002" s="168" t="str">
        <x:v>ST 1008 FUNDO DE INVESTIMENTO EM DIREITOS CREDITÓRIOS RESPONSABILIDADE LIMITADA</x:v>
      </x:c>
      <x:c r="C2002" s="190" t="n">
        <x:v>27327241.87</x:v>
      </x:c>
      <x:c r="D2002" s="168" t="str">
        <x:v>Strata Capital</x:v>
      </x:c>
      <x:c r="E2002" s="168" t="str">
        <x:f>IFERROR(INDEX('Classif Gestoras'!$H$6:$H$462,MATCH(D2002,'Classif Gestoras'!$A$6:$A$462,0)),"Não classificada")</x:f>
        <x:v>Independente</x:v>
      </x:c>
      <x:c r="F2002" s="168" t="str">
        <x:v>BANCO DAYCOVAL S/A</x:v>
      </x:c>
      <x:c r="G2002" s="168" t="str">
        <x:v>BANCO DAYCOVAL S.A.</x:v>
      </x:c>
      <x:c r="H2002" s="168" t="str">
        <x:v>Financeiro</x:v>
      </x:c>
      <x:c r="I2002" s="168" t="str">
        <x:v>Multicarteira Financeiro</x:v>
      </x:c>
      <x:c r="J2002" s="168" t="str">
        <x:v>CI</x:v>
      </x:c>
      <x:c r="K2002" s="174" t="n">
        <x:v>3</x:v>
      </x:c>
      <x:c r="L2002" s="187" t="str">
        <x:v>Proxy multicedente/multissacado — revisar</x:v>
      </x:c>
    </x:row>
    <x:row r="2003">
      <x:c r="A2003" s="177" t="str">
        <x:v>59.111.770/0001-54</x:v>
      </x:c>
      <x:c r="B2003" s="168" t="str">
        <x:v>JUDICIAL ASSETS N2 FUNDO DE INVESTIMENTO EM DIREITOS CREDITORIOS</x:v>
      </x:c>
      <x:c r="C2003" s="190" t="n">
        <x:v>27250425.220000003</x:v>
      </x:c>
      <x:c r="D2003" s="168" t="str">
        <x:v>EVEREST CAPITAL OFFICE LTDA</x:v>
      </x:c>
      <x:c r="E2003" s="168" t="str">
        <x:f>IFERROR(INDEX('Classif Gestoras'!$H$6:$H$462,MATCH(D2003,'Classif Gestoras'!$A$6:$A$462,0)),"Não classificada")</x:f>
        <x:v>Independente</x:v>
      </x:c>
      <x:c r="F2003" s="168" t="str">
        <x:v>ACTUAL DTVM</x:v>
      </x:c>
      <x:c r="G2003" s="168" t="str">
        <x:v>TRUSTEE DISTRIBUIDORA DE TITULOS E VALORES MOBILIARIOS LTDA.</x:v>
      </x:c>
      <x:c r="H2003" s="168" t="str">
        <x:v>Outros</x:v>
      </x:c>
      <x:c r="I2003" s="168" t="str">
        <x:v>Multicarteira Outros</x:v>
      </x:c>
      <x:c r="J2003" s="168" t="str">
        <x:v>CI</x:v>
      </x:c>
      <x:c r="K2003" s="174" t="n">
        <x:v>1</x:v>
      </x:c>
      <x:c r="L2003" s="187" t="str">
        <x:v>Proxy multicedente/multissacado — revisar</x:v>
      </x:c>
    </x:row>
    <x:row r="2004">
      <x:c r="A2004" s="177" t="str">
        <x:v>59.137.241/0001-20</x:v>
      </x:c>
      <x:c r="B2004" s="168" t="str">
        <x:v>STERN FUNDO DE INVESTIMENTO EM DIREITOS CREDITÓRIOS RESPONSABILIDADE LIMITADA</x:v>
      </x:c>
      <x:c r="C2004" s="190" t="n">
        <x:v>27208019.84</x:v>
      </x:c>
      <x:c r="D2004" s="168" t="str">
        <x:v>HEADINVEST ASSET</x:v>
      </x:c>
      <x:c r="E2004" s="168" t="str">
        <x:f>IFERROR(INDEX('Classif Gestoras'!$H$6:$H$462,MATCH(D2004,'Classif Gestoras'!$A$6:$A$462,0)),"Não classificada")</x:f>
        <x:v>Independente</x:v>
      </x:c>
      <x:c r="F2004" s="168" t="str">
        <x:v>Oliveira Trust DTVM</x:v>
      </x:c>
      <x:c r="G2004" s="168" t="str">
        <x:v>OLIVEIRA TRUST DTVM S.A.</x:v>
      </x:c>
      <x:c r="H2004" s="168" t="str">
        <x:v>Outros</x:v>
      </x:c>
      <x:c r="I2004" s="168" t="str">
        <x:v>Multicarteira Outros</x:v>
      </x:c>
      <x:c r="J2004" s="168" t="str">
        <x:v>CI</x:v>
      </x:c>
      <x:c r="K2004" s="174" t="n">
        <x:v>1</x:v>
      </x:c>
      <x:c r="L2004" s="187" t="str">
        <x:v>Proxy multicedente/multissacado — revisar</x:v>
      </x:c>
    </x:row>
    <x:row r="2005">
      <x:c r="A2005" s="177" t="str">
        <x:v>55.364.405/0001-09</x:v>
      </x:c>
      <x:c r="B2005" s="168" t="str">
        <x:v>JRP FUNDO DE INVESTIMENTO EM DIREITOS CREDITÓRIOS RESPONSABILIDADE LIMITADA</x:v>
      </x:c>
      <x:c r="C2005" s="190" t="n">
        <x:v>27204982.49</x:v>
      </x:c>
      <x:c r="D2005" s="168" t="str">
        <x:v>Veritas Capital Management</x:v>
      </x:c>
      <x:c r="E2005" s="168" t="str">
        <x:f>IFERROR(INDEX('Classif Gestoras'!$H$6:$H$462,MATCH(D2005,'Classif Gestoras'!$A$6:$A$462,0)),"Não classificada")</x:f>
        <x:v>Independente</x:v>
      </x:c>
      <x:c r="F2005" s="168" t="str">
        <x:v>BANCO DAYCOVAL S/A</x:v>
      </x:c>
      <x:c r="G2005" s="168" t="str">
        <x:v>BANCO DAYCOVAL S.A.</x:v>
      </x:c>
      <x:c r="H2005" s="168" t="str">
        <x:v>Outros</x:v>
      </x:c>
      <x:c r="I2005" s="168" t="str">
        <x:v>Multicarteira Outros</x:v>
      </x:c>
      <x:c r="J2005" s="168" t="str">
        <x:v>CI</x:v>
      </x:c>
      <x:c r="K2005" s="174" t="n">
        <x:v>1</x:v>
      </x:c>
      <x:c r="L2005" s="187" t="str">
        <x:v>Proxy multicedente/multissacado — revisar</x:v>
      </x:c>
    </x:row>
    <x:row r="2006">
      <x:c r="A2006" s="177" t="str">
        <x:v>64.530.473/0001-83</x:v>
      </x:c>
      <x:c r="B2006" s="168" t="str">
        <x:v>INTRABANK OPEN FUNDO DE INVESTIMENTO EM DIREITOS CREDITÓRIOS FINANCEIROS DE RESP LIMITADA</x:v>
      </x:c>
      <x:c r="C2006" s="190" t="n">
        <x:v>27197407.51</x:v>
      </x:c>
      <x:c r="D2006" s="168" t="str">
        <x:v>Intrabank Asset</x:v>
      </x:c>
      <x:c r="E2006" s="168" t="str">
        <x:f>IFERROR(INDEX('Classif Gestoras'!$H$6:$H$462,MATCH(D2006,'Classif Gestoras'!$A$6:$A$462,0)),"Não classificada")</x:f>
        <x:v>Independente</x:v>
      </x:c>
      <x:c r="F2006" s="168" t="str">
        <x:v>HEMERA DTVM</x:v>
      </x:c>
      <x:c r="G2006" s="168" t="str">
        <x:v>HEMERA DISTRIBUIDORA DE TITULOS E VALORES MOBILIARIOS LTDA</x:v>
      </x:c>
      <x:c r="H2006" s="168" t="str">
        <x:v>Outros</x:v>
      </x:c>
      <x:c r="I2006" s="168" t="str">
        <x:v>Multicarteira Outros</x:v>
      </x:c>
      <x:c r="J2006" s="168" t="str">
        <x:v>CI</x:v>
      </x:c>
      <x:c r="K2006" s="174" t="n">
        <x:v>2</x:v>
      </x:c>
      <x:c r="L2006" s="187" t="str">
        <x:v>Proxy multicedente/multissacado — revisar</x:v>
      </x:c>
    </x:row>
    <x:row r="2007">
      <x:c r="A2007" s="177" t="str">
        <x:v>58.888.944/0001-27</x:v>
      </x:c>
      <x:c r="B2007" s="168" t="str">
        <x:v>BRONZO N1 FUNDO DE INVESTIMENTO EM DIREITOS CREDITORIOS</x:v>
      </x:c>
      <x:c r="C2007" s="190" t="n">
        <x:v>27195873.44</x:v>
      </x:c>
      <x:c r="D2007" s="168" t="str">
        <x:v>EVEREST CAPITAL OFFICE LTDA</x:v>
      </x:c>
      <x:c r="E2007" s="168" t="str">
        <x:f>IFERROR(INDEX('Classif Gestoras'!$H$6:$H$462,MATCH(D2007,'Classif Gestoras'!$A$6:$A$462,0)),"Não classificada")</x:f>
        <x:v>Independente</x:v>
      </x:c>
      <x:c r="F2007" s="168" t="str">
        <x:v>ACTUAL DTVM</x:v>
      </x:c>
      <x:c r="G2007" s="168" t="str">
        <x:v>TRUSTEE DISTRIBUIDORA DE TITULOS E VALORES MOBILIARIOS LTDA.</x:v>
      </x:c>
      <x:c r="H2007" s="168" t="str">
        <x:v>Outros</x:v>
      </x:c>
      <x:c r="I2007" s="168" t="str">
        <x:v>Multicarteira Outros</x:v>
      </x:c>
      <x:c r="J2007" s="168" t="str">
        <x:v>CI</x:v>
      </x:c>
      <x:c r="K2007" s="174" t="n">
        <x:v>3</x:v>
      </x:c>
      <x:c r="L2007" s="187" t="str">
        <x:v>Proxy multicedente/multissacado — revisar</x:v>
      </x:c>
    </x:row>
    <x:row r="2008">
      <x:c r="A2008" s="177" t="str">
        <x:v>63.212.782/0001-42</x:v>
      </x:c>
      <x:c r="B2008" s="168" t="str">
        <x:v>GRUPO K FUNDO DE INVESTIMENTO EM DIREITOS CREDITÓRIOS</x:v>
      </x:c>
      <x:c r="C2008" s="190" t="n">
        <x:v>27185899.88</x:v>
      </x:c>
      <x:c r="D2008" s="168" t="str">
        <x:v>GV ATACAMA CAPITAL LTDA.</x:v>
      </x:c>
      <x:c r="E2008" s="168" t="str">
        <x:f>IFERROR(INDEX('Classif Gestoras'!$H$6:$H$462,MATCH(D2008,'Classif Gestoras'!$A$6:$A$462,0)),"Não classificada")</x:f>
        <x:v>Independente</x:v>
      </x:c>
      <x:c r="F2008" s="168" t="str">
        <x:v>Singulare</x:v>
      </x:c>
      <x:c r="G2008" s="168" t="str">
        <x:v>Não identificado</x:v>
      </x:c>
      <x:c r="H2008" s="168" t="str">
        <x:v>Outros</x:v>
      </x:c>
      <x:c r="I2008" s="168" t="str">
        <x:v>Multicarteira Outros</x:v>
      </x:c>
      <x:c r="J2008" s="168" t="str">
        <x:v>CI</x:v>
      </x:c>
      <x:c r="K2008" s="174" t="n">
        <x:v>3</x:v>
      </x:c>
      <x:c r="L2008" s="187" t="str">
        <x:v>Proxy multicedente/multissacado — revisar</x:v>
      </x:c>
    </x:row>
    <x:row r="2009">
      <x:c r="A2009" s="177" t="str">
        <x:v>62.792.509/0001-71</x:v>
      </x:c>
      <x:c r="B2009" s="168" t="str">
        <x:v>ERETEZ FUNDO DE INVESTIMENTO EM DIREITOS CREDITÓRIOS - RESPONSABILIDADE LIMITADA</x:v>
      </x:c>
      <x:c r="C2009" s="190" t="n">
        <x:v>27152273.980000004</x:v>
      </x:c>
      <x:c r="D2009" s="168" t="str">
        <x:v>Solis</x:v>
      </x:c>
      <x:c r="E2009" s="168" t="str">
        <x:f>IFERROR(INDEX('Classif Gestoras'!$H$6:$H$462,MATCH(D2009,'Classif Gestoras'!$A$6:$A$462,0)),"Não classificada")</x:f>
        <x:v>Independente</x:v>
      </x:c>
      <x:c r="F2009" s="168" t="str">
        <x:v>HEMERA DTVM</x:v>
      </x:c>
      <x:c r="G2009" s="168" t="str">
        <x:v>HEMERA DISTRIBUIDORA DE TITULOS E VALORES MOBILIARIOS LTDA</x:v>
      </x:c>
      <x:c r="H2009" s="168" t="str">
        <x:v>Fomento Mercantil</x:v>
      </x:c>
      <x:c r="I2009" s="168" t="str">
        <x:v>Fomento Mercantil</x:v>
      </x:c>
      <x:c r="J2009" s="168" t="str">
        <x:v>CI</x:v>
      </x:c>
      <x:c r="K2009" s="174" t="n">
        <x:v>6</x:v>
      </x:c>
      <x:c r="L2009" s="187" t="str">
        <x:v>Não classificado</x:v>
      </x:c>
    </x:row>
    <x:row r="2010">
      <x:c r="A2010" s="177" t="str">
        <x:v>55.675.974/0001-67</x:v>
      </x:c>
      <x:c r="B2010" s="168" t="str">
        <x:v>LUME FUNDO DE INVESTIMENTO EM DIREITOS CREDITÓRIOS DE RESPONSABILIDADE LIMITADA</x:v>
      </x:c>
      <x:c r="C2010" s="190" t="n">
        <x:v>27146790.04</x:v>
      </x:c>
      <x:c r="D2010" s="168" t="str">
        <x:v>Catálise Investimentos</x:v>
      </x:c>
      <x:c r="E2010" s="168" t="str">
        <x:f>IFERROR(INDEX('Classif Gestoras'!$H$6:$H$462,MATCH(D2010,'Classif Gestoras'!$A$6:$A$462,0)),"Não classificada")</x:f>
        <x:v>Independente</x:v>
      </x:c>
      <x:c r="F2010" s="168" t="str">
        <x:v>CATÁLISE DTVM</x:v>
      </x:c>
      <x:c r="G2010" s="168" t="str">
        <x:v>BANCO DAYCOVAL S.A.</x:v>
      </x:c>
      <x:c r="H2010" s="168" t="str">
        <x:v>Agro, Indústria e Comércio</x:v>
      </x:c>
      <x:c r="I2010" s="168" t="str">
        <x:v>Recebíveis Comerciais</x:v>
      </x:c>
      <x:c r="J2010" s="168" t="str">
        <x:v>CI</x:v>
      </x:c>
      <x:c r="K2010" s="174" t="n">
        <x:v>2</x:v>
      </x:c>
      <x:c r="L2010" s="187" t="str">
        <x:v>Não classificado</x:v>
      </x:c>
    </x:row>
    <x:row r="2011">
      <x:c r="A2011" s="177" t="str">
        <x:v>35.820.716/0001-10</x:v>
      </x:c>
      <x:c r="B2011" s="168" t="str">
        <x:v>FRADE IV FUNDO DE INVESTIMENTO EM DIREITOS CREDITÓRIOS</x:v>
      </x:c>
      <x:c r="C2011" s="190" t="n">
        <x:v>27081359.23</x:v>
      </x:c>
      <x:c r="D2011" s="168" t="str">
        <x:v>Vista Real Estate</x:v>
      </x:c>
      <x:c r="E2011" s="168" t="str">
        <x:f>IFERROR(INDEX('Classif Gestoras'!$H$6:$H$462,MATCH(D2011,'Classif Gestoras'!$A$6:$A$462,0)),"Não classificada")</x:f>
        <x:v>Independente</x:v>
      </x:c>
      <x:c r="F2011" s="168" t="str">
        <x:v>BRL TRUST DTVM</x:v>
      </x:c>
      <x:c r="G2011" s="168" t="str">
        <x:v>BRL TRUST DISTRIBUIDORA DE TITULOS E VALORES MOBILIARIOS S.A.</x:v>
      </x:c>
      <x:c r="H2011" s="168" t="str">
        <x:v>Outros</x:v>
      </x:c>
      <x:c r="I2011" s="168" t="str">
        <x:v>Poder Público</x:v>
      </x:c>
      <x:c r="J2011" s="168" t="str">
        <x:v>CI</x:v>
      </x:c>
      <x:c r="K2011" s="174" t="n">
        <x:v>1</x:v>
      </x:c>
      <x:c r="L2011" s="187" t="str">
        <x:v>Não classificado</x:v>
      </x:c>
    </x:row>
    <x:row r="2012">
      <x:c r="A2012" s="177" t="str">
        <x:v>56.154.338/0001-52</x:v>
      </x:c>
      <x:c r="B2012" s="168" t="str">
        <x:v>KUARÁ ORIZ LSN I FUNDO DE INVESTIMENTOS EM DIREITOS CREDITÓRIOS NP RESP LIMITADA</x:v>
      </x:c>
      <x:c r="C2012" s="190" t="n">
        <x:v>26985870.770000003</x:v>
      </x:c>
      <x:c r="D2012" s="168" t="str">
        <x:v>Kuará Capital</x:v>
      </x:c>
      <x:c r="E2012" s="168" t="str">
        <x:f>IFERROR(INDEX('Classif Gestoras'!$H$6:$H$462,MATCH(D2012,'Classif Gestoras'!$A$6:$A$462,0)),"Não classificada")</x:f>
        <x:v>Independente</x:v>
      </x:c>
      <x:c r="F2012" s="168" t="str">
        <x:v>MONETAR DISTRIBUIDORA DE TITUL</x:v>
      </x:c>
      <x:c r="G2012" s="168" t="str">
        <x:v>TERRA INVESTIMENTOS DISTRIBUIDORA DE TITULOS E VALORES MOBILIARIOS LTDA</x:v>
      </x:c>
      <x:c r="H2012" s="168" t="str">
        <x:v>Outros</x:v>
      </x:c>
      <x:c r="I2012" s="168" t="str">
        <x:v>Multicarteira Outros</x:v>
      </x:c>
      <x:c r="J2012" s="168" t="str">
        <x:v>CI</x:v>
      </x:c>
      <x:c r="K2012" s="174" t="n">
        <x:v>38</x:v>
      </x:c>
      <x:c r="L2012" s="187" t="str">
        <x:v>Proxy multicedente/multissacado — revisar</x:v>
      </x:c>
    </x:row>
    <x:row r="2013">
      <x:c r="A2013" s="177" t="str">
        <x:v>18.675.887/0001-83</x:v>
      </x:c>
      <x:c r="B2013" s="168" t="str">
        <x:v>SUPERNOVA FUNDO DE INVESTIMENTO EM DIREITOS CREDITÓRIOS MULTISSETORIAL LP</x:v>
      </x:c>
      <x:c r="C2013" s="190" t="n">
        <x:v>26958616.209999997</x:v>
      </x:c>
      <x:c r="D2013" s="168" t="str">
        <x:v>OURO PRETO INVESTIMENTOS</x:v>
      </x:c>
      <x:c r="E2013" s="168" t="str">
        <x:f>IFERROR(INDEX('Classif Gestoras'!$H$6:$H$462,MATCH(D2013,'Classif Gestoras'!$A$6:$A$462,0)),"Não classificada")</x:f>
        <x:v>Independente</x:v>
      </x:c>
      <x:c r="F2013" s="168" t="str">
        <x:v>Singulare</x:v>
      </x:c>
      <x:c r="G2013" s="168" t="str">
        <x:v>QI CORRETORA DE TÍTULOS E VALORES MOBILIÁRIOS S.A.</x:v>
      </x:c>
      <x:c r="H2013" s="168" t="str">
        <x:v>Fomento Mercantil</x:v>
      </x:c>
      <x:c r="I2013" s="168" t="str">
        <x:v>Fomento Mercantil</x:v>
      </x:c>
      <x:c r="J2013" s="168" t="str">
        <x:v>CI</x:v>
      </x:c>
      <x:c r="K2013" s="174" t="n">
        <x:v>3</x:v>
      </x:c>
      <x:c r="L2013" s="187" t="str">
        <x:v>Não classificado</x:v>
      </x:c>
    </x:row>
    <x:row r="2014">
      <x:c r="A2014" s="177" t="str">
        <x:v>31.962.973/0001-35</x:v>
      </x:c>
      <x:c r="B2014" s="168" t="str">
        <x:v>CREDIHOME FUNDO DE INVESTIMENTO EM DIREITOS CREDITÓRIOS - RESPONSABILIDADE LIMITADA</x:v>
      </x:c>
      <x:c r="C2014" s="190" t="n">
        <x:v>26922648.85</x:v>
      </x:c>
      <x:c r="D2014" s="168" t="str">
        <x:v>BRL TRUST DTVM</x:v>
      </x:c>
      <x:c r="E2014" s="168" t="str">
        <x:f>IFERROR(INDEX('Classif Gestoras'!$H$6:$H$462,MATCH(D2014,'Classif Gestoras'!$A$6:$A$462,0)),"Não classificada")</x:f>
        <x:v>Independente</x:v>
      </x:c>
      <x:c r="F2014" s="168" t="str">
        <x:v>BRL TRUST DTVM</x:v>
      </x:c>
      <x:c r="G2014" s="168" t="str">
        <x:v>BRL TRUST DISTRIBUIDORA DE TITULOS E VALORES MOBILIARIOS S.A.</x:v>
      </x:c>
      <x:c r="H2014" s="168" t="str">
        <x:v>Outros</x:v>
      </x:c>
      <x:c r="I2014" s="168" t="str">
        <x:v>Multicarteira Outros</x:v>
      </x:c>
      <x:c r="J2014" s="168" t="str">
        <x:v>CI</x:v>
      </x:c>
      <x:c r="K2014" s="174" t="n">
        <x:v>2</x:v>
      </x:c>
      <x:c r="L2014" s="187" t="str">
        <x:v>Proxy multicedente/multissacado — revisar</x:v>
      </x:c>
    </x:row>
    <x:row r="2015">
      <x:c r="A2015" s="177" t="str">
        <x:v>62.121.679/0001-24</x:v>
      </x:c>
      <x:c r="B2015" s="168" t="str">
        <x:v>BORDER FUNDO DE INVESTIMENTO EM DIREITOS CREDITÓRIOS</x:v>
      </x:c>
      <x:c r="C2015" s="190" t="n">
        <x:v>26916443.83</x:v>
      </x:c>
      <x:c r="D2015" s="168" t="str">
        <x:v>Redwood Asset Management</x:v>
      </x:c>
      <x:c r="E2015" s="168" t="str">
        <x:f>IFERROR(INDEX('Classif Gestoras'!$H$6:$H$462,MATCH(D2015,'Classif Gestoras'!$A$6:$A$462,0)),"Não classificada")</x:f>
        <x:v>Independente</x:v>
      </x:c>
      <x:c r="F2015" s="168" t="str">
        <x:v>PLANNER CV</x:v>
      </x:c>
      <x:c r="G2015" s="168" t="str">
        <x:v>PLANNER CORRETORA DE VALORES S.A.</x:v>
      </x:c>
      <x:c r="H2015" s="168" t="str">
        <x:v>Outros</x:v>
      </x:c>
      <x:c r="I2015" s="168" t="str">
        <x:v>Multicarteira Outros</x:v>
      </x:c>
      <x:c r="J2015" s="168" t="str">
        <x:v>CI</x:v>
      </x:c>
      <x:c r="K2015" s="174" t="n">
        <x:v>1</x:v>
      </x:c>
      <x:c r="L2015" s="187" t="str">
        <x:v>Proxy multicedente/multissacado — revisar</x:v>
      </x:c>
    </x:row>
    <x:row r="2016">
      <x:c r="A2016" s="177" t="str">
        <x:v>47.425.628/0001-00</x:v>
      </x:c>
      <x:c r="B2016" s="168" t="str">
        <x:v>BIOENERGY FUNDO DE INVESTIMENTO EM DIREITOS CREDITÓRIOS NÃO PADRONIZADO</x:v>
      </x:c>
      <x:c r="C2016" s="190" t="n">
        <x:v>26828142.300000004</x:v>
      </x:c>
      <x:c r="D2016" s="168" t="str">
        <x:v>BURITI INVESTIMENTOS</x:v>
      </x:c>
      <x:c r="E2016" s="168" t="str">
        <x:f>IFERROR(INDEX('Classif Gestoras'!$H$6:$H$462,MATCH(D2016,'Classif Gestoras'!$A$6:$A$462,0)),"Não classificada")</x:f>
        <x:v>Independente</x:v>
      </x:c>
      <x:c r="F2016" s="168" t="str">
        <x:v>Singulare</x:v>
      </x:c>
      <x:c r="G2016" s="168" t="str">
        <x:v>QI CORRETORA DE TÍTULOS E VALORES MOBILIÁRIOS S.A.</x:v>
      </x:c>
      <x:c r="H2016" s="168" t="str">
        <x:v>Outros</x:v>
      </x:c>
      <x:c r="I2016" s="168" t="str">
        <x:v>Poder Público</x:v>
      </x:c>
      <x:c r="J2016" s="168" t="str">
        <x:v>CI</x:v>
      </x:c>
      <x:c r="K2016" s="174" t="n">
        <x:v>3</x:v>
      </x:c>
      <x:c r="L2016" s="187" t="str">
        <x:v>Não classificado</x:v>
      </x:c>
    </x:row>
    <x:row r="2017">
      <x:c r="A2017" s="177" t="str">
        <x:v>40.800.541/0001-19</x:v>
      </x:c>
      <x:c r="B2017" s="168" t="str">
        <x:v>ALGARVE SMALL CLAIMS I FUNDO DE INVESTIMENTO EM DIREITOS CREDITÓRIOS NÃO PADRONIZADOS</x:v>
      </x:c>
      <x:c r="C2017" s="190" t="n">
        <x:v>26800889.33</x:v>
      </x:c>
      <x:c r="D2017" s="168" t="str">
        <x:v>Algarve Capital</x:v>
      </x:c>
      <x:c r="E2017" s="168" t="str">
        <x:f>IFERROR(INDEX('Classif Gestoras'!$H$6:$H$462,MATCH(D2017,'Classif Gestoras'!$A$6:$A$462,0)),"Não classificada")</x:f>
        <x:v>Independente</x:v>
      </x:c>
      <x:c r="F2017" s="168" t="str">
        <x:v>Singulare</x:v>
      </x:c>
      <x:c r="G2017" s="168" t="str">
        <x:v>QI CORRETORA DE TÍTULOS E VALORES MOBILIÁRIOS S.A.</x:v>
      </x:c>
      <x:c r="H2017" s="168" t="str">
        <x:v>Outros</x:v>
      </x:c>
      <x:c r="I2017" s="168" t="str">
        <x:v>Multicarteira Outros</x:v>
      </x:c>
      <x:c r="J2017" s="168" t="str">
        <x:v>CI</x:v>
      </x:c>
      <x:c r="K2017" s="174" t="n">
        <x:v>1</x:v>
      </x:c>
      <x:c r="L2017" s="187" t="str">
        <x:v>Proxy multicedente/multissacado — revisar</x:v>
      </x:c>
    </x:row>
    <x:row r="2018">
      <x:c r="A2018" s="177" t="str">
        <x:v>54.837.634/0001-22</x:v>
      </x:c>
      <x:c r="B2018" s="168" t="str">
        <x:v>CL VIII FUNDO DE INVESTIMENTO EM DIREITOS CREDITÓRIOS RESPONSABILIDADE LIMITADA</x:v>
      </x:c>
      <x:c r="C2018" s="190" t="n">
        <x:v>26775682.220000003</x:v>
      </x:c>
      <x:c r="D2018" s="168" t="str">
        <x:v>BTG Pactual Asset</x:v>
      </x:c>
      <x:c r="E2018" s="168" t="str">
        <x:f>IFERROR(INDEX('Classif Gestoras'!$H$6:$H$462,MATCH(D2018,'Classif Gestoras'!$A$6:$A$462,0)),"Não classificada")</x:f>
        <x:v>Ligada a banco</x:v>
      </x:c>
      <x:c r="F2018" s="168" t="str">
        <x:v>Singulare</x:v>
      </x:c>
      <x:c r="G2018" s="168" t="str">
        <x:v>QI CORRETORA DE TÍTULOS E VALORES MOBILIÁRIOS S.A.</x:v>
      </x:c>
      <x:c r="H2018" s="168" t="str">
        <x:v>Outros</x:v>
      </x:c>
      <x:c r="I2018" s="168" t="str">
        <x:v>Multicarteira Outros</x:v>
      </x:c>
      <x:c r="J2018" s="168" t="str">
        <x:v>CI</x:v>
      </x:c>
      <x:c r="K2018" s="174" t="n">
        <x:v>6</x:v>
      </x:c>
      <x:c r="L2018" s="187" t="str">
        <x:v>Proxy multicedente/multissacado — revisar</x:v>
      </x:c>
    </x:row>
    <x:row r="2019">
      <x:c r="A2019" s="177" t="str">
        <x:v>59.081.408/0001-88</x:v>
      </x:c>
      <x:c r="B2019" s="168" t="str">
        <x:v>ÁGUAS DO FUTURO FUNDO DE INVESTIMENTO EM DIREITOS CREDITÓRIOS DE RESPONSABILIDADE LIMITADA</x:v>
      </x:c>
      <x:c r="C2019" s="190" t="n">
        <x:v>26767559.4</x:v>
      </x:c>
      <x:c r="D2019" s="168" t="str">
        <x:v>Catálise Investimentos</x:v>
      </x:c>
      <x:c r="E2019" s="168" t="str">
        <x:f>IFERROR(INDEX('Classif Gestoras'!$H$6:$H$462,MATCH(D2019,'Classif Gestoras'!$A$6:$A$462,0)),"Não classificada")</x:f>
        <x:v>Independente</x:v>
      </x:c>
      <x:c r="F2019" s="168" t="str">
        <x:v>CATÁLISE DTVM</x:v>
      </x:c>
      <x:c r="G2019" s="168" t="str">
        <x:v>BANCO DAYCOVAL S.A.</x:v>
      </x:c>
      <x:c r="H2019" s="168" t="str">
        <x:v>Outros</x:v>
      </x:c>
      <x:c r="I2019" s="168" t="str">
        <x:v>Multicarteira Outros</x:v>
      </x:c>
      <x:c r="J2019" s="168" t="str">
        <x:v>CI</x:v>
      </x:c>
      <x:c r="K2019" s="174" t="n">
        <x:v>1</x:v>
      </x:c>
      <x:c r="L2019" s="187" t="str">
        <x:v>Proxy multicedente/multissacado — revisar</x:v>
      </x:c>
    </x:row>
    <x:row r="2020">
      <x:c r="A2020" s="177" t="str">
        <x:v>49.793.609/0001-54</x:v>
      </x:c>
      <x:c r="B2020" s="168" t="str">
        <x:v>SOLUCRED FUNDO DE INVESTIMENTO EM DIREITOS CREDITÓRIOS</x:v>
      </x:c>
      <x:c r="C2020" s="190" t="n">
        <x:v>26763898.81</x:v>
      </x:c>
      <x:c r="D2020" s="168" t="str">
        <x:v>TERCON ASSET MANAGEMENT</x:v>
      </x:c>
      <x:c r="E2020" s="168" t="str">
        <x:f>IFERROR(INDEX('Classif Gestoras'!$H$6:$H$462,MATCH(D2020,'Classif Gestoras'!$A$6:$A$462,0)),"Não classificada")</x:f>
        <x:v>Independente</x:v>
      </x:c>
      <x:c r="F2020" s="168" t="str">
        <x:v>Singulare</x:v>
      </x:c>
      <x:c r="G2020" s="168" t="str">
        <x:v>QI CORRETORA DE TÍTULOS E VALORES MOBILIÁRIOS S.A.</x:v>
      </x:c>
      <x:c r="H2020" s="168" t="str">
        <x:v>Fomento Mercantil</x:v>
      </x:c>
      <x:c r="I2020" s="168" t="str">
        <x:v>Fomento Mercantil</x:v>
      </x:c>
      <x:c r="J2020" s="168" t="str">
        <x:v>CI</x:v>
      </x:c>
      <x:c r="K2020" s="174" t="n">
        <x:v>7</x:v>
      </x:c>
      <x:c r="L2020" s="187" t="str">
        <x:v>Não classificado</x:v>
      </x:c>
    </x:row>
    <x:row r="2021">
      <x:c r="A2021" s="177" t="str">
        <x:v>16.502.939/0001-94</x:v>
      </x:c>
      <x:c r="B2021" s="168" t="str">
        <x:v>FUNDO DE INVESTIMENTO EM DIREITOS CREDITORIOS F COBALTO - FINANCEIRO</x:v>
      </x:c>
      <x:c r="C2021" s="190" t="n">
        <x:v>26743602.3</x:v>
      </x:c>
      <x:c r="D2021" s="168" t="str">
        <x:v>FUNDO GARANTIDOR DE CREDITOS - FGC</x:v>
      </x:c>
      <x:c r="E2021" s="168" t="str">
        <x:f>IFERROR(INDEX('Classif Gestoras'!$H$6:$H$462,MATCH(D2021,'Classif Gestoras'!$A$6:$A$462,0)),"Não classificada")</x:f>
        <x:v>Independente</x:v>
      </x:c>
      <x:c r="F2021" s="168" t="str">
        <x:v>BEM - DIST. DE TÍTUL</x:v>
      </x:c>
      <x:c r="G2021" s="168" t="str">
        <x:v>Não identificado</x:v>
      </x:c>
      <x:c r="H2021" s="168" t="str">
        <x:v>Financeiro</x:v>
      </x:c>
      <x:c r="I2021" s="168" t="str">
        <x:v>Multicarteira Financeiro</x:v>
      </x:c>
      <x:c r="J2021" s="168" t="str">
        <x:v>CI</x:v>
      </x:c>
      <x:c r="K2021" s="174" t="n">
        <x:v>1</x:v>
      </x:c>
      <x:c r="L2021" s="187" t="str">
        <x:v>Proxy multicedente/multissacado — revisar</x:v>
      </x:c>
    </x:row>
    <x:row r="2022">
      <x:c r="A2022" s="177" t="str">
        <x:v>42.043.592/0001-79</x:v>
      </x:c>
      <x:c r="B2022" s="168" t="str">
        <x:v>ATLAS 7 - FUNDO DE INVESTIMENTO EM DIREITOS CREDITÓRIOS DE RESPONSABILIDADE LIMITADA</x:v>
      </x:c>
      <x:c r="C2022" s="190" t="n">
        <x:v>26709070.25</x:v>
      </x:c>
      <x:c r="D2022" s="168" t="str">
        <x:v>MODAL ASSET</x:v>
      </x:c>
      <x:c r="E2022" s="168" t="str">
        <x:f>IFERROR(INDEX('Classif Gestoras'!$H$6:$H$462,MATCH(D2022,'Classif Gestoras'!$A$6:$A$462,0)),"Não classificada")</x:f>
        <x:v>Ligada a banco</x:v>
      </x:c>
      <x:c r="F2022" s="168" t="str">
        <x:v>MAF Distribuidora de Títulos e Valores Mobiliários S.A.</x:v>
      </x:c>
      <x:c r="G2022" s="168" t="str">
        <x:v>MAF DISTRIBUIDORA DE TITULOS E VALORES MOBILIARIOS S.A.</x:v>
      </x:c>
      <x:c r="H2022" s="168" t="str">
        <x:v>Outros</x:v>
      </x:c>
      <x:c r="I2022" s="168" t="str">
        <x:v>Multicarteira Outros</x:v>
      </x:c>
      <x:c r="J2022" s="168" t="str">
        <x:v>CI</x:v>
      </x:c>
      <x:c r="K2022" s="174" t="n">
        <x:v>1</x:v>
      </x:c>
      <x:c r="L2022" s="187" t="str">
        <x:v>Proxy multicedente/multissacado — revisar</x:v>
      </x:c>
    </x:row>
    <x:row r="2023">
      <x:c r="A2023" s="177" t="str">
        <x:v>63.123.419/0001-50</x:v>
      </x:c>
      <x:c r="B2023" s="168" t="str">
        <x:v>77SOL FUNDO DE INVESTIMENTO EM DIREITOS CREDITÓRIOS FINANCEIROS DE RESPONSABILIDADE LIMITADA</x:v>
      </x:c>
      <x:c r="C2023" s="190" t="n">
        <x:v>26644441.67</x:v>
      </x:c>
      <x:c r="D2023" s="168" t="str">
        <x:v>Riza Securitização e Carteiras</x:v>
      </x:c>
      <x:c r="E2023" s="168" t="str">
        <x:f>IFERROR(INDEX('Classif Gestoras'!$H$6:$H$462,MATCH(D2023,'Classif Gestoras'!$A$6:$A$462,0)),"Não classificada")</x:f>
        <x:v>Independente</x:v>
      </x:c>
      <x:c r="F2023" s="168" t="str">
        <x:v>Oliveira Trust DTVM</x:v>
      </x:c>
      <x:c r="G2023" s="168" t="str">
        <x:v>OLIVEIRA TRUST DTVM S.A.</x:v>
      </x:c>
      <x:c r="H2023" s="168" t="str">
        <x:v>Financeiro</x:v>
      </x:c>
      <x:c r="I2023" s="168" t="str">
        <x:v>Multicarteira Financeiro</x:v>
      </x:c>
      <x:c r="J2023" s="168" t="str">
        <x:v>CI</x:v>
      </x:c>
      <x:c r="K2023" s="174" t="n">
        <x:v>9</x:v>
      </x:c>
      <x:c r="L2023" s="187" t="str">
        <x:v>Proxy multicedente/multissacado — revisar</x:v>
      </x:c>
    </x:row>
    <x:row r="2024">
      <x:c r="A2024" s="177" t="str">
        <x:v>49.684.321/0001-41</x:v>
      </x:c>
      <x:c r="B2024" s="168" t="str">
        <x:v>MILAGRE FUNDO DE INVESTIMENTO EM DIREITOS CREDITÓRIOS RESPONSABILIDADE LIMITADA</x:v>
      </x:c>
      <x:c r="C2024" s="190" t="n">
        <x:v>26619874.62</x:v>
      </x:c>
      <x:c r="D2024" s="168" t="str">
        <x:v>Libertas Asset</x:v>
      </x:c>
      <x:c r="E2024" s="168" t="str">
        <x:f>IFERROR(INDEX('Classif Gestoras'!$H$6:$H$462,MATCH(D2024,'Classif Gestoras'!$A$6:$A$462,0)),"Não classificada")</x:f>
        <x:v>Independente</x:v>
      </x:c>
      <x:c r="F2024" s="168" t="str">
        <x:v>ACTUAL DTVM</x:v>
      </x:c>
      <x:c r="G2024" s="168" t="str">
        <x:v>LASTRO RDV DTVM LTDA</x:v>
      </x:c>
      <x:c r="H2024" s="168" t="str">
        <x:v>Outros</x:v>
      </x:c>
      <x:c r="I2024" s="168" t="str">
        <x:v>Multicarteira Outros</x:v>
      </x:c>
      <x:c r="J2024" s="168" t="str">
        <x:v>CI</x:v>
      </x:c>
      <x:c r="K2024" s="174" t="n">
        <x:v>1</x:v>
      </x:c>
      <x:c r="L2024" s="187" t="str">
        <x:v>Proxy multicedente/multissacado — revisar</x:v>
      </x:c>
    </x:row>
    <x:row r="2025">
      <x:c r="A2025" s="177" t="str">
        <x:v>58.555.763/0001-89</x:v>
      </x:c>
      <x:c r="B2025" s="168" t="str">
        <x:v>PLGN AUTO LOANS I CO-INVEST FUNDO DE INVESTIMENTO EM DIREITOS CREDITÓRIOS RESPONSABILIDADE LIMITADA</x:v>
      </x:c>
      <x:c r="C2025" s="190" t="n">
        <x:v>26602208.41</x:v>
      </x:c>
      <x:c r="D2025" s="168" t="str">
        <x:v>POLÍGONO CAPITAL LTDA.</x:v>
      </x:c>
      <x:c r="E2025" s="168" t="str">
        <x:f>IFERROR(INDEX('Classif Gestoras'!$H$6:$H$462,MATCH(D2025,'Classif Gestoras'!$A$6:$A$462,0)),"Não classificada")</x:f>
        <x:v>Independente</x:v>
      </x:c>
      <x:c r="F2025" s="168" t="str">
        <x:v>FIDD DISTRIBUIDORA DE TITULOS E VALORES MOBILIARIOS LTD</x:v>
      </x:c>
      <x:c r="G2025" s="168" t="str">
        <x:v>FIDD DISTRIBUIDORA DE TITULOS E VALORES MOBILIARIOS LTDA.</x:v>
      </x:c>
      <x:c r="H2025" s="168" t="str">
        <x:v>Financeiro</x:v>
      </x:c>
      <x:c r="I2025" s="168" t="str">
        <x:v>Crédito Pessoal</x:v>
      </x:c>
      <x:c r="J2025" s="168" t="str">
        <x:v>CI</x:v>
      </x:c>
      <x:c r="K2025" s="174" t="n">
        <x:v>6</x:v>
      </x:c>
      <x:c r="L2025" s="187" t="str">
        <x:v>Não classificado</x:v>
      </x:c>
    </x:row>
    <x:row r="2026">
      <x:c r="A2026" s="177" t="str">
        <x:v>54.519.336/0001-94</x:v>
      </x:c>
      <x:c r="B2026" s="168" t="str">
        <x:v>AVANTI FUNDO DE INVESTIMENTO EM DIREITOS CREDITÓRIOS RESPONSABILIDADE LIMITADA</x:v>
      </x:c>
      <x:c r="C2026" s="190" t="n">
        <x:v>26488055.75</x:v>
      </x:c>
      <x:c r="D2026" s="168" t="str">
        <x:v>IDGR</x:v>
      </x:c>
      <x:c r="E2026" s="168" t="str">
        <x:f>IFERROR(INDEX('Classif Gestoras'!$H$6:$H$462,MATCH(D2026,'Classif Gestoras'!$A$6:$A$462,0)),"Não classificada")</x:f>
        <x:v>Independente</x:v>
      </x:c>
      <x:c r="F2026" s="168" t="str">
        <x:v>ID Corretora de Títulos e Valores Mobiliários S.A.</x:v>
      </x:c>
      <x:c r="G2026" s="168" t="str">
        <x:v>ID CORRETORA DE TITULOS E VALORES MOBILIARIOS S.A.</x:v>
      </x:c>
      <x:c r="H2026" s="168" t="str">
        <x:v>Outros</x:v>
      </x:c>
      <x:c r="I2026" s="168" t="str">
        <x:v>Multicarteira Outros</x:v>
      </x:c>
      <x:c r="J2026" s="168" t="str">
        <x:v>CI</x:v>
      </x:c>
      <x:c r="K2026" s="174" t="n">
        <x:v>2</x:v>
      </x:c>
      <x:c r="L2026" s="187" t="str">
        <x:v>Proxy multicedente/multissacado — revisar</x:v>
      </x:c>
    </x:row>
    <x:row r="2027">
      <x:c r="A2027" s="177" t="str">
        <x:v>27.944.346/0001-02</x:v>
      </x:c>
      <x:c r="B2027" s="168" t="str">
        <x:v>QG P FUNDO DE INVESTIMENTO EM DIREITOS CREDITÓRIOS - RESPONSABILIDADE LIMITADA</x:v>
      </x:c>
      <x:c r="C2027" s="190" t="n">
        <x:v>26485523.450000003</x:v>
      </x:c>
      <x:c r="D2027" s="168" t="str">
        <x:v>Quadra Gestão de Recursos S.A.</x:v>
      </x:c>
      <x:c r="E2027" s="168" t="str">
        <x:f>IFERROR(INDEX('Classif Gestoras'!$H$6:$H$462,MATCH(D2027,'Classif Gestoras'!$A$6:$A$462,0)),"Não classificada")</x:f>
        <x:v>Independente</x:v>
      </x:c>
      <x:c r="F2027" s="168" t="str">
        <x:v>BNY MELLON SERVICOS</x:v>
      </x:c>
      <x:c r="G2027" s="168" t="str">
        <x:v>BNY MELLON BANCO S.A.</x:v>
      </x:c>
      <x:c r="H2027" s="168" t="str">
        <x:v>Outros</x:v>
      </x:c>
      <x:c r="I2027" s="168" t="str">
        <x:v>Recuperação</x:v>
      </x:c>
      <x:c r="J2027" s="168" t="str">
        <x:v>CI</x:v>
      </x:c>
      <x:c r="K2027" s="174" t="n">
        <x:v>1</x:v>
      </x:c>
      <x:c r="L2027" s="187" t="str">
        <x:v>Não classificado</x:v>
      </x:c>
    </x:row>
    <x:row r="2028">
      <x:c r="A2028" s="177" t="str">
        <x:v>57.740.019/0001-91</x:v>
      </x:c>
      <x:c r="B2028" s="168" t="str">
        <x:v>VIA PRIME FLEX FUNDO DE INVESTIMENTO EM DIREITOS CREDITÓRIOS NÃO-PADRONIZADOS RESP LIMITADA</x:v>
      </x:c>
      <x:c r="C2028" s="190" t="n">
        <x:v>26431886.010000005</x:v>
      </x:c>
      <x:c r="D2028" s="168" t="str">
        <x:v>Via Invest Gestão de Recursos Ltda.</x:v>
      </x:c>
      <x:c r="E2028" s="168" t="str">
        <x:f>IFERROR(INDEX('Classif Gestoras'!$H$6:$H$462,MATCH(D2028,'Classif Gestoras'!$A$6:$A$462,0)),"Não classificada")</x:f>
        <x:v>Independente</x:v>
      </x:c>
      <x:c r="F2028" s="168" t="str">
        <x:v>ID Corretora de Títulos e Valores Mobiliários S.A.</x:v>
      </x:c>
      <x:c r="G2028" s="168" t="str">
        <x:v>ID CORRETORA DE TITULOS E VALORES MOBILIARIOS S.A.</x:v>
      </x:c>
      <x:c r="H2028" s="168" t="str">
        <x:v>Fomento Mercantil</x:v>
      </x:c>
      <x:c r="I2028" s="168" t="str">
        <x:v>Fomento Mercantil</x:v>
      </x:c>
      <x:c r="J2028" s="168" t="str">
        <x:v>CI</x:v>
      </x:c>
      <x:c r="K2028" s="174" t="n">
        <x:v>5</x:v>
      </x:c>
      <x:c r="L2028" s="187" t="str">
        <x:v>Não classificado</x:v>
      </x:c>
    </x:row>
    <x:row r="2029">
      <x:c r="A2029" s="177" t="str">
        <x:v>54.444.075/0001-90</x:v>
      </x:c>
      <x:c r="B2029" s="168" t="str">
        <x:v>3MI FUNDO DE INVESTIMENTO EM DIREITOS CREDITÓRIOS</x:v>
      </x:c>
      <x:c r="C2029" s="190" t="n">
        <x:v>26404340.99</x:v>
      </x:c>
      <x:c r="D2029" s="168" t="str">
        <x:v>TERCON ASSET MANAGEMENT</x:v>
      </x:c>
      <x:c r="E2029" s="168" t="str">
        <x:f>IFERROR(INDEX('Classif Gestoras'!$H$6:$H$462,MATCH(D2029,'Classif Gestoras'!$A$6:$A$462,0)),"Não classificada")</x:f>
        <x:v>Independente</x:v>
      </x:c>
      <x:c r="F2029" s="168" t="str">
        <x:v>Singulare</x:v>
      </x:c>
      <x:c r="G2029" s="168" t="str">
        <x:v>QI CORRETORA DE TÍTULOS E VALORES MOBILIÁRIOS S.A.</x:v>
      </x:c>
      <x:c r="H2029" s="168" t="str">
        <x:v>Fomento Mercantil</x:v>
      </x:c>
      <x:c r="I2029" s="168" t="str">
        <x:v>Fomento Mercantil</x:v>
      </x:c>
      <x:c r="J2029" s="168" t="str">
        <x:v>CI</x:v>
      </x:c>
      <x:c r="K2029" s="174" t="n">
        <x:v>2</x:v>
      </x:c>
      <x:c r="L2029" s="187" t="str">
        <x:v>Não classificado</x:v>
      </x:c>
    </x:row>
    <x:row r="2030">
      <x:c r="A2030" s="177" t="str">
        <x:v>20.905.862/0001-70</x:v>
      </x:c>
      <x:c r="B2030" s="168" t="str">
        <x:v>PRIME FUNDO DE INVESTIMENTO EM DIREITOS CREDITÓRIOS MULTISSETORIAL</x:v>
      </x:c>
      <x:c r="C2030" s="190" t="n">
        <x:v>26400945.67</x:v>
      </x:c>
      <x:c r="D2030" s="168" t="str">
        <x:v>OURO PRETO INVESTIMENTOS</x:v>
      </x:c>
      <x:c r="E2030" s="168" t="str">
        <x:f>IFERROR(INDEX('Classif Gestoras'!$H$6:$H$462,MATCH(D2030,'Classif Gestoras'!$A$6:$A$462,0)),"Não classificada")</x:f>
        <x:v>Independente</x:v>
      </x:c>
      <x:c r="F2030" s="168" t="str">
        <x:v>Limine Trust Distribuidora de Titulos e Valores Mobiliá</x:v>
      </x:c>
      <x:c r="G2030" s="168" t="str">
        <x:v>LIMINE TRUST DISTRIBUIDORA DE TITULOS E VALORES MOBILIARIOS LTDA.</x:v>
      </x:c>
      <x:c r="H2030" s="168" t="str">
        <x:v>Fomento Mercantil</x:v>
      </x:c>
      <x:c r="I2030" s="168" t="str">
        <x:v>Fomento Mercantil</x:v>
      </x:c>
      <x:c r="J2030" s="168" t="str">
        <x:v>CI</x:v>
      </x:c>
      <x:c r="K2030" s="174" t="n">
        <x:v>20</x:v>
      </x:c>
      <x:c r="L2030" s="187" t="str">
        <x:v>Não classificado</x:v>
      </x:c>
    </x:row>
    <x:row r="2031">
      <x:c r="A2031" s="177" t="str">
        <x:v>36.334.968/0001-00</x:v>
      </x:c>
      <x:c r="B2031" s="168" t="str">
        <x:v>POSITANO FUNDO DE INVESTIMENTO EM DIREITOS CREDITÓRIOS</x:v>
      </x:c>
      <x:c r="C2031" s="190" t="n">
        <x:v>26368975.18</x:v>
      </x:c>
      <x:c r="D2031" s="168" t="str">
        <x:v>SOMMA Investimentos</x:v>
      </x:c>
      <x:c r="E2031" s="168" t="str">
        <x:f>IFERROR(INDEX('Classif Gestoras'!$H$6:$H$462,MATCH(D2031,'Classif Gestoras'!$A$6:$A$462,0)),"Não classificada")</x:f>
        <x:v>Independente</x:v>
      </x:c>
      <x:c r="F2031" s="168" t="str">
        <x:v>Singulare</x:v>
      </x:c>
      <x:c r="G2031" s="168" t="str">
        <x:v>QI CORRETORA DE TÍTULOS E VALORES MOBILIÁRIOS S.A.</x:v>
      </x:c>
      <x:c r="H2031" s="168" t="str">
        <x:v>Financeiro</x:v>
      </x:c>
      <x:c r="I2031" s="168" t="str">
        <x:v>Crédito Imobiliário</x:v>
      </x:c>
      <x:c r="J2031" s="168" t="str">
        <x:v>CI</x:v>
      </x:c>
      <x:c r="K2031" s="174" t="n">
        <x:v>1</x:v>
      </x:c>
      <x:c r="L2031" s="187" t="str">
        <x:v>Não classificado</x:v>
      </x:c>
    </x:row>
    <x:row r="2032">
      <x:c r="A2032" s="177" t="str">
        <x:v>49.983.868/0001-48</x:v>
      </x:c>
      <x:c r="B2032" s="168" t="str">
        <x:v>PRECAVIDA II FUNDO DE INVESTIMENTO EM DIREITOS CREDITORIOS</x:v>
      </x:c>
      <x:c r="C2032" s="190" t="n">
        <x:v>26335739.880000003</x:v>
      </x:c>
      <x:c r="D2032" s="168" t="str">
        <x:v>Libertas Asset</x:v>
      </x:c>
      <x:c r="E2032" s="168" t="str">
        <x:f>IFERROR(INDEX('Classif Gestoras'!$H$6:$H$462,MATCH(D2032,'Classif Gestoras'!$A$6:$A$462,0)),"Não classificada")</x:f>
        <x:v>Independente</x:v>
      </x:c>
      <x:c r="F2032" s="168" t="str">
        <x:v>ACTUAL DTVM</x:v>
      </x:c>
      <x:c r="G2032" s="168" t="str">
        <x:v>TRUSTEE DISTRIBUIDORA DE TITULOS E VALORES MOBILIARIOS LTDA.</x:v>
      </x:c>
      <x:c r="H2032" s="168" t="str">
        <x:v>Fomento Mercantil</x:v>
      </x:c>
      <x:c r="I2032" s="168" t="str">
        <x:v>Fomento Mercantil</x:v>
      </x:c>
      <x:c r="J2032" s="168" t="str">
        <x:v>CI</x:v>
      </x:c>
      <x:c r="K2032" s="174" t="n">
        <x:v>90</x:v>
      </x:c>
      <x:c r="L2032" s="187" t="str">
        <x:v>Não classificado</x:v>
      </x:c>
    </x:row>
    <x:row r="2033">
      <x:c r="A2033" s="177" t="str">
        <x:v>55.037.275/0001-91</x:v>
      </x:c>
      <x:c r="B2033" s="168" t="str">
        <x:v>W CAPITAL II - FUNDO DE INVESTIMENTO EM DIREITOS CREDITÓRIOS DE RESPONSABILIDADE LIMITADA</x:v>
      </x:c>
      <x:c r="C2033" s="190" t="n">
        <x:v>26320613.880000006</x:v>
      </x:c>
      <x:c r="D2033" s="168" t="str">
        <x:v>W Capital</x:v>
      </x:c>
      <x:c r="E2033" s="168" t="str">
        <x:f>IFERROR(INDEX('Classif Gestoras'!$H$6:$H$462,MATCH(D2033,'Classif Gestoras'!$A$6:$A$462,0)),"Não classificada")</x:f>
        <x:v>Independente</x:v>
      </x:c>
      <x:c r="F2033" s="168" t="str">
        <x:v>BANCO DAYCOVAL S/A</x:v>
      </x:c>
      <x:c r="G2033" s="168" t="str">
        <x:v>BANCO DAYCOVAL S.A.</x:v>
      </x:c>
      <x:c r="H2033" s="168" t="str">
        <x:v>Agro, Indústria e Comércio</x:v>
      </x:c>
      <x:c r="I2033" s="168" t="str">
        <x:v>Crédito Corporativo</x:v>
      </x:c>
      <x:c r="J2033" s="168" t="str">
        <x:v>CI</x:v>
      </x:c>
      <x:c r="K2033" s="174" t="n">
        <x:v>198</x:v>
      </x:c>
      <x:c r="L2033" s="187" t="str">
        <x:v>Não classificado</x:v>
      </x:c>
    </x:row>
    <x:row r="2034">
      <x:c r="A2034" s="177" t="str">
        <x:v>62.604.155/0001-94</x:v>
      </x:c>
      <x:c r="B2034" s="168" t="str">
        <x:v>LIFT CRÉDITO ESTRUTURADO I FUNDO DE INVESTIMENTO EM DIREITOS CREDITÓRIOS RESPOSABILIDADE LIMITADA</x:v>
      </x:c>
      <x:c r="C2034" s="190" t="n">
        <x:v>26274745.1</x:v>
      </x:c>
      <x:c r="D2034" s="168" t="str">
        <x:v>Namari Capital Gestão de Recursos Ltda.</x:v>
      </x:c>
      <x:c r="E2034" s="168" t="str">
        <x:f>IFERROR(INDEX('Classif Gestoras'!$H$6:$H$462,MATCH(D2034,'Classif Gestoras'!$A$6:$A$462,0)),"Não classificada")</x:f>
        <x:v>Independente</x:v>
      </x:c>
      <x:c r="F2034" s="168" t="str">
        <x:v>BANCO DAYCOVAL S/A</x:v>
      </x:c>
      <x:c r="G2034" s="168" t="str">
        <x:v>BANCO DAYCOVAL S.A.</x:v>
      </x:c>
      <x:c r="H2034" s="168" t="str">
        <x:v>Outros</x:v>
      </x:c>
      <x:c r="I2034" s="168" t="str">
        <x:v>Multicarteira Outros</x:v>
      </x:c>
      <x:c r="J2034" s="168" t="str">
        <x:v>CI</x:v>
      </x:c>
      <x:c r="K2034" s="174" t="n">
        <x:v>5</x:v>
      </x:c>
      <x:c r="L2034" s="187" t="str">
        <x:v>Proxy multicedente/multissacado — revisar</x:v>
      </x:c>
    </x:row>
    <x:row r="2035">
      <x:c r="A2035" s="177" t="str">
        <x:v>58.315.066/0001-50</x:v>
      </x:c>
      <x:c r="B2035" s="168" t="str">
        <x:v>CAPITALE FUNDO DE INVESTIMENTO EM DIREITOS CREDITÓRIOS MULTISSEGMENTO</x:v>
      </x:c>
      <x:c r="C2035" s="190" t="n">
        <x:v>26268927.92</x:v>
      </x:c>
      <x:c r="D2035" s="168" t="str">
        <x:v>Petra Capital</x:v>
      </x:c>
      <x:c r="E2035" s="168" t="str">
        <x:f>IFERROR(INDEX('Classif Gestoras'!$H$6:$H$462,MATCH(D2035,'Classif Gestoras'!$A$6:$A$462,0)),"Não classificada")</x:f>
        <x:v>Independente</x:v>
      </x:c>
      <x:c r="F2035" s="168" t="str">
        <x:v>Finaxis Corretora de Títulos e Valores Mobiliários S.A.</x:v>
      </x:c>
      <x:c r="G2035" s="168" t="str">
        <x:v>BANCO FINAXIS S.A.</x:v>
      </x:c>
      <x:c r="H2035" s="168" t="str">
        <x:v>Outros</x:v>
      </x:c>
      <x:c r="I2035" s="168" t="str">
        <x:v>Multicarteira Outros</x:v>
      </x:c>
      <x:c r="J2035" s="168" t="str">
        <x:v>CI</x:v>
      </x:c>
      <x:c r="K2035" s="174" t="n">
        <x:v>2</x:v>
      </x:c>
      <x:c r="L2035" s="187" t="str">
        <x:v>Proxy multicedente/multissacado — revisar</x:v>
      </x:c>
    </x:row>
    <x:row r="2036">
      <x:c r="A2036" s="177" t="str">
        <x:v>63.381.126/0001-73</x:v>
      </x:c>
      <x:c r="B2036" s="168" t="str">
        <x:v>OPENSEA SP FUNDO DE INVESTIMENTO EM DIREITOS CREDITÓRIOS RESPONSABILIDADE LIMITADA</x:v>
      </x:c>
      <x:c r="C2036" s="190" t="n">
        <x:v>26254043.74</x:v>
      </x:c>
      <x:c r="D2036" s="168" t="str">
        <x:v>RJ Gestão de Recursos Ltda.</x:v>
      </x:c>
      <x:c r="E2036" s="168" t="str">
        <x:f>IFERROR(INDEX('Classif Gestoras'!$H$6:$H$462,MATCH(D2036,'Classif Gestoras'!$A$6:$A$462,0)),"Não classificada")</x:f>
        <x:v>Independente</x:v>
      </x:c>
      <x:c r="F2036" s="168" t="str">
        <x:v>Singulare</x:v>
      </x:c>
      <x:c r="G2036" s="168" t="str">
        <x:v>QI CORRETORA DE TÍTULOS E VALORES MOBILIÁRIOS S.A.</x:v>
      </x:c>
      <x:c r="H2036" s="168" t="str">
        <x:v>Outros</x:v>
      </x:c>
      <x:c r="I2036" s="168" t="str">
        <x:v>Poder Público</x:v>
      </x:c>
      <x:c r="J2036" s="168" t="str">
        <x:v>CI</x:v>
      </x:c>
      <x:c r="K2036" s="174" t="n">
        <x:v>34</x:v>
      </x:c>
      <x:c r="L2036" s="187" t="str">
        <x:v>Não classificado</x:v>
      </x:c>
    </x:row>
    <x:row r="2037">
      <x:c r="A2037" s="177" t="str">
        <x:v>39.883.874/0001-70</x:v>
      </x:c>
      <x:c r="B2037" s="168" t="str">
        <x:v>FUNDO DE INVESTIMENTO EM DIREITOS CREDITÓRIOS NÃO-PADRONIZADOS TRYBE VQV SSI - RESPONSABILIDADE LIMI</x:v>
      </x:c>
      <x:c r="C2037" s="190" t="n">
        <x:v>26183562.12</x:v>
      </x:c>
      <x:c r="D2037" s="168" t="str">
        <x:v>Milênio Capital</x:v>
      </x:c>
      <x:c r="E2037" s="168" t="str">
        <x:f>IFERROR(INDEX('Classif Gestoras'!$H$6:$H$462,MATCH(D2037,'Classif Gestoras'!$A$6:$A$462,0)),"Não classificada")</x:f>
        <x:v>Independente</x:v>
      </x:c>
      <x:c r="F2037" s="168" t="str">
        <x:v>Oliveira Trust DTVM</x:v>
      </x:c>
      <x:c r="G2037" s="168" t="str">
        <x:v>OLIVEIRA TRUST DTVM S.A.</x:v>
      </x:c>
      <x:c r="H2037" s="168" t="str">
        <x:v>Outros</x:v>
      </x:c>
      <x:c r="I2037" s="168" t="str">
        <x:v>Multicarteira Outros</x:v>
      </x:c>
      <x:c r="J2037" s="168" t="str">
        <x:v>CI</x:v>
      </x:c>
      <x:c r="K2037" s="174" t="n">
        <x:v>38</x:v>
      </x:c>
      <x:c r="L2037" s="187" t="str">
        <x:v>Proxy multicedente/multissacado — revisar</x:v>
      </x:c>
    </x:row>
    <x:row r="2038">
      <x:c r="A2038" s="177" t="str">
        <x:v>62.639.578/0001-40</x:v>
      </x:c>
      <x:c r="B2038" s="168" t="str">
        <x:v>A4 FUNDO DE INVESTIMENTO EM DIREITOS CREDITÓRIOS RESPONSABILIDADE LIMITADA</x:v>
      </x:c>
      <x:c r="C2038" s="190" t="n">
        <x:v>26130961.16</x:v>
      </x:c>
      <x:c r="D2038" s="168" t="str">
        <x:v>Renova Gestora</x:v>
      </x:c>
      <x:c r="E2038" s="168" t="str">
        <x:f>IFERROR(INDEX('Classif Gestoras'!$H$6:$H$462,MATCH(D2038,'Classif Gestoras'!$A$6:$A$462,0)),"Não classificada")</x:f>
        <x:v>Independente</x:v>
      </x:c>
      <x:c r="F2038" s="168" t="str">
        <x:v>MONETAR DISTRIBUIDORA DE TITUL</x:v>
      </x:c>
      <x:c r="G2038" s="168" t="str">
        <x:v>TERRA INVESTIMENTOS DISTRIBUIDORA DE TITULOS E VALORES MOBILIARIOS LTDA</x:v>
      </x:c>
      <x:c r="H2038" s="168" t="str">
        <x:v>Outros</x:v>
      </x:c>
      <x:c r="I2038" s="168" t="str">
        <x:v>Multicarteira Outros</x:v>
      </x:c>
      <x:c r="J2038" s="168" t="str">
        <x:v>CI</x:v>
      </x:c>
      <x:c r="K2038" s="174" t="n">
        <x:v>1</x:v>
      </x:c>
      <x:c r="L2038" s="187" t="str">
        <x:v>Proxy multicedente/multissacado — revisar</x:v>
      </x:c>
    </x:row>
    <x:row r="2039">
      <x:c r="A2039" s="177" t="str">
        <x:v>41.687.522/0001-90</x:v>
      </x:c>
      <x:c r="B2039" s="168" t="str">
        <x:v>SUPERE FUNDO DE INVESTIMENTO EM DIREITOS CREDITÓRIOS</x:v>
      </x:c>
      <x:c r="C2039" s="190" t="n">
        <x:v>26073492.380000003</x:v>
      </x:c>
      <x:c r="D2039" s="168" t="str">
        <x:v>Libertas Asset</x:v>
      </x:c>
      <x:c r="E2039" s="168" t="str">
        <x:f>IFERROR(INDEX('Classif Gestoras'!$H$6:$H$462,MATCH(D2039,'Classif Gestoras'!$A$6:$A$462,0)),"Não classificada")</x:f>
        <x:v>Independente</x:v>
      </x:c>
      <x:c r="F2039" s="168" t="str">
        <x:v>ACTUAL DTVM</x:v>
      </x:c>
      <x:c r="G2039" s="168" t="str">
        <x:v>LASTRO RDV DTVM LTDA</x:v>
      </x:c>
      <x:c r="H2039" s="168" t="str">
        <x:v>Fomento Mercantil</x:v>
      </x:c>
      <x:c r="I2039" s="168" t="str">
        <x:v>Fomento Mercantil</x:v>
      </x:c>
      <x:c r="J2039" s="168" t="str">
        <x:v>CI</x:v>
      </x:c>
      <x:c r="K2039" s="174" t="n">
        <x:v>8</x:v>
      </x:c>
      <x:c r="L2039" s="187" t="str">
        <x:v>Não classificado</x:v>
      </x:c>
    </x:row>
    <x:row r="2040">
      <x:c r="A2040" s="177" t="str">
        <x:v>24.852.946/0001-44</x:v>
      </x:c>
      <x:c r="B2040" s="168" t="str">
        <x:v>FUNDO DE INVESTIMENTO EM DIREITOS CREDITÓRIOS TG REAL</x:v>
      </x:c>
      <x:c r="C2040" s="190" t="n">
        <x:v>26056408.99</x:v>
      </x:c>
      <x:c r="D2040" s="168" t="str">
        <x:v>TG CORE ASSET</x:v>
      </x:c>
      <x:c r="E2040" s="168" t="str">
        <x:f>IFERROR(INDEX('Classif Gestoras'!$H$6:$H$462,MATCH(D2040,'Classif Gestoras'!$A$6:$A$462,0)),"Não classificada")</x:f>
        <x:v>Independente</x:v>
      </x:c>
      <x:c r="F2040" s="168" t="str">
        <x:v>VÓRTX DTVM</x:v>
      </x:c>
      <x:c r="G2040" s="168" t="str">
        <x:v>VORTX DISTRIBUIDORA DE TITULOS E VALORES MOBILIARIOS LTDA.</x:v>
      </x:c>
      <x:c r="H2040" s="168" t="str">
        <x:v>Outros</x:v>
      </x:c>
      <x:c r="I2040" s="168" t="str">
        <x:v>Multicarteira Outros</x:v>
      </x:c>
      <x:c r="J2040" s="168" t="str">
        <x:v>CI</x:v>
      </x:c>
      <x:c r="K2040" s="174" t="n">
        <x:v>97</x:v>
      </x:c>
      <x:c r="L2040" s="187" t="str">
        <x:v>Proxy multicedente/multissacado — revisar</x:v>
      </x:c>
    </x:row>
    <x:row r="2041">
      <x:c r="A2041" s="177" t="str">
        <x:v>47.463.403/0001-30</x:v>
      </x:c>
      <x:c r="B2041" s="168" t="str">
        <x:v>ARTESANAL CP AUTO FUNDO DE INVESTIMENTO EM DIREITOS CREDITÓRIOS - RESPONSABILIDADE LIMITADA</x:v>
      </x:c>
      <x:c r="C2041" s="190" t="n">
        <x:v>26042580</x:v>
      </x:c>
      <x:c r="D2041" s="168" t="str">
        <x:v>ARTESANAL FINANCEIRO</x:v>
      </x:c>
      <x:c r="E2041" s="168" t="str">
        <x:f>IFERROR(INDEX('Classif Gestoras'!$H$6:$H$462,MATCH(D2041,'Classif Gestoras'!$A$6:$A$462,0)),"Não classificada")</x:f>
        <x:v>Independente</x:v>
      </x:c>
      <x:c r="F2041" s="168" t="str">
        <x:v>Singulare</x:v>
      </x:c>
      <x:c r="G2041" s="168" t="str">
        <x:v>QI CORRETORA DE TÍTULOS E VALORES MOBILIÁRIOS S.A.</x:v>
      </x:c>
      <x:c r="H2041" s="168" t="str">
        <x:v>Outros</x:v>
      </x:c>
      <x:c r="I2041" s="168" t="str">
        <x:v>Multicarteira Outros</x:v>
      </x:c>
      <x:c r="J2041" s="168" t="str">
        <x:v>CI</x:v>
      </x:c>
      <x:c r="K2041" s="174" t="n">
        <x:v>4</x:v>
      </x:c>
      <x:c r="L2041" s="187" t="str">
        <x:v>Proxy multicedente/multissacado — revisar</x:v>
      </x:c>
    </x:row>
    <x:row r="2042">
      <x:c r="A2042" s="177" t="str">
        <x:v>57.391.848/0001-06</x:v>
      </x:c>
      <x:c r="B2042" s="168" t="str">
        <x:v>ASPEN SUB FUNDO DE INVESTIMENTO EM COTAS DE FUNDOS DE INVESTIMENTO EM DIREITOS CREDITÓRIOS</x:v>
      </x:c>
      <x:c r="C2042" s="190" t="n">
        <x:v>25979018.44</x:v>
      </x:c>
      <x:c r="D2042" s="168" t="str">
        <x:v>WIT ASSET MANAGEMENT</x:v>
      </x:c>
      <x:c r="E2042" s="168" t="str">
        <x:f>IFERROR(INDEX('Classif Gestoras'!$H$6:$H$462,MATCH(D2042,'Classif Gestoras'!$A$6:$A$462,0)),"Não classificada")</x:f>
        <x:v>Independente</x:v>
      </x:c>
      <x:c r="F2042" s="168" t="str">
        <x:v>BANCO DAYCOVAL S/A</x:v>
      </x:c>
      <x:c r="G2042" s="168" t="str">
        <x:v>BANCO DAYCOVAL S.A.</x:v>
      </x:c>
      <x:c r="H2042" s="168" t="str">
        <x:v>Outros</x:v>
      </x:c>
      <x:c r="I2042" s="168" t="str">
        <x:v>Multicarteira Outros</x:v>
      </x:c>
      <x:c r="J2042" s="168" t="str">
        <x:v>CI</x:v>
      </x:c>
      <x:c r="K2042" s="174" t="n">
        <x:v>9</x:v>
      </x:c>
      <x:c r="L2042" s="187" t="str">
        <x:v>Proxy multicedente/multissacado — revisar</x:v>
      </x:c>
    </x:row>
    <x:row r="2043">
      <x:c r="A2043" s="177" t="str">
        <x:v>59.733.020/0001-14</x:v>
      </x:c>
      <x:c r="B2043" s="168" t="str">
        <x:v>AMFI CATÁLISE FUNDO DE INVESTIMENTO EM DIREITOS CREDITÓRIOS DE RESPONSABILIDADE LIMITADA</x:v>
      </x:c>
      <x:c r="C2043" s="190" t="n">
        <x:v>25905793.56</x:v>
      </x:c>
      <x:c r="D2043" s="168" t="str">
        <x:v>Catálise Investimentos</x:v>
      </x:c>
      <x:c r="E2043" s="168" t="str">
        <x:f>IFERROR(INDEX('Classif Gestoras'!$H$6:$H$462,MATCH(D2043,'Classif Gestoras'!$A$6:$A$462,0)),"Não classificada")</x:f>
        <x:v>Independente</x:v>
      </x:c>
      <x:c r="F2043" s="168" t="str">
        <x:v>BANCO DAYCOVAL S/A</x:v>
      </x:c>
      <x:c r="G2043" s="168" t="str">
        <x:v>BANCO DAYCOVAL S.A.</x:v>
      </x:c>
      <x:c r="H2043" s="168" t="str">
        <x:v>Agro, Indústria e Comércio</x:v>
      </x:c>
      <x:c r="I2043" s="168" t="str">
        <x:v>Agronegócio</x:v>
      </x:c>
      <x:c r="J2043" s="168" t="str">
        <x:v>CI</x:v>
      </x:c>
      <x:c r="K2043" s="174" t="n">
        <x:v>10</x:v>
      </x:c>
      <x:c r="L2043" s="187" t="str">
        <x:v>Não classificado</x:v>
      </x:c>
    </x:row>
    <x:row r="2044">
      <x:c r="A2044" s="177" t="str">
        <x:v>50.792.099/0001-80</x:v>
      </x:c>
      <x:c r="B2044" s="168" t="str">
        <x:v>BAMAQ CAPITAL FUNDO DE INVESTIMENTO EM DIREITOS CREDITÓRIOS NÃO PADRONIZADOS</x:v>
      </x:c>
      <x:c r="C2044" s="190" t="n">
        <x:v>25867793.85</x:v>
      </x:c>
      <x:c r="D2044" s="168" t="str">
        <x:v>TERCON ASSET MANAGEMENT</x:v>
      </x:c>
      <x:c r="E2044" s="168" t="str">
        <x:f>IFERROR(INDEX('Classif Gestoras'!$H$6:$H$462,MATCH(D2044,'Classif Gestoras'!$A$6:$A$462,0)),"Não classificada")</x:f>
        <x:v>Independente</x:v>
      </x:c>
      <x:c r="F2044" s="168" t="str">
        <x:v>MONETAR DISTRIBUIDORA DE TITUL</x:v>
      </x:c>
      <x:c r="G2044" s="168" t="str">
        <x:v>TERRA INVESTIMENTOS DISTRIBUIDORA DE TITULOS E VALORES MOBILIARIOS LTDA</x:v>
      </x:c>
      <x:c r="H2044" s="168" t="str">
        <x:v>Outros</x:v>
      </x:c>
      <x:c r="I2044" s="168" t="str">
        <x:v>Multicarteira Outros</x:v>
      </x:c>
      <x:c r="J2044" s="168" t="str">
        <x:v>CI</x:v>
      </x:c>
      <x:c r="K2044" s="174" t="n">
        <x:v>18</x:v>
      </x:c>
      <x:c r="L2044" s="187" t="str">
        <x:v>Proxy multicedente/multissacado — revisar</x:v>
      </x:c>
    </x:row>
    <x:row r="2045">
      <x:c r="A2045" s="177" t="str">
        <x:v>60.307.274/0001-50</x:v>
      </x:c>
      <x:c r="B2045" s="168" t="str">
        <x:v>BSB FUNDO DE INVESTIMENTO EM DIREITOS CREDITÓRIOS</x:v>
      </x:c>
      <x:c r="C2045" s="190" t="n">
        <x:v>25813992.720000003</x:v>
      </x:c>
      <x:c r="D2045" s="168" t="str">
        <x:v>REAG SPECIAL SITUATIONS</x:v>
      </x:c>
      <x:c r="E2045" s="168" t="str">
        <x:f>IFERROR(INDEX('Classif Gestoras'!$H$6:$H$462,MATCH(D2045,'Classif Gestoras'!$A$6:$A$462,0)),"Não classificada")</x:f>
        <x:v>Independente</x:v>
      </x:c>
      <x:c r="F2045" s="168" t="str">
        <x:v>Finvest Digital</x:v>
      </x:c>
      <x:c r="G2045" s="168" t="str">
        <x:v>FINVEST DISTRIBUIDORA DE TÍTULOS E VALORES MOBILIÁRIOS LTDA.</x:v>
      </x:c>
      <x:c r="H2045" s="168" t="str">
        <x:v>Fomento Mercantil</x:v>
      </x:c>
      <x:c r="I2045" s="168" t="str">
        <x:v>Fomento Mercantil</x:v>
      </x:c>
      <x:c r="J2045" s="168" t="str">
        <x:v>CI</x:v>
      </x:c>
      <x:c r="K2045" s="174" t="n">
        <x:v>2</x:v>
      </x:c>
      <x:c r="L2045" s="187" t="str">
        <x:v>Não classificado</x:v>
      </x:c>
    </x:row>
    <x:row r="2046">
      <x:c r="A2046" s="177" t="str">
        <x:v>55.768.218/0001-82</x:v>
      </x:c>
      <x:c r="B2046" s="168" t="str">
        <x:v>SF3 QUATÁ FUNDO DE INVESTIMENTO EM DIREITOS CREDITÓRIOS</x:v>
      </x:c>
      <x:c r="C2046" s="190" t="n">
        <x:v>25727372.2</x:v>
      </x:c>
      <x:c r="D2046" s="168" t="str">
        <x:v>DAYCOVAL ASSET MANAG</x:v>
      </x:c>
      <x:c r="E2046" s="168" t="str">
        <x:f>IFERROR(INDEX('Classif Gestoras'!$H$6:$H$462,MATCH(D2046,'Classif Gestoras'!$A$6:$A$462,0)),"Não classificada")</x:f>
        <x:v>Ligada a banco</x:v>
      </x:c>
      <x:c r="F2046" s="168" t="str">
        <x:v>BANCO DAYCOVAL S/A</x:v>
      </x:c>
      <x:c r="G2046" s="168" t="str">
        <x:v>BANCO DAYCOVAL S.A.</x:v>
      </x:c>
      <x:c r="H2046" s="168" t="str">
        <x:v>Financeiro</x:v>
      </x:c>
      <x:c r="I2046" s="168" t="str">
        <x:v>Financiamento de Veículos</x:v>
      </x:c>
      <x:c r="J2046" s="168" t="str">
        <x:v>CI</x:v>
      </x:c>
      <x:c r="K2046" s="174" t="n">
        <x:v>1</x:v>
      </x:c>
      <x:c r="L2046" s="187" t="str">
        <x:v>Não classificado</x:v>
      </x:c>
    </x:row>
    <x:row r="2047">
      <x:c r="A2047" s="177" t="str">
        <x:v>44.272.584/0001-20</x:v>
      </x:c>
      <x:c r="B2047" s="168" t="str">
        <x:v>CNPJ 44272584000120</x:v>
      </x:c>
      <x:c r="C2047" s="190" t="n">
        <x:v>25713308.76</x:v>
      </x:c>
      <x:c r="D2047" s="168" t="str">
        <x:v>Kanastra</x:v>
      </x:c>
      <x:c r="E2047" s="168" t="str">
        <x:f>IFERROR(INDEX('Classif Gestoras'!$H$6:$H$462,MATCH(D2047,'Classif Gestoras'!$A$6:$A$462,0)),"Não classificada")</x:f>
        <x:v>Independente</x:v>
      </x:c>
      <x:c r="F2047" s="168" t="str">
        <x:v>VÓRTX DTVM</x:v>
      </x:c>
      <x:c r="G2047" s="168" t="str">
        <x:v>Não identificado</x:v>
      </x:c>
      <x:c r="H2047" s="168" t="str">
        <x:v>Agro, Indústria e Comércio</x:v>
      </x:c>
      <x:c r="I2047" s="168" t="str">
        <x:v>Recebíveis Comerciais</x:v>
      </x:c>
      <x:c r="J2047" s="168" t="str">
        <x:v>CI</x:v>
      </x:c>
      <x:c r="K2047" s="174"/>
      <x:c r="L2047" s="187" t="str">
        <x:v>Não classificado</x:v>
      </x:c>
    </x:row>
    <x:row r="2048">
      <x:c r="A2048" s="177" t="str">
        <x:v>52.354.707/0001-08</x:v>
      </x:c>
      <x:c r="B2048" s="168" t="str">
        <x:v>IZI CASH I FUNDO DE INVESTIMENTO EM DIREITOS CREDITÓRIOS</x:v>
      </x:c>
      <x:c r="C2048" s="190" t="n">
        <x:v>25690319.75</x:v>
      </x:c>
      <x:c r="D2048" s="168" t="str">
        <x:v>BTG Pactual Asset</x:v>
      </x:c>
      <x:c r="E2048" s="168" t="str">
        <x:f>IFERROR(INDEX('Classif Gestoras'!$H$6:$H$462,MATCH(D2048,'Classif Gestoras'!$A$6:$A$462,0)),"Não classificada")</x:f>
        <x:v>Ligada a banco</x:v>
      </x:c>
      <x:c r="F2048" s="168" t="str">
        <x:v>BTG Pactual Servicos Financeiros S/A DTVM</x:v>
      </x:c>
      <x:c r="G2048" s="168" t="str">
        <x:v>BANCO BTG PACTUAL S/A</x:v>
      </x:c>
      <x:c r="H2048" s="168" t="str">
        <x:v>Fomento Mercantil</x:v>
      </x:c>
      <x:c r="I2048" s="168" t="str">
        <x:v>Fomento Mercantil</x:v>
      </x:c>
      <x:c r="J2048" s="168" t="str">
        <x:v>CI</x:v>
      </x:c>
      <x:c r="K2048" s="174" t="n">
        <x:v>3</x:v>
      </x:c>
      <x:c r="L2048" s="187" t="str">
        <x:v>Não classificado</x:v>
      </x:c>
    </x:row>
    <x:row r="2049">
      <x:c r="A2049" s="177" t="str">
        <x:v>23.033.577/0001-03</x:v>
      </x:c>
      <x:c r="B2049" s="168" t="str">
        <x:v>ILLUMINATI FUNDO DE INVESTIMENTO EM DIREITOS CREDITÓRIOS</x:v>
      </x:c>
      <x:c r="C2049" s="190" t="n">
        <x:v>25678642.8</x:v>
      </x:c>
      <x:c r="D2049" s="168" t="str">
        <x:v>QUELUZ ASSET</x:v>
      </x:c>
      <x:c r="E2049" s="168" t="str">
        <x:f>IFERROR(INDEX('Classif Gestoras'!$H$6:$H$462,MATCH(D2049,'Classif Gestoras'!$A$6:$A$462,0)),"Não classificada")</x:f>
        <x:v>Independente</x:v>
      </x:c>
      <x:c r="F2049" s="168" t="str">
        <x:v>TRUSTEE DTVM</x:v>
      </x:c>
      <x:c r="G2049" s="168" t="str">
        <x:v>TRUSTEE DISTRIBUIDORA DE TITULOS E VALORES MOBILIARIOS LTDA.</x:v>
      </x:c>
      <x:c r="H2049" s="168" t="str">
        <x:v>Outros</x:v>
      </x:c>
      <x:c r="I2049" s="168" t="str">
        <x:v>Multicarteira Outros</x:v>
      </x:c>
      <x:c r="J2049" s="168" t="str">
        <x:v>CI</x:v>
      </x:c>
      <x:c r="K2049" s="174" t="n">
        <x:v>11</x:v>
      </x:c>
      <x:c r="L2049" s="187" t="str">
        <x:v>Proxy multicedente/multissacado — revisar</x:v>
      </x:c>
    </x:row>
    <x:row r="2050">
      <x:c r="A2050" s="177" t="str">
        <x:v>60.759.882/0001-03</x:v>
      </x:c>
      <x:c r="B2050" s="168" t="str">
        <x:v>TENDA FUNDO DE INVESTIMENTO EM DIREITOS CREDITÓRIOS NÃO PADRONIZADO</x:v>
      </x:c>
      <x:c r="C2050" s="190" t="n">
        <x:v>25657161.72</x:v>
      </x:c>
      <x:c r="D2050" s="168" t="str">
        <x:v>Latinoamericana de Investimentos e Capital Ltda</x:v>
      </x:c>
      <x:c r="E2050" s="168" t="str">
        <x:f>IFERROR(INDEX('Classif Gestoras'!$H$6:$H$462,MATCH(D2050,'Classif Gestoras'!$A$6:$A$462,0)),"Não classificada")</x:f>
        <x:v>Independente</x:v>
      </x:c>
      <x:c r="F2050" s="168" t="str">
        <x:v>MONETAR DISTRIBUIDORA DE TITUL</x:v>
      </x:c>
      <x:c r="G2050" s="168" t="str">
        <x:v>TERRA INVESTIMENTOS DISTRIBUIDORA DE TITULOS E VALORES MOBILIARIOS LTDA</x:v>
      </x:c>
      <x:c r="H2050" s="168" t="str">
        <x:v>Outros</x:v>
      </x:c>
      <x:c r="I2050" s="168" t="str">
        <x:v>Multicarteira Outros</x:v>
      </x:c>
      <x:c r="J2050" s="168" t="str">
        <x:v>CI</x:v>
      </x:c>
      <x:c r="K2050" s="174" t="n">
        <x:v>9</x:v>
      </x:c>
      <x:c r="L2050" s="187" t="str">
        <x:v>Proxy multicedente/multissacado — revisar</x:v>
      </x:c>
    </x:row>
    <x:row r="2051">
      <x:c r="A2051" s="177" t="str">
        <x:v>65.793.331/0001-71</x:v>
      </x:c>
      <x:c r="B2051" s="168" t="str">
        <x:v>CTZ FUNDO DE INVESTIMENTO EM DIREITOS CREDITÓRIOS - RESPONSABILIDADE LIMITADA</x:v>
      </x:c>
      <x:c r="C2051" s="190" t="n">
        <x:v>25641520.08</x:v>
      </x:c>
      <x:c r="D2051" s="168" t="str">
        <x:v>Solis</x:v>
      </x:c>
      <x:c r="E2051" s="168" t="str">
        <x:f>IFERROR(INDEX('Classif Gestoras'!$H$6:$H$462,MATCH(D2051,'Classif Gestoras'!$A$6:$A$462,0)),"Não classificada")</x:f>
        <x:v>Independente</x:v>
      </x:c>
      <x:c r="F2051" s="168" t="str">
        <x:v>HEMERA DTVM</x:v>
      </x:c>
      <x:c r="G2051" s="168" t="str">
        <x:v>HEMERA DISTRIBUIDORA DE TITULOS E VALORES MOBILIARIOS LTDA</x:v>
      </x:c>
      <x:c r="H2051" s="168" t="str">
        <x:v>Financeiro</x:v>
      </x:c>
      <x:c r="I2051" s="168" t="str">
        <x:v>Multicarteira Financeiro</x:v>
      </x:c>
      <x:c r="J2051" s="168" t="str">
        <x:v>CI</x:v>
      </x:c>
      <x:c r="K2051" s="174" t="n">
        <x:v>4</x:v>
      </x:c>
      <x:c r="L2051" s="187" t="str">
        <x:v>Proxy multicedente/multissacado — revisar</x:v>
      </x:c>
    </x:row>
    <x:row r="2052">
      <x:c r="A2052" s="177" t="str">
        <x:v>55.728.962/0001-53</x:v>
      </x:c>
      <x:c r="B2052" s="168" t="str">
        <x:v>JMP43 FUNDO DE INVESTIMENTO EM DIREITOS CREDITÓRIOS</x:v>
      </x:c>
      <x:c r="C2052" s="190" t="n">
        <x:v>25632795.84</x:v>
      </x:c>
      <x:c r="D2052" s="168" t="str">
        <x:v>Global Gestão e Investimentos</x:v>
      </x:c>
      <x:c r="E2052" s="168" t="str">
        <x:f>IFERROR(INDEX('Classif Gestoras'!$H$6:$H$462,MATCH(D2052,'Classif Gestoras'!$A$6:$A$462,0)),"Não classificada")</x:f>
        <x:v>Independente</x:v>
      </x:c>
      <x:c r="F2052" s="168" t="str">
        <x:v>Singulare</x:v>
      </x:c>
      <x:c r="G2052" s="168" t="str">
        <x:v>QI CORRETORA DE TÍTULOS E VALORES MOBILIÁRIOS S.A.</x:v>
      </x:c>
      <x:c r="H2052" s="168" t="str">
        <x:v>Fomento Mercantil</x:v>
      </x:c>
      <x:c r="I2052" s="168" t="str">
        <x:v>Fomento Mercantil</x:v>
      </x:c>
      <x:c r="J2052" s="168" t="str">
        <x:v>CI</x:v>
      </x:c>
      <x:c r="K2052" s="174" t="n">
        <x:v>1</x:v>
      </x:c>
      <x:c r="L2052" s="187" t="str">
        <x:v>Não classificado</x:v>
      </x:c>
    </x:row>
    <x:row r="2053">
      <x:c r="A2053" s="177" t="str">
        <x:v>21.397.715/0001-08</x:v>
      </x:c>
      <x:c r="B2053" s="168" t="str">
        <x:v>FP GENIAL RECUPERAÇÃO DE CRÉDITO FUNDO DE INVESTIMENTO EM DIREITOS CREDITÓRIOS NÃO PADRONIZADOS</x:v>
      </x:c>
      <x:c r="C2053" s="190" t="n">
        <x:v>25615929.25</x:v>
      </x:c>
      <x:c r="D2053" s="168" t="str">
        <x:v>Plural</x:v>
      </x:c>
      <x:c r="E2053" s="168" t="str">
        <x:f>IFERROR(INDEX('Classif Gestoras'!$H$6:$H$462,MATCH(D2053,'Classif Gestoras'!$A$6:$A$462,0)),"Não classificada")</x:f>
        <x:v>Ligada a banco</x:v>
      </x:c>
      <x:c r="F2053" s="168" t="str">
        <x:v>Singulare</x:v>
      </x:c>
      <x:c r="G2053" s="168" t="str">
        <x:v>QI CORRETORA DE TÍTULOS E VALORES MOBILIÁRIOS S.A.</x:v>
      </x:c>
      <x:c r="H2053" s="168" t="str">
        <x:v>Outros</x:v>
      </x:c>
      <x:c r="I2053" s="168" t="str">
        <x:v>Recuperação</x:v>
      </x:c>
      <x:c r="J2053" s="168" t="str">
        <x:v>CI</x:v>
      </x:c>
      <x:c r="K2053" s="174" t="n">
        <x:v>4</x:v>
      </x:c>
      <x:c r="L2053" s="187" t="str">
        <x:v>Não classificado</x:v>
      </x:c>
    </x:row>
    <x:row r="2054">
      <x:c r="A2054" s="177" t="str">
        <x:v>62.972.105/0001-60</x:v>
      </x:c>
      <x:c r="B2054" s="168" t="str">
        <x:v>ONZE II FUNDO DE INVESTIMENTO EM DIREITOS CREDITÓRIOS - RESPONSABILIDADE LIMITADA</x:v>
      </x:c>
      <x:c r="C2054" s="190" t="n">
        <x:v>25611608.82</x:v>
      </x:c>
      <x:c r="D2054" s="168" t="str">
        <x:v>Onze Investimentos</x:v>
      </x:c>
      <x:c r="E2054" s="168" t="str">
        <x:f>IFERROR(INDEX('Classif Gestoras'!$H$6:$H$462,MATCH(D2054,'Classif Gestoras'!$A$6:$A$462,0)),"Não classificada")</x:f>
        <x:v>Independente</x:v>
      </x:c>
      <x:c r="F2054" s="168" t="str">
        <x:v>Singulare</x:v>
      </x:c>
      <x:c r="G2054" s="168" t="str">
        <x:v>QI CORRETORA DE TÍTULOS E VALORES MOBILIÁRIOS S.A.</x:v>
      </x:c>
      <x:c r="H2054" s="168" t="str">
        <x:v>Financeiro</x:v>
      </x:c>
      <x:c r="I2054" s="168" t="str">
        <x:v>Crédito Pessoal</x:v>
      </x:c>
      <x:c r="J2054" s="168" t="str">
        <x:v>CI</x:v>
      </x:c>
      <x:c r="K2054" s="174" t="n">
        <x:v>5</x:v>
      </x:c>
      <x:c r="L2054" s="187" t="str">
        <x:v>Não classificado</x:v>
      </x:c>
    </x:row>
    <x:row r="2055">
      <x:c r="A2055" s="177" t="str">
        <x:v>29.613.776/0001-69</x:v>
      </x:c>
      <x:c r="B2055" s="168" t="str">
        <x:v>DAVOS ADONAI FUNDO DE INVESTIMENTO EM DIREITOS CREDITORIOS</x:v>
      </x:c>
      <x:c r="C2055" s="190" t="n">
        <x:v>25581319.67</x:v>
      </x:c>
      <x:c r="D2055" s="168" t="str">
        <x:v>TERCON ASSET MANAGEMENT</x:v>
      </x:c>
      <x:c r="E2055" s="168" t="str">
        <x:f>IFERROR(INDEX('Classif Gestoras'!$H$6:$H$462,MATCH(D2055,'Classif Gestoras'!$A$6:$A$462,0)),"Não classificada")</x:f>
        <x:v>Independente</x:v>
      </x:c>
      <x:c r="F2055" s="168" t="str">
        <x:v>Singulare</x:v>
      </x:c>
      <x:c r="G2055" s="168" t="str">
        <x:v>QI CORRETORA DE TÍTULOS E VALORES MOBILIÁRIOS S.A.</x:v>
      </x:c>
      <x:c r="H2055" s="168" t="str">
        <x:v>Fomento Mercantil</x:v>
      </x:c>
      <x:c r="I2055" s="168" t="str">
        <x:v>Fomento Mercantil</x:v>
      </x:c>
      <x:c r="J2055" s="168" t="str">
        <x:v>CI</x:v>
      </x:c>
      <x:c r="K2055" s="174" t="n">
        <x:v>1</x:v>
      </x:c>
      <x:c r="L2055" s="187" t="str">
        <x:v>Não classificado</x:v>
      </x:c>
    </x:row>
    <x:row r="2056">
      <x:c r="A2056" s="177" t="str">
        <x:v>64.744.236/0001-15</x:v>
      </x:c>
      <x:c r="B2056" s="168" t="str">
        <x:v>PCS III FEEDER FUNDO DE INVESTIMENTO EM DIREITOS CREDITÓRIOS</x:v>
      </x:c>
      <x:c r="C2056" s="190" t="n">
        <x:v>25542640.14</x:v>
      </x:c>
      <x:c r="D2056" s="168" t="str">
        <x:v>PRISMA PRIVATE CREDIT</x:v>
      </x:c>
      <x:c r="E2056" s="168" t="str">
        <x:f>IFERROR(INDEX('Classif Gestoras'!$H$6:$H$462,MATCH(D2056,'Classif Gestoras'!$A$6:$A$462,0)),"Não classificada")</x:f>
        <x:v>Independente</x:v>
      </x:c>
      <x:c r="F2056" s="168" t="str">
        <x:v>BTG Pactual Servicos Financeiros S/A DTVM</x:v>
      </x:c>
      <x:c r="G2056" s="168" t="str">
        <x:v>BANCO BTG PACTUAL S/A</x:v>
      </x:c>
      <x:c r="H2056" s="168" t="str">
        <x:v>Outros</x:v>
      </x:c>
      <x:c r="I2056" s="168" t="str">
        <x:v>Multicarteira Outros</x:v>
      </x:c>
      <x:c r="J2056" s="168" t="str">
        <x:v>CI</x:v>
      </x:c>
      <x:c r="K2056" s="174" t="n">
        <x:v>1</x:v>
      </x:c>
      <x:c r="L2056" s="187" t="str">
        <x:v>Proxy multicedente/multissacado — revisar</x:v>
      </x:c>
    </x:row>
    <x:row r="2057">
      <x:c r="A2057" s="177" t="str">
        <x:v>59.524.577/0001-45</x:v>
      </x:c>
      <x:c r="B2057" s="168" t="str">
        <x:v>FUNDO DE INVESTIMENTO EM DIREITOS CREDITÓRIOS DAV</x:v>
      </x:c>
      <x:c r="C2057" s="190" t="n">
        <x:v>25486965.58</x:v>
      </x:c>
      <x:c r="D2057" s="168" t="str">
        <x:v>Milênio Capital</x:v>
      </x:c>
      <x:c r="E2057" s="168" t="str">
        <x:f>IFERROR(INDEX('Classif Gestoras'!$H$6:$H$462,MATCH(D2057,'Classif Gestoras'!$A$6:$A$462,0)),"Não classificada")</x:f>
        <x:v>Independente</x:v>
      </x:c>
      <x:c r="F2057" s="168" t="str">
        <x:v>VÓRTX DTVM</x:v>
      </x:c>
      <x:c r="G2057" s="168" t="str">
        <x:v>VORTX DISTRIBUIDORA DE TITULOS E VALORES MOBILIARIOS LTDA.</x:v>
      </x:c>
      <x:c r="H2057" s="168" t="str">
        <x:v>Agro, Indústria e Comércio</x:v>
      </x:c>
      <x:c r="I2057" s="168" t="str">
        <x:v>Agronegócio</x:v>
      </x:c>
      <x:c r="J2057" s="168" t="str">
        <x:v>CI</x:v>
      </x:c>
      <x:c r="K2057" s="174" t="n">
        <x:v>9</x:v>
      </x:c>
      <x:c r="L2057" s="187" t="str">
        <x:v>Não classificado</x:v>
      </x:c>
    </x:row>
    <x:row r="2058">
      <x:c r="A2058" s="177" t="str">
        <x:v>53.319.087/0001-20</x:v>
      </x:c>
      <x:c r="B2058" s="168" t="str">
        <x:v>CPM FUNDO DE INVESTIMENTO EM DIREITOS CREDITÓRIOS</x:v>
      </x:c>
      <x:c r="C2058" s="190" t="n">
        <x:v>25432739.84</x:v>
      </x:c>
      <x:c r="D2058" s="168" t="str">
        <x:v>Redwood Asset Management</x:v>
      </x:c>
      <x:c r="E2058" s="168" t="str">
        <x:f>IFERROR(INDEX('Classif Gestoras'!$H$6:$H$462,MATCH(D2058,'Classif Gestoras'!$A$6:$A$462,0)),"Não classificada")</x:f>
        <x:v>Independente</x:v>
      </x:c>
      <x:c r="F2058" s="168" t="str">
        <x:v>PLANNER CV</x:v>
      </x:c>
      <x:c r="G2058" s="168" t="str">
        <x:v>PLANNER CORRETORA DE VALORES S.A.</x:v>
      </x:c>
      <x:c r="H2058" s="168" t="str">
        <x:v>Outros</x:v>
      </x:c>
      <x:c r="I2058" s="168" t="str">
        <x:v>Multicarteira Outros</x:v>
      </x:c>
      <x:c r="J2058" s="168" t="str">
        <x:v>CI</x:v>
      </x:c>
      <x:c r="K2058" s="174" t="n">
        <x:v>1</x:v>
      </x:c>
      <x:c r="L2058" s="187" t="str">
        <x:v>Proxy multicedente/multissacado — revisar</x:v>
      </x:c>
    </x:row>
    <x:row r="2059">
      <x:c r="A2059" s="177" t="str">
        <x:v>66.575.588/0001-10</x:v>
      </x:c>
      <x:c r="B2059" s="168" t="str">
        <x:v>FINANTO INSS RECEIVABLES I FUNDO DE INVESTIMENTO EM DIREITOS CREDITÓRIOS RESPONSABILIDADE LIMITADA</x:v>
      </x:c>
      <x:c r="C2059" s="190" t="n">
        <x:v>25388922.57</x:v>
      </x:c>
      <x:c r="D2059" s="168" t="str">
        <x:v>BTG Pactual Asset</x:v>
      </x:c>
      <x:c r="E2059" s="168" t="str">
        <x:f>IFERROR(INDEX('Classif Gestoras'!$H$6:$H$462,MATCH(D2059,'Classif Gestoras'!$A$6:$A$462,0)),"Não classificada")</x:f>
        <x:v>Ligada a banco</x:v>
      </x:c>
      <x:c r="F2059" s="168" t="str">
        <x:v>Singulare</x:v>
      </x:c>
      <x:c r="G2059" s="168" t="str">
        <x:v>QI CORRETORA DE TÍTULOS E VALORES MOBILIÁRIOS S.A.</x:v>
      </x:c>
      <x:c r="H2059" s="168" t="str">
        <x:v>Financeiro</x:v>
      </x:c>
      <x:c r="I2059" s="168" t="str">
        <x:v>Crédito Consignado</x:v>
      </x:c>
      <x:c r="J2059" s="168" t="str">
        <x:v>CI</x:v>
      </x:c>
      <x:c r="K2059" s="174" t="n">
        <x:v>5</x:v>
      </x:c>
      <x:c r="L2059" s="187" t="str">
        <x:v>Não classificado</x:v>
      </x:c>
    </x:row>
    <x:row r="2060">
      <x:c r="A2060" s="177" t="str">
        <x:v>58.488.141/0001-85</x:v>
      </x:c>
      <x:c r="B2060" s="168" t="str">
        <x:v>CLASSE ÚNICA DE COTAS DO ST 1016 FUNDO DE INVESTIMENTO EM DIREITOS CREDITÓRIOS RESP LIMITADA</x:v>
      </x:c>
      <x:c r="C2060" s="190" t="n">
        <x:v>25374142.43</x:v>
      </x:c>
      <x:c r="D2060" s="168" t="str">
        <x:v>Strata Capital</x:v>
      </x:c>
      <x:c r="E2060" s="168" t="str">
        <x:f>IFERROR(INDEX('Classif Gestoras'!$H$6:$H$462,MATCH(D2060,'Classif Gestoras'!$A$6:$A$462,0)),"Não classificada")</x:f>
        <x:v>Independente</x:v>
      </x:c>
      <x:c r="F2060" s="168" t="str">
        <x:v>BANCO DAYCOVAL S/A</x:v>
      </x:c>
      <x:c r="G2060" s="168" t="str">
        <x:v>BANCO DAYCOVAL S.A.</x:v>
      </x:c>
      <x:c r="H2060" s="168" t="str">
        <x:v>Outros</x:v>
      </x:c>
      <x:c r="I2060" s="168" t="str">
        <x:v>Multicarteira Outros</x:v>
      </x:c>
      <x:c r="J2060" s="168" t="str">
        <x:v>CI</x:v>
      </x:c>
      <x:c r="K2060" s="174" t="n">
        <x:v>16</x:v>
      </x:c>
      <x:c r="L2060" s="187" t="str">
        <x:v>Proxy multicedente/multissacado — revisar</x:v>
      </x:c>
    </x:row>
    <x:row r="2061">
      <x:c r="A2061" s="177" t="str">
        <x:v>53.145.182/0001-55</x:v>
      </x:c>
      <x:c r="B2061" s="168" t="str">
        <x:v>LIONS FUNDO DE INVESTIMENTO EM DIREITOS CREDITÓRIOS</x:v>
      </x:c>
      <x:c r="C2061" s="190" t="n">
        <x:v>25366923.4</x:v>
      </x:c>
      <x:c r="D2061" s="168" t="str">
        <x:v>ASSET MANAGEMENT</x:v>
      </x:c>
      <x:c r="E2061" s="168" t="str">
        <x:f>IFERROR(INDEX('Classif Gestoras'!$H$6:$H$462,MATCH(D2061,'Classif Gestoras'!$A$6:$A$462,0)),"Não classificada")</x:f>
        <x:v>Independente</x:v>
      </x:c>
      <x:c r="F2061" s="168" t="str">
        <x:v>AZUMI DISTRIBUIDORA DE TÍTULOS E VALORES MOBILIÁRIOS LT</x:v>
      </x:c>
      <x:c r="G2061" s="168" t="str">
        <x:v>AZUMI DISTRIBUIDORA DE TÍTULOS E VALORES MOBILIÁRIOS LTDA.</x:v>
      </x:c>
      <x:c r="H2061" s="168" t="str">
        <x:v>Outros</x:v>
      </x:c>
      <x:c r="I2061" s="168" t="str">
        <x:v>Multicarteira Outros</x:v>
      </x:c>
      <x:c r="J2061" s="168" t="str">
        <x:v>CI</x:v>
      </x:c>
      <x:c r="K2061" s="174" t="n">
        <x:v>12</x:v>
      </x:c>
      <x:c r="L2061" s="187" t="str">
        <x:v>Proxy multicedente/multissacado — revisar</x:v>
      </x:c>
    </x:row>
    <x:row r="2062">
      <x:c r="A2062" s="177" t="str">
        <x:v>33.823.975/0001-79</x:v>
      </x:c>
      <x:c r="B2062" s="168" t="str">
        <x:v>ASGARD FUNDO DE INVESTIMENTO EM DIREITOS CREDITÓRIOS NÃO-PADRONIZADOS</x:v>
      </x:c>
      <x:c r="C2062" s="190" t="n">
        <x:v>25231458.38</x:v>
      </x:c>
      <x:c r="D2062" s="168" t="str">
        <x:v>ATIVA ASSET LTDA</x:v>
      </x:c>
      <x:c r="E2062" s="168" t="str">
        <x:f>IFERROR(INDEX('Classif Gestoras'!$H$6:$H$462,MATCH(D2062,'Classif Gestoras'!$A$6:$A$462,0)),"Não classificada")</x:f>
        <x:v>Independente</x:v>
      </x:c>
      <x:c r="F2062" s="168" t="str">
        <x:v>Ativa S/A CTCV</x:v>
      </x:c>
      <x:c r="G2062" s="168" t="str">
        <x:v>ATIVA INVESTIMENTOS S.A. C.T.C.V.</x:v>
      </x:c>
      <x:c r="H2062" s="168" t="str">
        <x:v>Outros</x:v>
      </x:c>
      <x:c r="I2062" s="168" t="str">
        <x:v>Multicarteira Outros</x:v>
      </x:c>
      <x:c r="J2062" s="168" t="str">
        <x:v>CI</x:v>
      </x:c>
      <x:c r="K2062" s="174" t="n">
        <x:v>7</x:v>
      </x:c>
      <x:c r="L2062" s="187" t="str">
        <x:v>Proxy multicedente/multissacado — revisar</x:v>
      </x:c>
    </x:row>
    <x:row r="2063">
      <x:c r="A2063" s="177" t="str">
        <x:v>46.268.912/0001-40</x:v>
      </x:c>
      <x:c r="B2063" s="168" t="str">
        <x:v>LOGFIN FUNDO DE INVESTIMENTO EM DIREITOS CREDITÓRIOS</x:v>
      </x:c>
      <x:c r="C2063" s="190" t="n">
        <x:v>25094301.020000003</x:v>
      </x:c>
      <x:c r="D2063" s="168" t="str">
        <x:v>Catálise Investimentos</x:v>
      </x:c>
      <x:c r="E2063" s="168" t="str">
        <x:f>IFERROR(INDEX('Classif Gestoras'!$H$6:$H$462,MATCH(D2063,'Classif Gestoras'!$A$6:$A$462,0)),"Não classificada")</x:f>
        <x:v>Independente</x:v>
      </x:c>
      <x:c r="F2063" s="168" t="str">
        <x:v>CATÁLISE DTVM</x:v>
      </x:c>
      <x:c r="G2063" s="168" t="str">
        <x:v>BANCO DAYCOVAL S.A.</x:v>
      </x:c>
      <x:c r="H2063" s="168" t="str">
        <x:v>Outros</x:v>
      </x:c>
      <x:c r="I2063" s="168" t="str">
        <x:v>Multicarteira Outros</x:v>
      </x:c>
      <x:c r="J2063" s="168" t="str">
        <x:v>CI</x:v>
      </x:c>
      <x:c r="K2063" s="174" t="n">
        <x:v>4</x:v>
      </x:c>
      <x:c r="L2063" s="187" t="str">
        <x:v>Proxy multicedente/multissacado — revisar</x:v>
      </x:c>
    </x:row>
    <x:row r="2064">
      <x:c r="A2064" s="177" t="str">
        <x:v>45.722.284/0001-68</x:v>
      </x:c>
      <x:c r="B2064" s="168" t="str">
        <x:v>FIDC CANAAN - FUNDO DE INVESTIMENTO EM DIREITOS CREDITÓRIOS RESPONSABILIDADE LIMITADA</x:v>
      </x:c>
      <x:c r="C2064" s="190" t="n">
        <x:v>25075818.14</x:v>
      </x:c>
      <x:c r="D2064" s="168" t="str">
        <x:v>CONTEA CAPITAL</x:v>
      </x:c>
      <x:c r="E2064" s="168" t="str">
        <x:f>IFERROR(INDEX('Classif Gestoras'!$H$6:$H$462,MATCH(D2064,'Classif Gestoras'!$A$6:$A$462,0)),"Não classificada")</x:f>
        <x:v>Independente</x:v>
      </x:c>
      <x:c r="F2064" s="168" t="str">
        <x:v>ID Corretora de Títulos e Valores Mobiliários S.A.</x:v>
      </x:c>
      <x:c r="G2064" s="168" t="str">
        <x:v>ID CORRETORA DE TITULOS E VALORES MOBILIARIOS S.A.</x:v>
      </x:c>
      <x:c r="H2064" s="168" t="str">
        <x:v>Outros</x:v>
      </x:c>
      <x:c r="I2064" s="168" t="str">
        <x:v>Multicarteira Outros</x:v>
      </x:c>
      <x:c r="J2064" s="168" t="str">
        <x:v>CI</x:v>
      </x:c>
      <x:c r="K2064" s="174" t="n">
        <x:v>5</x:v>
      </x:c>
      <x:c r="L2064" s="187" t="str">
        <x:v>Proxy multicedente/multissacado — revisar</x:v>
      </x:c>
    </x:row>
    <x:row r="2065">
      <x:c r="A2065" s="177" t="str">
        <x:v>32.511.204/0001-83</x:v>
      </x:c>
      <x:c r="B2065" s="168" t="str">
        <x:v>ALLUGG FUNDO DE INVESTIMENTO EM DIREITOS CREDITÓRIOS</x:v>
      </x:c>
      <x:c r="C2065" s="190" t="n">
        <x:v>25014795.379999995</x:v>
      </x:c>
      <x:c r="D2065" s="168" t="str">
        <x:v>Mosaico Gestora de Recursos Ltda.</x:v>
      </x:c>
      <x:c r="E2065" s="168" t="str">
        <x:f>IFERROR(INDEX('Classif Gestoras'!$H$6:$H$462,MATCH(D2065,'Classif Gestoras'!$A$6:$A$462,0)),"Não classificada")</x:f>
        <x:v>Independente</x:v>
      </x:c>
      <x:c r="F2065" s="168" t="str">
        <x:v>OSLO DTVM S. A.</x:v>
      </x:c>
      <x:c r="G2065" s="168" t="str">
        <x:v>OSLO CAPITAL DISTRIBUIDORA DE TITULOS E VALORES MOBILIARIOS S.A.</x:v>
      </x:c>
      <x:c r="H2065" s="168" t="str">
        <x:v>Fomento Mercantil</x:v>
      </x:c>
      <x:c r="I2065" s="168" t="str">
        <x:v>Fomento Mercantil</x:v>
      </x:c>
      <x:c r="J2065" s="168" t="str">
        <x:v>CI</x:v>
      </x:c>
      <x:c r="K2065" s="174" t="n">
        <x:v>18</x:v>
      </x:c>
      <x:c r="L2065" s="187" t="str">
        <x:v>Não classificado</x:v>
      </x:c>
    </x:row>
    <x:row r="2066">
      <x:c r="A2066" s="177" t="str">
        <x:v>52.286.780/0001-81</x:v>
      </x:c>
      <x:c r="B2066" s="168" t="str">
        <x:v>THE CAPITAL UNIVERSE FUNDO DE INVESTIMENTO EM DIREITOS CREDITÓRIOS RESPONSABILIDADE LIMITADA</x:v>
      </x:c>
      <x:c r="C2066" s="190" t="n">
        <x:v>24997573.82</x:v>
      </x:c>
      <x:c r="D2066" s="168" t="str">
        <x:v>Renova Gestora</x:v>
      </x:c>
      <x:c r="E2066" s="168" t="str">
        <x:f>IFERROR(INDEX('Classif Gestoras'!$H$6:$H$462,MATCH(D2066,'Classif Gestoras'!$A$6:$A$462,0)),"Não classificada")</x:f>
        <x:v>Independente</x:v>
      </x:c>
      <x:c r="F2066" s="168" t="str">
        <x:v>MONETAR DISTRIBUIDORA DE TITUL</x:v>
      </x:c>
      <x:c r="G2066" s="168" t="str">
        <x:v>TERRA INVESTIMENTOS DISTRIBUIDORA DE TITULOS E VALORES MOBILIARIOS LTDA</x:v>
      </x:c>
      <x:c r="H2066" s="168" t="str">
        <x:v>Outros</x:v>
      </x:c>
      <x:c r="I2066" s="168" t="str">
        <x:v>Multicarteira Outros</x:v>
      </x:c>
      <x:c r="J2066" s="168" t="str">
        <x:v>CI</x:v>
      </x:c>
      <x:c r="K2066" s="174" t="n">
        <x:v>2</x:v>
      </x:c>
      <x:c r="L2066" s="187" t="str">
        <x:v>Proxy multicedente/multissacado — revisar</x:v>
      </x:c>
    </x:row>
    <x:row r="2067">
      <x:c r="A2067" s="177" t="str">
        <x:v>54.023.881/0001-95</x:v>
      </x:c>
      <x:c r="B2067" s="168" t="str">
        <x:v>PRECATÓRIOS ESTADUAIS E MUNICIPAIS PULVERIZADOS I FI DIREITOS CREDITÓRIOS-RESPONSABILIDADE LIMITADA</x:v>
      </x:c>
      <x:c r="C2067" s="190" t="n">
        <x:v>24992651.459999997</x:v>
      </x:c>
      <x:c r="D2067" s="168" t="str">
        <x:v>Patrimonial Gestão</x:v>
      </x:c>
      <x:c r="E2067" s="168" t="str">
        <x:f>IFERROR(INDEX('Classif Gestoras'!$H$6:$H$462,MATCH(D2067,'Classif Gestoras'!$A$6:$A$462,0)),"Não classificada")</x:f>
        <x:v>Independente</x:v>
      </x:c>
      <x:c r="F2067" s="168" t="str">
        <x:v>Singulare</x:v>
      </x:c>
      <x:c r="G2067" s="168" t="str">
        <x:v>QI CORRETORA DE TÍTULOS E VALORES MOBILIÁRIOS S.A.</x:v>
      </x:c>
      <x:c r="H2067" s="168" t="str">
        <x:v>Outros</x:v>
      </x:c>
      <x:c r="I2067" s="168" t="str">
        <x:v>Poder Público</x:v>
      </x:c>
      <x:c r="J2067" s="168" t="str">
        <x:v>CI</x:v>
      </x:c>
      <x:c r="K2067" s="174" t="n">
        <x:v>3</x:v>
      </x:c>
      <x:c r="L2067" s="187" t="str">
        <x:v>Não classificado</x:v>
      </x:c>
    </x:row>
    <x:row r="2068">
      <x:c r="A2068" s="177" t="str">
        <x:v>51.124.933/0001-21</x:v>
      </x:c>
      <x:c r="B2068" s="168" t="str">
        <x:v>WIZARD FUNDO DE INVESTIMENTO EM DIREITOS CREDITÓRIOS</x:v>
      </x:c>
      <x:c r="C2068" s="190" t="n">
        <x:v>24968131.56</x:v>
      </x:c>
      <x:c r="D2068" s="168" t="str">
        <x:v>Libertas Asset</x:v>
      </x:c>
      <x:c r="E2068" s="168" t="str">
        <x:f>IFERROR(INDEX('Classif Gestoras'!$H$6:$H$462,MATCH(D2068,'Classif Gestoras'!$A$6:$A$462,0)),"Não classificada")</x:f>
        <x:v>Independente</x:v>
      </x:c>
      <x:c r="F2068" s="168" t="str">
        <x:v>ACTUAL DTVM</x:v>
      </x:c>
      <x:c r="G2068" s="168" t="str">
        <x:v>LASTRO RDV DTVM LTDA</x:v>
      </x:c>
      <x:c r="H2068" s="168" t="str">
        <x:v>Outros</x:v>
      </x:c>
      <x:c r="I2068" s="168" t="str">
        <x:v>Multicarteira Outros</x:v>
      </x:c>
      <x:c r="J2068" s="168" t="str">
        <x:v>CI</x:v>
      </x:c>
      <x:c r="K2068" s="174" t="n">
        <x:v>1</x:v>
      </x:c>
      <x:c r="L2068" s="187" t="str">
        <x:v>Proxy multicedente/multissacado — revisar</x:v>
      </x:c>
    </x:row>
    <x:row r="2069">
      <x:c r="A2069" s="177" t="str">
        <x:v>41.649.927/0001-34</x:v>
      </x:c>
      <x:c r="B2069" s="168" t="str">
        <x:v>LIBER CRÉDITO FUNDO DE INVESTIMENTO EM DIREITOS CREDITÓRIOS</x:v>
      </x:c>
      <x:c r="C2069" s="190" t="n">
        <x:v>24944897.68</x:v>
      </x:c>
      <x:c r="D2069" s="168" t="str">
        <x:v>GV ATACAMA CAPITAL LTDA.</x:v>
      </x:c>
      <x:c r="E2069" s="168" t="str">
        <x:f>IFERROR(INDEX('Classif Gestoras'!$H$6:$H$462,MATCH(D2069,'Classif Gestoras'!$A$6:$A$462,0)),"Não classificada")</x:f>
        <x:v>Independente</x:v>
      </x:c>
      <x:c r="F2069" s="168" t="str">
        <x:v>Singulare</x:v>
      </x:c>
      <x:c r="G2069" s="168" t="str">
        <x:v>QI CORRETORA DE TÍTULOS E VALORES MOBILIÁRIOS S.A.</x:v>
      </x:c>
      <x:c r="H2069" s="168" t="str">
        <x:v>Fomento Mercantil</x:v>
      </x:c>
      <x:c r="I2069" s="168" t="str">
        <x:v>Fomento Mercantil</x:v>
      </x:c>
      <x:c r="J2069" s="168" t="str">
        <x:v>CI</x:v>
      </x:c>
      <x:c r="K2069" s="174" t="n">
        <x:v>2</x:v>
      </x:c>
      <x:c r="L2069" s="187" t="str">
        <x:v>Não classificado</x:v>
      </x:c>
    </x:row>
    <x:row r="2070">
      <x:c r="A2070" s="177" t="str">
        <x:v>50.184.026/0001-05</x:v>
      </x:c>
      <x:c r="B2070" s="168" t="str">
        <x:v>AMALFI FUNDO DE INVESTIMENTO EM DIREITOS CREDITÓRIOS RESPONSABILIDADE LIMITADA</x:v>
      </x:c>
      <x:c r="C2070" s="190" t="n">
        <x:v>24904370.55</x:v>
      </x:c>
      <x:c r="D2070" s="168" t="str">
        <x:v>CONTEA CAPITAL</x:v>
      </x:c>
      <x:c r="E2070" s="168" t="str">
        <x:f>IFERROR(INDEX('Classif Gestoras'!$H$6:$H$462,MATCH(D2070,'Classif Gestoras'!$A$6:$A$462,0)),"Não classificada")</x:f>
        <x:v>Independente</x:v>
      </x:c>
      <x:c r="F2070" s="168" t="str">
        <x:v>ID Corretora de Títulos e Valores Mobiliários S.A.</x:v>
      </x:c>
      <x:c r="G2070" s="168" t="str">
        <x:v>ID CORRETORA DE TITULOS E VALORES MOBILIARIOS S.A.</x:v>
      </x:c>
      <x:c r="H2070" s="168" t="str">
        <x:v>Fomento Mercantil</x:v>
      </x:c>
      <x:c r="I2070" s="168" t="str">
        <x:v>Fomento Mercantil</x:v>
      </x:c>
      <x:c r="J2070" s="168" t="str">
        <x:v>CI</x:v>
      </x:c>
      <x:c r="K2070" s="174" t="n">
        <x:v>18</x:v>
      </x:c>
      <x:c r="L2070" s="187" t="str">
        <x:v>Não classificado</x:v>
      </x:c>
    </x:row>
    <x:row r="2071">
      <x:c r="A2071" s="177" t="str">
        <x:v>65.782.846/0001-76</x:v>
      </x:c>
      <x:c r="B2071" s="168" t="str">
        <x:v>BT VAREJO III FUNDO DE INVESTIMENTOS EM DIREITOS CREDITÓRIOS RESPONSABILIDADE LIMITADA</x:v>
      </x:c>
      <x:c r="C2071" s="190" t="n">
        <x:v>24890071.110000003</x:v>
      </x:c>
      <x:c r="D2071" s="168" t="str">
        <x:v>Prisma Capital Ltda.</x:v>
      </x:c>
      <x:c r="E2071" s="168" t="str">
        <x:f>IFERROR(INDEX('Classif Gestoras'!$H$6:$H$462,MATCH(D2071,'Classif Gestoras'!$A$6:$A$462,0)),"Não classificada")</x:f>
        <x:v>Independente</x:v>
      </x:c>
      <x:c r="F2071" s="168" t="str">
        <x:v>VÓRTX DTVM</x:v>
      </x:c>
      <x:c r="G2071" s="168" t="str">
        <x:v>VORTX DISTRIBUIDORA DE TITULOS E VALORES MOBILIARIOS LTDA.</x:v>
      </x:c>
      <x:c r="H2071" s="168" t="str">
        <x:v>Outros</x:v>
      </x:c>
      <x:c r="I2071" s="168" t="str">
        <x:v>Multicarteira Outros</x:v>
      </x:c>
      <x:c r="J2071" s="168" t="str">
        <x:v>CI</x:v>
      </x:c>
      <x:c r="K2071" s="174" t="n">
        <x:v>2</x:v>
      </x:c>
      <x:c r="L2071" s="187" t="str">
        <x:v>Proxy multicedente/multissacado — revisar</x:v>
      </x:c>
    </x:row>
    <x:row r="2072">
      <x:c r="A2072" s="177" t="str">
        <x:v>57.790.697/0001-69</x:v>
      </x:c>
      <x:c r="B2072" s="168" t="str">
        <x:v>PRECPAGO-F2 FUNDO DE INVESTIMENTO EM DIREITOS CREDITÓRIOS</x:v>
      </x:c>
      <x:c r="C2072" s="190" t="n">
        <x:v>24842645.98</x:v>
      </x:c>
      <x:c r="D2072" s="168" t="str">
        <x:v>Iggy Investimentos</x:v>
      </x:c>
      <x:c r="E2072" s="168" t="str">
        <x:f>IFERROR(INDEX('Classif Gestoras'!$H$6:$H$462,MATCH(D2072,'Classif Gestoras'!$A$6:$A$462,0)),"Não classificada")</x:f>
        <x:v>Independente</x:v>
      </x:c>
      <x:c r="F2072" s="168" t="str">
        <x:v>BRL TRUST DTVM</x:v>
      </x:c>
      <x:c r="G2072" s="168" t="str">
        <x:v>BRL TRUST DISTRIBUIDORA DE TITULOS E VALORES MOBILIARIOS S.A.</x:v>
      </x:c>
      <x:c r="H2072" s="168" t="str">
        <x:v>Outros</x:v>
      </x:c>
      <x:c r="I2072" s="168" t="str">
        <x:v>Poder Público</x:v>
      </x:c>
      <x:c r="J2072" s="168" t="str">
        <x:v>CI</x:v>
      </x:c>
      <x:c r="K2072" s="174" t="n">
        <x:v>6</x:v>
      </x:c>
      <x:c r="L2072" s="187" t="str">
        <x:v>Não classificado</x:v>
      </x:c>
    </x:row>
    <x:row r="2073">
      <x:c r="A2073" s="177" t="str">
        <x:v>58.182.199/0001-04</x:v>
      </x:c>
      <x:c r="B2073" s="168" t="str">
        <x:v>TIVIO ALT CREDITO PADRONIZADO FI EM DIREITOS CREDITÓRIOS RESPONSABILIDADE LIMITADA</x:v>
      </x:c>
      <x:c r="C2073" s="190" t="n">
        <x:v>24809110.269999996</x:v>
      </x:c>
      <x:c r="D2073" s="168" t="str">
        <x:v>Tivio Capital</x:v>
      </x:c>
      <x:c r="E2073" s="168" t="str">
        <x:f>IFERROR(INDEX('Classif Gestoras'!$H$6:$H$462,MATCH(D2073,'Classif Gestoras'!$A$6:$A$462,0)),"Não classificada")</x:f>
        <x:v>Independente</x:v>
      </x:c>
      <x:c r="F2073" s="168" t="str">
        <x:v>BNY MELLON SERVICOS</x:v>
      </x:c>
      <x:c r="G2073" s="168" t="str">
        <x:v>BNY MELLON BANCO S.A.</x:v>
      </x:c>
      <x:c r="H2073" s="168" t="str">
        <x:v>Outros</x:v>
      </x:c>
      <x:c r="I2073" s="168" t="str">
        <x:v>Multicarteira Outros</x:v>
      </x:c>
      <x:c r="J2073" s="168" t="str">
        <x:v>CIPC</x:v>
      </x:c>
      <x:c r="K2073" s="174" t="n">
        <x:v>2</x:v>
      </x:c>
      <x:c r="L2073" s="187" t="str">
        <x:v>Proxy multicedente/multissacado — revisar</x:v>
      </x:c>
    </x:row>
    <x:row r="2074">
      <x:c r="A2074" s="177" t="str">
        <x:v>37.484.183/0001-78</x:v>
      </x:c>
      <x:c r="B2074" s="168" t="str">
        <x:v>CNPJ 37484183000178</x:v>
      </x:c>
      <x:c r="C2074" s="190" t="n">
        <x:v>24772989.340000004</x:v>
      </x:c>
      <x:c r="D2074" s="168" t="str">
        <x:v>Emerald Gestão de Investimento</x:v>
      </x:c>
      <x:c r="E2074" s="168" t="str">
        <x:f>IFERROR(INDEX('Classif Gestoras'!$H$6:$H$462,MATCH(D2074,'Classif Gestoras'!$A$6:$A$462,0)),"Não classificada")</x:f>
        <x:v>Independente</x:v>
      </x:c>
      <x:c r="F2074" s="168" t="str">
        <x:v>BANCO J. SAFRA S/A</x:v>
      </x:c>
      <x:c r="G2074" s="168" t="str">
        <x:v>Não identificado</x:v>
      </x:c>
      <x:c r="H2074" s="168" t="str">
        <x:v>Outros</x:v>
      </x:c>
      <x:c r="I2074" s="168" t="str">
        <x:v>Multicarteira Outros</x:v>
      </x:c>
      <x:c r="J2074" s="168" t="str">
        <x:v>CI</x:v>
      </x:c>
      <x:c r="K2074" s="174"/>
      <x:c r="L2074" s="187" t="str">
        <x:v>Proxy multicedente/multissacado — revisar</x:v>
      </x:c>
    </x:row>
    <x:row r="2075">
      <x:c r="A2075" s="177" t="str">
        <x:v>48.984.429/0001-97</x:v>
      </x:c>
      <x:c r="B2075" s="168" t="str">
        <x:v>VISHNU FUNDO DE INVESTIMENTO EM DIREITOS CREDITÓRIOS</x:v>
      </x:c>
      <x:c r="C2075" s="190" t="n">
        <x:v>24624318.19</x:v>
      </x:c>
      <x:c r="D2075" s="168" t="str">
        <x:v>Catálise Investimentos</x:v>
      </x:c>
      <x:c r="E2075" s="168" t="str">
        <x:f>IFERROR(INDEX('Classif Gestoras'!$H$6:$H$462,MATCH(D2075,'Classif Gestoras'!$A$6:$A$462,0)),"Não classificada")</x:f>
        <x:v>Independente</x:v>
      </x:c>
      <x:c r="F2075" s="168" t="str">
        <x:v>CATÁLISE DTVM</x:v>
      </x:c>
      <x:c r="G2075" s="168" t="str">
        <x:v>BANCO DAYCOVAL S.A.</x:v>
      </x:c>
      <x:c r="H2075" s="168" t="str">
        <x:v>Outros</x:v>
      </x:c>
      <x:c r="I2075" s="168" t="str">
        <x:v>Multicarteira Outros</x:v>
      </x:c>
      <x:c r="J2075" s="168" t="str">
        <x:v>CI</x:v>
      </x:c>
      <x:c r="K2075" s="174" t="n">
        <x:v>1</x:v>
      </x:c>
      <x:c r="L2075" s="187" t="str">
        <x:v>Proxy multicedente/multissacado — revisar</x:v>
      </x:c>
    </x:row>
    <x:row r="2076">
      <x:c r="A2076" s="177" t="str">
        <x:v>30.659.303/0001-81</x:v>
      </x:c>
      <x:c r="B2076" s="168" t="str">
        <x:v>SIMOCRED FUNDO DE INVESTIMENTO EM DIREITOS CREDITÓRIOS MULTISSEGMENTOS</x:v>
      </x:c>
      <x:c r="C2076" s="190" t="n">
        <x:v>24558961.28</x:v>
      </x:c>
      <x:c r="D2076" s="168" t="str">
        <x:v>Petra Capital</x:v>
      </x:c>
      <x:c r="E2076" s="168" t="str">
        <x:f>IFERROR(INDEX('Classif Gestoras'!$H$6:$H$462,MATCH(D2076,'Classif Gestoras'!$A$6:$A$462,0)),"Não classificada")</x:f>
        <x:v>Independente</x:v>
      </x:c>
      <x:c r="F2076" s="168" t="str">
        <x:v>Finaxis Corretora de Títulos e Valores Mobiliários S.A.</x:v>
      </x:c>
      <x:c r="G2076" s="168" t="str">
        <x:v>BANCO FINAXIS S.A.</x:v>
      </x:c>
      <x:c r="H2076" s="168" t="str">
        <x:v>Outros</x:v>
      </x:c>
      <x:c r="I2076" s="168" t="str">
        <x:v>Multicarteira Outros</x:v>
      </x:c>
      <x:c r="J2076" s="168" t="str">
        <x:v>CI</x:v>
      </x:c>
      <x:c r="K2076" s="174" t="n">
        <x:v>5</x:v>
      </x:c>
      <x:c r="L2076" s="187" t="str">
        <x:v>Proxy multicedente/multissacado — revisar</x:v>
      </x:c>
    </x:row>
    <x:row r="2077">
      <x:c r="A2077" s="177" t="str">
        <x:v>63.939.263/0001-80</x:v>
      </x:c>
      <x:c r="B2077" s="168" t="str">
        <x:v>MLC 1C FUNDO DE INVESTIMENTO EM DIREITOS CREDITÓRIOS - RESPONSABILIDADE LIMITADA</x:v>
      </x:c>
      <x:c r="C2077" s="190" t="n">
        <x:v>24475553.15000001</x:v>
      </x:c>
      <x:c r="D2077" s="168" t="str">
        <x:v>Möbius Capital</x:v>
      </x:c>
      <x:c r="E2077" s="168" t="str">
        <x:f>IFERROR(INDEX('Classif Gestoras'!$H$6:$H$462,MATCH(D2077,'Classif Gestoras'!$A$6:$A$462,0)),"Não classificada")</x:f>
        <x:v>Independente</x:v>
      </x:c>
      <x:c r="F2077" s="168" t="str">
        <x:v>Singulare</x:v>
      </x:c>
      <x:c r="G2077" s="168" t="str">
        <x:v>QI CORRETORA DE TÍTULOS E VALORES MOBILIÁRIOS S.A.</x:v>
      </x:c>
      <x:c r="H2077" s="168" t="str">
        <x:v>Outros</x:v>
      </x:c>
      <x:c r="I2077" s="168" t="str">
        <x:v>Poder Público</x:v>
      </x:c>
      <x:c r="J2077" s="168" t="str">
        <x:v>CI</x:v>
      </x:c>
      <x:c r="K2077" s="174" t="n">
        <x:v>16</x:v>
      </x:c>
      <x:c r="L2077" s="187" t="str">
        <x:v>Não classificado</x:v>
      </x:c>
    </x:row>
    <x:row r="2078">
      <x:c r="A2078" s="177" t="str">
        <x:v>27.531.244/0001-57</x:v>
      </x:c>
      <x:c r="B2078" s="168" t="str">
        <x:v>ONDABRASIL FUNDO DE INVESTIMENTO EM DIREITOS CREDITÓRIOS NÃO-PADRONIZADOS RESP LIMITADA</x:v>
      </x:c>
      <x:c r="C2078" s="190" t="n">
        <x:v>24464922.49</x:v>
      </x:c>
      <x:c r="D2078" s="168" t="str">
        <x:v>Tyr Gestao de Recursos Ltda</x:v>
      </x:c>
      <x:c r="E2078" s="168" t="str">
        <x:f>IFERROR(INDEX('Classif Gestoras'!$H$6:$H$462,MATCH(D2078,'Classif Gestoras'!$A$6:$A$462,0)),"Não classificada")</x:f>
        <x:v>Independente</x:v>
      </x:c>
      <x:c r="F2078" s="168" t="str">
        <x:v>ID Corretora de Títulos e Valores Mobiliários S.A.</x:v>
      </x:c>
      <x:c r="G2078" s="168" t="str">
        <x:v>ID CORRETORA DE TITULOS E VALORES MOBILIARIOS S.A.</x:v>
      </x:c>
      <x:c r="H2078" s="168" t="str">
        <x:v>Outros</x:v>
      </x:c>
      <x:c r="I2078" s="168" t="str">
        <x:v>Poder Público</x:v>
      </x:c>
      <x:c r="J2078" s="168" t="str">
        <x:v>CI</x:v>
      </x:c>
      <x:c r="K2078" s="174" t="n">
        <x:v>1</x:v>
      </x:c>
      <x:c r="L2078" s="187" t="str">
        <x:v>Não classificado</x:v>
      </x:c>
    </x:row>
    <x:row r="2079">
      <x:c r="A2079" s="177" t="str">
        <x:v>58.593.281/0001-13</x:v>
      </x:c>
      <x:c r="B2079" s="168" t="str">
        <x:v>HEIVI FUNDO DE INVESTIMENTO EM DIREITOS CREDITORIOS</x:v>
      </x:c>
      <x:c r="C2079" s="190" t="n">
        <x:v>24451613.69</x:v>
      </x:c>
      <x:c r="D2079" s="168" t="str">
        <x:v>Quartzo Invest</x:v>
      </x:c>
      <x:c r="E2079" s="168" t="str">
        <x:f>IFERROR(INDEX('Classif Gestoras'!$H$6:$H$462,MATCH(D2079,'Classif Gestoras'!$A$6:$A$462,0)),"Não classificada")</x:f>
        <x:v>Independente</x:v>
      </x:c>
      <x:c r="F2079" s="168" t="str">
        <x:v>ACTUAL DTVM</x:v>
      </x:c>
      <x:c r="G2079" s="168" t="str">
        <x:v>TRUSTEE DISTRIBUIDORA DE TITULOS E VALORES MOBILIARIOS LTDA.</x:v>
      </x:c>
      <x:c r="H2079" s="168" t="str">
        <x:v>Fomento Mercantil</x:v>
      </x:c>
      <x:c r="I2079" s="168" t="str">
        <x:v>Fomento Mercantil</x:v>
      </x:c>
      <x:c r="J2079" s="168" t="str">
        <x:v>CI</x:v>
      </x:c>
      <x:c r="K2079" s="174" t="n">
        <x:v>2</x:v>
      </x:c>
      <x:c r="L2079" s="187" t="str">
        <x:v>Não classificado</x:v>
      </x:c>
    </x:row>
    <x:row r="2080">
      <x:c r="A2080" s="177" t="str">
        <x:v>49.839.322/0001-18</x:v>
      </x:c>
      <x:c r="B2080" s="168" t="str">
        <x:v>ERGA OMNES FUNDO DE INVESTIMENTO EM DIREITOS CREDITÓRIOS NÃO-PADRONIZADO</x:v>
      </x:c>
      <x:c r="C2080" s="190" t="n">
        <x:v>24433861.83</x:v>
      </x:c>
      <x:c r="D2080" s="168" t="str">
        <x:v>ATIVA ASSET LTDA</x:v>
      </x:c>
      <x:c r="E2080" s="168" t="str">
        <x:f>IFERROR(INDEX('Classif Gestoras'!$H$6:$H$462,MATCH(D2080,'Classif Gestoras'!$A$6:$A$462,0)),"Não classificada")</x:f>
        <x:v>Independente</x:v>
      </x:c>
      <x:c r="F2080" s="168" t="str">
        <x:v>Ativa S/A CTCV</x:v>
      </x:c>
      <x:c r="G2080" s="168" t="str">
        <x:v>ATIVA INVESTIMENTOS S.A. C.T.C.V.</x:v>
      </x:c>
      <x:c r="H2080" s="168" t="str">
        <x:v>Outros</x:v>
      </x:c>
      <x:c r="I2080" s="168" t="str">
        <x:v>Poder Público</x:v>
      </x:c>
      <x:c r="J2080" s="168" t="str">
        <x:v>CI</x:v>
      </x:c>
      <x:c r="K2080" s="174" t="n">
        <x:v>14</x:v>
      </x:c>
      <x:c r="L2080" s="187" t="str">
        <x:v>Não classificado</x:v>
      </x:c>
    </x:row>
    <x:row r="2081">
      <x:c r="A2081" s="177" t="str">
        <x:v>29.109.316/0001-06</x:v>
      </x:c>
      <x:c r="B2081" s="168" t="str">
        <x:v>DFC FUNDO DE INVESTIMENTO EM DIREITOS CREDITÓRIOS</x:v>
      </x:c>
      <x:c r="C2081" s="190" t="n">
        <x:v>24413948.08</x:v>
      </x:c>
      <x:c r="D2081" s="168" t="str">
        <x:v>TERCON ASSET MANAGEMENT</x:v>
      </x:c>
      <x:c r="E2081" s="168" t="str">
        <x:f>IFERROR(INDEX('Classif Gestoras'!$H$6:$H$462,MATCH(D2081,'Classif Gestoras'!$A$6:$A$462,0)),"Não classificada")</x:f>
        <x:v>Independente</x:v>
      </x:c>
      <x:c r="F2081" s="168" t="str">
        <x:v>MASTER S/A CORRETORA</x:v>
      </x:c>
      <x:c r="G2081" s="168" t="str">
        <x:v>QI CORRETORA DE TÍTULOS E VALORES MOBILIÁRIOS S.A.</x:v>
      </x:c>
      <x:c r="H2081" s="168" t="str">
        <x:v>Fomento Mercantil</x:v>
      </x:c>
      <x:c r="I2081" s="168" t="str">
        <x:v>Recebíveis Comerciais</x:v>
      </x:c>
      <x:c r="J2081" s="168" t="str">
        <x:v>CI</x:v>
      </x:c>
      <x:c r="K2081" s="174" t="n">
        <x:v>5</x:v>
      </x:c>
      <x:c r="L2081" s="187" t="str">
        <x:v>Não classificado</x:v>
      </x:c>
    </x:row>
    <x:row r="2082">
      <x:c r="A2082" s="177" t="str">
        <x:v>50.366.328/0001-02</x:v>
      </x:c>
      <x:c r="B2082" s="168" t="str">
        <x:v>MFM FUNDO DE INVESTIMENTO EM DIREITOS CREDITÓRIOS SEGMENTO ECONÔMICO DE TELECOMUNICAÇÕES</x:v>
      </x:c>
      <x:c r="C2082" s="190" t="n">
        <x:v>24340520.44</x:v>
      </x:c>
      <x:c r="D2082" s="168" t="str">
        <x:v>Petra Capital</x:v>
      </x:c>
      <x:c r="E2082" s="168" t="str">
        <x:f>IFERROR(INDEX('Classif Gestoras'!$H$6:$H$462,MATCH(D2082,'Classif Gestoras'!$A$6:$A$462,0)),"Não classificada")</x:f>
        <x:v>Independente</x:v>
      </x:c>
      <x:c r="F2082" s="168" t="str">
        <x:v>Finaxis Corretora de Títulos e Valores Mobiliários S.A.</x:v>
      </x:c>
      <x:c r="G2082" s="168" t="str">
        <x:v>BANCO FINAXIS S.A.</x:v>
      </x:c>
      <x:c r="H2082" s="168" t="str">
        <x:v>Outros</x:v>
      </x:c>
      <x:c r="I2082" s="168" t="str">
        <x:v>Multicarteira Outros</x:v>
      </x:c>
      <x:c r="J2082" s="168" t="str">
        <x:v>CI</x:v>
      </x:c>
      <x:c r="K2082" s="174" t="n">
        <x:v>1</x:v>
      </x:c>
      <x:c r="L2082" s="187" t="str">
        <x:v>Proxy multicedente/multissacado — revisar</x:v>
      </x:c>
    </x:row>
    <x:row r="2083">
      <x:c r="A2083" s="177" t="str">
        <x:v>40.132.398/0001-34</x:v>
      </x:c>
      <x:c r="B2083" s="168" t="str">
        <x:v>IC PRECATÓRIOS ESTADUAIS FUNDO DE INVESTIMENTO EM DIREITOS CREDITÓRIOS DE RESPONSABILIDADE LIMITADA</x:v>
      </x:c>
      <x:c r="C2083" s="190" t="n">
        <x:v>24325216.86</x:v>
      </x:c>
      <x:c r="D2083" s="168" t="str">
        <x:v>Iron Capital</x:v>
      </x:c>
      <x:c r="E2083" s="168" t="str">
        <x:f>IFERROR(INDEX('Classif Gestoras'!$H$6:$H$462,MATCH(D2083,'Classif Gestoras'!$A$6:$A$462,0)),"Não classificada")</x:f>
        <x:v>Independente</x:v>
      </x:c>
      <x:c r="F2083" s="168" t="str">
        <x:v>Oliveira Trust DTVM</x:v>
      </x:c>
      <x:c r="G2083" s="168" t="str">
        <x:v>OLIVEIRA TRUST DTVM S.A.</x:v>
      </x:c>
      <x:c r="H2083" s="168" t="str">
        <x:v>Outros</x:v>
      </x:c>
      <x:c r="I2083" s="168" t="str">
        <x:v>Poder Público</x:v>
      </x:c>
      <x:c r="J2083" s="168" t="str">
        <x:v>CI</x:v>
      </x:c>
      <x:c r="K2083" s="174" t="n">
        <x:v>5</x:v>
      </x:c>
      <x:c r="L2083" s="187" t="str">
        <x:v>Não classificado</x:v>
      </x:c>
    </x:row>
    <x:row r="2084">
      <x:c r="A2084" s="177" t="str">
        <x:v>21.205.491/0001-87</x:v>
      </x:c>
      <x:c r="B2084" s="168" t="str">
        <x:v>INOVA CREDTECH I FUNDO DE INVESTIMENTO EM DIREITOS CREDITORIOS FINANCEIRO</x:v>
      </x:c>
      <x:c r="C2084" s="190" t="n">
        <x:v>24288828.09</x:v>
      </x:c>
      <x:c r="D2084" s="168" t="str">
        <x:v>BERTHA CAPITAL</x:v>
      </x:c>
      <x:c r="E2084" s="168" t="str">
        <x:f>IFERROR(INDEX('Classif Gestoras'!$H$6:$H$462,MATCH(D2084,'Classif Gestoras'!$A$6:$A$462,0)),"Não classificada")</x:f>
        <x:v>Independente</x:v>
      </x:c>
      <x:c r="F2084" s="168" t="str">
        <x:v>MONETAR DISTRIBUIDORA DE TITUL</x:v>
      </x:c>
      <x:c r="G2084" s="168" t="str">
        <x:v>TERRA INVESTIMENTOS DISTRIBUIDORA DE TITULOS E VALORES MOBILIARIOS LTDA</x:v>
      </x:c>
      <x:c r="H2084" s="168" t="str">
        <x:v>Agro, Indústria e Comércio</x:v>
      </x:c>
      <x:c r="I2084" s="168" t="str">
        <x:v>Crédito Corporativo</x:v>
      </x:c>
      <x:c r="J2084" s="168" t="str">
        <x:v>CI</x:v>
      </x:c>
      <x:c r="K2084" s="174" t="n">
        <x:v>3</x:v>
      </x:c>
      <x:c r="L2084" s="187" t="str">
        <x:v>Não classificado</x:v>
      </x:c>
    </x:row>
    <x:row r="2085">
      <x:c r="A2085" s="177" t="str">
        <x:v>52.324.264/0001-02</x:v>
      </x:c>
      <x:c r="B2085" s="168" t="str">
        <x:v>ROOT ANGELIM FUNDO DE INVESTIMENTO EM DIREITOS CREDITÓRIOS</x:v>
      </x:c>
      <x:c r="C2085" s="190" t="n">
        <x:v>24241314.67998</x:v>
      </x:c>
      <x:c r="D2085" s="168" t="str">
        <x:v>ROOT CAPITAL</x:v>
      </x:c>
      <x:c r="E2085" s="168" t="str">
        <x:f>IFERROR(INDEX('Classif Gestoras'!$H$6:$H$462,MATCH(D2085,'Classif Gestoras'!$A$6:$A$462,0)),"Não classificada")</x:f>
        <x:v>Independente</x:v>
      </x:c>
      <x:c r="F2085" s="168" t="str">
        <x:v>BNY MELLON SERVICOS</x:v>
      </x:c>
      <x:c r="G2085" s="168" t="str">
        <x:v>BNY MELLON BANCO S.A.</x:v>
      </x:c>
      <x:c r="H2085" s="168" t="str">
        <x:v>Outros</x:v>
      </x:c>
      <x:c r="I2085" s="168" t="str">
        <x:v>Multicarteira Outros</x:v>
      </x:c>
      <x:c r="J2085" s="168" t="str">
        <x:v>CI</x:v>
      </x:c>
      <x:c r="K2085" s="174" t="n">
        <x:v>1</x:v>
      </x:c>
      <x:c r="L2085" s="187" t="str">
        <x:v>Proxy multicedente/multissacado — revisar</x:v>
      </x:c>
    </x:row>
    <x:row r="2086">
      <x:c r="A2086" s="177" t="str">
        <x:v>63.694.302/0001-27</x:v>
      </x:c>
      <x:c r="B2086" s="168" t="str">
        <x:v>ITAÚ MULTIEMPRESAS II FUNDO DE INVESTIMENTO EM DIREITOS CREDITÓRIOS RESPONSABILIDADE LIMITADA</x:v>
      </x:c>
      <x:c r="C2086" s="190" t="n">
        <x:v>24233706.09</x:v>
      </x:c>
      <x:c r="D2086" s="168" t="str">
        <x:v>Kanastra</x:v>
      </x:c>
      <x:c r="E2086" s="168" t="str">
        <x:f>IFERROR(INDEX('Classif Gestoras'!$H$6:$H$462,MATCH(D2086,'Classif Gestoras'!$A$6:$A$462,0)),"Não classificada")</x:f>
        <x:v>Independente</x:v>
      </x:c>
      <x:c r="F2086" s="168" t="str">
        <x:v>INTRAG DIST. DE TÍTU</x:v>
      </x:c>
      <x:c r="G2086" s="168" t="str">
        <x:v>LIMINE TRUST DISTRIBUIDORA DE TITULOS E VALORES MOBILIARIOS LTDA.</x:v>
      </x:c>
      <x:c r="H2086" s="168" t="str">
        <x:v>Fomento Mercantil</x:v>
      </x:c>
      <x:c r="I2086" s="168" t="str">
        <x:v>Fomento Mercantil</x:v>
      </x:c>
      <x:c r="J2086" s="168" t="str">
        <x:v>CI</x:v>
      </x:c>
      <x:c r="K2086" s="174" t="n">
        <x:v>7</x:v>
      </x:c>
      <x:c r="L2086" s="187" t="str">
        <x:v>Não classificado</x:v>
      </x:c>
    </x:row>
    <x:row r="2087">
      <x:c r="A2087" s="177" t="str">
        <x:v>32.302.142/0001-08</x:v>
      </x:c>
      <x:c r="B2087" s="168" t="str">
        <x:v>AVCALA FUNDO DE INVESTIMENTO EM DIREITOS CREDITÓRIOS</x:v>
      </x:c>
      <x:c r="C2087" s="190" t="n">
        <x:v>24187077.11</x:v>
      </x:c>
      <x:c r="D2087" s="168" t="str">
        <x:v>Solis</x:v>
      </x:c>
      <x:c r="E2087" s="168" t="str">
        <x:f>IFERROR(INDEX('Classif Gestoras'!$H$6:$H$462,MATCH(D2087,'Classif Gestoras'!$A$6:$A$462,0)),"Não classificada")</x:f>
        <x:v>Independente</x:v>
      </x:c>
      <x:c r="F2087" s="168" t="str">
        <x:v>HEMERA DTVM</x:v>
      </x:c>
      <x:c r="G2087" s="168" t="str">
        <x:v>HEMERA DISTRIBUIDORA DE TITULOS E VALORES MOBILIARIOS LTDA</x:v>
      </x:c>
      <x:c r="H2087" s="168" t="str">
        <x:v>Outros</x:v>
      </x:c>
      <x:c r="I2087" s="168" t="str">
        <x:v>Multicarteira Outros</x:v>
      </x:c>
      <x:c r="J2087" s="168" t="str">
        <x:v>CI</x:v>
      </x:c>
      <x:c r="K2087" s="174" t="n">
        <x:v>14</x:v>
      </x:c>
      <x:c r="L2087" s="187" t="str">
        <x:v>Proxy multicedente/multissacado — revisar</x:v>
      </x:c>
    </x:row>
    <x:row r="2088">
      <x:c r="A2088" s="177" t="str">
        <x:v>65.867.787/0001-39</x:v>
      </x:c>
      <x:c r="B2088" s="168" t="str">
        <x:v>FFP FUNDO DE INVESTIMENTO EM DIREITOS CREDITÓRIOS MULTISSEGMENTOS</x:v>
      </x:c>
      <x:c r="C2088" s="190" t="n">
        <x:v>24056668.86</x:v>
      </x:c>
      <x:c r="D2088" s="168" t="str">
        <x:v>Petra Capital</x:v>
      </x:c>
      <x:c r="E2088" s="168" t="str">
        <x:f>IFERROR(INDEX('Classif Gestoras'!$H$6:$H$462,MATCH(D2088,'Classif Gestoras'!$A$6:$A$462,0)),"Não classificada")</x:f>
        <x:v>Independente</x:v>
      </x:c>
      <x:c r="F2088" s="168" t="str">
        <x:v>Finaxis Corretora de Títulos e Valores Mobiliários S.A.</x:v>
      </x:c>
      <x:c r="G2088" s="168" t="str">
        <x:v>BANCO FINAXIS S.A.</x:v>
      </x:c>
      <x:c r="H2088" s="168" t="str">
        <x:v>Outros</x:v>
      </x:c>
      <x:c r="I2088" s="168" t="str">
        <x:v>Multicarteira Outros</x:v>
      </x:c>
      <x:c r="J2088" s="168" t="str">
        <x:v>CI</x:v>
      </x:c>
      <x:c r="K2088" s="174" t="n">
        <x:v>3</x:v>
      </x:c>
      <x:c r="L2088" s="187" t="str">
        <x:v>Proxy multicedente/multissacado — revisar</x:v>
      </x:c>
    </x:row>
    <x:row r="2089">
      <x:c r="A2089" s="177" t="str">
        <x:v>57.300.010/0001-60</x:v>
      </x:c>
      <x:c r="B2089" s="168" t="str">
        <x:v>LB I FUNDO DE INVESTIMENTO EM DIREITOS CREDITÓRIOS RESPONSABILIDADE LIMITADA</x:v>
      </x:c>
      <x:c r="C2089" s="190" t="n">
        <x:v>24050076.93</x:v>
      </x:c>
      <x:c r="D2089" s="168" t="str">
        <x:v>Chimera Capital Asset Management Ltda.</x:v>
      </x:c>
      <x:c r="E2089" s="168" t="str">
        <x:f>IFERROR(INDEX('Classif Gestoras'!$H$6:$H$462,MATCH(D2089,'Classif Gestoras'!$A$6:$A$462,0)),"Não classificada")</x:f>
        <x:v>Independente</x:v>
      </x:c>
      <x:c r="F2089" s="168" t="str">
        <x:v>VÓRTX DTVM</x:v>
      </x:c>
      <x:c r="G2089" s="168" t="str">
        <x:v>VORTX DISTRIBUIDORA DE TITULOS E VALORES MOBILIARIOS LTDA.</x:v>
      </x:c>
      <x:c r="H2089" s="168" t="str">
        <x:v>Outros</x:v>
      </x:c>
      <x:c r="I2089" s="168" t="str">
        <x:v>Multicarteira Outros</x:v>
      </x:c>
      <x:c r="J2089" s="168" t="str">
        <x:v>CI</x:v>
      </x:c>
      <x:c r="K2089" s="174" t="n">
        <x:v>9</x:v>
      </x:c>
      <x:c r="L2089" s="187" t="str">
        <x:v>Proxy multicedente/multissacado — revisar</x:v>
      </x:c>
    </x:row>
    <x:row r="2090">
      <x:c r="A2090" s="177" t="str">
        <x:v>33.304.615/0001-60</x:v>
      </x:c>
      <x:c r="B2090" s="168" t="str">
        <x:v>FORCE CAPITAL FUNDO DE INVESTIMENTO EM DIREITOS CREDITÓRIOS PADRONIZADO</x:v>
      </x:c>
      <x:c r="C2090" s="190" t="n">
        <x:v>24041892.96</x:v>
      </x:c>
      <x:c r="D2090" s="168" t="str">
        <x:v>GFS INVESTIMENTOS</x:v>
      </x:c>
      <x:c r="E2090" s="168" t="str">
        <x:f>IFERROR(INDEX('Classif Gestoras'!$H$6:$H$462,MATCH(D2090,'Classif Gestoras'!$A$6:$A$462,0)),"Não classificada")</x:f>
        <x:v>Independente</x:v>
      </x:c>
      <x:c r="F2090" s="168" t="str">
        <x:v>Limine Trust Distribuidora de Titulos e Valores Mobiliá</x:v>
      </x:c>
      <x:c r="G2090" s="168" t="str">
        <x:v>LIMINE TRUST DISTRIBUIDORA DE TITULOS E VALORES MOBILIARIOS LTDA.</x:v>
      </x:c>
      <x:c r="H2090" s="168" t="str">
        <x:v>Fomento Mercantil</x:v>
      </x:c>
      <x:c r="I2090" s="168" t="str">
        <x:v>Fomento Mercantil</x:v>
      </x:c>
      <x:c r="J2090" s="168" t="str">
        <x:v>CI</x:v>
      </x:c>
      <x:c r="K2090" s="174" t="n">
        <x:v>9</x:v>
      </x:c>
      <x:c r="L2090" s="187" t="str">
        <x:v>Não classificado</x:v>
      </x:c>
    </x:row>
    <x:row r="2091">
      <x:c r="A2091" s="177" t="str">
        <x:v>61.995.402/0001-68</x:v>
      </x:c>
      <x:c r="B2091" s="168" t="str">
        <x:v>MINHA CASA MINHA VIDA FUNDO DE INVESTIMENTO EM DIREITOS CREDITÓRIOS NP RESPONSABILIDADE LIMITADA</x:v>
      </x:c>
      <x:c r="C2091" s="190" t="n">
        <x:v>23992458.92</x:v>
      </x:c>
      <x:c r="D2091" s="168" t="str">
        <x:v>Bless Capital Gestora de Recursos Ltda.</x:v>
      </x:c>
      <x:c r="E2091" s="168" t="str">
        <x:f>IFERROR(INDEX('Classif Gestoras'!$H$6:$H$462,MATCH(D2091,'Classif Gestoras'!$A$6:$A$462,0)),"Não classificada")</x:f>
        <x:v>Independente</x:v>
      </x:c>
      <x:c r="F2091" s="168" t="str">
        <x:v>ID Corretora de Títulos e Valores Mobiliários S.A.</x:v>
      </x:c>
      <x:c r="G2091" s="168" t="str">
        <x:v>ID CORRETORA DE TITULOS E VALORES MOBILIARIOS S.A.</x:v>
      </x:c>
      <x:c r="H2091" s="168" t="str">
        <x:v>Fomento Mercantil</x:v>
      </x:c>
      <x:c r="I2091" s="168" t="str">
        <x:v>Fomento Mercantil</x:v>
      </x:c>
      <x:c r="J2091" s="168" t="str">
        <x:v>CI</x:v>
      </x:c>
      <x:c r="K2091" s="174" t="n">
        <x:v>8</x:v>
      </x:c>
      <x:c r="L2091" s="187" t="str">
        <x:v>Não classificado</x:v>
      </x:c>
    </x:row>
    <x:row r="2092">
      <x:c r="A2092" s="177" t="str">
        <x:v>57.889.361/0001-58</x:v>
      </x:c>
      <x:c r="B2092" s="168" t="str">
        <x:v>FRUTOS CAPITAL FUNDO DE INVESTIMENTO EM DIREITOS CREDITORIOS</x:v>
      </x:c>
      <x:c r="C2092" s="190" t="n">
        <x:v>23968549.04</x:v>
      </x:c>
      <x:c r="D2092" s="168" t="str">
        <x:v>Global Gestão e Investimentos</x:v>
      </x:c>
      <x:c r="E2092" s="168" t="str">
        <x:f>IFERROR(INDEX('Classif Gestoras'!$H$6:$H$462,MATCH(D2092,'Classif Gestoras'!$A$6:$A$462,0)),"Não classificada")</x:f>
        <x:v>Independente</x:v>
      </x:c>
      <x:c r="F2092" s="168" t="str">
        <x:v>MONETAR DISTRIBUIDORA DE TITUL</x:v>
      </x:c>
      <x:c r="G2092" s="168" t="str">
        <x:v>TERRA INVESTIMENTOS DISTRIBUIDORA DE TITULOS E VALORES MOBILIARIOS LTDA</x:v>
      </x:c>
      <x:c r="H2092" s="168" t="str">
        <x:v>Outros</x:v>
      </x:c>
      <x:c r="I2092" s="168" t="str">
        <x:v>Multicarteira Outros</x:v>
      </x:c>
      <x:c r="J2092" s="168" t="str">
        <x:v>CI</x:v>
      </x:c>
      <x:c r="K2092" s="174" t="n">
        <x:v>1</x:v>
      </x:c>
      <x:c r="L2092" s="187" t="str">
        <x:v>Proxy multicedente/multissacado — revisar</x:v>
      </x:c>
    </x:row>
    <x:row r="2093">
      <x:c r="A2093" s="177" t="str">
        <x:v>58.569.452/0001-79</x:v>
      </x:c>
      <x:c r="B2093" s="168" t="str">
        <x:v>HOPE III FUNDO DE INVESTIMENTO EM DIREITOS CREDITÓRIOS MULTISSEGMENTOS</x:v>
      </x:c>
      <x:c r="C2093" s="190" t="n">
        <x:v>23912452.869999997</x:v>
      </x:c>
      <x:c r="D2093" s="168" t="str">
        <x:v>HOPE ASSET</x:v>
      </x:c>
      <x:c r="E2093" s="168" t="str">
        <x:f>IFERROR(INDEX('Classif Gestoras'!$H$6:$H$462,MATCH(D2093,'Classif Gestoras'!$A$6:$A$462,0)),"Não classificada")</x:f>
        <x:v>Independente</x:v>
      </x:c>
      <x:c r="F2093" s="168" t="str">
        <x:v>Finaxis Corretora de Títulos e Valores Mobiliários S.A.</x:v>
      </x:c>
      <x:c r="G2093" s="168" t="str">
        <x:v>BANCO FINAXIS S.A.</x:v>
      </x:c>
      <x:c r="H2093" s="168" t="str">
        <x:v>Fomento Mercantil</x:v>
      </x:c>
      <x:c r="I2093" s="168" t="str">
        <x:v>Fomento Mercantil</x:v>
      </x:c>
      <x:c r="J2093" s="168" t="str">
        <x:v>CI</x:v>
      </x:c>
      <x:c r="K2093" s="174" t="n">
        <x:v>5</x:v>
      </x:c>
      <x:c r="L2093" s="187" t="str">
        <x:v>Não classificado</x:v>
      </x:c>
    </x:row>
    <x:row r="2094">
      <x:c r="A2094" s="177" t="str">
        <x:v>32.156.057/0001-70</x:v>
      </x:c>
      <x:c r="B2094" s="168" t="str">
        <x:v>HARVEST FUNDO DE INVESTIMENTO EM DIREITOS CREDITÓRIOS NÃO PADRONIZADOS</x:v>
      </x:c>
      <x:c r="C2094" s="190" t="n">
        <x:v>23871221.52</x:v>
      </x:c>
      <x:c r="D2094" s="168" t="str">
        <x:v>Acura Gestora de Recursos LTDA.</x:v>
      </x:c>
      <x:c r="E2094" s="168" t="str">
        <x:f>IFERROR(INDEX('Classif Gestoras'!$H$6:$H$462,MATCH(D2094,'Classif Gestoras'!$A$6:$A$462,0)),"Não classificada")</x:f>
        <x:v>Independente</x:v>
      </x:c>
      <x:c r="F2094" s="168" t="str">
        <x:v>SEFER DTVM</x:v>
      </x:c>
      <x:c r="G2094" s="168" t="str">
        <x:v>SEFER INVESTIMENTOS DISTRIBUIDORA DE TÍTULOS E VALORES MOBILIÁRIOS LTDA.</x:v>
      </x:c>
      <x:c r="H2094" s="168" t="str">
        <x:v>Outros</x:v>
      </x:c>
      <x:c r="I2094" s="168" t="str">
        <x:v>Multicarteira Outros</x:v>
      </x:c>
      <x:c r="J2094" s="168" t="str">
        <x:v>CI</x:v>
      </x:c>
      <x:c r="K2094" s="174" t="n">
        <x:v>1</x:v>
      </x:c>
      <x:c r="L2094" s="187" t="str">
        <x:v>Proxy multicedente/multissacado — revisar</x:v>
      </x:c>
    </x:row>
    <x:row r="2095">
      <x:c r="A2095" s="177" t="str">
        <x:v>37.348.481/0001-30</x:v>
      </x:c>
      <x:c r="B2095" s="168" t="str">
        <x:v>PRECATÓRIOS E CRÉDITOS JUDICIAIS LEXIS I FUNDO DE INVESTIMENTO EM DIREITOS CREDITÓRIOS NP</x:v>
      </x:c>
      <x:c r="C2095" s="190" t="n">
        <x:v>23835282.360000003</x:v>
      </x:c>
      <x:c r="D2095" s="168" t="str">
        <x:v>Versal Finance Gestão de Recursos LTDA.</x:v>
      </x:c>
      <x:c r="E2095" s="168" t="str">
        <x:f>IFERROR(INDEX('Classif Gestoras'!$H$6:$H$462,MATCH(D2095,'Classif Gestoras'!$A$6:$A$462,0)),"Não classificada")</x:f>
        <x:v>Independente</x:v>
      </x:c>
      <x:c r="F2095" s="168" t="str">
        <x:v>VÓRTX DTVM</x:v>
      </x:c>
      <x:c r="G2095" s="168" t="str">
        <x:v>VORTX DISTRIBUIDORA DE TITULOS E VALORES MOBILIARIOS LTDA.</x:v>
      </x:c>
      <x:c r="H2095" s="168" t="str">
        <x:v>Outros</x:v>
      </x:c>
      <x:c r="I2095" s="168" t="str">
        <x:v>Multicarteira Outros</x:v>
      </x:c>
      <x:c r="J2095" s="168" t="str">
        <x:v>CI</x:v>
      </x:c>
      <x:c r="K2095" s="174" t="n">
        <x:v>34</x:v>
      </x:c>
      <x:c r="L2095" s="187" t="str">
        <x:v>Proxy multicedente/multissacado — revisar</x:v>
      </x:c>
    </x:row>
    <x:row r="2096">
      <x:c r="A2096" s="177" t="str">
        <x:v>39.851.553/0001-93</x:v>
      </x:c>
      <x:c r="B2096" s="168" t="str">
        <x:v>COINVEST FUNDO DE INVESTIMENTO EM DIREITOS CREDITÓRIOS</x:v>
      </x:c>
      <x:c r="C2096" s="190" t="n">
        <x:v>23833673.34</x:v>
      </x:c>
      <x:c r="D2096" s="168" t="str">
        <x:v>TERCON ASSET MANAGEMENT</x:v>
      </x:c>
      <x:c r="E2096" s="168" t="str">
        <x:f>IFERROR(INDEX('Classif Gestoras'!$H$6:$H$462,MATCH(D2096,'Classif Gestoras'!$A$6:$A$462,0)),"Não classificada")</x:f>
        <x:v>Independente</x:v>
      </x:c>
      <x:c r="F2096" s="168" t="str">
        <x:v>Limine Trust Distribuidora de Titulos e Valores Mobiliá</x:v>
      </x:c>
      <x:c r="G2096" s="168" t="str">
        <x:v>LIMINE TRUST DISTRIBUIDORA DE TITULOS E VALORES MOBILIARIOS LTDA.</x:v>
      </x:c>
      <x:c r="H2096" s="168" t="str">
        <x:v>Outros</x:v>
      </x:c>
      <x:c r="I2096" s="168" t="str">
        <x:v>Multicarteira Outros</x:v>
      </x:c>
      <x:c r="J2096" s="168" t="str">
        <x:v>CI</x:v>
      </x:c>
      <x:c r="K2096" s="174" t="n">
        <x:v>9</x:v>
      </x:c>
      <x:c r="L2096" s="187" t="str">
        <x:v>Proxy multicedente/multissacado — revisar</x:v>
      </x:c>
    </x:row>
    <x:row r="2097">
      <x:c r="A2097" s="177" t="str">
        <x:v>32.907.653/0001-45</x:v>
      </x:c>
      <x:c r="B2097" s="168" t="str">
        <x:v>CROWN OCEAN CAPITAL IV FUNDO DE INVESTIMENTO EM DIREITOS CREDITORIOS NAO PADRONIZADOS</x:v>
      </x:c>
      <x:c r="C2097" s="190" t="n">
        <x:v>23734253.09</x:v>
      </x:c>
      <x:c r="D2097" s="168" t="str">
        <x:v>Tyr Gestao de Recursos Ltda</x:v>
      </x:c>
      <x:c r="E2097" s="168" t="str">
        <x:f>IFERROR(INDEX('Classif Gestoras'!$H$6:$H$462,MATCH(D2097,'Classif Gestoras'!$A$6:$A$462,0)),"Não classificada")</x:f>
        <x:v>Independente</x:v>
      </x:c>
      <x:c r="F2097" s="168" t="str">
        <x:v>ID Corretora de Títulos e Valores Mobiliários S.A.</x:v>
      </x:c>
      <x:c r="G2097" s="168" t="str">
        <x:v>ID CORRETORA DE TITULOS E VALORES MOBILIARIOS S.A.</x:v>
      </x:c>
      <x:c r="H2097" s="168" t="str">
        <x:v>Outros</x:v>
      </x:c>
      <x:c r="I2097" s="168" t="str">
        <x:v>Poder Público</x:v>
      </x:c>
      <x:c r="J2097" s="168" t="str">
        <x:v>CI</x:v>
      </x:c>
      <x:c r="K2097" s="174" t="n">
        <x:v>1</x:v>
      </x:c>
      <x:c r="L2097" s="187" t="str">
        <x:v>Não classificado</x:v>
      </x:c>
    </x:row>
    <x:row r="2098">
      <x:c r="A2098" s="177" t="str">
        <x:v>51.296.133/0001-98</x:v>
      </x:c>
      <x:c r="B2098" s="168" t="str">
        <x:v>BTF FUNDO DE INVESTIMENTO EM DIREITOS CREDITÓRIOS</x:v>
      </x:c>
      <x:c r="C2098" s="190" t="n">
        <x:v>23672466.16</x:v>
      </x:c>
      <x:c r="D2098" s="168" t="str">
        <x:v>Global Gestão e Investimentos</x:v>
      </x:c>
      <x:c r="E2098" s="168" t="str">
        <x:f>IFERROR(INDEX('Classif Gestoras'!$H$6:$H$462,MATCH(D2098,'Classif Gestoras'!$A$6:$A$462,0)),"Não classificada")</x:f>
        <x:v>Independente</x:v>
      </x:c>
      <x:c r="F2098" s="168" t="str">
        <x:v>MONETAR DISTRIBUIDORA DE TITUL</x:v>
      </x:c>
      <x:c r="G2098" s="168" t="str">
        <x:v>TERRA INVESTIMENTOS DISTRIBUIDORA DE TITULOS E VALORES MOBILIARIOS LTDA</x:v>
      </x:c>
      <x:c r="H2098" s="168" t="str">
        <x:v>Financeiro</x:v>
      </x:c>
      <x:c r="I2098" s="168" t="str">
        <x:v>Multicarteira Financeiro</x:v>
      </x:c>
      <x:c r="J2098" s="168" t="str">
        <x:v>CI</x:v>
      </x:c>
      <x:c r="K2098" s="174" t="n">
        <x:v>3</x:v>
      </x:c>
      <x:c r="L2098" s="187" t="str">
        <x:v>Proxy multicedente/multissacado — revisar</x:v>
      </x:c>
    </x:row>
    <x:row r="2099">
      <x:c r="A2099" s="177" t="str">
        <x:v>45.064.053/0001-04</x:v>
      </x:c>
      <x:c r="B2099" s="168" t="str">
        <x:v>JGP SPECIAL SITUATIONS MASTER II FIDC DE RESPONSABILIDADE LIMITADA</x:v>
      </x:c>
      <x:c r="C2099" s="190" t="n">
        <x:v>23616027.19</x:v>
      </x:c>
      <x:c r="D2099" s="168" t="str">
        <x:v>JGP Gestão de Crédito LTDA.</x:v>
      </x:c>
      <x:c r="E2099" s="168" t="str">
        <x:f>IFERROR(INDEX('Classif Gestoras'!$H$6:$H$462,MATCH(D2099,'Classif Gestoras'!$A$6:$A$462,0)),"Não classificada")</x:f>
        <x:v>Independente</x:v>
      </x:c>
      <x:c r="F2099" s="168" t="str">
        <x:v>BANCO DAYCOVAL S/A</x:v>
      </x:c>
      <x:c r="G2099" s="168" t="str">
        <x:v>BANCO DAYCOVAL S.A.</x:v>
      </x:c>
      <x:c r="H2099" s="168" t="str">
        <x:v>Outros</x:v>
      </x:c>
      <x:c r="I2099" s="168" t="str">
        <x:v>Multicarteira Outros</x:v>
      </x:c>
      <x:c r="J2099" s="168" t="str">
        <x:v>CI</x:v>
      </x:c>
      <x:c r="K2099" s="174" t="n">
        <x:v>10</x:v>
      </x:c>
      <x:c r="L2099" s="187" t="str">
        <x:v>Proxy multicedente/multissacado — revisar</x:v>
      </x:c>
    </x:row>
    <x:row r="2100">
      <x:c r="A2100" s="177" t="str">
        <x:v>44.415.022/0001-98</x:v>
      </x:c>
      <x:c r="B2100" s="168" t="str">
        <x:v>QUARTZO ALPHA FUNDO DE INVESTIMENTO EM DIREITOS CREDITÓRIOS NÃO - PADRONIZADOS</x:v>
      </x:c>
      <x:c r="C2100" s="190" t="n">
        <x:v>23585040.11</x:v>
      </x:c>
      <x:c r="D2100" s="168" t="str">
        <x:v>ASSET MANAGEMENT</x:v>
      </x:c>
      <x:c r="E2100" s="168" t="str">
        <x:f>IFERROR(INDEX('Classif Gestoras'!$H$6:$H$462,MATCH(D2100,'Classif Gestoras'!$A$6:$A$462,0)),"Não classificada")</x:f>
        <x:v>Independente</x:v>
      </x:c>
      <x:c r="F2100" s="168" t="str">
        <x:v>AZUMI DISTRIBUIDORA DE TÍTULOS E VALORES MOBILIÁRIOS LT</x:v>
      </x:c>
      <x:c r="G2100" s="168" t="str">
        <x:v>AZUMI DISTRIBUIDORA DE TÍTULOS E VALORES MOBILIÁRIOS LTDA.</x:v>
      </x:c>
      <x:c r="H2100" s="168" t="str">
        <x:v>Outros</x:v>
      </x:c>
      <x:c r="I2100" s="168" t="str">
        <x:v>Poder Público</x:v>
      </x:c>
      <x:c r="J2100" s="168" t="str">
        <x:v>CI</x:v>
      </x:c>
      <x:c r="K2100" s="174" t="n">
        <x:v>5</x:v>
      </x:c>
      <x:c r="L2100" s="187" t="str">
        <x:v>Não classificado</x:v>
      </x:c>
    </x:row>
    <x:row r="2101">
      <x:c r="A2101" s="177" t="str">
        <x:v>52.258.509/0001-32</x:v>
      </x:c>
      <x:c r="B2101" s="168" t="str">
        <x:v>MEDAL FUNDO DE INVESTIMENTO EM DIREITOS CREDITÓRIOS INDUSTRIAIS DE RESPONSABILIDADE ILIMITADA</x:v>
      </x:c>
      <x:c r="C2101" s="190" t="n">
        <x:v>23475116.97</x:v>
      </x:c>
      <x:c r="D2101" s="168" t="str">
        <x:v>EuQueroInvestir Gestão de Recursos Ltda.</x:v>
      </x:c>
      <x:c r="E2101" s="168" t="str">
        <x:f>IFERROR(INDEX('Classif Gestoras'!$H$6:$H$462,MATCH(D2101,'Classif Gestoras'!$A$6:$A$462,0)),"Não classificada")</x:f>
        <x:v>Independente</x:v>
      </x:c>
      <x:c r="F2101" s="168" t="str">
        <x:v>BANCO DAYCOVAL S/A</x:v>
      </x:c>
      <x:c r="G2101" s="168" t="str">
        <x:v>BANCO DAYCOVAL S.A.</x:v>
      </x:c>
      <x:c r="H2101" s="168" t="str">
        <x:v>Agro, Indústria e Comércio</x:v>
      </x:c>
      <x:c r="I2101" s="168" t="str">
        <x:v>Recebíveis Comerciais</x:v>
      </x:c>
      <x:c r="J2101" s="168" t="str">
        <x:v>CI</x:v>
      </x:c>
      <x:c r="K2101" s="174" t="n">
        <x:v>5</x:v>
      </x:c>
      <x:c r="L2101" s="187" t="str">
        <x:v>Não classificado</x:v>
      </x:c>
    </x:row>
    <x:row r="2102">
      <x:c r="A2102" s="177" t="str">
        <x:v>59.912.498/0001-01</x:v>
      </x:c>
      <x:c r="B2102" s="168" t="str">
        <x:v>INNOVAR FUNDO DE INVESTIMENTO EM DIREITOS CREDITORIOS RESPONSABILIDADE LIMITADA</x:v>
      </x:c>
      <x:c r="C2102" s="190" t="n">
        <x:v>23404405.06</x:v>
      </x:c>
      <x:c r="D2102" s="168" t="str">
        <x:v>Renova Gestora</x:v>
      </x:c>
      <x:c r="E2102" s="168" t="str">
        <x:f>IFERROR(INDEX('Classif Gestoras'!$H$6:$H$462,MATCH(D2102,'Classif Gestoras'!$A$6:$A$462,0)),"Não classificada")</x:f>
        <x:v>Independente</x:v>
      </x:c>
      <x:c r="F2102" s="168" t="str">
        <x:v>MONETAR DISTRIBUIDORA DE TITUL</x:v>
      </x:c>
      <x:c r="G2102" s="168" t="str">
        <x:v>TERRA INVESTIMENTOS DISTRIBUIDORA DE TITULOS E VALORES MOBILIARIOS LTDA</x:v>
      </x:c>
      <x:c r="H2102" s="168" t="str">
        <x:v>Outros</x:v>
      </x:c>
      <x:c r="I2102" s="168" t="str">
        <x:v>Multicarteira Outros</x:v>
      </x:c>
      <x:c r="J2102" s="168" t="str">
        <x:v>CI</x:v>
      </x:c>
      <x:c r="K2102" s="174" t="n">
        <x:v>4</x:v>
      </x:c>
      <x:c r="L2102" s="187" t="str">
        <x:v>Proxy multicedente/multissacado — revisar</x:v>
      </x:c>
    </x:row>
    <x:row r="2103">
      <x:c r="A2103" s="177" t="str">
        <x:v>41.687.533/0001-70</x:v>
      </x:c>
      <x:c r="B2103" s="168" t="str">
        <x:v>BRCARD FUNDO DE INVESTIMENTO EM DIREITOS CREDITÓRIOS</x:v>
      </x:c>
      <x:c r="C2103" s="190" t="n">
        <x:v>23379882.65</x:v>
      </x:c>
      <x:c r="D2103" s="168" t="str">
        <x:v>Libertas Asset</x:v>
      </x:c>
      <x:c r="E2103" s="168" t="str">
        <x:f>IFERROR(INDEX('Classif Gestoras'!$H$6:$H$462,MATCH(D2103,'Classif Gestoras'!$A$6:$A$462,0)),"Não classificada")</x:f>
        <x:v>Independente</x:v>
      </x:c>
      <x:c r="F2103" s="168" t="str">
        <x:v>ACTUAL DTVM</x:v>
      </x:c>
      <x:c r="G2103" s="168" t="str">
        <x:v>TRUSTEE DISTRIBUIDORA DE TITULOS E VALORES MOBILIARIOS LTDA.</x:v>
      </x:c>
      <x:c r="H2103" s="168" t="str">
        <x:v>Fomento Mercantil</x:v>
      </x:c>
      <x:c r="I2103" s="168" t="str">
        <x:v>Fomento Mercantil</x:v>
      </x:c>
      <x:c r="J2103" s="168" t="str">
        <x:v>CI</x:v>
      </x:c>
      <x:c r="K2103" s="174" t="n">
        <x:v>13</x:v>
      </x:c>
      <x:c r="L2103" s="187" t="str">
        <x:v>Não classificado</x:v>
      </x:c>
    </x:row>
    <x:row r="2104">
      <x:c r="A2104" s="177" t="str">
        <x:v>57.310.139/0001-59</x:v>
      </x:c>
      <x:c r="B2104" s="168" t="str">
        <x:v>LC III FUNDO DE INVESTIMENTO EM DIREITOS CREDITÓRIOS DE RESPONSABILIDADE LIMITADA</x:v>
      </x:c>
      <x:c r="C2104" s="190" t="n">
        <x:v>23316516.15</x:v>
      </x:c>
      <x:c r="D2104" s="168" t="str">
        <x:v>TAG Investimentos</x:v>
      </x:c>
      <x:c r="E2104" s="168" t="str">
        <x:f>IFERROR(INDEX('Classif Gestoras'!$H$6:$H$462,MATCH(D2104,'Classif Gestoras'!$A$6:$A$462,0)),"Não classificada")</x:f>
        <x:v>Independente</x:v>
      </x:c>
      <x:c r="F2104" s="168" t="str">
        <x:v>VÓRTX DTVM</x:v>
      </x:c>
      <x:c r="G2104" s="168" t="str">
        <x:v>Não identificado</x:v>
      </x:c>
      <x:c r="H2104" s="168" t="str">
        <x:v>Outros</x:v>
      </x:c>
      <x:c r="I2104" s="168" t="str">
        <x:v>Multicarteira Outros</x:v>
      </x:c>
      <x:c r="J2104" s="168" t="str">
        <x:v>CI</x:v>
      </x:c>
      <x:c r="K2104" s="174" t="n">
        <x:v>31</x:v>
      </x:c>
      <x:c r="L2104" s="187" t="str">
        <x:v>Proxy multicedente/multissacado — revisar</x:v>
      </x:c>
    </x:row>
    <x:row r="2105">
      <x:c r="A2105" s="177" t="str">
        <x:v>30.828.789/0001-34</x:v>
      </x:c>
      <x:c r="B2105" s="168" t="str">
        <x:v>DIPLOMATA FUNDO DE INVESTIMENTO EM DIREITOS CREDITÓRIOS</x:v>
      </x:c>
      <x:c r="C2105" s="190" t="n">
        <x:v>23281764.369999997</x:v>
      </x:c>
      <x:c r="D2105" s="168" t="str">
        <x:v>TRUSTEE DTVM</x:v>
      </x:c>
      <x:c r="E2105" s="168" t="str">
        <x:f>IFERROR(INDEX('Classif Gestoras'!$H$6:$H$462,MATCH(D2105,'Classif Gestoras'!$A$6:$A$462,0)),"Não classificada")</x:f>
        <x:v>Independente</x:v>
      </x:c>
      <x:c r="F2105" s="168" t="str">
        <x:v>TRUSTEE DTVM</x:v>
      </x:c>
      <x:c r="G2105" s="168" t="str">
        <x:v>TRUSTEE DISTRIBUIDORA DE TITULOS E VALORES MOBILIARIOS LTDA.</x:v>
      </x:c>
      <x:c r="H2105" s="168" t="str">
        <x:v>Outros</x:v>
      </x:c>
      <x:c r="I2105" s="168" t="str">
        <x:v>Multicarteira Outros</x:v>
      </x:c>
      <x:c r="J2105" s="168" t="str">
        <x:v>CI</x:v>
      </x:c>
      <x:c r="K2105" s="174" t="n">
        <x:v>1</x:v>
      </x:c>
      <x:c r="L2105" s="187" t="str">
        <x:v>Proxy multicedente/multissacado — revisar</x:v>
      </x:c>
    </x:row>
    <x:row r="2106">
      <x:c r="A2106" s="177" t="str">
        <x:v>61.591.473/0001-03</x:v>
      </x:c>
      <x:c r="B2106" s="168" t="str">
        <x:v>WH1 FUNDO DE INVESTIMENTO EM DIREITOS CREDITÓRIOS RESPONSABILIDADE LIMITADA</x:v>
      </x:c>
      <x:c r="C2106" s="190" t="n">
        <x:v>23211071.66</x:v>
      </x:c>
      <x:c r="D2106" s="168" t="str">
        <x:v>Redwood Asset Management</x:v>
      </x:c>
      <x:c r="E2106" s="168" t="str">
        <x:f>IFERROR(INDEX('Classif Gestoras'!$H$6:$H$462,MATCH(D2106,'Classif Gestoras'!$A$6:$A$462,0)),"Não classificada")</x:f>
        <x:v>Independente</x:v>
      </x:c>
      <x:c r="F2106" s="168" t="str">
        <x:v>PLANNER CV</x:v>
      </x:c>
      <x:c r="G2106" s="168" t="str">
        <x:v>PLANNER CORRETORA DE VALORES S.A.</x:v>
      </x:c>
      <x:c r="H2106" s="168" t="str">
        <x:v>Financeiro</x:v>
      </x:c>
      <x:c r="I2106" s="168" t="str">
        <x:v>Crédito Consignado</x:v>
      </x:c>
      <x:c r="J2106" s="168" t="str">
        <x:v>CI</x:v>
      </x:c>
      <x:c r="K2106" s="174" t="n">
        <x:v>7</x:v>
      </x:c>
      <x:c r="L2106" s="187" t="str">
        <x:v>Não classificado</x:v>
      </x:c>
    </x:row>
    <x:row r="2107">
      <x:c r="A2107" s="177" t="str">
        <x:v>56.823.795/0001-92</x:v>
      </x:c>
      <x:c r="B2107" s="168" t="str">
        <x:v>RHB CRED FUNDO DE INVESTIMENTO EM DIREITOS CREDITÓRIOS DE RESPONSABILIDADE LIMITADA</x:v>
      </x:c>
      <x:c r="C2107" s="190" t="n">
        <x:v>23129230.2</x:v>
      </x:c>
      <x:c r="D2107" s="168" t="str">
        <x:v>Catálise Investimentos</x:v>
      </x:c>
      <x:c r="E2107" s="168" t="str">
        <x:f>IFERROR(INDEX('Classif Gestoras'!$H$6:$H$462,MATCH(D2107,'Classif Gestoras'!$A$6:$A$462,0)),"Não classificada")</x:f>
        <x:v>Independente</x:v>
      </x:c>
      <x:c r="F2107" s="168" t="str">
        <x:v>CATÁLISE DTVM</x:v>
      </x:c>
      <x:c r="G2107" s="168" t="str">
        <x:v>BANCO DAYCOVAL S.A.</x:v>
      </x:c>
      <x:c r="H2107" s="168" t="str">
        <x:v>Agro, Indústria e Comércio</x:v>
      </x:c>
      <x:c r="I2107" s="168" t="str">
        <x:v>Recebíveis Comerciais</x:v>
      </x:c>
      <x:c r="J2107" s="168" t="str">
        <x:v>CI</x:v>
      </x:c>
      <x:c r="K2107" s="174" t="n">
        <x:v>1</x:v>
      </x:c>
      <x:c r="L2107" s="187" t="str">
        <x:v>Não classificado</x:v>
      </x:c>
    </x:row>
    <x:row r="2108">
      <x:c r="A2108" s="177" t="str">
        <x:v>44.585.499/0001-11</x:v>
      </x:c>
      <x:c r="B2108" s="168" t="str">
        <x:v>ECOFINANCE FUNDO DE INVESTIMENTO EM DIREITOS CREDITÓRIOS</x:v>
      </x:c>
      <x:c r="C2108" s="190" t="n">
        <x:v>23089025.959999997</x:v>
      </x:c>
      <x:c r="D2108" s="168" t="str">
        <x:v>ASSET MANAGEMENT</x:v>
      </x:c>
      <x:c r="E2108" s="168" t="str">
        <x:f>IFERROR(INDEX('Classif Gestoras'!$H$6:$H$462,MATCH(D2108,'Classif Gestoras'!$A$6:$A$462,0)),"Não classificada")</x:f>
        <x:v>Independente</x:v>
      </x:c>
      <x:c r="F2108" s="168" t="str">
        <x:v>AZUMI DISTRIBUIDORA DE TÍTULOS E VALORES MOBILIÁRIOS LT</x:v>
      </x:c>
      <x:c r="G2108" s="168" t="str">
        <x:v>AZUMI DISTRIBUIDORA DE TÍTULOS E VALORES MOBILIÁRIOS LTDA.</x:v>
      </x:c>
      <x:c r="H2108" s="168" t="str">
        <x:v>Outros</x:v>
      </x:c>
      <x:c r="I2108" s="168" t="str">
        <x:v>Multicarteira Outros</x:v>
      </x:c>
      <x:c r="J2108" s="168" t="str">
        <x:v>CI</x:v>
      </x:c>
      <x:c r="K2108" s="174" t="n">
        <x:v>8</x:v>
      </x:c>
      <x:c r="L2108" s="187" t="str">
        <x:v>Proxy multicedente/multissacado — revisar</x:v>
      </x:c>
    </x:row>
    <x:row r="2109">
      <x:c r="A2109" s="177" t="str">
        <x:v>48.181.381/0001-89</x:v>
      </x:c>
      <x:c r="B2109" s="168" t="str">
        <x:v>WAAS FUNDO DE INVESTIMENTO EM DIREITOS CREDITÓRIOS DE RESPONSABILIDADE LIMITADA</x:v>
      </x:c>
      <x:c r="C2109" s="190" t="n">
        <x:v>23080434.58</x:v>
      </x:c>
      <x:c r="D2109" s="168" t="str">
        <x:v>Lakewood Investment Management</x:v>
      </x:c>
      <x:c r="E2109" s="168" t="str">
        <x:f>IFERROR(INDEX('Classif Gestoras'!$H$6:$H$462,MATCH(D2109,'Classif Gestoras'!$A$6:$A$462,0)),"Não classificada")</x:f>
        <x:v>Independente</x:v>
      </x:c>
      <x:c r="F2109" s="168" t="str">
        <x:v>BANCO DAYCOVAL S/A</x:v>
      </x:c>
      <x:c r="G2109" s="168" t="str">
        <x:v>BANCO DAYCOVAL S.A.</x:v>
      </x:c>
      <x:c r="H2109" s="168" t="str">
        <x:v>Outros</x:v>
      </x:c>
      <x:c r="I2109" s="168" t="str">
        <x:v>Multicarteira Outros</x:v>
      </x:c>
      <x:c r="J2109" s="168" t="str">
        <x:v>CI</x:v>
      </x:c>
      <x:c r="K2109" s="174" t="n">
        <x:v>31</x:v>
      </x:c>
      <x:c r="L2109" s="187" t="str">
        <x:v>Proxy multicedente/multissacado — revisar</x:v>
      </x:c>
    </x:row>
    <x:row r="2110">
      <x:c r="A2110" s="177" t="str">
        <x:v>55.512.068/0001-41</x:v>
      </x:c>
      <x:c r="B2110" s="168" t="str">
        <x:v>PRIMER CAPITAL FUNDO DE INVESTIMENTO EM DIREITOS CREDITÓRIOS RESPONSABILIDADE LIMITADA</x:v>
      </x:c>
      <x:c r="C2110" s="190" t="n">
        <x:v>23000289.58</x:v>
      </x:c>
      <x:c r="D2110" s="168" t="str">
        <x:v>Catálise Investimentos</x:v>
      </x:c>
      <x:c r="E2110" s="168" t="str">
        <x:f>IFERROR(INDEX('Classif Gestoras'!$H$6:$H$462,MATCH(D2110,'Classif Gestoras'!$A$6:$A$462,0)),"Não classificada")</x:f>
        <x:v>Independente</x:v>
      </x:c>
      <x:c r="F2110" s="168" t="str">
        <x:v>FIDD DISTRIBUIDORA DE TITULOS E VALORES MOBILIARIOS LTD</x:v>
      </x:c>
      <x:c r="G2110" s="168" t="str">
        <x:v>FIDD DISTRIBUIDORA DE TITULOS E VALORES MOBILIARIOS LTDA.</x:v>
      </x:c>
      <x:c r="H2110" s="168" t="str">
        <x:v>Agro, Indústria e Comércio</x:v>
      </x:c>
      <x:c r="I2110" s="168" t="str">
        <x:v>Recebíveis Comerciais</x:v>
      </x:c>
      <x:c r="J2110" s="168" t="str">
        <x:v>CI</x:v>
      </x:c>
      <x:c r="K2110" s="174" t="n">
        <x:v>9</x:v>
      </x:c>
      <x:c r="L2110" s="187" t="str">
        <x:v>Não classificado</x:v>
      </x:c>
    </x:row>
    <x:row r="2111">
      <x:c r="A2111" s="177" t="str">
        <x:v>59.905.357/0001-61</x:v>
      </x:c>
      <x:c r="B2111" s="168" t="str">
        <x:v>HR DIGITAL FUNDO DE INVESTIMENTO EM DIREITOS CREDITÓRIOS</x:v>
      </x:c>
      <x:c r="C2111" s="190" t="n">
        <x:v>22989039.4</x:v>
      </x:c>
      <x:c r="D2111" s="168" t="str">
        <x:v>Solis</x:v>
      </x:c>
      <x:c r="E2111" s="168" t="str">
        <x:f>IFERROR(INDEX('Classif Gestoras'!$H$6:$H$462,MATCH(D2111,'Classif Gestoras'!$A$6:$A$462,0)),"Não classificada")</x:f>
        <x:v>Independente</x:v>
      </x:c>
      <x:c r="F2111" s="168" t="str">
        <x:v>HEMERA DTVM</x:v>
      </x:c>
      <x:c r="G2111" s="168" t="str">
        <x:v>HEMERA DISTRIBUIDORA DE TITULOS E VALORES MOBILIARIOS LTDA</x:v>
      </x:c>
      <x:c r="H2111" s="168" t="str">
        <x:v>Fomento Mercantil</x:v>
      </x:c>
      <x:c r="I2111" s="168" t="str">
        <x:v>Fomento Mercantil</x:v>
      </x:c>
      <x:c r="J2111" s="168" t="str">
        <x:v>CI</x:v>
      </x:c>
      <x:c r="K2111" s="174" t="n">
        <x:v>9</x:v>
      </x:c>
      <x:c r="L2111" s="187" t="str">
        <x:v>Não classificado</x:v>
      </x:c>
    </x:row>
    <x:row r="2112">
      <x:c r="A2112" s="177" t="str">
        <x:v>32.517.659/0001-06</x:v>
      </x:c>
      <x:c r="B2112" s="168" t="str">
        <x:v>AMB FUNDO DE INVESTIMENTOS EM DIREITOS CREDITÓRIOS NÃO PADRONIZADOS</x:v>
      </x:c>
      <x:c r="C2112" s="190" t="n">
        <x:v>22879419.359999996</x:v>
      </x:c>
      <x:c r="D2112" s="168" t="str">
        <x:v>TERCON ASSET MANAGEMENT</x:v>
      </x:c>
      <x:c r="E2112" s="168" t="str">
        <x:f>IFERROR(INDEX('Classif Gestoras'!$H$6:$H$462,MATCH(D2112,'Classif Gestoras'!$A$6:$A$462,0)),"Não classificada")</x:f>
        <x:v>Independente</x:v>
      </x:c>
      <x:c r="F2112" s="168" t="str">
        <x:v>Singulare</x:v>
      </x:c>
      <x:c r="G2112" s="168" t="str">
        <x:v>QI CORRETORA DE TÍTULOS E VALORES MOBILIÁRIOS S.A.</x:v>
      </x:c>
      <x:c r="H2112" s="168" t="str">
        <x:v>Fomento Mercantil</x:v>
      </x:c>
      <x:c r="I2112" s="168" t="str">
        <x:v>Fomento Mercantil</x:v>
      </x:c>
      <x:c r="J2112" s="168" t="str">
        <x:v>CI</x:v>
      </x:c>
      <x:c r="K2112" s="174" t="n">
        <x:v>3</x:v>
      </x:c>
      <x:c r="L2112" s="187" t="str">
        <x:v>Não classificado</x:v>
      </x:c>
    </x:row>
    <x:row r="2113">
      <x:c r="A2113" s="177" t="str">
        <x:v>58.059.847/0001-21</x:v>
      </x:c>
      <x:c r="B2113" s="168" t="str">
        <x:v>FUNDO DE INVESTIMENTO EM DIREITOS CREDITÓRIOS VOITER CONSIGNADO III - RESPONSABILIDADE LIMITADA</x:v>
      </x:c>
      <x:c r="C2113" s="190" t="n">
        <x:v>22829279.83</x:v>
      </x:c>
      <x:c r="D2113" s="168" t="str">
        <x:v>Blue Solutions</x:v>
      </x:c>
      <x:c r="E2113" s="168" t="str">
        <x:f>IFERROR(INDEX('Classif Gestoras'!$H$6:$H$462,MATCH(D2113,'Classif Gestoras'!$A$6:$A$462,0)),"Não classificada")</x:f>
        <x:v>Independente</x:v>
      </x:c>
      <x:c r="F2113" s="168" t="str">
        <x:v>Banvox DTVM</x:v>
      </x:c>
      <x:c r="G2113" s="168" t="str">
        <x:v>BANVOX DISTRIBUIDORA DE TITULOS E VALORES MOBILIARIOS LTDA</x:v>
      </x:c>
      <x:c r="H2113" s="168" t="str">
        <x:v>Financeiro</x:v>
      </x:c>
      <x:c r="I2113" s="168" t="str">
        <x:v>Crédito Consignado</x:v>
      </x:c>
      <x:c r="J2113" s="168" t="str">
        <x:v>CI</x:v>
      </x:c>
      <x:c r="K2113" s="174" t="n">
        <x:v>1</x:v>
      </x:c>
      <x:c r="L2113" s="187" t="str">
        <x:v>Não classificado</x:v>
      </x:c>
    </x:row>
    <x:row r="2114">
      <x:c r="A2114" s="177" t="str">
        <x:v>65.281.804/0001-51</x:v>
      </x:c>
      <x:c r="B2114" s="168" t="str">
        <x:v>FLEETER AUTO FUNDO DE INVESTIMENTO EM DIREITOS CREDITÓRIOS MERCANTIS - RESPONSABILIDADE LIMITADA</x:v>
      </x:c>
      <x:c r="C2114" s="190" t="n">
        <x:v>22820391.18</x:v>
      </x:c>
      <x:c r="D2114" s="168" t="str">
        <x:v>Horizonte Capital Gestão de Investimentos LTDA</x:v>
      </x:c>
      <x:c r="E2114" s="168" t="str">
        <x:f>IFERROR(INDEX('Classif Gestoras'!$H$6:$H$462,MATCH(D2114,'Classif Gestoras'!$A$6:$A$462,0)),"Não classificada")</x:f>
        <x:v>Independente</x:v>
      </x:c>
      <x:c r="F2114" s="168" t="str">
        <x:v>FIDD DISTRIBUIDORA DE TITULOS E VALORES MOBILIARIOS LTD</x:v>
      </x:c>
      <x:c r="G2114" s="168" t="str">
        <x:v>FIDD DISTRIBUIDORA DE TITULOS E VALORES MOBILIARIOS LTDA.</x:v>
      </x:c>
      <x:c r="H2114" s="168" t="str">
        <x:v>Agro, Indústria e Comércio</x:v>
      </x:c>
      <x:c r="I2114" s="168" t="str">
        <x:v>Recebíveis Comerciais</x:v>
      </x:c>
      <x:c r="J2114" s="168" t="str">
        <x:v>CI</x:v>
      </x:c>
      <x:c r="K2114" s="174" t="n">
        <x:v>7</x:v>
      </x:c>
      <x:c r="L2114" s="187" t="str">
        <x:v>Não classificado</x:v>
      </x:c>
    </x:row>
    <x:row r="2115">
      <x:c r="A2115" s="177" t="str">
        <x:v>49.950.299/0001-34</x:v>
      </x:c>
      <x:c r="B2115" s="168" t="str">
        <x:v>CAPITAL HILL FUNDO DE INVESTIMENTO EM DIREITOS CREDITÓRIOS RESPONSABILIDADE LIMITADA</x:v>
      </x:c>
      <x:c r="C2115" s="190" t="n">
        <x:v>22819636.61</x:v>
      </x:c>
      <x:c r="D2115" s="168" t="str">
        <x:v>Libertas Asset</x:v>
      </x:c>
      <x:c r="E2115" s="168" t="str">
        <x:f>IFERROR(INDEX('Classif Gestoras'!$H$6:$H$462,MATCH(D2115,'Classif Gestoras'!$A$6:$A$462,0)),"Não classificada")</x:f>
        <x:v>Independente</x:v>
      </x:c>
      <x:c r="F2115" s="168" t="str">
        <x:v>ACTUAL DTVM</x:v>
      </x:c>
      <x:c r="G2115" s="168" t="str">
        <x:v>LASTRO RDV DTVM LTDA</x:v>
      </x:c>
      <x:c r="H2115" s="168" t="str">
        <x:v>Fomento Mercantil</x:v>
      </x:c>
      <x:c r="I2115" s="168" t="str">
        <x:v>Fomento Mercantil</x:v>
      </x:c>
      <x:c r="J2115" s="168" t="str">
        <x:v>CI</x:v>
      </x:c>
      <x:c r="K2115" s="174" t="n">
        <x:v>4</x:v>
      </x:c>
      <x:c r="L2115" s="187" t="str">
        <x:v>Não classificado</x:v>
      </x:c>
    </x:row>
    <x:row r="2116">
      <x:c r="A2116" s="177" t="str">
        <x:v>42.866.957/0001-65</x:v>
      </x:c>
      <x:c r="B2116" s="168" t="str">
        <x:v>PATAGONIA FUNDO DE INVESTIMENTO EM DIREITOS CREDITÓRIOS NÃO PADRONIZADOS</x:v>
      </x:c>
      <x:c r="C2116" s="190" t="n">
        <x:v>22813654.839999996</x:v>
      </x:c>
      <x:c r="D2116" s="168" t="str">
        <x:v>RJ Gestão de Recursos Ltda.</x:v>
      </x:c>
      <x:c r="E2116" s="168" t="str">
        <x:f>IFERROR(INDEX('Classif Gestoras'!$H$6:$H$462,MATCH(D2116,'Classif Gestoras'!$A$6:$A$462,0)),"Não classificada")</x:f>
        <x:v>Independente</x:v>
      </x:c>
      <x:c r="F2116" s="168" t="str">
        <x:v>Singulare</x:v>
      </x:c>
      <x:c r="G2116" s="168" t="str">
        <x:v>QI CORRETORA DE TÍTULOS E VALORES MOBILIÁRIOS S.A.</x:v>
      </x:c>
      <x:c r="H2116" s="168" t="str">
        <x:v>Fomento Mercantil</x:v>
      </x:c>
      <x:c r="I2116" s="168" t="str">
        <x:v>Fomento Mercantil</x:v>
      </x:c>
      <x:c r="J2116" s="168" t="str">
        <x:v>CI</x:v>
      </x:c>
      <x:c r="K2116" s="174" t="n">
        <x:v>12</x:v>
      </x:c>
      <x:c r="L2116" s="187" t="str">
        <x:v>Não classificado</x:v>
      </x:c>
    </x:row>
    <x:row r="2117">
      <x:c r="A2117" s="177" t="str">
        <x:v>17.213.074/0001-09</x:v>
      </x:c>
      <x:c r="B2117" s="168" t="str">
        <x:v>CENTRUM FUNDO DE INVESTIMENTO EM DIREITOS CREDITORIOS</x:v>
      </x:c>
      <x:c r="C2117" s="190" t="n">
        <x:v>22728166.770000003</x:v>
      </x:c>
      <x:c r="D2117" s="168" t="str">
        <x:v>TERCON ASSET MANAGEMENT</x:v>
      </x:c>
      <x:c r="E2117" s="168" t="str">
        <x:f>IFERROR(INDEX('Classif Gestoras'!$H$6:$H$462,MATCH(D2117,'Classif Gestoras'!$A$6:$A$462,0)),"Não classificada")</x:f>
        <x:v>Independente</x:v>
      </x:c>
      <x:c r="F2117" s="168" t="str">
        <x:v>Singulare</x:v>
      </x:c>
      <x:c r="G2117" s="168" t="str">
        <x:v>QI CORRETORA DE TÍTULOS E VALORES MOBILIÁRIOS S.A.</x:v>
      </x:c>
      <x:c r="H2117" s="168" t="str">
        <x:v>Fomento Mercantil</x:v>
      </x:c>
      <x:c r="I2117" s="168" t="str">
        <x:v>Fomento Mercantil</x:v>
      </x:c>
      <x:c r="J2117" s="168" t="str">
        <x:v>CI</x:v>
      </x:c>
      <x:c r="K2117" s="174" t="n">
        <x:v>4</x:v>
      </x:c>
      <x:c r="L2117" s="187" t="str">
        <x:v>Não classificado</x:v>
      </x:c>
    </x:row>
    <x:row r="2118">
      <x:c r="A2118" s="177" t="str">
        <x:v>21.053.703/0001-58</x:v>
      </x:c>
      <x:c r="B2118" s="168" t="str">
        <x:v>CEDRO FIDC MULTISSETORIAL NP</x:v>
      </x:c>
      <x:c r="C2118" s="190" t="n">
        <x:v>22713639.42</x:v>
      </x:c>
      <x:c r="D2118" s="168" t="str">
        <x:v>TERCON ASSET MANAGEMENT</x:v>
      </x:c>
      <x:c r="E2118" s="168" t="str">
        <x:f>IFERROR(INDEX('Classif Gestoras'!$H$6:$H$462,MATCH(D2118,'Classif Gestoras'!$A$6:$A$462,0)),"Não classificada")</x:f>
        <x:v>Independente</x:v>
      </x:c>
      <x:c r="F2118" s="168" t="str">
        <x:v>Singulare</x:v>
      </x:c>
      <x:c r="G2118" s="168" t="str">
        <x:v>QI CORRETORA DE TÍTULOS E VALORES MOBILIÁRIOS S.A.</x:v>
      </x:c>
      <x:c r="H2118" s="168" t="str">
        <x:v>Fomento Mercantil</x:v>
      </x:c>
      <x:c r="I2118" s="168" t="str">
        <x:v>Fomento Mercantil</x:v>
      </x:c>
      <x:c r="J2118" s="168" t="str">
        <x:v>CI</x:v>
      </x:c>
      <x:c r="K2118" s="174" t="n">
        <x:v>4</x:v>
      </x:c>
      <x:c r="L2118" s="187" t="str">
        <x:v>Não classificado</x:v>
      </x:c>
    </x:row>
    <x:row r="2119">
      <x:c r="A2119" s="177" t="str">
        <x:v>48.169.685/0001-20</x:v>
      </x:c>
      <x:c r="B2119" s="168" t="str">
        <x:v>EOS FUNDO DE INVESTIMENTO EM DIREITOS CREDITÓRIOS WH</x:v>
      </x:c>
      <x:c r="C2119" s="190" t="n">
        <x:v>22694807.68</x:v>
      </x:c>
      <x:c r="D2119" s="168" t="str">
        <x:v>Menestys</x:v>
      </x:c>
      <x:c r="E2119" s="168" t="str">
        <x:f>IFERROR(INDEX('Classif Gestoras'!$H$6:$H$462,MATCH(D2119,'Classif Gestoras'!$A$6:$A$462,0)),"Não classificada")</x:f>
        <x:v>Independente</x:v>
      </x:c>
      <x:c r="F2119" s="168" t="str">
        <x:v>Limine Trust Distribuidora de Titulos e Valores Mobiliá</x:v>
      </x:c>
      <x:c r="G2119" s="168" t="str">
        <x:v>LIMINE TRUST DISTRIBUIDORA DE TITULOS E VALORES MOBILIARIOS LTDA.</x:v>
      </x:c>
      <x:c r="H2119" s="168" t="str">
        <x:v>Outros</x:v>
      </x:c>
      <x:c r="I2119" s="168" t="str">
        <x:v>Multicarteira Outros</x:v>
      </x:c>
      <x:c r="J2119" s="168" t="str">
        <x:v>CI</x:v>
      </x:c>
      <x:c r="K2119" s="174" t="n">
        <x:v>16</x:v>
      </x:c>
      <x:c r="L2119" s="187" t="str">
        <x:v>Proxy multicedente/multissacado — revisar</x:v>
      </x:c>
    </x:row>
    <x:row r="2120">
      <x:c r="A2120" s="177" t="str">
        <x:v>52.356.145/0001-23</x:v>
      </x:c>
      <x:c r="B2120" s="168" t="str">
        <x:v>TX CAPITAL FUNDO DE INVESTIMENTO EM DIREITOS CREDITÓRIOS NÃO PADRONIZADOS</x:v>
      </x:c>
      <x:c r="C2120" s="190" t="n">
        <x:v>22661885.31</x:v>
      </x:c>
      <x:c r="D2120" s="168" t="str">
        <x:v>QUAESTUS GESTÃO DE INVESTIMENTOS LTDA.</x:v>
      </x:c>
      <x:c r="E2120" s="168" t="str">
        <x:f>IFERROR(INDEX('Classif Gestoras'!$H$6:$H$462,MATCH(D2120,'Classif Gestoras'!$A$6:$A$462,0)),"Não classificada")</x:f>
        <x:v>Independente</x:v>
      </x:c>
      <x:c r="F2120" s="168" t="str">
        <x:v>Singulare</x:v>
      </x:c>
      <x:c r="G2120" s="168" t="str">
        <x:v>QI CORRETORA DE TÍTULOS E VALORES MOBILIÁRIOS S.A.</x:v>
      </x:c>
      <x:c r="H2120" s="168" t="str">
        <x:v>Fomento Mercantil</x:v>
      </x:c>
      <x:c r="I2120" s="168" t="str">
        <x:v>Fomento Mercantil</x:v>
      </x:c>
      <x:c r="J2120" s="168" t="str">
        <x:v>CI</x:v>
      </x:c>
      <x:c r="K2120" s="174" t="n">
        <x:v>4</x:v>
      </x:c>
      <x:c r="L2120" s="187" t="str">
        <x:v>Não classificado</x:v>
      </x:c>
    </x:row>
    <x:row r="2121">
      <x:c r="A2121" s="177" t="str">
        <x:v>29.243.005/0001-27</x:v>
      </x:c>
      <x:c r="B2121" s="168" t="str">
        <x:v>MULTIFRIGO FUNDO DE INVESTIMENTO EM DIREITOS CREDITÓRIOS</x:v>
      </x:c>
      <x:c r="C2121" s="190" t="n">
        <x:v>22610902.800000004</x:v>
      </x:c>
      <x:c r="D2121" s="168" t="str">
        <x:v>Multiplica Capital</x:v>
      </x:c>
      <x:c r="E2121" s="168" t="str">
        <x:f>IFERROR(INDEX('Classif Gestoras'!$H$6:$H$462,MATCH(D2121,'Classif Gestoras'!$A$6:$A$462,0)),"Não classificada")</x:f>
        <x:v>Independente</x:v>
      </x:c>
      <x:c r="F2121" s="168" t="str">
        <x:v>PLANNER CV</x:v>
      </x:c>
      <x:c r="G2121" s="168" t="str">
        <x:v>PLANNER CORRETORA DE VALORES S.A.</x:v>
      </x:c>
      <x:c r="H2121" s="168" t="str">
        <x:v>Outros</x:v>
      </x:c>
      <x:c r="I2121" s="168" t="str">
        <x:v>Multicarteira Outros</x:v>
      </x:c>
      <x:c r="J2121" s="168" t="str">
        <x:v>CI</x:v>
      </x:c>
      <x:c r="K2121" s="174" t="n">
        <x:v>4</x:v>
      </x:c>
      <x:c r="L2121" s="187" t="str">
        <x:v>Proxy multicedente/multissacado — revisar</x:v>
      </x:c>
    </x:row>
    <x:row r="2122">
      <x:c r="A2122" s="177" t="str">
        <x:v>64.011.100/0001-04</x:v>
      </x:c>
      <x:c r="B2122" s="168" t="str">
        <x:v>NTZ ALPHA 2 FUNDO DE INVESTIMENTO EM DIREITOS CREDITÓRIOS - RESPONSABILIDADE LIMITADA</x:v>
      </x:c>
      <x:c r="C2122" s="190" t="n">
        <x:v>22584605.29</x:v>
      </x:c>
      <x:c r="D2122" s="168" t="str">
        <x:v>Netz Asset</x:v>
      </x:c>
      <x:c r="E2122" s="168" t="str">
        <x:f>IFERROR(INDEX('Classif Gestoras'!$H$6:$H$462,MATCH(D2122,'Classif Gestoras'!$A$6:$A$462,0)),"Não classificada")</x:f>
        <x:v>Independente</x:v>
      </x:c>
      <x:c r="F2122" s="168" t="str">
        <x:v>MONETAR DISTRIBUIDORA DE TITUL</x:v>
      </x:c>
      <x:c r="G2122" s="168" t="str">
        <x:v>TERRA INVESTIMENTOS DISTRIBUIDORA DE TITULOS E VALORES MOBILIARIOS LTDA</x:v>
      </x:c>
      <x:c r="H2122" s="168" t="str">
        <x:v>Outros</x:v>
      </x:c>
      <x:c r="I2122" s="168" t="str">
        <x:v>Multicarteira Outros</x:v>
      </x:c>
      <x:c r="J2122" s="168" t="str">
        <x:v>CI</x:v>
      </x:c>
      <x:c r="K2122" s="174" t="n">
        <x:v>6</x:v>
      </x:c>
      <x:c r="L2122" s="187" t="str">
        <x:v>Proxy multicedente/multissacado — revisar</x:v>
      </x:c>
    </x:row>
    <x:row r="2123">
      <x:c r="A2123" s="177" t="str">
        <x:v>30.418.801/0001-32</x:v>
      </x:c>
      <x:c r="B2123" s="168" t="str">
        <x:v>CLAIMS II FUNDO DE INVESTIMENTO EM DIREITOS CREDITÓRIOS</x:v>
      </x:c>
      <x:c r="C2123" s="190" t="n">
        <x:v>22566290.6</x:v>
      </x:c>
      <x:c r="D2123" s="168" t="str">
        <x:v>Vista Real Estate</x:v>
      </x:c>
      <x:c r="E2123" s="168" t="str">
        <x:f>IFERROR(INDEX('Classif Gestoras'!$H$6:$H$462,MATCH(D2123,'Classif Gestoras'!$A$6:$A$462,0)),"Não classificada")</x:f>
        <x:v>Independente</x:v>
      </x:c>
      <x:c r="F2123" s="168" t="str">
        <x:v>VÓRTX DTVM</x:v>
      </x:c>
      <x:c r="G2123" s="168" t="str">
        <x:v>VORTX DISTRIBUIDORA DE TITULOS E VALORES MOBILIARIOS LTDA.</x:v>
      </x:c>
      <x:c r="H2123" s="168" t="str">
        <x:v>Outros</x:v>
      </x:c>
      <x:c r="I2123" s="168" t="str">
        <x:v>Multicarteira Outros</x:v>
      </x:c>
      <x:c r="J2123" s="168" t="str">
        <x:v>CI</x:v>
      </x:c>
      <x:c r="K2123" s="174" t="n">
        <x:v>3</x:v>
      </x:c>
      <x:c r="L2123" s="187" t="str">
        <x:v>Proxy multicedente/multissacado — revisar</x:v>
      </x:c>
    </x:row>
    <x:row r="2124">
      <x:c r="A2124" s="177" t="str">
        <x:v>62.433.229/0001-77</x:v>
      </x:c>
      <x:c r="B2124" s="168" t="str">
        <x:v>REDWOOD CC FUNDO DE INVESTIMENTO EM DIREITOS CREDITÓRIOS RESPONSABILIDADE LIMITADA</x:v>
      </x:c>
      <x:c r="C2124" s="190" t="n">
        <x:v>22565408.21</x:v>
      </x:c>
      <x:c r="D2124" s="168" t="str">
        <x:v>Redwood Asset Management</x:v>
      </x:c>
      <x:c r="E2124" s="168" t="str">
        <x:f>IFERROR(INDEX('Classif Gestoras'!$H$6:$H$462,MATCH(D2124,'Classif Gestoras'!$A$6:$A$462,0)),"Não classificada")</x:f>
        <x:v>Independente</x:v>
      </x:c>
      <x:c r="F2124" s="168" t="str">
        <x:v>PLANNER CV</x:v>
      </x:c>
      <x:c r="G2124" s="168" t="str">
        <x:v>PLANNER CORRETORA DE VALORES S.A.</x:v>
      </x:c>
      <x:c r="H2124" s="168" t="str">
        <x:v>Financeiro</x:v>
      </x:c>
      <x:c r="I2124" s="168" t="str">
        <x:v>Crédito Pessoal</x:v>
      </x:c>
      <x:c r="J2124" s="168" t="str">
        <x:v>CI</x:v>
      </x:c>
      <x:c r="K2124" s="174" t="n">
        <x:v>5</x:v>
      </x:c>
      <x:c r="L2124" s="187" t="str">
        <x:v>Não classificado</x:v>
      </x:c>
    </x:row>
    <x:row r="2125">
      <x:c r="A2125" s="177" t="str">
        <x:v>47.846.982/0001-09</x:v>
      </x:c>
      <x:c r="B2125" s="168" t="str">
        <x:v>FS TATUÍ FUNDO DE INVESTIMENTO EM DIREITOS CREDITÓRIOS</x:v>
      </x:c>
      <x:c r="C2125" s="190" t="n">
        <x:v>22558295.190000005</x:v>
      </x:c>
      <x:c r="D2125" s="168" t="str">
        <x:v>TERCON ASSET MANAGEMENT</x:v>
      </x:c>
      <x:c r="E2125" s="168" t="str">
        <x:f>IFERROR(INDEX('Classif Gestoras'!$H$6:$H$462,MATCH(D2125,'Classif Gestoras'!$A$6:$A$462,0)),"Não classificada")</x:f>
        <x:v>Independente</x:v>
      </x:c>
      <x:c r="F2125" s="168" t="str">
        <x:v>Singulare</x:v>
      </x:c>
      <x:c r="G2125" s="168" t="str">
        <x:v>QI CORRETORA DE TÍTULOS E VALORES MOBILIÁRIOS S.A.</x:v>
      </x:c>
      <x:c r="H2125" s="168" t="str">
        <x:v>Fomento Mercantil</x:v>
      </x:c>
      <x:c r="I2125" s="168" t="str">
        <x:v>Fomento Mercantil</x:v>
      </x:c>
      <x:c r="J2125" s="168" t="str">
        <x:v>CI</x:v>
      </x:c>
      <x:c r="K2125" s="174" t="n">
        <x:v>3</x:v>
      </x:c>
      <x:c r="L2125" s="187" t="str">
        <x:v>Não classificado</x:v>
      </x:c>
    </x:row>
    <x:row r="2126">
      <x:c r="A2126" s="177" t="str">
        <x:v>57.533.260/0001-40</x:v>
      </x:c>
      <x:c r="B2126" s="168" t="str">
        <x:v>ONZE I FUNDO DE INVESTIMENTO EM DIREITOS CREDITÓRIOS - RESPONSABILIDADE LIMITADA</x:v>
      </x:c>
      <x:c r="C2126" s="190" t="n">
        <x:v>22482210.43062</x:v>
      </x:c>
      <x:c r="D2126" s="168" t="str">
        <x:v>Onze Investimentos</x:v>
      </x:c>
      <x:c r="E2126" s="168" t="str">
        <x:f>IFERROR(INDEX('Classif Gestoras'!$H$6:$H$462,MATCH(D2126,'Classif Gestoras'!$A$6:$A$462,0)),"Não classificada")</x:f>
        <x:v>Independente</x:v>
      </x:c>
      <x:c r="F2126" s="168" t="str">
        <x:v>Singulare</x:v>
      </x:c>
      <x:c r="G2126" s="168" t="str">
        <x:v>QI CORRETORA DE TÍTULOS E VALORES MOBILIÁRIOS S.A.</x:v>
      </x:c>
      <x:c r="H2126" s="168" t="str">
        <x:v>Financeiro</x:v>
      </x:c>
      <x:c r="I2126" s="168" t="str">
        <x:v>Crédito Pessoal</x:v>
      </x:c>
      <x:c r="J2126" s="168" t="str">
        <x:v>CI</x:v>
      </x:c>
      <x:c r="K2126" s="174" t="n">
        <x:v>5</x:v>
      </x:c>
      <x:c r="L2126" s="187" t="str">
        <x:v>Não classificado</x:v>
      </x:c>
    </x:row>
    <x:row r="2127">
      <x:c r="A2127" s="177" t="str">
        <x:v>59.550.323/0001-00</x:v>
      </x:c>
      <x:c r="B2127" s="168" t="str">
        <x:v>AGRO30 A FUNDO DE INVESTIMENTO EM DIREITOS CREDITÓRIOS DE RESPONSABILIDADE LIMITADA</x:v>
      </x:c>
      <x:c r="C2127" s="190" t="n">
        <x:v>22448894.160000004</x:v>
      </x:c>
      <x:c r="D2127" s="168" t="str">
        <x:v>DAYCOVAL ASSET MANAG</x:v>
      </x:c>
      <x:c r="E2127" s="168" t="str">
        <x:f>IFERROR(INDEX('Classif Gestoras'!$H$6:$H$462,MATCH(D2127,'Classif Gestoras'!$A$6:$A$462,0)),"Não classificada")</x:f>
        <x:v>Ligada a banco</x:v>
      </x:c>
      <x:c r="F2127" s="168" t="str">
        <x:v>BANCO DAYCOVAL S/A</x:v>
      </x:c>
      <x:c r="G2127" s="168" t="str">
        <x:v>BANCO DAYCOVAL S.A.</x:v>
      </x:c>
      <x:c r="H2127" s="168" t="str">
        <x:v>Outros</x:v>
      </x:c>
      <x:c r="I2127" s="168" t="str">
        <x:v>Multicarteira Outros</x:v>
      </x:c>
      <x:c r="J2127" s="168" t="str">
        <x:v>CI</x:v>
      </x:c>
      <x:c r="K2127" s="174" t="n">
        <x:v>10</x:v>
      </x:c>
      <x:c r="L2127" s="187" t="str">
        <x:v>Proxy multicedente/multissacado — revisar</x:v>
      </x:c>
    </x:row>
    <x:row r="2128">
      <x:c r="A2128" s="177" t="str">
        <x:v>62.135.021/0001-71</x:v>
      </x:c>
      <x:c r="B2128" s="168" t="str">
        <x:v>APROVOU FUNDO DE INVESTIMENTO EM DIREITOS CREDITÓRIOS - RESPONSABILIDADE LIMITADA</x:v>
      </x:c>
      <x:c r="C2128" s="190" t="n">
        <x:v>22431466.65</x:v>
      </x:c>
      <x:c r="D2128" s="168" t="str">
        <x:v>RB Investimentos Gestão de Recursos</x:v>
      </x:c>
      <x:c r="E2128" s="168" t="str">
        <x:f>IFERROR(INDEX('Classif Gestoras'!$H$6:$H$462,MATCH(D2128,'Classif Gestoras'!$A$6:$A$462,0)),"Não classificada")</x:f>
        <x:v>Independente</x:v>
      </x:c>
      <x:c r="F2128" s="168" t="str">
        <x:v>HEMERA DTVM</x:v>
      </x:c>
      <x:c r="G2128" s="168" t="str">
        <x:v>HEMERA DISTRIBUIDORA DE TITULOS E VALORES MOBILIARIOS LTDA</x:v>
      </x:c>
      <x:c r="H2128" s="168" t="str">
        <x:v>Agro, Indústria e Comércio</x:v>
      </x:c>
      <x:c r="I2128" s="168" t="str">
        <x:v>Infraestrutura</x:v>
      </x:c>
      <x:c r="J2128" s="168" t="str">
        <x:v>CI</x:v>
      </x:c>
      <x:c r="K2128" s="174" t="n">
        <x:v>25</x:v>
      </x:c>
      <x:c r="L2128" s="187" t="str">
        <x:v>Não classificado</x:v>
      </x:c>
    </x:row>
    <x:row r="2129">
      <x:c r="A2129" s="177" t="str">
        <x:v>09.220.444/0001-07</x:v>
      </x:c>
      <x:c r="B2129" s="168" t="str">
        <x:v>DELTA FUNDO DE INVESTIMENTO EM DIREITOS CREDITÓRIOS MULTISEGMENTOS</x:v>
      </x:c>
      <x:c r="C2129" s="190" t="n">
        <x:v>22418119.619999997</x:v>
      </x:c>
      <x:c r="D2129" s="168" t="str">
        <x:v>Petra Capital</x:v>
      </x:c>
      <x:c r="E2129" s="168" t="str">
        <x:f>IFERROR(INDEX('Classif Gestoras'!$H$6:$H$462,MATCH(D2129,'Classif Gestoras'!$A$6:$A$462,0)),"Não classificada")</x:f>
        <x:v>Independente</x:v>
      </x:c>
      <x:c r="F2129" s="168" t="str">
        <x:v>Finaxis Corretora de Títulos e Valores Mobiliários S.A.</x:v>
      </x:c>
      <x:c r="G2129" s="168" t="str">
        <x:v>BANCO FINAXIS S.A.</x:v>
      </x:c>
      <x:c r="H2129" s="168" t="str">
        <x:v>Fomento Mercantil</x:v>
      </x:c>
      <x:c r="I2129" s="168" t="str">
        <x:v>Fomento Mercantil</x:v>
      </x:c>
      <x:c r="J2129" s="168" t="str">
        <x:v>CI</x:v>
      </x:c>
      <x:c r="K2129" s="174" t="n">
        <x:v>2</x:v>
      </x:c>
      <x:c r="L2129" s="187" t="str">
        <x:v>Não classificado</x:v>
      </x:c>
    </x:row>
    <x:row r="2130">
      <x:c r="A2130" s="177" t="str">
        <x:v>55.685.665/0001-78</x:v>
      </x:c>
      <x:c r="B2130" s="168" t="str">
        <x:v>IRONWOOD CONSIG MULTI I FUNDO DE INVESTIMENTO EM DIREITOS CREDITÓRIOS DE RESPONSABILIDADE LIMITADA</x:v>
      </x:c>
      <x:c r="C2130" s="190" t="n">
        <x:v>22364081.339999996</x:v>
      </x:c>
      <x:c r="D2130" s="168" t="str">
        <x:v>Brave Asset</x:v>
      </x:c>
      <x:c r="E2130" s="168" t="str">
        <x:f>IFERROR(INDEX('Classif Gestoras'!$H$6:$H$462,MATCH(D2130,'Classif Gestoras'!$A$6:$A$462,0)),"Não classificada")</x:f>
        <x:v>Independente</x:v>
      </x:c>
      <x:c r="F2130" s="168" t="str">
        <x:v>BANCO DAYCOVAL S/A</x:v>
      </x:c>
      <x:c r="G2130" s="168" t="str">
        <x:v>BANCO DAYCOVAL S.A.</x:v>
      </x:c>
      <x:c r="H2130" s="168" t="str">
        <x:v>Financeiro</x:v>
      </x:c>
      <x:c r="I2130" s="168" t="str">
        <x:v>Multicarteira Financeiro</x:v>
      </x:c>
      <x:c r="J2130" s="168" t="str">
        <x:v>CI</x:v>
      </x:c>
      <x:c r="K2130" s="174" t="n">
        <x:v>43</x:v>
      </x:c>
      <x:c r="L2130" s="187" t="str">
        <x:v>Proxy multicedente/multissacado — revisar</x:v>
      </x:c>
    </x:row>
    <x:row r="2131">
      <x:c r="A2131" s="177" t="str">
        <x:v>25.295.530/0001-35</x:v>
      </x:c>
      <x:c r="B2131" s="168" t="str">
        <x:v>HIGH YIELD DISTRESSED FUNDO DE INVESTIMENTO EM DIREITOS CREDITÓRIOS NÃO PADRONIZADOS - RESPON. LIMIT</x:v>
      </x:c>
      <x:c r="C2131" s="190" t="n">
        <x:v>22363443.64</x:v>
      </x:c>
      <x:c r="D2131" s="168" t="str">
        <x:v>BLP CAPITAL</x:v>
      </x:c>
      <x:c r="E2131" s="168" t="str">
        <x:f>IFERROR(INDEX('Classif Gestoras'!$H$6:$H$462,MATCH(D2131,'Classif Gestoras'!$A$6:$A$462,0)),"Não classificada")</x:f>
        <x:v>Independente</x:v>
      </x:c>
      <x:c r="F2131" s="168" t="str">
        <x:v>TRUSTEE DTVM</x:v>
      </x:c>
      <x:c r="G2131" s="168" t="str">
        <x:v>TRUSTEE DISTRIBUIDORA DE TITULOS E VALORES MOBILIARIOS LTDA.</x:v>
      </x:c>
      <x:c r="H2131" s="168" t="str">
        <x:v>Fomento Mercantil</x:v>
      </x:c>
      <x:c r="I2131" s="168" t="str">
        <x:v>Fomento Mercantil</x:v>
      </x:c>
      <x:c r="J2131" s="168" t="str">
        <x:v>CI</x:v>
      </x:c>
      <x:c r="K2131" s="174" t="n">
        <x:v>2</x:v>
      </x:c>
      <x:c r="L2131" s="187" t="str">
        <x:v>Não classificado</x:v>
      </x:c>
    </x:row>
    <x:row r="2132">
      <x:c r="A2132" s="177" t="str">
        <x:v>60.315.422/0001-88</x:v>
      </x:c>
      <x:c r="B2132" s="168" t="str">
        <x:v>CLASSE ÚNICA DE COTAS DO INARI FIDC DE RESPONSABILIDADE LIMITADA</x:v>
      </x:c>
      <x:c r="C2132" s="190" t="n">
        <x:v>22357176.02</x:v>
      </x:c>
      <x:c r="D2132" s="168" t="str">
        <x:v>Polo Capital Internacional</x:v>
      </x:c>
      <x:c r="E2132" s="168" t="str">
        <x:f>IFERROR(INDEX('Classif Gestoras'!$H$6:$H$462,MATCH(D2132,'Classif Gestoras'!$A$6:$A$462,0)),"Não classificada")</x:f>
        <x:v>Independente</x:v>
      </x:c>
      <x:c r="F2132" s="168" t="str">
        <x:v>BANCO DAYCOVAL S/A</x:v>
      </x:c>
      <x:c r="G2132" s="168" t="str">
        <x:v>BANCO DAYCOVAL S.A.</x:v>
      </x:c>
      <x:c r="H2132" s="168" t="str">
        <x:v>Outros</x:v>
      </x:c>
      <x:c r="I2132" s="168" t="str">
        <x:v>Multicarteira Outros</x:v>
      </x:c>
      <x:c r="J2132" s="168" t="str">
        <x:v>CI</x:v>
      </x:c>
      <x:c r="K2132" s="174" t="n">
        <x:v>12</x:v>
      </x:c>
      <x:c r="L2132" s="187" t="str">
        <x:v>Proxy multicedente/multissacado — revisar</x:v>
      </x:c>
    </x:row>
    <x:row r="2133">
      <x:c r="A2133" s="177" t="str">
        <x:v>55.636.084/0001-46</x:v>
      </x:c>
      <x:c r="B2133" s="168" t="str">
        <x:v>EXPLORER FUNDO DE INVESTIMENTO EM DIREITOS CREDITÓRIOS - RESPONSABILIDADE LIMITADA</x:v>
      </x:c>
      <x:c r="C2133" s="190" t="n">
        <x:v>22307624.00001</x:v>
      </x:c>
      <x:c r="D2133" s="168" t="str">
        <x:v>Nero Capital</x:v>
      </x:c>
      <x:c r="E2133" s="168" t="str">
        <x:f>IFERROR(INDEX('Classif Gestoras'!$H$6:$H$462,MATCH(D2133,'Classif Gestoras'!$A$6:$A$462,0)),"Não classificada")</x:f>
        <x:v>Independente</x:v>
      </x:c>
      <x:c r="F2133" s="168" t="str">
        <x:v>Singulare</x:v>
      </x:c>
      <x:c r="G2133" s="168" t="str">
        <x:v>QI CORRETORA DE TÍTULOS E VALORES MOBILIÁRIOS S.A.</x:v>
      </x:c>
      <x:c r="H2133" s="168" t="str">
        <x:v>Fomento Mercantil</x:v>
      </x:c>
      <x:c r="I2133" s="168" t="str">
        <x:v>Fomento Mercantil</x:v>
      </x:c>
      <x:c r="J2133" s="168" t="str">
        <x:v>CI</x:v>
      </x:c>
      <x:c r="K2133" s="174" t="n">
        <x:v>92</x:v>
      </x:c>
      <x:c r="L2133" s="187" t="str">
        <x:v>Não classificado</x:v>
      </x:c>
    </x:row>
    <x:row r="2134">
      <x:c r="A2134" s="177" t="str">
        <x:v>42.133.756/0001-59</x:v>
      </x:c>
      <x:c r="B2134" s="168" t="str">
        <x:v>CNPJ 42133756000159</x:v>
      </x:c>
      <x:c r="C2134" s="190" t="n">
        <x:v>22281431.44</x:v>
      </x:c>
      <x:c r="D2134" s="168" t="str">
        <x:v>Ghia Asset Management</x:v>
      </x:c>
      <x:c r="E2134" s="168" t="str">
        <x:f>IFERROR(INDEX('Classif Gestoras'!$H$6:$H$462,MATCH(D2134,'Classif Gestoras'!$A$6:$A$462,0)),"Não classificada")</x:f>
        <x:v>Independente</x:v>
      </x:c>
      <x:c r="F2134" s="168" t="str">
        <x:v>VÓRTX DTVM</x:v>
      </x:c>
      <x:c r="G2134" s="168" t="str">
        <x:v>Não identificado</x:v>
      </x:c>
      <x:c r="H2134" s="168" t="str">
        <x:v>Agro, Indústria e Comércio</x:v>
      </x:c>
      <x:c r="I2134" s="168" t="str">
        <x:v>Recebíveis Comerciais</x:v>
      </x:c>
      <x:c r="J2134" s="168" t="str">
        <x:v>CI</x:v>
      </x:c>
      <x:c r="K2134" s="174"/>
      <x:c r="L2134" s="187" t="str">
        <x:v>Não classificado</x:v>
      </x:c>
    </x:row>
    <x:row r="2135">
      <x:c r="A2135" s="177" t="str">
        <x:v>31.881.619/0001-86</x:v>
      </x:c>
      <x:c r="B2135" s="168" t="str">
        <x:v>OPTACRED FUNDO DE INVESTIMENTO EM DIREITOS CREDITÓRIOS</x:v>
      </x:c>
      <x:c r="C2135" s="190" t="n">
        <x:v>22272280.02</x:v>
      </x:c>
      <x:c r="D2135" s="168" t="str">
        <x:v>TERCON ASSET MANAGEMENT</x:v>
      </x:c>
      <x:c r="E2135" s="168" t="str">
        <x:f>IFERROR(INDEX('Classif Gestoras'!$H$6:$H$462,MATCH(D2135,'Classif Gestoras'!$A$6:$A$462,0)),"Não classificada")</x:f>
        <x:v>Independente</x:v>
      </x:c>
      <x:c r="F2135" s="168" t="str">
        <x:v>Singulare</x:v>
      </x:c>
      <x:c r="G2135" s="168" t="str">
        <x:v>QI CORRETORA DE TÍTULOS E VALORES MOBILIÁRIOS S.A.</x:v>
      </x:c>
      <x:c r="H2135" s="168" t="str">
        <x:v>Fomento Mercantil</x:v>
      </x:c>
      <x:c r="I2135" s="168" t="str">
        <x:v>Fomento Mercantil</x:v>
      </x:c>
      <x:c r="J2135" s="168" t="str">
        <x:v>CI</x:v>
      </x:c>
      <x:c r="K2135" s="174" t="n">
        <x:v>5</x:v>
      </x:c>
      <x:c r="L2135" s="187" t="str">
        <x:v>Não classificado</x:v>
      </x:c>
    </x:row>
    <x:row r="2136">
      <x:c r="A2136" s="177" t="str">
        <x:v>61.270.134/0001-17</x:v>
      </x:c>
      <x:c r="B2136" s="168" t="str">
        <x:v>SANTA CATARINA FUNDO DE INVESTIMENTO EM DIREITOS CREDITÓRIOS - RESPONSABILIDADE LIMITADA</x:v>
      </x:c>
      <x:c r="C2136" s="190" t="n">
        <x:v>22260473.69</x:v>
      </x:c>
      <x:c r="D2136" s="168" t="str">
        <x:v>Galápagos</x:v>
      </x:c>
      <x:c r="E2136" s="168" t="str">
        <x:f>IFERROR(INDEX('Classif Gestoras'!$H$6:$H$462,MATCH(D2136,'Classif Gestoras'!$A$6:$A$462,0)),"Não classificada")</x:f>
        <x:v>Independente</x:v>
      </x:c>
      <x:c r="F2136" s="168" t="str">
        <x:v>VÓRTX DTVM</x:v>
      </x:c>
      <x:c r="G2136" s="168" t="str">
        <x:v>VORTX DISTRIBUIDORA DE TITULOS E VALORES MOBILIARIOS LTDA.</x:v>
      </x:c>
      <x:c r="H2136" s="168" t="str">
        <x:v>Fomento Mercantil</x:v>
      </x:c>
      <x:c r="I2136" s="168" t="str">
        <x:v>Fomento Mercantil</x:v>
      </x:c>
      <x:c r="J2136" s="168" t="str">
        <x:v>CI</x:v>
      </x:c>
      <x:c r="K2136" s="174" t="n">
        <x:v>5</x:v>
      </x:c>
      <x:c r="L2136" s="187" t="str">
        <x:v>Não classificado</x:v>
      </x:c>
    </x:row>
    <x:row r="2137">
      <x:c r="A2137" s="177" t="str">
        <x:v>60.373.765/0001-07</x:v>
      </x:c>
      <x:c r="B2137" s="168" t="str">
        <x:v>CONSORTI PRECATÓRIOS FIDC DE ATIVOS JUDICIAIS DE RESP LIMITADA</x:v>
      </x:c>
      <x:c r="C2137" s="190" t="n">
        <x:v>22136824.74</x:v>
      </x:c>
      <x:c r="D2137" s="168" t="str">
        <x:v>Vista Real Estate</x:v>
      </x:c>
      <x:c r="E2137" s="168" t="str">
        <x:f>IFERROR(INDEX('Classif Gestoras'!$H$6:$H$462,MATCH(D2137,'Classif Gestoras'!$A$6:$A$462,0)),"Não classificada")</x:f>
        <x:v>Independente</x:v>
      </x:c>
      <x:c r="F2137" s="168" t="str">
        <x:v>BRL TRUST DTVM</x:v>
      </x:c>
      <x:c r="G2137" s="168" t="str">
        <x:v>BRL TRUST DISTRIBUIDORA DE TITULOS E VALORES MOBILIARIOS S.A.</x:v>
      </x:c>
      <x:c r="H2137" s="168" t="str">
        <x:v>Outros</x:v>
      </x:c>
      <x:c r="I2137" s="168" t="str">
        <x:v>Poder Público</x:v>
      </x:c>
      <x:c r="J2137" s="168" t="str">
        <x:v>CI</x:v>
      </x:c>
      <x:c r="K2137" s="174" t="n">
        <x:v>4</x:v>
      </x:c>
      <x:c r="L2137" s="187" t="str">
        <x:v>Não classificado</x:v>
      </x:c>
    </x:row>
    <x:row r="2138">
      <x:c r="A2138" s="177" t="str">
        <x:v>14.283.986/0001-69</x:v>
      </x:c>
      <x:c r="B2138" s="168" t="str">
        <x:v>FRAM CAPITAL NANSEN II FUNDO DE INVESTIMENTO EM DIREITOS CREDITÓRIOS - NÃO PADRONIZADO</x:v>
      </x:c>
      <x:c r="C2138" s="190" t="n">
        <x:v>22062692.65</x:v>
      </x:c>
      <x:c r="D2138" s="168" t="str">
        <x:v>Fram Capital Gestão de Ativos Ltda</x:v>
      </x:c>
      <x:c r="E2138" s="168" t="str">
        <x:f>IFERROR(INDEX('Classif Gestoras'!$H$6:$H$462,MATCH(D2138,'Classif Gestoras'!$A$6:$A$462,0)),"Não classificada")</x:f>
        <x:v>Independente</x:v>
      </x:c>
      <x:c r="F2138" s="168" t="str">
        <x:v>OSLO DTVM S. A.</x:v>
      </x:c>
      <x:c r="G2138" s="168" t="str">
        <x:v>OSLO CAPITAL DISTRIBUIDORA DE TITULOS E VALORES MOBILIARIOS S.A.</x:v>
      </x:c>
      <x:c r="H2138" s="168" t="str">
        <x:v>Fomento Mercantil</x:v>
      </x:c>
      <x:c r="I2138" s="168" t="str">
        <x:v>Fomento Mercantil</x:v>
      </x:c>
      <x:c r="J2138" s="168" t="str">
        <x:v>CI</x:v>
      </x:c>
      <x:c r="K2138" s="174" t="n">
        <x:v>9</x:v>
      </x:c>
      <x:c r="L2138" s="187" t="str">
        <x:v>Não classificado</x:v>
      </x:c>
    </x:row>
    <x:row r="2139">
      <x:c r="A2139" s="177" t="str">
        <x:v>55.412.790/0001-04</x:v>
      </x:c>
      <x:c r="B2139" s="168" t="str">
        <x:v>BROOKLYN FUNDO DE INVESTIMENTO EM DIREITOS CREDITÓRIOS RESPONSABILIDADE LIMITADA</x:v>
      </x:c>
      <x:c r="C2139" s="190" t="n">
        <x:v>22053472.61</x:v>
      </x:c>
      <x:c r="D2139" s="168" t="str">
        <x:v>Bless Capital Gestora de Recursos Ltda.</x:v>
      </x:c>
      <x:c r="E2139" s="168" t="str">
        <x:f>IFERROR(INDEX('Classif Gestoras'!$H$6:$H$462,MATCH(D2139,'Classif Gestoras'!$A$6:$A$462,0)),"Não classificada")</x:f>
        <x:v>Independente</x:v>
      </x:c>
      <x:c r="F2139" s="168" t="str">
        <x:v>ID Corretora de Títulos e Valores Mobiliários S.A.</x:v>
      </x:c>
      <x:c r="G2139" s="168" t="str">
        <x:v>ID CORRETORA DE TITULOS E VALORES MOBILIARIOS S.A.</x:v>
      </x:c>
      <x:c r="H2139" s="168" t="str">
        <x:v>Outros</x:v>
      </x:c>
      <x:c r="I2139" s="168" t="str">
        <x:v>Multicarteira Outros</x:v>
      </x:c>
      <x:c r="J2139" s="168" t="str">
        <x:v>CI</x:v>
      </x:c>
      <x:c r="K2139" s="174" t="n">
        <x:v>149</x:v>
      </x:c>
      <x:c r="L2139" s="187" t="str">
        <x:v>Proxy multicedente/multissacado — revisar</x:v>
      </x:c>
    </x:row>
    <x:row r="2140">
      <x:c r="A2140" s="177" t="str">
        <x:v>42.518.335/0001-46</x:v>
      </x:c>
      <x:c r="B2140" s="168" t="str">
        <x:v>AFA CREDIT OPPORTUNITY FUNDO DE INVESTIMENTO EM DIREITOS CREDITORIOS</x:v>
      </x:c>
      <x:c r="C2140" s="190" t="n">
        <x:v>22034775.869999997</x:v>
      </x:c>
      <x:c r="D2140" s="168" t="str">
        <x:v>D3 Capital</x:v>
      </x:c>
      <x:c r="E2140" s="168" t="str">
        <x:f>IFERROR(INDEX('Classif Gestoras'!$H$6:$H$462,MATCH(D2140,'Classif Gestoras'!$A$6:$A$462,0)),"Não classificada")</x:f>
        <x:v>Independente</x:v>
      </x:c>
      <x:c r="F2140" s="168" t="str">
        <x:v>PLANNER CV</x:v>
      </x:c>
      <x:c r="G2140" s="168" t="str">
        <x:v>PLANNER CORRETORA DE VALORES S.A.</x:v>
      </x:c>
      <x:c r="H2140" s="168" t="str">
        <x:v>Outros</x:v>
      </x:c>
      <x:c r="I2140" s="168" t="str">
        <x:v>Multicarteira Outros</x:v>
      </x:c>
      <x:c r="J2140" s="168" t="str">
        <x:v>CI</x:v>
      </x:c>
      <x:c r="K2140" s="174" t="n">
        <x:v>28</x:v>
      </x:c>
      <x:c r="L2140" s="187" t="str">
        <x:v>Proxy multicedente/multissacado — revisar</x:v>
      </x:c>
    </x:row>
    <x:row r="2141">
      <x:c r="A2141" s="177" t="str">
        <x:v>59.825.500/0001-05</x:v>
      </x:c>
      <x:c r="B2141" s="168" t="str">
        <x:v>ORRAM PARTNERS FUNDO DE INVESTIMENTO EM DIREITOS CREDITÓRIOS</x:v>
      </x:c>
      <x:c r="C2141" s="190" t="n">
        <x:v>22001964.07999999</x:v>
      </x:c>
      <x:c r="D2141" s="168" t="str">
        <x:v>ORRAM GESTÃO DE RECURSOS LTDA.</x:v>
      </x:c>
      <x:c r="E2141" s="168" t="str">
        <x:f>IFERROR(INDEX('Classif Gestoras'!$H$6:$H$462,MATCH(D2141,'Classif Gestoras'!$A$6:$A$462,0)),"Não classificada")</x:f>
        <x:v>Independente</x:v>
      </x:c>
      <x:c r="F2141" s="168" t="str">
        <x:v>FIDD DISTRIBUIDORA DE TITULOS E VALORES MOBILIARIOS LTD</x:v>
      </x:c>
      <x:c r="G2141" s="168" t="str">
        <x:v>FIDD DISTRIBUIDORA DE TITULOS E VALORES MOBILIARIOS LTDA.</x:v>
      </x:c>
      <x:c r="H2141" s="168" t="str">
        <x:v>Outros</x:v>
      </x:c>
      <x:c r="I2141" s="168" t="str">
        <x:v>Multicarteira Outros</x:v>
      </x:c>
      <x:c r="J2141" s="168" t="str">
        <x:v>CI</x:v>
      </x:c>
      <x:c r="K2141" s="174" t="n">
        <x:v>12</x:v>
      </x:c>
      <x:c r="L2141" s="187" t="str">
        <x:v>Proxy multicedente/multissacado — revisar</x:v>
      </x:c>
    </x:row>
    <x:row r="2142">
      <x:c r="A2142" s="177" t="str">
        <x:v>29.828.802/0001-76</x:v>
      </x:c>
      <x:c r="B2142" s="168" t="str">
        <x:v>FUNDO DE INVESTIMENTO EM DIREITOS CREDITÓRIOS ASAAS - RESPONSABILIDADE LIMITADA</x:v>
      </x:c>
      <x:c r="C2142" s="190" t="n">
        <x:v>21996981.66</x:v>
      </x:c>
      <x:c r="D2142" s="168" t="str">
        <x:v>Solis</x:v>
      </x:c>
      <x:c r="E2142" s="168" t="str">
        <x:f>IFERROR(INDEX('Classif Gestoras'!$H$6:$H$462,MATCH(D2142,'Classif Gestoras'!$A$6:$A$462,0)),"Não classificada")</x:f>
        <x:v>Independente</x:v>
      </x:c>
      <x:c r="F2142" s="168" t="str">
        <x:v>HEMERA DTVM</x:v>
      </x:c>
      <x:c r="G2142" s="168" t="str">
        <x:v>HEMERA DISTRIBUIDORA DE TITULOS E VALORES MOBILIARIOS LTDA</x:v>
      </x:c>
      <x:c r="H2142" s="168" t="str">
        <x:v>Agro, Indústria e Comércio</x:v>
      </x:c>
      <x:c r="I2142" s="168" t="str">
        <x:v>Recebíveis Comerciais</x:v>
      </x:c>
      <x:c r="J2142" s="168" t="str">
        <x:v>CI</x:v>
      </x:c>
      <x:c r="K2142" s="174" t="n">
        <x:v>4</x:v>
      </x:c>
      <x:c r="L2142" s="187" t="str">
        <x:v>Não classificado</x:v>
      </x:c>
    </x:row>
    <x:row r="2143">
      <x:c r="A2143" s="177" t="str">
        <x:v>66.745.267/0001-16</x:v>
      </x:c>
      <x:c r="B2143" s="168" t="str">
        <x:v>ARC SPECIAL I FUNDO DE INVESTIMENTO EM DIREITOS CREDITÓRIOS DE RESPONSABILIDADE LIMITADA</x:v>
      </x:c>
      <x:c r="C2143" s="190" t="n">
        <x:v>21916716.479999997</x:v>
      </x:c>
      <x:c r="D2143" s="168" t="str">
        <x:v>ARC Capital</x:v>
      </x:c>
      <x:c r="E2143" s="168" t="str">
        <x:f>IFERROR(INDEX('Classif Gestoras'!$H$6:$H$462,MATCH(D2143,'Classif Gestoras'!$A$6:$A$462,0)),"Não classificada")</x:f>
        <x:v>Independente</x:v>
      </x:c>
      <x:c r="F2143" s="168" t="str">
        <x:v>Oliveira Trust DTVM</x:v>
      </x:c>
      <x:c r="G2143" s="168" t="str">
        <x:v>OLIVEIRA TRUST DTVM S.A.</x:v>
      </x:c>
      <x:c r="H2143" s="168" t="str">
        <x:v>Outros</x:v>
      </x:c>
      <x:c r="I2143" s="168" t="str">
        <x:v>Multicarteira Outros</x:v>
      </x:c>
      <x:c r="J2143" s="168" t="str">
        <x:v>CI</x:v>
      </x:c>
      <x:c r="K2143" s="174" t="n">
        <x:v>4</x:v>
      </x:c>
      <x:c r="L2143" s="187" t="str">
        <x:v>Proxy multicedente/multissacado — revisar</x:v>
      </x:c>
    </x:row>
    <x:row r="2144">
      <x:c r="A2144" s="177" t="str">
        <x:v>63.802.702/0001-09</x:v>
      </x:c>
      <x:c r="B2144" s="168" t="str">
        <x:v>ATLAS HUB I FUNDO DE INVESTIMENTO EM DIREITOS CREDITÓRIOS DE RESPONSABILIDADE LIMITADA</x:v>
      </x:c>
      <x:c r="C2144" s="190" t="n">
        <x:v>21836821.970000003</x:v>
      </x:c>
      <x:c r="D2144" s="168" t="str">
        <x:v>BRZ Gestão de Recursos</x:v>
      </x:c>
      <x:c r="E2144" s="168" t="str">
        <x:f>IFERROR(INDEX('Classif Gestoras'!$H$6:$H$462,MATCH(D2144,'Classif Gestoras'!$A$6:$A$462,0)),"Não classificada")</x:f>
        <x:v>Independente</x:v>
      </x:c>
      <x:c r="F2144" s="168" t="str">
        <x:v>BANCO DAYCOVAL S/A</x:v>
      </x:c>
      <x:c r="G2144" s="168" t="str">
        <x:v>BANCO DAYCOVAL S.A.</x:v>
      </x:c>
      <x:c r="H2144" s="168" t="str">
        <x:v>Outros</x:v>
      </x:c>
      <x:c r="I2144" s="168" t="str">
        <x:v>Multicarteira Outros</x:v>
      </x:c>
      <x:c r="J2144" s="168" t="str">
        <x:v>CI</x:v>
      </x:c>
      <x:c r="K2144" s="174" t="n">
        <x:v>10</x:v>
      </x:c>
      <x:c r="L2144" s="187" t="str">
        <x:v>Proxy multicedente/multissacado — revisar</x:v>
      </x:c>
    </x:row>
    <x:row r="2145">
      <x:c r="A2145" s="177" t="str">
        <x:v>13.425.492/0001-09</x:v>
      </x:c>
      <x:c r="B2145" s="168" t="str">
        <x:v>ACTIVA FUNDO DE INVESTIMENTO EM DIREITOS CREDITORIOS MULTISSETORIAL NÃO PADRONIZADOS LP</x:v>
      </x:c>
      <x:c r="C2145" s="190" t="n">
        <x:v>21642453.569999997</x:v>
      </x:c>
      <x:c r="D2145" s="168" t="str">
        <x:v>TERCON ASSET MANAGEMENT</x:v>
      </x:c>
      <x:c r="E2145" s="168" t="str">
        <x:f>IFERROR(INDEX('Classif Gestoras'!$H$6:$H$462,MATCH(D2145,'Classif Gestoras'!$A$6:$A$462,0)),"Não classificada")</x:f>
        <x:v>Independente</x:v>
      </x:c>
      <x:c r="F2145" s="168" t="str">
        <x:v>Singulare</x:v>
      </x:c>
      <x:c r="G2145" s="168" t="str">
        <x:v>QI CORRETORA DE TÍTULOS E VALORES MOBILIÁRIOS S.A.</x:v>
      </x:c>
      <x:c r="H2145" s="168" t="str">
        <x:v>Fomento Mercantil</x:v>
      </x:c>
      <x:c r="I2145" s="168" t="str">
        <x:v>Fomento Mercantil</x:v>
      </x:c>
      <x:c r="J2145" s="168" t="str">
        <x:v>CI</x:v>
      </x:c>
      <x:c r="K2145" s="174" t="n">
        <x:v>7</x:v>
      </x:c>
      <x:c r="L2145" s="187" t="str">
        <x:v>Não classificado</x:v>
      </x:c>
    </x:row>
    <x:row r="2146">
      <x:c r="A2146" s="177" t="str">
        <x:v>16.829.910/0001-11</x:v>
      </x:c>
      <x:c r="B2146" s="168" t="str">
        <x:v>FUNDO DE INVESTIMENTO EM DIREITOS CREDITÓRIOS DIAMOND MOUNTAIN DISTRESSED ASSETS</x:v>
      </x:c>
      <x:c r="C2146" s="190" t="n">
        <x:v>21523040.64</x:v>
      </x:c>
      <x:c r="D2146" s="168" t="str">
        <x:v>PLANNER CV</x:v>
      </x:c>
      <x:c r="E2146" s="168" t="str">
        <x:f>IFERROR(INDEX('Classif Gestoras'!$H$6:$H$462,MATCH(D2146,'Classif Gestoras'!$A$6:$A$462,0)),"Não classificada")</x:f>
        <x:v>Independente</x:v>
      </x:c>
      <x:c r="F2146" s="168" t="str">
        <x:v>PLANNER CV</x:v>
      </x:c>
      <x:c r="G2146" s="168" t="str">
        <x:v>PLANNER CORRETORA DE VALORES S.A.</x:v>
      </x:c>
      <x:c r="H2146" s="168" t="str">
        <x:v>Outros</x:v>
      </x:c>
      <x:c r="I2146" s="168" t="str">
        <x:v>Multicarteira Outros</x:v>
      </x:c>
      <x:c r="J2146" s="168" t="str">
        <x:v>CI</x:v>
      </x:c>
      <x:c r="K2146" s="174" t="n">
        <x:v>2</x:v>
      </x:c>
      <x:c r="L2146" s="187" t="str">
        <x:v>Proxy multicedente/multissacado — revisar</x:v>
      </x:c>
    </x:row>
    <x:row r="2147">
      <x:c r="A2147" s="177" t="str">
        <x:v>54.075.641/0001-34</x:v>
      </x:c>
      <x:c r="B2147" s="168" t="str">
        <x:v>SWP FUNDO DE INVESTIMENTO EM DIREITOS CREDITÓRIOS MULTISSEGMENTOS</x:v>
      </x:c>
      <x:c r="C2147" s="190" t="n">
        <x:v>21419664.99</x:v>
      </x:c>
      <x:c r="D2147" s="168" t="str">
        <x:v>Petra Capital</x:v>
      </x:c>
      <x:c r="E2147" s="168" t="str">
        <x:f>IFERROR(INDEX('Classif Gestoras'!$H$6:$H$462,MATCH(D2147,'Classif Gestoras'!$A$6:$A$462,0)),"Não classificada")</x:f>
        <x:v>Independente</x:v>
      </x:c>
      <x:c r="F2147" s="168" t="str">
        <x:v>Finaxis Corretora de Títulos e Valores Mobiliários S.A.</x:v>
      </x:c>
      <x:c r="G2147" s="168" t="str">
        <x:v>BANCO FINAXIS S.A.</x:v>
      </x:c>
      <x:c r="H2147" s="168" t="str">
        <x:v>Outros</x:v>
      </x:c>
      <x:c r="I2147" s="168" t="str">
        <x:v>Multicarteira Outros</x:v>
      </x:c>
      <x:c r="J2147" s="168" t="str">
        <x:v>CI</x:v>
      </x:c>
      <x:c r="K2147" s="174" t="n">
        <x:v>2</x:v>
      </x:c>
      <x:c r="L2147" s="187" t="str">
        <x:v>Proxy multicedente/multissacado — revisar</x:v>
      </x:c>
    </x:row>
    <x:row r="2148">
      <x:c r="A2148" s="177" t="str">
        <x:v>54.065.359/0001-76</x:v>
      </x:c>
      <x:c r="B2148" s="168" t="str">
        <x:v>GUARDIAN MULTI CONSIGNADO VII FUNDO DE INVESTIMENTO EM DIREITOS CREDITÓRIOS RESP LIMITADA</x:v>
      </x:c>
      <x:c r="C2148" s="190" t="n">
        <x:v>21310997.57</x:v>
      </x:c>
      <x:c r="D2148" s="168" t="str">
        <x:v>Guardian Gestora</x:v>
      </x:c>
      <x:c r="E2148" s="168" t="str">
        <x:f>IFERROR(INDEX('Classif Gestoras'!$H$6:$H$462,MATCH(D2148,'Classif Gestoras'!$A$6:$A$462,0)),"Não classificada")</x:f>
        <x:v>Independente</x:v>
      </x:c>
      <x:c r="F2148" s="168" t="str">
        <x:v>Banvox DTVM</x:v>
      </x:c>
      <x:c r="G2148" s="168" t="str">
        <x:v>BANCO DAYCOVAL S.A.</x:v>
      </x:c>
      <x:c r="H2148" s="168" t="str">
        <x:v>Financeiro</x:v>
      </x:c>
      <x:c r="I2148" s="168" t="str">
        <x:v>Crédito Consignado</x:v>
      </x:c>
      <x:c r="J2148" s="168" t="str">
        <x:v>CI</x:v>
      </x:c>
      <x:c r="K2148" s="174" t="n">
        <x:v>89</x:v>
      </x:c>
      <x:c r="L2148" s="187" t="str">
        <x:v>Não classificado</x:v>
      </x:c>
    </x:row>
    <x:row r="2149">
      <x:c r="A2149" s="177" t="str">
        <x:v>49.004.860/0001-92</x:v>
      </x:c>
      <x:c r="B2149" s="168" t="str">
        <x:v>PRINCIPIAPAY EDUCAÇÃO FUNDO DE INVESTIMENTO EM DIREITOS CREDITÓRIOS</x:v>
      </x:c>
      <x:c r="C2149" s="190" t="n">
        <x:v>21285419.23</x:v>
      </x:c>
      <x:c r="D2149" s="168" t="str">
        <x:v>Milênio Capital</x:v>
      </x:c>
      <x:c r="E2149" s="168" t="str">
        <x:f>IFERROR(INDEX('Classif Gestoras'!$H$6:$H$462,MATCH(D2149,'Classif Gestoras'!$A$6:$A$462,0)),"Não classificada")</x:f>
        <x:v>Independente</x:v>
      </x:c>
      <x:c r="F2149" s="168" t="str">
        <x:v>Singulare</x:v>
      </x:c>
      <x:c r="G2149" s="168" t="str">
        <x:v>QI CORRETORA DE TÍTULOS E VALORES MOBILIÁRIOS S.A.</x:v>
      </x:c>
      <x:c r="H2149" s="168" t="str">
        <x:v>Financeiro</x:v>
      </x:c>
      <x:c r="I2149" s="168" t="str">
        <x:v>Crédito Pessoal</x:v>
      </x:c>
      <x:c r="J2149" s="168" t="str">
        <x:v>CI</x:v>
      </x:c>
      <x:c r="K2149" s="174" t="n">
        <x:v>27</x:v>
      </x:c>
      <x:c r="L2149" s="187" t="str">
        <x:v>Não classificado</x:v>
      </x:c>
    </x:row>
    <x:row r="2150">
      <x:c r="A2150" s="177" t="str">
        <x:v>55.048.271/0001-09</x:v>
      </x:c>
      <x:c r="B2150" s="168" t="str">
        <x:v>ST 1009 FUNDO DE INVESTIMENTO EM DIREITOS CREDITÓRIOS - RESPONSABILIDADE LIMITADA</x:v>
      </x:c>
      <x:c r="C2150" s="190" t="n">
        <x:v>21225417.15</x:v>
      </x:c>
      <x:c r="D2150" s="168" t="str">
        <x:v>Strata Capital</x:v>
      </x:c>
      <x:c r="E2150" s="168" t="str">
        <x:f>IFERROR(INDEX('Classif Gestoras'!$H$6:$H$462,MATCH(D2150,'Classif Gestoras'!$A$6:$A$462,0)),"Não classificada")</x:f>
        <x:v>Independente</x:v>
      </x:c>
      <x:c r="F2150" s="168" t="str">
        <x:v>BANCO DAYCOVAL S/A</x:v>
      </x:c>
      <x:c r="G2150" s="168" t="str">
        <x:v>BANCO DAYCOVAL S.A.</x:v>
      </x:c>
      <x:c r="H2150" s="168" t="str">
        <x:v>Agro, Indústria e Comércio</x:v>
      </x:c>
      <x:c r="I2150" s="168" t="str">
        <x:v>Multicarteira Agro, Indústria e Comércio</x:v>
      </x:c>
      <x:c r="J2150" s="168" t="str">
        <x:v>CI</x:v>
      </x:c>
      <x:c r="K2150" s="174" t="n">
        <x:v>3</x:v>
      </x:c>
      <x:c r="L2150" s="187" t="str">
        <x:v>Proxy multicedente/multissacado — revisar</x:v>
      </x:c>
    </x:row>
    <x:row r="2151">
      <x:c r="A2151" s="177" t="str">
        <x:v>53.167.385/0001-42</x:v>
      </x:c>
      <x:c r="B2151" s="168" t="str">
        <x:v>RELAUREA FUNDO DE INVESTIMENTO EM DIREITOS CREDITÓRIOS MULTISEGMENTO DE RESPONSABILIDADE LIMITADA</x:v>
      </x:c>
      <x:c r="C2151" s="190" t="n">
        <x:v>21205035.29</x:v>
      </x:c>
      <x:c r="D2151" s="168" t="str">
        <x:v>Petra Capital</x:v>
      </x:c>
      <x:c r="E2151" s="168" t="str">
        <x:f>IFERROR(INDEX('Classif Gestoras'!$H$6:$H$462,MATCH(D2151,'Classif Gestoras'!$A$6:$A$462,0)),"Não classificada")</x:f>
        <x:v>Independente</x:v>
      </x:c>
      <x:c r="F2151" s="168" t="str">
        <x:v>Finaxis Corretora de Títulos e Valores Mobiliários S.A.</x:v>
      </x:c>
      <x:c r="G2151" s="168" t="str">
        <x:v>BANCO FINAXIS S.A.</x:v>
      </x:c>
      <x:c r="H2151" s="168" t="str">
        <x:v>Outros</x:v>
      </x:c>
      <x:c r="I2151" s="168" t="str">
        <x:v>Multicarteira Outros</x:v>
      </x:c>
      <x:c r="J2151" s="168" t="str">
        <x:v>CI</x:v>
      </x:c>
      <x:c r="K2151" s="174" t="n">
        <x:v>1</x:v>
      </x:c>
      <x:c r="L2151" s="187" t="str">
        <x:v>Proxy multicedente/multissacado — revisar</x:v>
      </x:c>
    </x:row>
    <x:row r="2152">
      <x:c r="A2152" s="177" t="str">
        <x:v>62.838.423/0001-32</x:v>
      </x:c>
      <x:c r="B2152" s="168" t="str">
        <x:v>FUNDO DE INVESTIMENTO EM DIREITOS CREDITÓRIOS FEDERAL PADRONIZADO RESPONSABILIDADE LIMITADA</x:v>
      </x:c>
      <x:c r="C2152" s="190" t="n">
        <x:v>21196715.8903</x:v>
      </x:c>
      <x:c r="D2152" s="168" t="str">
        <x:v>Patrimonial Gestão</x:v>
      </x:c>
      <x:c r="E2152" s="168" t="str">
        <x:f>IFERROR(INDEX('Classif Gestoras'!$H$6:$H$462,MATCH(D2152,'Classif Gestoras'!$A$6:$A$462,0)),"Não classificada")</x:f>
        <x:v>Independente</x:v>
      </x:c>
      <x:c r="F2152" s="168" t="str">
        <x:v>Singulare</x:v>
      </x:c>
      <x:c r="G2152" s="168" t="str">
        <x:v>QI CORRETORA DE TÍTULOS E VALORES MOBILIÁRIOS S.A.</x:v>
      </x:c>
      <x:c r="H2152" s="168" t="str">
        <x:v>Outros</x:v>
      </x:c>
      <x:c r="I2152" s="168" t="str">
        <x:v>Poder Público</x:v>
      </x:c>
      <x:c r="J2152" s="168" t="str">
        <x:v>CI</x:v>
      </x:c>
      <x:c r="K2152" s="174" t="n">
        <x:v>21</x:v>
      </x:c>
      <x:c r="L2152" s="187" t="str">
        <x:v>Não classificado</x:v>
      </x:c>
    </x:row>
    <x:row r="2153">
      <x:c r="A2153" s="177" t="str">
        <x:v>56.284.148/0001-50</x:v>
      </x:c>
      <x:c r="B2153" s="168" t="str">
        <x:v>CSE BANK FUNDO DE INVESTIMENTO EM DIREITOS CREDITÓRIOS</x:v>
      </x:c>
      <x:c r="C2153" s="190" t="n">
        <x:v>21188804.119999997</x:v>
      </x:c>
      <x:c r="D2153" s="168" t="str">
        <x:v>ASSET MANAGEMENT</x:v>
      </x:c>
      <x:c r="E2153" s="168" t="str">
        <x:f>IFERROR(INDEX('Classif Gestoras'!$H$6:$H$462,MATCH(D2153,'Classif Gestoras'!$A$6:$A$462,0)),"Não classificada")</x:f>
        <x:v>Independente</x:v>
      </x:c>
      <x:c r="F2153" s="168" t="str">
        <x:v>AZUMI DISTRIBUIDORA DE TÍTULOS E VALORES MOBILIÁRIOS LT</x:v>
      </x:c>
      <x:c r="G2153" s="168" t="str">
        <x:v>AZUMI DISTRIBUIDORA DE TÍTULOS E VALORES MOBILIÁRIOS LTDA.</x:v>
      </x:c>
      <x:c r="H2153" s="168" t="str">
        <x:v>Outros</x:v>
      </x:c>
      <x:c r="I2153" s="168" t="str">
        <x:v>Multicarteira Outros</x:v>
      </x:c>
      <x:c r="J2153" s="168" t="str">
        <x:v>CI</x:v>
      </x:c>
      <x:c r="K2153" s="174" t="n">
        <x:v>63</x:v>
      </x:c>
      <x:c r="L2153" s="187" t="str">
        <x:v>Proxy multicedente/multissacado — revisar</x:v>
      </x:c>
    </x:row>
    <x:row r="2154">
      <x:c r="A2154" s="177" t="str">
        <x:v>55.261.422/0001-02</x:v>
      </x:c>
      <x:c r="B2154" s="168" t="str">
        <x:v>SERIGY FUNDO DE INVESTIMENTO EM DIREITOS CREDITÓRIOS RESPONSABILIDADE LIMITADA</x:v>
      </x:c>
      <x:c r="C2154" s="190" t="n">
        <x:v>21095725.92888</x:v>
      </x:c>
      <x:c r="D2154" s="168" t="str">
        <x:v>VERT Gestora de Recursos Financeiros Ltda.</x:v>
      </x:c>
      <x:c r="E2154" s="168" t="str">
        <x:f>IFERROR(INDEX('Classif Gestoras'!$H$6:$H$462,MATCH(D2154,'Classif Gestoras'!$A$6:$A$462,0)),"Não classificada")</x:f>
        <x:v>Independente</x:v>
      </x:c>
      <x:c r="F2154" s="168" t="str">
        <x:v>QI DISTRIBUIDORA DE TITULOS E VALORES MOBILIARIOS LTDA</x:v>
      </x:c>
      <x:c r="G2154" s="168" t="str">
        <x:v>QI CORRETORA DE TÍTULOS E VALORES MOBILIÁRIOS S.A.</x:v>
      </x:c>
      <x:c r="H2154" s="168" t="str">
        <x:v>Financeiro</x:v>
      </x:c>
      <x:c r="I2154" s="168" t="str">
        <x:v>Crédito Pessoal</x:v>
      </x:c>
      <x:c r="J2154" s="168" t="str">
        <x:v>CI</x:v>
      </x:c>
      <x:c r="K2154" s="174" t="n">
        <x:v>6</x:v>
      </x:c>
      <x:c r="L2154" s="187" t="str">
        <x:v>Não classificado</x:v>
      </x:c>
    </x:row>
    <x:row r="2155">
      <x:c r="A2155" s="177" t="str">
        <x:v>29.720.600/0001-06</x:v>
      </x:c>
      <x:c r="B2155" s="168" t="str">
        <x:v>FUNDO DE INVESTIMENTO EM DIREITOS CREDITÓRIOS NEXUS</x:v>
      </x:c>
      <x:c r="C2155" s="190" t="n">
        <x:v>21081712.75</x:v>
      </x:c>
      <x:c r="D2155" s="168" t="str">
        <x:v>Solis</x:v>
      </x:c>
      <x:c r="E2155" s="168" t="str">
        <x:f>IFERROR(INDEX('Classif Gestoras'!$H$6:$H$462,MATCH(D2155,'Classif Gestoras'!$A$6:$A$462,0)),"Não classificada")</x:f>
        <x:v>Independente</x:v>
      </x:c>
      <x:c r="F2155" s="168" t="str">
        <x:v>HEMERA DTVM</x:v>
      </x:c>
      <x:c r="G2155" s="168" t="str">
        <x:v>HEMERA DISTRIBUIDORA DE TITULOS E VALORES MOBILIARIOS LTDA</x:v>
      </x:c>
      <x:c r="H2155" s="168" t="str">
        <x:v>Outros</x:v>
      </x:c>
      <x:c r="I2155" s="168" t="str">
        <x:v>Multicarteira Outros</x:v>
      </x:c>
      <x:c r="J2155" s="168" t="str">
        <x:v>CI</x:v>
      </x:c>
      <x:c r="K2155" s="174" t="n">
        <x:v>10</x:v>
      </x:c>
      <x:c r="L2155" s="187" t="str">
        <x:v>Proxy multicedente/multissacado — revisar</x:v>
      </x:c>
    </x:row>
    <x:row r="2156">
      <x:c r="A2156" s="177" t="str">
        <x:v>55.445.774/0001-18</x:v>
      </x:c>
      <x:c r="B2156" s="168" t="str">
        <x:v>FRAGATA FUNDO DE INVESTIMENTO EM DIREITOS CREDITÓRIOS</x:v>
      </x:c>
      <x:c r="C2156" s="190" t="n">
        <x:v>21070772.19</x:v>
      </x:c>
      <x:c r="D2156" s="168" t="str">
        <x:v>TERCON ASSET MANAGEMENT</x:v>
      </x:c>
      <x:c r="E2156" s="168" t="str">
        <x:f>IFERROR(INDEX('Classif Gestoras'!$H$6:$H$462,MATCH(D2156,'Classif Gestoras'!$A$6:$A$462,0)),"Não classificada")</x:f>
        <x:v>Independente</x:v>
      </x:c>
      <x:c r="F2156" s="168" t="str">
        <x:v>Limine Trust Distribuidora de Titulos e Valores Mobiliá</x:v>
      </x:c>
      <x:c r="G2156" s="168" t="str">
        <x:v>LIMINE TRUST DISTRIBUIDORA DE TITULOS E VALORES MOBILIARIOS LTDA.</x:v>
      </x:c>
      <x:c r="H2156" s="168" t="str">
        <x:v>Fomento Mercantil</x:v>
      </x:c>
      <x:c r="I2156" s="168" t="str">
        <x:v>Fomento Mercantil</x:v>
      </x:c>
      <x:c r="J2156" s="168" t="str">
        <x:v>CI</x:v>
      </x:c>
      <x:c r="K2156" s="174" t="n">
        <x:v>8</x:v>
      </x:c>
      <x:c r="L2156" s="187" t="str">
        <x:v>Não classificado</x:v>
      </x:c>
    </x:row>
    <x:row r="2157">
      <x:c r="A2157" s="177" t="str">
        <x:v>10.774.307/0001-01</x:v>
      </x:c>
      <x:c r="B2157" s="168" t="str">
        <x:v>PLATINUM FIDC MULTISSETORIAL</x:v>
      </x:c>
      <x:c r="C2157" s="190" t="n">
        <x:v>21066000.67</x:v>
      </x:c>
      <x:c r="D2157" s="168" t="str">
        <x:v>TERCON ASSET MANAGEMENT</x:v>
      </x:c>
      <x:c r="E2157" s="168" t="str">
        <x:f>IFERROR(INDEX('Classif Gestoras'!$H$6:$H$462,MATCH(D2157,'Classif Gestoras'!$A$6:$A$462,0)),"Não classificada")</x:f>
        <x:v>Independente</x:v>
      </x:c>
      <x:c r="F2157" s="168" t="str">
        <x:v>Singulare</x:v>
      </x:c>
      <x:c r="G2157" s="168" t="str">
        <x:v>QI CORRETORA DE TÍTULOS E VALORES MOBILIÁRIOS S.A.</x:v>
      </x:c>
      <x:c r="H2157" s="168" t="str">
        <x:v>Fomento Mercantil</x:v>
      </x:c>
      <x:c r="I2157" s="168" t="str">
        <x:v>Fomento Mercantil</x:v>
      </x:c>
      <x:c r="J2157" s="168" t="str">
        <x:v>CI</x:v>
      </x:c>
      <x:c r="K2157" s="174" t="n">
        <x:v>4</x:v>
      </x:c>
      <x:c r="L2157" s="187" t="str">
        <x:v>Não classificado</x:v>
      </x:c>
    </x:row>
    <x:row r="2158">
      <x:c r="A2158" s="177" t="str">
        <x:v>56.806.404/0001-21</x:v>
      </x:c>
      <x:c r="B2158" s="168" t="str">
        <x:v>ST 1017 FIDC RESPONSABILIDADE LIMITADA</x:v>
      </x:c>
      <x:c r="C2158" s="190" t="n">
        <x:v>21064559.34</x:v>
      </x:c>
      <x:c r="D2158" s="168" t="str">
        <x:v>Strata Capital</x:v>
      </x:c>
      <x:c r="E2158" s="168" t="str">
        <x:f>IFERROR(INDEX('Classif Gestoras'!$H$6:$H$462,MATCH(D2158,'Classif Gestoras'!$A$6:$A$462,0)),"Não classificada")</x:f>
        <x:v>Independente</x:v>
      </x:c>
      <x:c r="F2158" s="168" t="str">
        <x:v>BANCO DAYCOVAL S/A</x:v>
      </x:c>
      <x:c r="G2158" s="168" t="str">
        <x:v>BANCO DAYCOVAL S.A.</x:v>
      </x:c>
      <x:c r="H2158" s="168" t="str">
        <x:v>Outros</x:v>
      </x:c>
      <x:c r="I2158" s="168" t="str">
        <x:v>Multicarteira Outros</x:v>
      </x:c>
      <x:c r="J2158" s="168" t="str">
        <x:v>CI</x:v>
      </x:c>
      <x:c r="K2158" s="174" t="n">
        <x:v>3</x:v>
      </x:c>
      <x:c r="L2158" s="187" t="str">
        <x:v>Proxy multicedente/multissacado — revisar</x:v>
      </x:c>
    </x:row>
    <x:row r="2159">
      <x:c r="A2159" s="177" t="str">
        <x:v>07.738.319/0001-68</x:v>
      </x:c>
      <x:c r="B2159" s="168" t="str">
        <x:v>SP RECEBÍVEIS PREMIUM I FUNDO DE INVESTIMENTO EM DIREITOS CREDITÓRIOS MULTISSEGMENTOS</x:v>
      </x:c>
      <x:c r="C2159" s="190" t="n">
        <x:v>21023404.57</x:v>
      </x:c>
      <x:c r="D2159" s="168" t="str">
        <x:v>Petra Capital</x:v>
      </x:c>
      <x:c r="E2159" s="168" t="str">
        <x:f>IFERROR(INDEX('Classif Gestoras'!$H$6:$H$462,MATCH(D2159,'Classif Gestoras'!$A$6:$A$462,0)),"Não classificada")</x:f>
        <x:v>Independente</x:v>
      </x:c>
      <x:c r="F2159" s="168" t="str">
        <x:v>Banco Finaxis S.A.</x:v>
      </x:c>
      <x:c r="G2159" s="168" t="str">
        <x:v>BANCO FINAXIS S.A.</x:v>
      </x:c>
      <x:c r="H2159" s="168" t="str">
        <x:v>Fomento Mercantil</x:v>
      </x:c>
      <x:c r="I2159" s="168" t="str">
        <x:v>Fomento Mercantil</x:v>
      </x:c>
      <x:c r="J2159" s="168" t="str">
        <x:v>CI</x:v>
      </x:c>
      <x:c r="K2159" s="174" t="n">
        <x:v>7</x:v>
      </x:c>
      <x:c r="L2159" s="187" t="str">
        <x:v>Não classificado</x:v>
      </x:c>
    </x:row>
    <x:row r="2160">
      <x:c r="A2160" s="177" t="str">
        <x:v>37.036.353/0001-51</x:v>
      </x:c>
      <x:c r="B2160" s="168" t="str">
        <x:v>REC FUNDO DE INVESTIMENTO EM DIREITOS CREDITÓRIOS NÃO PADRONIZADO</x:v>
      </x:c>
      <x:c r="C2160" s="190" t="n">
        <x:v>21019626.93</x:v>
      </x:c>
      <x:c r="D2160" s="168" t="str">
        <x:v>Global Gestão e Investimentos</x:v>
      </x:c>
      <x:c r="E2160" s="168" t="str">
        <x:f>IFERROR(INDEX('Classif Gestoras'!$H$6:$H$462,MATCH(D2160,'Classif Gestoras'!$A$6:$A$462,0)),"Não classificada")</x:f>
        <x:v>Independente</x:v>
      </x:c>
      <x:c r="F2160" s="168" t="str">
        <x:v>Singulare</x:v>
      </x:c>
      <x:c r="G2160" s="168" t="str">
        <x:v>QI CORRETORA DE TÍTULOS E VALORES MOBILIÁRIOS S.A.</x:v>
      </x:c>
      <x:c r="H2160" s="168" t="str">
        <x:v>Outros</x:v>
      </x:c>
      <x:c r="I2160" s="168" t="str">
        <x:v>Multicarteira Outros</x:v>
      </x:c>
      <x:c r="J2160" s="168" t="str">
        <x:v>CI</x:v>
      </x:c>
      <x:c r="K2160" s="174" t="n">
        <x:v>3</x:v>
      </x:c>
      <x:c r="L2160" s="187" t="str">
        <x:v>Proxy multicedente/multissacado — revisar</x:v>
      </x:c>
    </x:row>
    <x:row r="2161">
      <x:c r="A2161" s="177" t="str">
        <x:v>61.020.441/0001-40</x:v>
      </x:c>
      <x:c r="B2161" s="168" t="str">
        <x:v>TIVIO ALT 90 FUNDO DE INVESTIMENTO EM DIREITOS CREDITÓRIOS RESPONSABILIDADE LIMITADA</x:v>
      </x:c>
      <x:c r="C2161" s="190" t="n">
        <x:v>21001105.09</x:v>
      </x:c>
      <x:c r="D2161" s="168" t="str">
        <x:v>Tivio Capital</x:v>
      </x:c>
      <x:c r="E2161" s="168" t="str">
        <x:f>IFERROR(INDEX('Classif Gestoras'!$H$6:$H$462,MATCH(D2161,'Classif Gestoras'!$A$6:$A$462,0)),"Não classificada")</x:f>
        <x:v>Independente</x:v>
      </x:c>
      <x:c r="F2161" s="168" t="str">
        <x:v>BNY MELLON SERVICOS</x:v>
      </x:c>
      <x:c r="G2161" s="168" t="str">
        <x:v>BNY MELLON BANCO S.A.</x:v>
      </x:c>
      <x:c r="H2161" s="168" t="str">
        <x:v>Outros</x:v>
      </x:c>
      <x:c r="I2161" s="168" t="str">
        <x:v>Multicarteira Outros</x:v>
      </x:c>
      <x:c r="J2161" s="168" t="str">
        <x:v>CI</x:v>
      </x:c>
      <x:c r="K2161" s="174" t="n">
        <x:v>249</x:v>
      </x:c>
      <x:c r="L2161" s="187" t="str">
        <x:v>Proxy multicedente/multissacado — revisar</x:v>
      </x:c>
    </x:row>
    <x:row r="2162">
      <x:c r="A2162" s="177" t="str">
        <x:v>34.508.740/0001-55</x:v>
      </x:c>
      <x:c r="B2162" s="168" t="str">
        <x:v>FUNDO DE INVESTIMENTO EM DIREITOS CREDITÓRIOS ENERGIA SOLAR</x:v>
      </x:c>
      <x:c r="C2162" s="190" t="n">
        <x:v>20978495.49</x:v>
      </x:c>
      <x:c r="D2162" s="168" t="str">
        <x:v>REAG GESTÃO DE CRÉDITO</x:v>
      </x:c>
      <x:c r="E2162" s="168" t="str">
        <x:f>IFERROR(INDEX('Classif Gestoras'!$H$6:$H$462,MATCH(D2162,'Classif Gestoras'!$A$6:$A$462,0)),"Não classificada")</x:f>
        <x:v>Independente</x:v>
      </x:c>
      <x:c r="F2162" s="168" t="str">
        <x:v>Oliveira Trust DTVM</x:v>
      </x:c>
      <x:c r="G2162" s="168" t="str">
        <x:v>OLIVEIRA TRUST DTVM S.A.</x:v>
      </x:c>
      <x:c r="H2162" s="168" t="str">
        <x:v>Agro, Indústria e Comércio</x:v>
      </x:c>
      <x:c r="I2162" s="168" t="str">
        <x:v>Infraestrutura</x:v>
      </x:c>
      <x:c r="J2162" s="168" t="str">
        <x:v>CI</x:v>
      </x:c>
      <x:c r="K2162" s="174" t="n">
        <x:v>35</x:v>
      </x:c>
      <x:c r="L2162" s="187" t="str">
        <x:v>Não classificado</x:v>
      </x:c>
    </x:row>
    <x:row r="2163">
      <x:c r="A2163" s="177" t="str">
        <x:v>62.122.004/0001-08</x:v>
      </x:c>
      <x:c r="B2163" s="168" t="str">
        <x:v>NTZ IMPULSE FUNDO DE INVESTIMENTO EM DIREITOS CREDITÓRIOS - RESPONSABILIDADE LIMITADA</x:v>
      </x:c>
      <x:c r="C2163" s="190" t="n">
        <x:v>20975850</x:v>
      </x:c>
      <x:c r="D2163" s="168" t="str">
        <x:v>Netz Asset</x:v>
      </x:c>
      <x:c r="E2163" s="168" t="str">
        <x:f>IFERROR(INDEX('Classif Gestoras'!$H$6:$H$462,MATCH(D2163,'Classif Gestoras'!$A$6:$A$462,0)),"Não classificada")</x:f>
        <x:v>Independente</x:v>
      </x:c>
      <x:c r="F2163" s="168" t="str">
        <x:v>VÓRTX DTVM</x:v>
      </x:c>
      <x:c r="G2163" s="168" t="str">
        <x:v>VORTX DISTRIBUIDORA DE TITULOS E VALORES MOBILIARIOS LTDA.</x:v>
      </x:c>
      <x:c r="H2163" s="168" t="str">
        <x:v>Outros</x:v>
      </x:c>
      <x:c r="I2163" s="168" t="str">
        <x:v>Multicarteira Outros</x:v>
      </x:c>
      <x:c r="J2163" s="168" t="str">
        <x:v>CI</x:v>
      </x:c>
      <x:c r="K2163" s="174" t="n">
        <x:v>256</x:v>
      </x:c>
      <x:c r="L2163" s="187" t="str">
        <x:v>Proxy multicedente/multissacado — revisar</x:v>
      </x:c>
    </x:row>
    <x:row r="2164">
      <x:c r="A2164" s="177" t="str">
        <x:v>25.354.081/0001-59</x:v>
      </x:c>
      <x:c r="B2164" s="168" t="str">
        <x:v>ALBATROZ FUNDO DE INVESTIMENTO EM DIREITOS CREDITÓRIOS MULTISSETORIAL</x:v>
      </x:c>
      <x:c r="C2164" s="190" t="n">
        <x:v>20945739.99</x:v>
      </x:c>
      <x:c r="D2164" s="168" t="str">
        <x:v>OURO PRETO INVESTIMENTOS</x:v>
      </x:c>
      <x:c r="E2164" s="168" t="str">
        <x:f>IFERROR(INDEX('Classif Gestoras'!$H$6:$H$462,MATCH(D2164,'Classif Gestoras'!$A$6:$A$462,0)),"Não classificada")</x:f>
        <x:v>Independente</x:v>
      </x:c>
      <x:c r="F2164" s="168" t="str">
        <x:v>Limine Trust Distribuidora de Titulos e Valores Mobiliá</x:v>
      </x:c>
      <x:c r="G2164" s="168" t="str">
        <x:v>LIMINE TRUST DISTRIBUIDORA DE TITULOS E VALORES MOBILIARIOS LTDA.</x:v>
      </x:c>
      <x:c r="H2164" s="168" t="str">
        <x:v>Fomento Mercantil</x:v>
      </x:c>
      <x:c r="I2164" s="168" t="str">
        <x:v>Fomento Mercantil</x:v>
      </x:c>
      <x:c r="J2164" s="168" t="str">
        <x:v>CI</x:v>
      </x:c>
      <x:c r="K2164" s="174" t="n">
        <x:v>2</x:v>
      </x:c>
      <x:c r="L2164" s="187" t="str">
        <x:v>Não classificado</x:v>
      </x:c>
    </x:row>
    <x:row r="2165">
      <x:c r="A2165" s="177" t="str">
        <x:v>65.659.857/0001-63</x:v>
      </x:c>
      <x:c r="B2165" s="168" t="str">
        <x:v>FUNDO DE INVESTIMENTO EM DIREITOS CREDITÓRIOS LEJÚ</x:v>
      </x:c>
      <x:c r="C2165" s="190" t="n">
        <x:v>20920501.25</x:v>
      </x:c>
      <x:c r="D2165" s="168" t="str">
        <x:v>SOMMA Investimentos</x:v>
      </x:c>
      <x:c r="E2165" s="168" t="str">
        <x:f>IFERROR(INDEX('Classif Gestoras'!$H$6:$H$462,MATCH(D2165,'Classif Gestoras'!$A$6:$A$462,0)),"Não classificada")</x:f>
        <x:v>Independente</x:v>
      </x:c>
      <x:c r="F2165" s="168" t="str">
        <x:v>Limine Trust Distribuidora de Titulos e Valores Mobiliá</x:v>
      </x:c>
      <x:c r="G2165" s="168" t="str">
        <x:v>LIMINE TRUST DISTRIBUIDORA DE TITULOS E VALORES MOBILIARIOS LTDA.</x:v>
      </x:c>
      <x:c r="H2165" s="168" t="str">
        <x:v>Outros</x:v>
      </x:c>
      <x:c r="I2165" s="168" t="str">
        <x:v>Multicarteira Outros</x:v>
      </x:c>
      <x:c r="J2165" s="168" t="str">
        <x:v>CI</x:v>
      </x:c>
      <x:c r="K2165" s="174" t="n">
        <x:v>2</x:v>
      </x:c>
      <x:c r="L2165" s="187" t="str">
        <x:v>Proxy multicedente/multissacado — revisar</x:v>
      </x:c>
    </x:row>
    <x:row r="2166">
      <x:c r="A2166" s="177" t="str">
        <x:v>46.073.462/0001-30</x:v>
      </x:c>
      <x:c r="B2166" s="168" t="str">
        <x:v>FUNDO DE INVESTIMENTO EM DIREITOS CREDITÓRIOS OPEN II RESPONSABILIDADE LIMITADA</x:v>
      </x:c>
      <x:c r="C2166" s="190" t="n">
        <x:v>20901237.56</x:v>
      </x:c>
      <x:c r="D2166" s="168" t="str">
        <x:v>VERT Gestora de Recursos Financeiros Ltda.</x:v>
      </x:c>
      <x:c r="E2166" s="168" t="str">
        <x:f>IFERROR(INDEX('Classif Gestoras'!$H$6:$H$462,MATCH(D2166,'Classif Gestoras'!$A$6:$A$462,0)),"Não classificada")</x:f>
        <x:v>Independente</x:v>
      </x:c>
      <x:c r="F2166" s="168" t="str">
        <x:v>BRL TRUST DTVM</x:v>
      </x:c>
      <x:c r="G2166" s="168" t="str">
        <x:v>BRL TRUST DISTRIBUIDORA DE TITULOS E VALORES MOBILIARIOS S.A.</x:v>
      </x:c>
      <x:c r="H2166" s="168" t="str">
        <x:v>Financeiro</x:v>
      </x:c>
      <x:c r="I2166" s="168" t="str">
        <x:v>Crédito Pessoal</x:v>
      </x:c>
      <x:c r="J2166" s="168" t="str">
        <x:v>CI</x:v>
      </x:c>
      <x:c r="K2166" s="174" t="n">
        <x:v>6</x:v>
      </x:c>
      <x:c r="L2166" s="187" t="str">
        <x:v>Não classificado</x:v>
      </x:c>
    </x:row>
    <x:row r="2167">
      <x:c r="A2167" s="177" t="str">
        <x:v>52.670.402/0001-05</x:v>
      </x:c>
      <x:c r="B2167" s="168" t="str">
        <x:v>CNPJ 52670402000105</x:v>
      </x:c>
      <x:c r="C2167" s="190" t="n">
        <x:v>20783277.5</x:v>
      </x:c>
      <x:c r="D2167" s="168" t="str">
        <x:v>ASSET MANAGEMENT</x:v>
      </x:c>
      <x:c r="E2167" s="168" t="str">
        <x:f>IFERROR(INDEX('Classif Gestoras'!$H$6:$H$462,MATCH(D2167,'Classif Gestoras'!$A$6:$A$462,0)),"Não classificada")</x:f>
        <x:v>Independente</x:v>
      </x:c>
      <x:c r="F2167" s="168" t="str">
        <x:v>AZUMI DISTRIBUIDORA DE TÍTULOS E VALORES MOBILIÁRIOS LT</x:v>
      </x:c>
      <x:c r="G2167" s="168" t="str">
        <x:v>Não identificado</x:v>
      </x:c>
      <x:c r="H2167" s="168" t="str">
        <x:v>Agro, Indústria e Comércio</x:v>
      </x:c>
      <x:c r="I2167" s="168" t="str">
        <x:v>Multicarteira Agro, Indústria e Comércio</x:v>
      </x:c>
      <x:c r="J2167" s="168" t="str">
        <x:v>CI</x:v>
      </x:c>
      <x:c r="K2167" s="174"/>
      <x:c r="L2167" s="187" t="str">
        <x:v>Proxy multicedente/multissacado — revisar</x:v>
      </x:c>
    </x:row>
    <x:row r="2168">
      <x:c r="A2168" s="177" t="str">
        <x:v>55.486.394/0001-21</x:v>
      </x:c>
      <x:c r="B2168" s="168" t="str">
        <x:v>CONECTA BRASIL FUNDO DE INVESTIMENTO EM DIREITOS CREDITÓRIOS - RESPONSABILIDADE LIMITADA</x:v>
      </x:c>
      <x:c r="C2168" s="190" t="n">
        <x:v>20782211.67</x:v>
      </x:c>
      <x:c r="D2168" s="168" t="str">
        <x:v>ANGÁ ASSET MANAGEMENT</x:v>
      </x:c>
      <x:c r="E2168" s="168" t="str">
        <x:f>IFERROR(INDEX('Classif Gestoras'!$H$6:$H$462,MATCH(D2168,'Classif Gestoras'!$A$6:$A$462,0)),"Não classificada")</x:f>
        <x:v>Independente</x:v>
      </x:c>
      <x:c r="F2168" s="168" t="str">
        <x:v>BANCO DAYCOVAL S/A</x:v>
      </x:c>
      <x:c r="G2168" s="168" t="str">
        <x:v>BANCO DAYCOVAL S.A.</x:v>
      </x:c>
      <x:c r="H2168" s="168" t="str">
        <x:v>Financeiro</x:v>
      </x:c>
      <x:c r="I2168" s="168" t="str">
        <x:v>Multicarteira Financeiro</x:v>
      </x:c>
      <x:c r="J2168" s="168" t="str">
        <x:v>CI</x:v>
      </x:c>
      <x:c r="K2168" s="174" t="n">
        <x:v>9</x:v>
      </x:c>
      <x:c r="L2168" s="187" t="str">
        <x:v>Proxy multicedente/multissacado — revisar</x:v>
      </x:c>
    </x:row>
    <x:row r="2169">
      <x:c r="A2169" s="177" t="str">
        <x:v>13.026.491/0001-91</x:v>
      </x:c>
      <x:c r="B2169" s="168" t="str">
        <x:v>HAMPTON FUNDO DE INVESTIMENTO EM DIREITOS CREDITÓRIOS DE RESPONSABILIDADE LIMITADA</x:v>
      </x:c>
      <x:c r="C2169" s="190" t="n">
        <x:v>20779010.700000003</x:v>
      </x:c>
      <x:c r="D2169" s="168" t="str">
        <x:v>REAG HIERON</x:v>
      </x:c>
      <x:c r="E2169" s="168" t="str">
        <x:f>IFERROR(INDEX('Classif Gestoras'!$H$6:$H$462,MATCH(D2169,'Classif Gestoras'!$A$6:$A$462,0)),"Não classificada")</x:f>
        <x:v>Independente</x:v>
      </x:c>
      <x:c r="F2169" s="168" t="str">
        <x:v>BANCO DAYCOVAL S/A</x:v>
      </x:c>
      <x:c r="G2169" s="168" t="str">
        <x:v>BANCO DAYCOVAL S.A.</x:v>
      </x:c>
      <x:c r="H2169" s="168" t="str">
        <x:v>Outros</x:v>
      </x:c>
      <x:c r="I2169" s="168" t="str">
        <x:v>Multicarteira Outros</x:v>
      </x:c>
      <x:c r="J2169" s="168" t="str">
        <x:v>CI</x:v>
      </x:c>
      <x:c r="K2169" s="174" t="n">
        <x:v>6</x:v>
      </x:c>
      <x:c r="L2169" s="187" t="str">
        <x:v>Proxy multicedente/multissacado — revisar</x:v>
      </x:c>
    </x:row>
    <x:row r="2170">
      <x:c r="A2170" s="177" t="str">
        <x:v>59.813.000/0001-53</x:v>
      </x:c>
      <x:c r="B2170" s="168" t="str">
        <x:v>AGRO30 FUNDO DE INVESTIMENTO EM DIREITOS CREDITÓRIOS - RESPONSABILIDADE LIMITADA</x:v>
      </x:c>
      <x:c r="C2170" s="190" t="n">
        <x:v>20768698.86</x:v>
      </x:c>
      <x:c r="D2170" s="168" t="str">
        <x:v>DAYCOVAL ASSET MANAG</x:v>
      </x:c>
      <x:c r="E2170" s="168" t="str">
        <x:f>IFERROR(INDEX('Classif Gestoras'!$H$6:$H$462,MATCH(D2170,'Classif Gestoras'!$A$6:$A$462,0)),"Não classificada")</x:f>
        <x:v>Ligada a banco</x:v>
      </x:c>
      <x:c r="F2170" s="168" t="str">
        <x:v>BANCO DAYCOVAL S/A</x:v>
      </x:c>
      <x:c r="G2170" s="168" t="str">
        <x:v>BANCO DAYCOVAL S.A.</x:v>
      </x:c>
      <x:c r="H2170" s="168" t="str">
        <x:v>Agro, Indústria e Comércio</x:v>
      </x:c>
      <x:c r="I2170" s="168" t="str">
        <x:v>Agronegócio</x:v>
      </x:c>
      <x:c r="J2170" s="168" t="str">
        <x:v>CI</x:v>
      </x:c>
      <x:c r="K2170" s="174" t="n">
        <x:v>2</x:v>
      </x:c>
      <x:c r="L2170" s="187" t="str">
        <x:v>Não classificado</x:v>
      </x:c>
    </x:row>
    <x:row r="2171">
      <x:c r="A2171" s="177" t="str">
        <x:v>47.463.387/0001-86</x:v>
      </x:c>
      <x:c r="B2171" s="168" t="str">
        <x:v>SOLDI FUNDO DE INVESTIMENTO EM DIREITOS CREDITÓRIOS NÃO PADRONIZADO</x:v>
      </x:c>
      <x:c r="C2171" s="190" t="n">
        <x:v>20701278.79</x:v>
      </x:c>
      <x:c r="D2171" s="168" t="str">
        <x:v>Global Gestão e Investimentos</x:v>
      </x:c>
      <x:c r="E2171" s="168" t="str">
        <x:f>IFERROR(INDEX('Classif Gestoras'!$H$6:$H$462,MATCH(D2171,'Classif Gestoras'!$A$6:$A$462,0)),"Não classificada")</x:f>
        <x:v>Independente</x:v>
      </x:c>
      <x:c r="F2171" s="168" t="str">
        <x:v>Singulare</x:v>
      </x:c>
      <x:c r="G2171" s="168" t="str">
        <x:v>QI CORRETORA DE TÍTULOS E VALORES MOBILIÁRIOS S.A.</x:v>
      </x:c>
      <x:c r="H2171" s="168" t="str">
        <x:v>Fomento Mercantil</x:v>
      </x:c>
      <x:c r="I2171" s="168" t="str">
        <x:v>Fomento Mercantil</x:v>
      </x:c>
      <x:c r="J2171" s="168" t="str">
        <x:v>CI</x:v>
      </x:c>
      <x:c r="K2171" s="174" t="n">
        <x:v>1</x:v>
      </x:c>
      <x:c r="L2171" s="187" t="str">
        <x:v>Não classificado</x:v>
      </x:c>
    </x:row>
    <x:row r="2172">
      <x:c r="A2172" s="177" t="str">
        <x:v>61.535.375/0001-40</x:v>
      </x:c>
      <x:c r="B2172" s="168" t="str">
        <x:v>ÁTRIA II FUNDO DE INVESTIMENTO EM DIREITOS CREDITÓRIOS DE RESPONSABILIDADE LIMITADA</x:v>
      </x:c>
      <x:c r="C2172" s="190" t="n">
        <x:v>20673239.7</x:v>
      </x:c>
      <x:c r="D2172" s="168" t="str">
        <x:v>Catálise Investimentos</x:v>
      </x:c>
      <x:c r="E2172" s="168" t="str">
        <x:f>IFERROR(INDEX('Classif Gestoras'!$H$6:$H$462,MATCH(D2172,'Classif Gestoras'!$A$6:$A$462,0)),"Não classificada")</x:f>
        <x:v>Independente</x:v>
      </x:c>
      <x:c r="F2172" s="168" t="str">
        <x:v>CATÁLISE DTVM</x:v>
      </x:c>
      <x:c r="G2172" s="168" t="str">
        <x:v>BANCO DAYCOVAL S.A.</x:v>
      </x:c>
      <x:c r="H2172" s="168" t="str">
        <x:v>Agro, Indústria e Comércio</x:v>
      </x:c>
      <x:c r="I2172" s="168" t="str">
        <x:v>Multicarteira Agro, Indústria e Comércio</x:v>
      </x:c>
      <x:c r="J2172" s="168" t="str">
        <x:v>CI</x:v>
      </x:c>
      <x:c r="K2172" s="174" t="n">
        <x:v>1</x:v>
      </x:c>
      <x:c r="L2172" s="187" t="str">
        <x:v>Proxy multicedente/multissacado — revisar</x:v>
      </x:c>
    </x:row>
    <x:row r="2173">
      <x:c r="A2173" s="177" t="str">
        <x:v>50.355.218/0001-37</x:v>
      </x:c>
      <x:c r="B2173" s="168" t="str">
        <x:v>SIGNAL SPECIAL OPPORTUNITIES FUNDO DE INVESTIMENTO EM DIREITOS CREDITÓRIOS</x:v>
      </x:c>
      <x:c r="C2173" s="190" t="n">
        <x:v>20657214.19</x:v>
      </x:c>
      <x:c r="D2173" s="168" t="str">
        <x:v>Signal Capital</x:v>
      </x:c>
      <x:c r="E2173" s="168" t="str">
        <x:f>IFERROR(INDEX('Classif Gestoras'!$H$6:$H$462,MATCH(D2173,'Classif Gestoras'!$A$6:$A$462,0)),"Não classificada")</x:f>
        <x:v>Independente</x:v>
      </x:c>
      <x:c r="F2173" s="168" t="str">
        <x:v>BTG Pactual Servicos Financeiros S/A DTVM</x:v>
      </x:c>
      <x:c r="G2173" s="168" t="str">
        <x:v>BANCO BTG PACTUAL S/A</x:v>
      </x:c>
      <x:c r="H2173" s="168" t="str">
        <x:v>Outros</x:v>
      </x:c>
      <x:c r="I2173" s="168" t="str">
        <x:v>Multicarteira Outros</x:v>
      </x:c>
      <x:c r="J2173" s="168" t="str">
        <x:v>CI</x:v>
      </x:c>
      <x:c r="K2173" s="174" t="n">
        <x:v>1</x:v>
      </x:c>
      <x:c r="L2173" s="187" t="str">
        <x:v>Proxy multicedente/multissacado — revisar</x:v>
      </x:c>
    </x:row>
    <x:row r="2174">
      <x:c r="A2174" s="177" t="str">
        <x:v>63.428.663/0001-21</x:v>
      </x:c>
      <x:c r="B2174" s="168" t="str">
        <x:v>INFINITO FDC CLT FUNDO DE INVESTIMENTO EM DIREITOS CREDITÓRIOS CONSIGNADO PRIVADO RESP LIMITADA</x:v>
      </x:c>
      <x:c r="C2174" s="190" t="n">
        <x:v>20627196.78</x:v>
      </x:c>
      <x:c r="D2174" s="168" t="str">
        <x:v>VERT Gestora de Recursos Financeiros Ltda.</x:v>
      </x:c>
      <x:c r="E2174" s="168" t="str">
        <x:f>IFERROR(INDEX('Classif Gestoras'!$H$6:$H$462,MATCH(D2174,'Classif Gestoras'!$A$6:$A$462,0)),"Não classificada")</x:f>
        <x:v>Independente</x:v>
      </x:c>
      <x:c r="F2174" s="168" t="str">
        <x:v>VERT Distribuidora de Títulos e Valores Mobiliários Ltd</x:v>
      </x:c>
      <x:c r="G2174" s="168" t="str">
        <x:v>VERT DISTRIBUIDORA DE TÍTULOS E VALORES MOBILIÁRIOS LTDA.</x:v>
      </x:c>
      <x:c r="H2174" s="168" t="str">
        <x:v>Financeiro</x:v>
      </x:c>
      <x:c r="I2174" s="168" t="str">
        <x:v>Crédito Consignado</x:v>
      </x:c>
      <x:c r="J2174" s="168" t="str">
        <x:v>CI</x:v>
      </x:c>
      <x:c r="K2174" s="174" t="n">
        <x:v>3</x:v>
      </x:c>
      <x:c r="L2174" s="187" t="str">
        <x:v>Não classificado</x:v>
      </x:c>
    </x:row>
    <x:row r="2175">
      <x:c r="A2175" s="177" t="str">
        <x:v>45.930.576/0001-96</x:v>
      </x:c>
      <x:c r="B2175" s="168" t="str">
        <x:v>ACRE BG FUNDO DE INVESTIMENTO EM DIREITOS CREDITÓRIOS</x:v>
      </x:c>
      <x:c r="C2175" s="190" t="n">
        <x:v>20603124.71</x:v>
      </x:c>
      <x:c r="D2175" s="168" t="str">
        <x:v>GENIAL GESTÃO LTDA.</x:v>
      </x:c>
      <x:c r="E2175" s="168" t="str">
        <x:f>IFERROR(INDEX('Classif Gestoras'!$H$6:$H$462,MATCH(D2175,'Classif Gestoras'!$A$6:$A$462,0)),"Não classificada")</x:f>
        <x:v>Ligada a banco</x:v>
      </x:c>
      <x:c r="F2175" s="168" t="str">
        <x:v>Banco Genial S.A.</x:v>
      </x:c>
      <x:c r="G2175" s="168" t="str">
        <x:v>BANCO GENIAL S.A.</x:v>
      </x:c>
      <x:c r="H2175" s="168" t="str">
        <x:v>Agro, Indústria e Comércio</x:v>
      </x:c>
      <x:c r="I2175" s="168" t="str">
        <x:v>Recebíveis Comerciais</x:v>
      </x:c>
      <x:c r="J2175" s="168" t="str">
        <x:v>CI</x:v>
      </x:c>
      <x:c r="K2175" s="174" t="n">
        <x:v>18</x:v>
      </x:c>
      <x:c r="L2175" s="187" t="str">
        <x:v>Não classificado</x:v>
      </x:c>
    </x:row>
    <x:row r="2176">
      <x:c r="A2176" s="177" t="str">
        <x:v>09.520.712/0001-06</x:v>
      </x:c>
      <x:c r="B2176" s="168" t="str">
        <x:v>GRAN FIDC NÃO-PADRONIZADOS MULTISSETORIAL NP - GRANFIDC</x:v>
      </x:c>
      <x:c r="C2176" s="190" t="n">
        <x:v>20576922.59</x:v>
      </x:c>
      <x:c r="D2176" s="168" t="str">
        <x:v>TERCON ASSET MANAGEMENT</x:v>
      </x:c>
      <x:c r="E2176" s="168" t="str">
        <x:f>IFERROR(INDEX('Classif Gestoras'!$H$6:$H$462,MATCH(D2176,'Classif Gestoras'!$A$6:$A$462,0)),"Não classificada")</x:f>
        <x:v>Independente</x:v>
      </x:c>
      <x:c r="F2176" s="168" t="str">
        <x:v>Singulare</x:v>
      </x:c>
      <x:c r="G2176" s="168" t="str">
        <x:v>QI CORRETORA DE TÍTULOS E VALORES MOBILIÁRIOS S.A.</x:v>
      </x:c>
      <x:c r="H2176" s="168" t="str">
        <x:v>Fomento Mercantil</x:v>
      </x:c>
      <x:c r="I2176" s="168" t="str">
        <x:v>Fomento Mercantil</x:v>
      </x:c>
      <x:c r="J2176" s="168" t="str">
        <x:v>CI</x:v>
      </x:c>
      <x:c r="K2176" s="174" t="n">
        <x:v>1</x:v>
      </x:c>
      <x:c r="L2176" s="187" t="str">
        <x:v>Não classificado</x:v>
      </x:c>
    </x:row>
    <x:row r="2177">
      <x:c r="A2177" s="177" t="str">
        <x:v>47.227.609/0001-61</x:v>
      </x:c>
      <x:c r="B2177" s="168" t="str">
        <x:v>CNPJ 47227609000161</x:v>
      </x:c>
      <x:c r="C2177" s="190" t="n">
        <x:v>20572104.31</x:v>
      </x:c>
      <x:c r="D2177" s="168" t="str">
        <x:v>Bocaina Capital</x:v>
      </x:c>
      <x:c r="E2177" s="168" t="str">
        <x:f>IFERROR(INDEX('Classif Gestoras'!$H$6:$H$462,MATCH(D2177,'Classif Gestoras'!$A$6:$A$462,0)),"Não classificada")</x:f>
        <x:v>Independente</x:v>
      </x:c>
      <x:c r="F2177" s="168" t="str">
        <x:v>BANCO DAYCOVAL S/A</x:v>
      </x:c>
      <x:c r="G2177" s="168" t="str">
        <x:v>Não identificado</x:v>
      </x:c>
      <x:c r="H2177" s="168" t="str">
        <x:v>Outros</x:v>
      </x:c>
      <x:c r="I2177" s="168" t="str">
        <x:v>Multicarteira Outros</x:v>
      </x:c>
      <x:c r="J2177" s="168" t="str">
        <x:v>CI</x:v>
      </x:c>
      <x:c r="K2177" s="174"/>
      <x:c r="L2177" s="187" t="str">
        <x:v>Proxy multicedente/multissacado — revisar</x:v>
      </x:c>
    </x:row>
    <x:row r="2178">
      <x:c r="A2178" s="177" t="str">
        <x:v>65.794.289/0001-03</x:v>
      </x:c>
      <x:c r="B2178" s="168" t="str">
        <x:v>DUX FUNDO DE INVESTIMENTO EM DIREITOS CREDITÓRIOS RESPONSABILIDADE LIMITADA</x:v>
      </x:c>
      <x:c r="C2178" s="190" t="n">
        <x:v>20558132.11</x:v>
      </x:c>
      <x:c r="D2178" s="168" t="str">
        <x:v>BS2 ASSET MANAGEMENT – ADMINISTRADORA DE RECURSOS LTDA.</x:v>
      </x:c>
      <x:c r="E2178" s="168" t="str">
        <x:f>IFERROR(INDEX('Classif Gestoras'!$H$6:$H$462,MATCH(D2178,'Classif Gestoras'!$A$6:$A$462,0)),"Não classificada")</x:f>
        <x:v>Independente</x:v>
      </x:c>
      <x:c r="F2178" s="168" t="str">
        <x:v>FIDD DISTRIBUIDORA DE TITULOS E VALORES MOBILIARIOS LTD</x:v>
      </x:c>
      <x:c r="G2178" s="168" t="str">
        <x:v>FIDD DISTRIBUIDORA DE TITULOS E VALORES MOBILIARIOS LTDA.</x:v>
      </x:c>
      <x:c r="H2178" s="168" t="str">
        <x:v>Agro, Indústria e Comércio</x:v>
      </x:c>
      <x:c r="I2178" s="168" t="str">
        <x:v>Recebíveis Comerciais</x:v>
      </x:c>
      <x:c r="J2178" s="168" t="str">
        <x:v>CI</x:v>
      </x:c>
      <x:c r="K2178" s="174" t="n">
        <x:v>2</x:v>
      </x:c>
      <x:c r="L2178" s="187" t="str">
        <x:v>Não classificado</x:v>
      </x:c>
    </x:row>
    <x:row r="2179">
      <x:c r="A2179" s="177" t="str">
        <x:v>50.948.092/0001-04</x:v>
      </x:c>
      <x:c r="B2179" s="168" t="str">
        <x:v>CESSIONÁRIO 1 FUNDO DE INVESTIMENTO EM DIREITOS CREDITÓRIOS NÃO-PADRONIZADOS RESP LIMITADA</x:v>
      </x:c>
      <x:c r="C2179" s="190" t="n">
        <x:v>20550420.76</x:v>
      </x:c>
      <x:c r="D2179" s="168" t="str">
        <x:v>GESTORA DE RECURSOS ID - GRID LTDA.</x:v>
      </x:c>
      <x:c r="E2179" s="168" t="str">
        <x:f>IFERROR(INDEX('Classif Gestoras'!$H$6:$H$462,MATCH(D2179,'Classif Gestoras'!$A$6:$A$462,0)),"Não classificada")</x:f>
        <x:v>Independente</x:v>
      </x:c>
      <x:c r="F2179" s="168" t="str">
        <x:v>ID Corretora de Títulos e Valores Mobiliários S.A.</x:v>
      </x:c>
      <x:c r="G2179" s="168" t="str">
        <x:v>ID CORRETORA DE TITULOS E VALORES MOBILIARIOS S.A.</x:v>
      </x:c>
      <x:c r="H2179" s="168" t="str">
        <x:v>Outros</x:v>
      </x:c>
      <x:c r="I2179" s="168" t="str">
        <x:v>Multicarteira Outros</x:v>
      </x:c>
      <x:c r="J2179" s="168" t="str">
        <x:v>CI</x:v>
      </x:c>
      <x:c r="K2179" s="174" t="n">
        <x:v>1</x:v>
      </x:c>
      <x:c r="L2179" s="187" t="str">
        <x:v>Proxy multicedente/multissacado — revisar</x:v>
      </x:c>
    </x:row>
    <x:row r="2180">
      <x:c r="A2180" s="177" t="str">
        <x:v>41.124.590/0001-41</x:v>
      </x:c>
      <x:c r="B2180" s="168" t="str">
        <x:v>CONDOCASH II - FUNDO DE INVESTIMENTO EM DIREITOS CREDITÓRIOS</x:v>
      </x:c>
      <x:c r="C2180" s="190" t="n">
        <x:v>20533939.72</x:v>
      </x:c>
      <x:c r="D2180" s="168" t="str">
        <x:v>REAG LEGAL CLAIMS GESTÃO DE ATIVOS</x:v>
      </x:c>
      <x:c r="E2180" s="168" t="str">
        <x:f>IFERROR(INDEX('Classif Gestoras'!$H$6:$H$462,MATCH(D2180,'Classif Gestoras'!$A$6:$A$462,0)),"Não classificada")</x:f>
        <x:v>Independente</x:v>
      </x:c>
      <x:c r="F2180" s="168" t="str">
        <x:v>PLANNER CV</x:v>
      </x:c>
      <x:c r="G2180" s="168" t="str">
        <x:v>PLANNER CORRETORA DE VALORES S.A.</x:v>
      </x:c>
      <x:c r="H2180" s="168" t="str">
        <x:v>Fomento Mercantil</x:v>
      </x:c>
      <x:c r="I2180" s="168" t="str">
        <x:v>Fomento Mercantil</x:v>
      </x:c>
      <x:c r="J2180" s="168" t="str">
        <x:v>CI</x:v>
      </x:c>
      <x:c r="K2180" s="174" t="n">
        <x:v>4</x:v>
      </x:c>
      <x:c r="L2180" s="187" t="str">
        <x:v>Não classificado</x:v>
      </x:c>
    </x:row>
    <x:row r="2181">
      <x:c r="A2181" s="177" t="str">
        <x:v>43.619.145/0001-88</x:v>
      </x:c>
      <x:c r="B2181" s="168" t="str">
        <x:v>QI QUATÁ FUNDO DE INVESTIMENTO EM DIREITOS CREDITÓRIOS</x:v>
      </x:c>
      <x:c r="C2181" s="190" t="n">
        <x:v>20441028.72</x:v>
      </x:c>
      <x:c r="D2181" s="168" t="str">
        <x:v>Quatá Investimentos</x:v>
      </x:c>
      <x:c r="E2181" s="168" t="str">
        <x:f>IFERROR(INDEX('Classif Gestoras'!$H$6:$H$462,MATCH(D2181,'Classif Gestoras'!$A$6:$A$462,0)),"Não classificada")</x:f>
        <x:v>Independente</x:v>
      </x:c>
      <x:c r="F2181" s="168" t="str">
        <x:v>Singulare</x:v>
      </x:c>
      <x:c r="G2181" s="168" t="str">
        <x:v>QI CORRETORA DE TÍTULOS E VALORES MOBILIÁRIOS S.A.</x:v>
      </x:c>
      <x:c r="H2181" s="168" t="str">
        <x:v>Outros</x:v>
      </x:c>
      <x:c r="I2181" s="168" t="str">
        <x:v>Multicarteira Outros</x:v>
      </x:c>
      <x:c r="J2181" s="168" t="str">
        <x:v>CI</x:v>
      </x:c>
      <x:c r="K2181" s="174" t="n">
        <x:v>1</x:v>
      </x:c>
      <x:c r="L2181" s="187" t="str">
        <x:v>Proxy multicedente/multissacado — revisar</x:v>
      </x:c>
    </x:row>
    <x:row r="2182">
      <x:c r="A2182" s="177" t="str">
        <x:v>60.203.969/0001-91</x:v>
      </x:c>
      <x:c r="B2182" s="168" t="str">
        <x:v>24 CASH FUNDO DE INVESTIMENTO EM DIREITOS CREDITÓRIOS</x:v>
      </x:c>
      <x:c r="C2182" s="190" t="n">
        <x:v>20409180.34</x:v>
      </x:c>
      <x:c r="D2182" s="168" t="str">
        <x:v>Redwood Asset Management</x:v>
      </x:c>
      <x:c r="E2182" s="168" t="str">
        <x:f>IFERROR(INDEX('Classif Gestoras'!$H$6:$H$462,MATCH(D2182,'Classif Gestoras'!$A$6:$A$462,0)),"Não classificada")</x:f>
        <x:v>Independente</x:v>
      </x:c>
      <x:c r="F2182" s="168" t="str">
        <x:v>PLANNER CV</x:v>
      </x:c>
      <x:c r="G2182" s="168" t="str">
        <x:v>PLANNER CORRETORA DE VALORES S.A.</x:v>
      </x:c>
      <x:c r="H2182" s="168" t="str">
        <x:v>Outros</x:v>
      </x:c>
      <x:c r="I2182" s="168" t="str">
        <x:v>Multicarteira Outros</x:v>
      </x:c>
      <x:c r="J2182" s="168" t="str">
        <x:v>CI</x:v>
      </x:c>
      <x:c r="K2182" s="174" t="n">
        <x:v>2</x:v>
      </x:c>
      <x:c r="L2182" s="187" t="str">
        <x:v>Proxy multicedente/multissacado — revisar</x:v>
      </x:c>
    </x:row>
    <x:row r="2183">
      <x:c r="A2183" s="177" t="str">
        <x:v>61.281.536/0001-17</x:v>
      </x:c>
      <x:c r="B2183" s="168" t="str">
        <x:v>AKZ IWS FUNDO DE INVESTIMENTO EM DIREITOS CREDITÓRIOS RECEBÍVEIS COMERCIAIS RESP LIMITADA</x:v>
      </x:c>
      <x:c r="C2183" s="190" t="n">
        <x:v>20291127.41</x:v>
      </x:c>
      <x:c r="D2183" s="168" t="str">
        <x:v>4UM GESTÃO DE RECURSOS LTDA.</x:v>
      </x:c>
      <x:c r="E2183" s="168" t="str">
        <x:f>IFERROR(INDEX('Classif Gestoras'!$H$6:$H$462,MATCH(D2183,'Classif Gestoras'!$A$6:$A$462,0)),"Não classificada")</x:f>
        <x:v>Independente</x:v>
      </x:c>
      <x:c r="F2183" s="168" t="str">
        <x:v>HEMERA DTVM</x:v>
      </x:c>
      <x:c r="G2183" s="168" t="str">
        <x:v>HEMERA DISTRIBUIDORA DE TITULOS E VALORES MOBILIARIOS LTDA</x:v>
      </x:c>
      <x:c r="H2183" s="168" t="str">
        <x:v>Outros</x:v>
      </x:c>
      <x:c r="I2183" s="168" t="str">
        <x:v>Multicarteira Outros</x:v>
      </x:c>
      <x:c r="J2183" s="168" t="str">
        <x:v>CI</x:v>
      </x:c>
      <x:c r="K2183" s="174" t="n">
        <x:v>24</x:v>
      </x:c>
      <x:c r="L2183" s="187" t="str">
        <x:v>Proxy multicedente/multissacado — revisar</x:v>
      </x:c>
    </x:row>
    <x:row r="2184">
      <x:c r="A2184" s="177" t="str">
        <x:v>58.534.471/0001-60</x:v>
      </x:c>
      <x:c r="B2184" s="168" t="str">
        <x:v>LEGEND II SPECIAL ASSETS LEGAL CLAIMS FUNDO DE INVESTIMENTO EM DIREITOS CREDITÓRIOS</x:v>
      </x:c>
      <x:c r="C2184" s="190" t="n">
        <x:v>20290806.369999997</x:v>
      </x:c>
      <x:c r="D2184" s="168" t="str">
        <x:v>LEGEND LEGAL ASSETS GESTAO DE RECURSOS LTDA</x:v>
      </x:c>
      <x:c r="E2184" s="168" t="str">
        <x:f>IFERROR(INDEX('Classif Gestoras'!$H$6:$H$462,MATCH(D2184,'Classif Gestoras'!$A$6:$A$462,0)),"Não classificada")</x:f>
        <x:v>Independente</x:v>
      </x:c>
      <x:c r="F2184" s="168" t="str">
        <x:v>BTG Pactual Servicos Financeiros S/A DTVM</x:v>
      </x:c>
      <x:c r="G2184" s="168" t="str">
        <x:v>BANCO BTG PACTUAL S/A</x:v>
      </x:c>
      <x:c r="H2184" s="168" t="str">
        <x:v>Outros</x:v>
      </x:c>
      <x:c r="I2184" s="168" t="str">
        <x:v>Multicarteira Outros</x:v>
      </x:c>
      <x:c r="J2184" s="168" t="str">
        <x:v>CI</x:v>
      </x:c>
      <x:c r="K2184" s="174" t="n">
        <x:v>1</x:v>
      </x:c>
      <x:c r="L2184" s="187" t="str">
        <x:v>Proxy multicedente/multissacado — revisar</x:v>
      </x:c>
    </x:row>
    <x:row r="2185">
      <x:c r="A2185" s="177" t="str">
        <x:v>65.216.273/0001-13</x:v>
      </x:c>
      <x:c r="B2185" s="168" t="str">
        <x:v>APG SAFIRA FUNDO DE INVESTIMENTO EM DIREITOS CREDITÓRIOS DE RESPONSABILIDADE LIMITADA</x:v>
      </x:c>
      <x:c r="C2185" s="190" t="n">
        <x:v>20283223.619999997</x:v>
      </x:c>
      <x:c r="D2185" s="168" t="str">
        <x:v>ORRAM GESTÃO DE RECURSOS LTDA.</x:v>
      </x:c>
      <x:c r="E2185" s="168" t="str">
        <x:f>IFERROR(INDEX('Classif Gestoras'!$H$6:$H$462,MATCH(D2185,'Classif Gestoras'!$A$6:$A$462,0)),"Não classificada")</x:f>
        <x:v>Independente</x:v>
      </x:c>
      <x:c r="F2185" s="168" t="str">
        <x:v>Singulare</x:v>
      </x:c>
      <x:c r="G2185" s="168" t="str">
        <x:v>QI CORRETORA DE TÍTULOS E VALORES MOBILIÁRIOS S.A.</x:v>
      </x:c>
      <x:c r="H2185" s="168" t="str">
        <x:v>Fomento Mercantil</x:v>
      </x:c>
      <x:c r="I2185" s="168" t="str">
        <x:v>Fomento Mercantil</x:v>
      </x:c>
      <x:c r="J2185" s="168" t="str">
        <x:v>CI</x:v>
      </x:c>
      <x:c r="K2185" s="174" t="n">
        <x:v>8</x:v>
      </x:c>
      <x:c r="L2185" s="187" t="str">
        <x:v>Não classificado</x:v>
      </x:c>
    </x:row>
    <x:row r="2186">
      <x:c r="A2186" s="177" t="str">
        <x:v>55.481.003/0001-86</x:v>
      </x:c>
      <x:c r="B2186" s="168" t="str">
        <x:v>VB1 FUNDO DE INVESTIMENTO EM DIREITOS CREDITÓRIOS FINANCEIROS</x:v>
      </x:c>
      <x:c r="C2186" s="190" t="n">
        <x:v>20273803.360000003</x:v>
      </x:c>
      <x:c r="D2186" s="168" t="str">
        <x:v>BLUEWAVE ASSET LTDA</x:v>
      </x:c>
      <x:c r="E2186" s="168" t="str">
        <x:f>IFERROR(INDEX('Classif Gestoras'!$H$6:$H$462,MATCH(D2186,'Classif Gestoras'!$A$6:$A$462,0)),"Não classificada")</x:f>
        <x:v>Independente</x:v>
      </x:c>
      <x:c r="F2186" s="168" t="str">
        <x:v>Finvest Digital</x:v>
      </x:c>
      <x:c r="G2186" s="168" t="str">
        <x:v>FINVEST DISTRIBUIDORA DE TÍTULOS E VALORES MOBILIÁRIOS LTDA.</x:v>
      </x:c>
      <x:c r="H2186" s="168" t="str">
        <x:v>Outros</x:v>
      </x:c>
      <x:c r="I2186" s="168" t="str">
        <x:v>Multicarteira Outros</x:v>
      </x:c>
      <x:c r="J2186" s="168" t="str">
        <x:v>CI</x:v>
      </x:c>
      <x:c r="K2186" s="174" t="n">
        <x:v>3</x:v>
      </x:c>
      <x:c r="L2186" s="187" t="str">
        <x:v>Proxy multicedente/multissacado — revisar</x:v>
      </x:c>
    </x:row>
    <x:row r="2187">
      <x:c r="A2187" s="177" t="str">
        <x:v>61.755.814/0001-20</x:v>
      </x:c>
      <x:c r="B2187" s="168" t="str">
        <x:v>DILARY INVEST FUNDO DE INVESTIMENTO EM DIREITOS CREDITÓRIOS</x:v>
      </x:c>
      <x:c r="C2187" s="190" t="n">
        <x:v>20245903.66</x:v>
      </x:c>
      <x:c r="D2187" s="168" t="str">
        <x:v>VESTRA CAPITAL</x:v>
      </x:c>
      <x:c r="E2187" s="168" t="str">
        <x:f>IFERROR(INDEX('Classif Gestoras'!$H$6:$H$462,MATCH(D2187,'Classif Gestoras'!$A$6:$A$462,0)),"Não classificada")</x:f>
        <x:v>Independente</x:v>
      </x:c>
      <x:c r="F2187" s="168" t="str">
        <x:v>AZUMI DISTRIBUIDORA DE TÍTULOS E VALORES MOBILIÁRIOS LT</x:v>
      </x:c>
      <x:c r="G2187" s="168" t="str">
        <x:v>AZUMI DISTRIBUIDORA DE TÍTULOS E VALORES MOBILIÁRIOS LTDA.</x:v>
      </x:c>
      <x:c r="H2187" s="168" t="str">
        <x:v>Financeiro</x:v>
      </x:c>
      <x:c r="I2187" s="168" t="str">
        <x:v>Multicarteira Financeiro</x:v>
      </x:c>
      <x:c r="J2187" s="168" t="str">
        <x:v>CI</x:v>
      </x:c>
      <x:c r="K2187" s="174" t="n">
        <x:v>1</x:v>
      </x:c>
      <x:c r="L2187" s="187" t="str">
        <x:v>Proxy multicedente/multissacado — revisar</x:v>
      </x:c>
    </x:row>
    <x:row r="2188">
      <x:c r="A2188" s="177" t="str">
        <x:v>59.744.598/0001-76</x:v>
      </x:c>
      <x:c r="B2188" s="168" t="str">
        <x:v>MEDCASH FUNDO DE INVESTIMENTO EM DIREITOS CREDITÓRIOS DE RESPONSABILIDADE LIMITADA</x:v>
      </x:c>
      <x:c r="C2188" s="190" t="n">
        <x:v>20240904.93</x:v>
      </x:c>
      <x:c r="D2188" s="168" t="str">
        <x:v>Catálise Investimentos</x:v>
      </x:c>
      <x:c r="E2188" s="168" t="str">
        <x:f>IFERROR(INDEX('Classif Gestoras'!$H$6:$H$462,MATCH(D2188,'Classif Gestoras'!$A$6:$A$462,0)),"Não classificada")</x:f>
        <x:v>Independente</x:v>
      </x:c>
      <x:c r="F2188" s="168" t="str">
        <x:v>CATÁLISE DTVM</x:v>
      </x:c>
      <x:c r="G2188" s="168" t="str">
        <x:v>BANCO DAYCOVAL S.A.</x:v>
      </x:c>
      <x:c r="H2188" s="168" t="str">
        <x:v>Agro, Indústria e Comércio</x:v>
      </x:c>
      <x:c r="I2188" s="168" t="str">
        <x:v>Multicarteira Agro, Indústria e Comércio</x:v>
      </x:c>
      <x:c r="J2188" s="168" t="str">
        <x:v>CI</x:v>
      </x:c>
      <x:c r="K2188" s="174" t="n">
        <x:v>1</x:v>
      </x:c>
      <x:c r="L2188" s="187" t="str">
        <x:v>Proxy multicedente/multissacado — revisar</x:v>
      </x:c>
    </x:row>
    <x:row r="2189">
      <x:c r="A2189" s="177" t="str">
        <x:v>59.878.508/0001-30</x:v>
      </x:c>
      <x:c r="B2189" s="168" t="str">
        <x:v>CNPJ 59878508000130</x:v>
      </x:c>
      <x:c r="C2189" s="190" t="n">
        <x:v>20199540.59</x:v>
      </x:c>
      <x:c r="D2189" s="168" t="str">
        <x:v>Artesanal Investimentos</x:v>
      </x:c>
      <x:c r="E2189" s="168" t="str">
        <x:f>IFERROR(INDEX('Classif Gestoras'!$H$6:$H$462,MATCH(D2189,'Classif Gestoras'!$A$6:$A$462,0)),"Não classificada")</x:f>
        <x:v>Independente</x:v>
      </x:c>
      <x:c r="F2189" s="168" t="str">
        <x:v>Banco Genial S.A.</x:v>
      </x:c>
      <x:c r="G2189" s="168" t="str">
        <x:v>Não identificado</x:v>
      </x:c>
      <x:c r="H2189" s="168" t="str">
        <x:v>Outros</x:v>
      </x:c>
      <x:c r="I2189" s="168" t="str">
        <x:v>Multicarteira Outros</x:v>
      </x:c>
      <x:c r="J2189" s="168" t="str">
        <x:v>CI</x:v>
      </x:c>
      <x:c r="K2189" s="174"/>
      <x:c r="L2189" s="187" t="str">
        <x:v>Proxy multicedente/multissacado — revisar</x:v>
      </x:c>
    </x:row>
    <x:row r="2190">
      <x:c r="A2190" s="177" t="str">
        <x:v>53.171.779/0001-74</x:v>
      </x:c>
      <x:c r="B2190" s="168" t="str">
        <x:v>SÓCRATES FUNDO DE INVESTIMENTO EM DIREITOS CREDITÓRIOS</x:v>
      </x:c>
      <x:c r="C2190" s="190" t="n">
        <x:v>20139828.220000003</x:v>
      </x:c>
      <x:c r="D2190" s="168" t="str">
        <x:v>Reag Administradora de Recursos Ltda</x:v>
      </x:c>
      <x:c r="E2190" s="168" t="str">
        <x:f>IFERROR(INDEX('Classif Gestoras'!$H$6:$H$462,MATCH(D2190,'Classif Gestoras'!$A$6:$A$462,0)),"Não classificada")</x:f>
        <x:v>Independente</x:v>
      </x:c>
      <x:c r="F2190" s="168" t="str">
        <x:v>REAG DTVM</x:v>
      </x:c>
      <x:c r="G2190" s="168" t="str">
        <x:v>QORE DISTRIBUIDORA DE TÍTULOS E VALORES MOBILIÁRIOS LTDA.</x:v>
      </x:c>
      <x:c r="H2190" s="168" t="str">
        <x:v>Outros</x:v>
      </x:c>
      <x:c r="I2190" s="168" t="str">
        <x:v>Multicarteira Outros</x:v>
      </x:c>
      <x:c r="J2190" s="168" t="str">
        <x:v>CI</x:v>
      </x:c>
      <x:c r="K2190" s="174" t="n">
        <x:v>1</x:v>
      </x:c>
      <x:c r="L2190" s="187" t="str">
        <x:v>Proxy multicedente/multissacado — revisar</x:v>
      </x:c>
    </x:row>
    <x:row r="2191">
      <x:c r="A2191" s="177" t="str">
        <x:v>52.998.251/0001-00</x:v>
      </x:c>
      <x:c r="B2191" s="168" t="str">
        <x:v>HAOC FUNDO DE INVESTIMENTO EM DIREITOS CREDITÓRIOS</x:v>
      </x:c>
      <x:c r="C2191" s="190" t="n">
        <x:v>20117175.78</x:v>
      </x:c>
      <x:c r="D2191" s="168" t="str">
        <x:v>H2 CAPITAL</x:v>
      </x:c>
      <x:c r="E2191" s="168" t="str">
        <x:f>IFERROR(INDEX('Classif Gestoras'!$H$6:$H$462,MATCH(D2191,'Classif Gestoras'!$A$6:$A$462,0)),"Não classificada")</x:f>
        <x:v>Independente</x:v>
      </x:c>
      <x:c r="F2191" s="168" t="str">
        <x:v>BANCO DAYCOVAL S/A</x:v>
      </x:c>
      <x:c r="G2191" s="168" t="str">
        <x:v>BANCO DAYCOVAL S.A.</x:v>
      </x:c>
      <x:c r="H2191" s="168" t="str">
        <x:v>Outros</x:v>
      </x:c>
      <x:c r="I2191" s="168" t="str">
        <x:v>Multicarteira Outros</x:v>
      </x:c>
      <x:c r="J2191" s="168" t="str">
        <x:v>CI</x:v>
      </x:c>
      <x:c r="K2191" s="174" t="n">
        <x:v>8</x:v>
      </x:c>
      <x:c r="L2191" s="187" t="str">
        <x:v>Proxy multicedente/multissacado — revisar</x:v>
      </x:c>
    </x:row>
    <x:row r="2192">
      <x:c r="A2192" s="177" t="str">
        <x:v>32.511.681/0001-49</x:v>
      </x:c>
      <x:c r="B2192" s="168" t="str">
        <x:v>BLP PCJ VII FUNDO DE INVESTIMENTO EM DIREITOS CREDITÓRIOS RESPONSABILIDADE LIMITADA</x:v>
      </x:c>
      <x:c r="C2192" s="190" t="n">
        <x:v>20110610.44</x:v>
      </x:c>
      <x:c r="D2192" s="168" t="str">
        <x:v>BLP CAPITAL</x:v>
      </x:c>
      <x:c r="E2192" s="168" t="str">
        <x:f>IFERROR(INDEX('Classif Gestoras'!$H$6:$H$462,MATCH(D2192,'Classif Gestoras'!$A$6:$A$462,0)),"Não classificada")</x:f>
        <x:v>Independente</x:v>
      </x:c>
      <x:c r="F2192" s="168" t="str">
        <x:v>TRUSTEE DTVM</x:v>
      </x:c>
      <x:c r="G2192" s="168" t="str">
        <x:v>TRUSTEE DISTRIBUIDORA DE TITULOS E VALORES MOBILIARIOS LTDA.</x:v>
      </x:c>
      <x:c r="H2192" s="168" t="str">
        <x:v>Outros</x:v>
      </x:c>
      <x:c r="I2192" s="168" t="str">
        <x:v>Poder Público</x:v>
      </x:c>
      <x:c r="J2192" s="168" t="str">
        <x:v>CI</x:v>
      </x:c>
      <x:c r="K2192" s="174" t="n">
        <x:v>1</x:v>
      </x:c>
      <x:c r="L2192" s="187" t="str">
        <x:v>Não classificado</x:v>
      </x:c>
    </x:row>
    <x:row r="2193">
      <x:c r="A2193" s="177" t="str">
        <x:v>12.915.248/0001-61</x:v>
      </x:c>
      <x:c r="B2193" s="168" t="str">
        <x:v>SÃO JOSÉ FUNDO DE INVESTIMENTO EM DIREITOS CREDITÓRIOS - RESPONSABILIDADE LIMITADA</x:v>
      </x:c>
      <x:c r="C2193" s="190" t="n">
        <x:v>20076201.47</x:v>
      </x:c>
      <x:c r="D2193" s="168" t="str">
        <x:v>Artesanal Investimentos</x:v>
      </x:c>
      <x:c r="E2193" s="168" t="str">
        <x:f>IFERROR(INDEX('Classif Gestoras'!$H$6:$H$462,MATCH(D2193,'Classif Gestoras'!$A$6:$A$462,0)),"Não classificada")</x:f>
        <x:v>Independente</x:v>
      </x:c>
      <x:c r="F2193" s="168" t="str">
        <x:v>Genial Investimentos Corretora de Valores Mobiliários S.A.</x:v>
      </x:c>
      <x:c r="G2193" s="168" t="str">
        <x:v>BANCO B3 S.A.</x:v>
      </x:c>
      <x:c r="H2193" s="168" t="str">
        <x:v>Outros</x:v>
      </x:c>
      <x:c r="I2193" s="168" t="str">
        <x:v>Multicarteira Outros</x:v>
      </x:c>
      <x:c r="J2193" s="168" t="str">
        <x:v>CI</x:v>
      </x:c>
      <x:c r="K2193" s="174" t="n">
        <x:v>1</x:v>
      </x:c>
      <x:c r="L2193" s="187" t="str">
        <x:v>Proxy multicedente/multissacado — revisar</x:v>
      </x:c>
    </x:row>
    <x:row r="2194">
      <x:c r="A2194" s="177" t="str">
        <x:v>61.295.347/0001-01</x:v>
      </x:c>
      <x:c r="B2194" s="168" t="str">
        <x:v>SALIS FUNDO DE INVESTIMENTO EM DIREITOS CREDITÓRIOS - RESPONSABILIDADE LIMITADA</x:v>
      </x:c>
      <x:c r="C2194" s="190" t="n">
        <x:v>20050487.93</x:v>
      </x:c>
      <x:c r="D2194" s="168" t="str">
        <x:v>Netz Asset</x:v>
      </x:c>
      <x:c r="E2194" s="168" t="str">
        <x:f>IFERROR(INDEX('Classif Gestoras'!$H$6:$H$462,MATCH(D2194,'Classif Gestoras'!$A$6:$A$462,0)),"Não classificada")</x:f>
        <x:v>Independente</x:v>
      </x:c>
      <x:c r="F2194" s="168" t="str">
        <x:v>MONETAR DISTRIBUIDORA DE TITUL</x:v>
      </x:c>
      <x:c r="G2194" s="168" t="str">
        <x:v>TERRA INVESTIMENTOS DISTRIBUIDORA DE TITULOS E VALORES MOBILIARIOS LTDA</x:v>
      </x:c>
      <x:c r="H2194" s="168" t="str">
        <x:v>Outros</x:v>
      </x:c>
      <x:c r="I2194" s="168" t="str">
        <x:v>Multicarteira Outros</x:v>
      </x:c>
      <x:c r="J2194" s="168" t="str">
        <x:v>CI</x:v>
      </x:c>
      <x:c r="K2194" s="174" t="n">
        <x:v>3</x:v>
      </x:c>
      <x:c r="L2194" s="187" t="str">
        <x:v>Proxy multicedente/multissacado — revisar</x:v>
      </x:c>
    </x:row>
    <x:row r="2195">
      <x:c r="A2195" s="177" t="str">
        <x:v>60.316.032/0001-22</x:v>
      </x:c>
      <x:c r="B2195" s="168" t="str">
        <x:v>CLASSE ÚNICA DE COTAS DO VALORA CAPITAL PARTNERS II FIC DE FIDC RESPONSABILIDADE LIMITADA</x:v>
      </x:c>
      <x:c r="C2195" s="190" t="n">
        <x:v>20038085.95</x:v>
      </x:c>
      <x:c r="D2195" s="168" t="str">
        <x:v>VALORA RENDA FIXA ESTRUTURADOS LTDA.</x:v>
      </x:c>
      <x:c r="E2195" s="168" t="str">
        <x:f>IFERROR(INDEX('Classif Gestoras'!$H$6:$H$462,MATCH(D2195,'Classif Gestoras'!$A$6:$A$462,0)),"Não classificada")</x:f>
        <x:v>Independente</x:v>
      </x:c>
      <x:c r="F2195" s="168" t="str">
        <x:v>BANCO DAYCOVAL S/A</x:v>
      </x:c>
      <x:c r="G2195" s="168" t="str">
        <x:v>BANCO DAYCOVAL S.A.</x:v>
      </x:c>
      <x:c r="H2195" s="168" t="str">
        <x:v>Outros</x:v>
      </x:c>
      <x:c r="I2195" s="168" t="str">
        <x:v>Multicarteira Outros</x:v>
      </x:c>
      <x:c r="J2195" s="168" t="str">
        <x:v>CI</x:v>
      </x:c>
      <x:c r="K2195" s="174" t="n">
        <x:v>5</x:v>
      </x:c>
      <x:c r="L2195" s="187" t="str">
        <x:v>Proxy multicedente/multissacado — revisar</x:v>
      </x:c>
    </x:row>
    <x:row r="2196">
      <x:c r="A2196" s="177" t="str">
        <x:v>45.853.976/0001-45</x:v>
      </x:c>
      <x:c r="B2196" s="168" t="str">
        <x:v>FUNDO DE INVESTIMENTO EM DIREITOS CREDITÓRIOS CREDITAS AUTO IX</x:v>
      </x:c>
      <x:c r="C2196" s="190" t="n">
        <x:v>20004200.16</x:v>
      </x:c>
      <x:c r="D2196" s="168" t="str">
        <x:v>ANGÁ ASSET MANAGEMENT</x:v>
      </x:c>
      <x:c r="E2196" s="168" t="str">
        <x:f>IFERROR(INDEX('Classif Gestoras'!$H$6:$H$462,MATCH(D2196,'Classif Gestoras'!$A$6:$A$462,0)),"Não classificada")</x:f>
        <x:v>Independente</x:v>
      </x:c>
      <x:c r="F2196" s="168" t="str">
        <x:v>BRL TRUST DTVM</x:v>
      </x:c>
      <x:c r="G2196" s="168" t="str">
        <x:v>BRL TRUST DISTRIBUIDORA DE TITULOS E VALORES MOBILIARIOS S.A.</x:v>
      </x:c>
      <x:c r="H2196" s="168" t="str">
        <x:v>Financeiro</x:v>
      </x:c>
      <x:c r="I2196" s="168" t="str">
        <x:v>Financiamento de Veículos</x:v>
      </x:c>
      <x:c r="J2196" s="168" t="str">
        <x:v>CI</x:v>
      </x:c>
      <x:c r="K2196" s="174" t="n">
        <x:v>47</x:v>
      </x:c>
      <x:c r="L2196" s="187" t="str">
        <x:v>Não classificado</x:v>
      </x:c>
    </x:row>
    <x:row r="2197">
      <x:c r="A2197" s="177" t="str">
        <x:v>55.241.106/0001-79</x:v>
      </x:c>
      <x:c r="B2197" s="168" t="str">
        <x:v>ARM CAPITAL PRECATÓRIOS FUNDO DE INVESTIMENTO EM DIREITOS CREDITÓRIOS - DE RESPONSABILIDADE LIMITADA</x:v>
      </x:c>
      <x:c r="C2197" s="190" t="n">
        <x:v>19962409.54</x:v>
      </x:c>
      <x:c r="D2197" s="168" t="str">
        <x:v>ARM Capital</x:v>
      </x:c>
      <x:c r="E2197" s="168" t="str">
        <x:f>IFERROR(INDEX('Classif Gestoras'!$H$6:$H$462,MATCH(D2197,'Classif Gestoras'!$A$6:$A$462,0)),"Não classificada")</x:f>
        <x:v>Independente</x:v>
      </x:c>
      <x:c r="F2197" s="168" t="str">
        <x:v>Oliveira Trust DTVM</x:v>
      </x:c>
      <x:c r="G2197" s="168" t="str">
        <x:v>OLIVEIRA TRUST DTVM S.A.</x:v>
      </x:c>
      <x:c r="H2197" s="168" t="str">
        <x:v>Outros</x:v>
      </x:c>
      <x:c r="I2197" s="168" t="str">
        <x:v>Poder Público</x:v>
      </x:c>
      <x:c r="J2197" s="168" t="str">
        <x:v>CI</x:v>
      </x:c>
      <x:c r="K2197" s="174" t="n">
        <x:v>27</x:v>
      </x:c>
      <x:c r="L2197" s="187" t="str">
        <x:v>Não classificado</x:v>
      </x:c>
    </x:row>
    <x:row r="2198">
      <x:c r="A2198" s="177" t="str">
        <x:v>64.126.861/0001-01</x:v>
      </x:c>
      <x:c r="B2198" s="168" t="str">
        <x:v>MEU PRECATÓRIO FUNDO DE INVESTIMENTO EM DIREITOS CREDITÓRIOS RESPONSABILIDADE LIMITADA</x:v>
      </x:c>
      <x:c r="C2198" s="190" t="n">
        <x:v>19940361.67</x:v>
      </x:c>
      <x:c r="D2198" s="168" t="str">
        <x:v>Plural Investimentos Gestão de Recursos Ltda.</x:v>
      </x:c>
      <x:c r="E2198" s="168" t="str">
        <x:f>IFERROR(INDEX('Classif Gestoras'!$H$6:$H$462,MATCH(D2198,'Classif Gestoras'!$A$6:$A$462,0)),"Não classificada")</x:f>
        <x:v>Ligada a banco</x:v>
      </x:c>
      <x:c r="F2198" s="168" t="str">
        <x:v>Oliveira Trust DTVM</x:v>
      </x:c>
      <x:c r="G2198" s="168" t="str">
        <x:v>OLIVEIRA TRUST DTVM S.A.</x:v>
      </x:c>
      <x:c r="H2198" s="168" t="str">
        <x:v>Outros</x:v>
      </x:c>
      <x:c r="I2198" s="168" t="str">
        <x:v>Poder Público</x:v>
      </x:c>
      <x:c r="J2198" s="168" t="str">
        <x:v>CI</x:v>
      </x:c>
      <x:c r="K2198" s="174" t="n">
        <x:v>6</x:v>
      </x:c>
      <x:c r="L2198" s="187" t="str">
        <x:v>Não classificado</x:v>
      </x:c>
    </x:row>
    <x:row r="2199">
      <x:c r="A2199" s="177" t="str">
        <x:v>47.542.777/0001-41</x:v>
      </x:c>
      <x:c r="B2199" s="168" t="str">
        <x:v>E-JUS FUNDO DE INVESTIMENTO EM DIREITOS CREDITORIOS NAO PADRONIZADOS</x:v>
      </x:c>
      <x:c r="C2199" s="190" t="n">
        <x:v>19853837.05</x:v>
      </x:c>
      <x:c r="D2199" s="168" t="str">
        <x:v>Everest Capital</x:v>
      </x:c>
      <x:c r="E2199" s="168" t="str">
        <x:f>IFERROR(INDEX('Classif Gestoras'!$H$6:$H$462,MATCH(D2199,'Classif Gestoras'!$A$6:$A$462,0)),"Não classificada")</x:f>
        <x:v>Independente</x:v>
      </x:c>
      <x:c r="F2199" s="168" t="str">
        <x:v>Singulare</x:v>
      </x:c>
      <x:c r="G2199" s="168" t="str">
        <x:v>QI CORRETORA DE TÍTULOS E VALORES MOBILIÁRIOS S.A.</x:v>
      </x:c>
      <x:c r="H2199" s="168" t="str">
        <x:v>Outros</x:v>
      </x:c>
      <x:c r="I2199" s="168" t="str">
        <x:v>Multicarteira Outros</x:v>
      </x:c>
      <x:c r="J2199" s="168" t="str">
        <x:v>CI</x:v>
      </x:c>
      <x:c r="K2199" s="174" t="n">
        <x:v>6</x:v>
      </x:c>
      <x:c r="L2199" s="187" t="str">
        <x:v>Proxy multicedente/multissacado — revisar</x:v>
      </x:c>
    </x:row>
    <x:row r="2200">
      <x:c r="A2200" s="177" t="str">
        <x:v>52.554.183/0001-90</x:v>
      </x:c>
      <x:c r="B2200" s="168" t="str">
        <x:v>STT1 FUNDO DE INVESTIMENTO EM DIREITOS CREDITÓRIOS</x:v>
      </x:c>
      <x:c r="C2200" s="190" t="n">
        <x:v>19816246.37</x:v>
      </x:c>
      <x:c r="D2200" s="168" t="str">
        <x:v>Strata Capital</x:v>
      </x:c>
      <x:c r="E2200" s="168" t="str">
        <x:f>IFERROR(INDEX('Classif Gestoras'!$H$6:$H$462,MATCH(D2200,'Classif Gestoras'!$A$6:$A$462,0)),"Não classificada")</x:f>
        <x:v>Independente</x:v>
      </x:c>
      <x:c r="F2200" s="168" t="str">
        <x:v>BANCO DAYCOVAL S/A</x:v>
      </x:c>
      <x:c r="G2200" s="168" t="str">
        <x:v>BANCO DAYCOVAL S.A.</x:v>
      </x:c>
      <x:c r="H2200" s="168" t="str">
        <x:v>Financeiro</x:v>
      </x:c>
      <x:c r="I2200" s="168" t="str">
        <x:v>Multicarteira Financeiro</x:v>
      </x:c>
      <x:c r="J2200" s="168" t="str">
        <x:v>CI</x:v>
      </x:c>
      <x:c r="K2200" s="174" t="n">
        <x:v>1</x:v>
      </x:c>
      <x:c r="L2200" s="187" t="str">
        <x:v>Proxy multicedente/multissacado — revisar</x:v>
      </x:c>
    </x:row>
    <x:row r="2201">
      <x:c r="A2201" s="177" t="str">
        <x:v>60.910.091/0001-24</x:v>
      </x:c>
      <x:c r="B2201" s="168" t="str">
        <x:v>VCG FUNDO DE INVESTIMENTO EM DIREITOS CREDITÓRIOS RECEBÍVEIS COMERCIAIS</x:v>
      </x:c>
      <x:c r="C2201" s="190" t="n">
        <x:v>19784384.860000003</x:v>
      </x:c>
      <x:c r="D2201" s="168" t="str">
        <x:v>Harbour Capital</x:v>
      </x:c>
      <x:c r="E2201" s="168" t="str">
        <x:f>IFERROR(INDEX('Classif Gestoras'!$H$6:$H$462,MATCH(D2201,'Classif Gestoras'!$A$6:$A$462,0)),"Não classificada")</x:f>
        <x:v>Independente</x:v>
      </x:c>
      <x:c r="F2201" s="168" t="str">
        <x:v>Singulare</x:v>
      </x:c>
      <x:c r="G2201" s="168" t="str">
        <x:v>QI CORRETORA DE TÍTULOS E VALORES MOBILIÁRIOS S.A.</x:v>
      </x:c>
      <x:c r="H2201" s="168" t="str">
        <x:v>Fomento Mercantil</x:v>
      </x:c>
      <x:c r="I2201" s="168" t="str">
        <x:v>Fomento Mercantil</x:v>
      </x:c>
      <x:c r="J2201" s="168" t="str">
        <x:v>CI</x:v>
      </x:c>
      <x:c r="K2201" s="174" t="n">
        <x:v>1</x:v>
      </x:c>
      <x:c r="L2201" s="187" t="str">
        <x:v>Não classificado</x:v>
      </x:c>
    </x:row>
    <x:row r="2202">
      <x:c r="A2202" s="177" t="str">
        <x:v>61.621.790/0001-17</x:v>
      </x:c>
      <x:c r="B2202" s="168" t="str">
        <x:v>CREDIRECOVER FUNDO DE INVESTIMENTO EM DIREITOS CREDITÓRIOS - RESPONSABILIDADE LIMITADA</x:v>
      </x:c>
      <x:c r="C2202" s="190" t="n">
        <x:v>19777629.8</x:v>
      </x:c>
      <x:c r="D2202" s="168" t="str">
        <x:v>Solis</x:v>
      </x:c>
      <x:c r="E2202" s="168" t="str">
        <x:f>IFERROR(INDEX('Classif Gestoras'!$H$6:$H$462,MATCH(D2202,'Classif Gestoras'!$A$6:$A$462,0)),"Não classificada")</x:f>
        <x:v>Independente</x:v>
      </x:c>
      <x:c r="F2202" s="168" t="str">
        <x:v>HEMERA DTVM</x:v>
      </x:c>
      <x:c r="G2202" s="168" t="str">
        <x:v>HEMERA DISTRIBUIDORA DE TITULOS E VALORES MOBILIARIOS LTDA</x:v>
      </x:c>
      <x:c r="H2202" s="168" t="str">
        <x:v>Outros</x:v>
      </x:c>
      <x:c r="I2202" s="168" t="str">
        <x:v>Multicarteira Outros</x:v>
      </x:c>
      <x:c r="J2202" s="168" t="str">
        <x:v>CI</x:v>
      </x:c>
      <x:c r="K2202" s="174" t="n">
        <x:v>2</x:v>
      </x:c>
      <x:c r="L2202" s="187" t="str">
        <x:v>Proxy multicedente/multissacado — revisar</x:v>
      </x:c>
    </x:row>
    <x:row r="2203">
      <x:c r="A2203" s="177" t="str">
        <x:v>63.866.372/0001-15</x:v>
      </x:c>
      <x:c r="B2203" s="168" t="str">
        <x:v>BAÍA FUNDO DE INVESTIMENTO EM DIREITOS CREDITÓRIOS</x:v>
      </x:c>
      <x:c r="C2203" s="190" t="n">
        <x:v>19677883.99</x:v>
      </x:c>
      <x:c r="D2203" s="168" t="str">
        <x:v>B6 GESTORA DE RECURSOS LTDA</x:v>
      </x:c>
      <x:c r="E2203" s="168" t="str">
        <x:f>IFERROR(INDEX('Classif Gestoras'!$H$6:$H$462,MATCH(D2203,'Classif Gestoras'!$A$6:$A$462,0)),"Não classificada")</x:f>
        <x:v>Independente</x:v>
      </x:c>
      <x:c r="F2203" s="168" t="str">
        <x:v>PLANNER CV</x:v>
      </x:c>
      <x:c r="G2203" s="168" t="str">
        <x:v>PLANNER CORRETORA DE VALORES S.A.</x:v>
      </x:c>
      <x:c r="H2203" s="168" t="str">
        <x:v>Outros</x:v>
      </x:c>
      <x:c r="I2203" s="168" t="str">
        <x:v>Multicarteira Outros</x:v>
      </x:c>
      <x:c r="J2203" s="168" t="str">
        <x:v>CI</x:v>
      </x:c>
      <x:c r="K2203" s="174" t="n">
        <x:v>11</x:v>
      </x:c>
      <x:c r="L2203" s="187" t="str">
        <x:v>Proxy multicedente/multissacado — revisar</x:v>
      </x:c>
    </x:row>
    <x:row r="2204">
      <x:c r="A2204" s="177" t="str">
        <x:v>59.388.384/0001-04</x:v>
      </x:c>
      <x:c r="B2204" s="168" t="str">
        <x:v>PRECATO V FUNDO DE INVESTIMENTO EM DIREITOS CREDITÓRIOS RESPONSABILIDADE LIMITADA</x:v>
      </x:c>
      <x:c r="C2204" s="190" t="n">
        <x:v>19675867</x:v>
      </x:c>
      <x:c r="D2204" s="168" t="str">
        <x:v>TAG Investimentos</x:v>
      </x:c>
      <x:c r="E2204" s="168" t="str">
        <x:f>IFERROR(INDEX('Classif Gestoras'!$H$6:$H$462,MATCH(D2204,'Classif Gestoras'!$A$6:$A$462,0)),"Não classificada")</x:f>
        <x:v>Independente</x:v>
      </x:c>
      <x:c r="F2204" s="168" t="str">
        <x:v>VÓRTX DTVM</x:v>
      </x:c>
      <x:c r="G2204" s="168" t="str">
        <x:v>VORTX DISTRIBUIDORA DE TITULOS E VALORES MOBILIARIOS LTDA.</x:v>
      </x:c>
      <x:c r="H2204" s="168" t="str">
        <x:v>Outros</x:v>
      </x:c>
      <x:c r="I2204" s="168" t="str">
        <x:v>Multicarteira Outros</x:v>
      </x:c>
      <x:c r="J2204" s="168" t="str">
        <x:v>CI</x:v>
      </x:c>
      <x:c r="K2204" s="174" t="n">
        <x:v>49</x:v>
      </x:c>
      <x:c r="L2204" s="187" t="str">
        <x:v>Proxy multicedente/multissacado — revisar</x:v>
      </x:c>
    </x:row>
    <x:row r="2205">
      <x:c r="A2205" s="177" t="str">
        <x:v>50.768.516/0001-59</x:v>
      </x:c>
      <x:c r="B2205" s="168" t="str">
        <x:v>RECOVERY LEX FUNDO DE INVESTIMENTO EM DIREITOS CREDITÓRIOS MULTICARTEIRA - RESPONSABILIDADE LIMITAD</x:v>
      </x:c>
      <x:c r="C2205" s="190" t="n">
        <x:v>19670856.7</x:v>
      </x:c>
      <x:c r="D2205" s="168" t="str">
        <x:v>Kanastra</x:v>
      </x:c>
      <x:c r="E2205" s="168" t="str">
        <x:f>IFERROR(INDEX('Classif Gestoras'!$H$6:$H$462,MATCH(D2205,'Classif Gestoras'!$A$6:$A$462,0)),"Não classificada")</x:f>
        <x:v>Independente</x:v>
      </x:c>
      <x:c r="F2205" s="168" t="str">
        <x:v>Limine Trust Distribuidora de Titulos e Valores Mobiliá</x:v>
      </x:c>
      <x:c r="G2205" s="168" t="str">
        <x:v>LIMINE TRUST DISTRIBUIDORA DE TITULOS E VALORES MOBILIARIOS LTDA.</x:v>
      </x:c>
      <x:c r="H2205" s="168" t="str">
        <x:v>Financeiro</x:v>
      </x:c>
      <x:c r="I2205" s="168" t="str">
        <x:v>Multicarteira Financeiro</x:v>
      </x:c>
      <x:c r="J2205" s="168" t="str">
        <x:v>CI</x:v>
      </x:c>
      <x:c r="K2205" s="174" t="n">
        <x:v>2</x:v>
      </x:c>
      <x:c r="L2205" s="187" t="str">
        <x:v>Proxy multicedente/multissacado — revisar</x:v>
      </x:c>
    </x:row>
    <x:row r="2206">
      <x:c r="A2206" s="177" t="str">
        <x:v>50.309.743/0001-16</x:v>
      </x:c>
      <x:c r="B2206" s="168" t="str">
        <x:v>ARPEL CAPITAL FUNDO DE INVESTIMENTO EM DIREITOS CREDITORIOS</x:v>
      </x:c>
      <x:c r="C2206" s="190" t="n">
        <x:v>19666080.21</x:v>
      </x:c>
      <x:c r="D2206" s="168" t="str">
        <x:v>Redwood Asset Management</x:v>
      </x:c>
      <x:c r="E2206" s="168" t="str">
        <x:f>IFERROR(INDEX('Classif Gestoras'!$H$6:$H$462,MATCH(D2206,'Classif Gestoras'!$A$6:$A$462,0)),"Não classificada")</x:f>
        <x:v>Independente</x:v>
      </x:c>
      <x:c r="F2206" s="168" t="str">
        <x:v>PLANNER CV</x:v>
      </x:c>
      <x:c r="G2206" s="168" t="str">
        <x:v>PLANNER CORRETORA DE VALORES S.A.</x:v>
      </x:c>
      <x:c r="H2206" s="168" t="str">
        <x:v>Outros</x:v>
      </x:c>
      <x:c r="I2206" s="168" t="str">
        <x:v>Multicarteira Outros</x:v>
      </x:c>
      <x:c r="J2206" s="168" t="str">
        <x:v>CI</x:v>
      </x:c>
      <x:c r="K2206" s="174" t="n">
        <x:v>16</x:v>
      </x:c>
      <x:c r="L2206" s="187" t="str">
        <x:v>Proxy multicedente/multissacado — revisar</x:v>
      </x:c>
    </x:row>
    <x:row r="2207">
      <x:c r="A2207" s="177" t="str">
        <x:v>65.095.860/0001-00</x:v>
      </x:c>
      <x:c r="B2207" s="168" t="str">
        <x:v>VICENZA FUNDO DE INVESTIMENTO EM DIREITOS CREDITÓRIOS</x:v>
      </x:c>
      <x:c r="C2207" s="190" t="n">
        <x:v>19643289.77</x:v>
      </x:c>
      <x:c r="D2207" s="168" t="str">
        <x:v>Multiplica Capital</x:v>
      </x:c>
      <x:c r="E2207" s="168" t="str">
        <x:f>IFERROR(INDEX('Classif Gestoras'!$H$6:$H$462,MATCH(D2207,'Classif Gestoras'!$A$6:$A$462,0)),"Não classificada")</x:f>
        <x:v>Independente</x:v>
      </x:c>
      <x:c r="F2207" s="168" t="str">
        <x:v>PLANNER CV</x:v>
      </x:c>
      <x:c r="G2207" s="168" t="str">
        <x:v>PLANNER CORRETORA DE VALORES S.A.</x:v>
      </x:c>
      <x:c r="H2207" s="168" t="str">
        <x:v>Outros</x:v>
      </x:c>
      <x:c r="I2207" s="168" t="str">
        <x:v>Multicarteira Outros</x:v>
      </x:c>
      <x:c r="J2207" s="168" t="str">
        <x:v>CI</x:v>
      </x:c>
      <x:c r="K2207" s="174" t="n">
        <x:v>1</x:v>
      </x:c>
      <x:c r="L2207" s="187" t="str">
        <x:v>Proxy multicedente/multissacado — revisar</x:v>
      </x:c>
    </x:row>
    <x:row r="2208">
      <x:c r="A2208" s="177" t="str">
        <x:v>27.771.613/0001-89</x:v>
      </x:c>
      <x:c r="B2208" s="168" t="str">
        <x:v>CONQUEST BRAZIL FUNDO DE INVESTIMENTO EM DIREITOS CREDITORIOS MULTISSETORIAL</x:v>
      </x:c>
      <x:c r="C2208" s="190" t="n">
        <x:v>19639602.99</x:v>
      </x:c>
      <x:c r="D2208" s="168" t="str">
        <x:v>OURO PRETO INVESTIMENTOS</x:v>
      </x:c>
      <x:c r="E2208" s="168" t="str">
        <x:f>IFERROR(INDEX('Classif Gestoras'!$H$6:$H$462,MATCH(D2208,'Classif Gestoras'!$A$6:$A$462,0)),"Não classificada")</x:f>
        <x:v>Independente</x:v>
      </x:c>
      <x:c r="F2208" s="168" t="str">
        <x:v>Singulare</x:v>
      </x:c>
      <x:c r="G2208" s="168" t="str">
        <x:v>QI CORRETORA DE TÍTULOS E VALORES MOBILIÁRIOS S.A.</x:v>
      </x:c>
      <x:c r="H2208" s="168" t="str">
        <x:v>Fomento Mercantil</x:v>
      </x:c>
      <x:c r="I2208" s="168" t="str">
        <x:v>Fomento Mercantil</x:v>
      </x:c>
      <x:c r="J2208" s="168" t="str">
        <x:v>CI</x:v>
      </x:c>
      <x:c r="K2208" s="174" t="n">
        <x:v>2</x:v>
      </x:c>
      <x:c r="L2208" s="187" t="str">
        <x:v>Não classificado</x:v>
      </x:c>
    </x:row>
    <x:row r="2209">
      <x:c r="A2209" s="177" t="str">
        <x:v>27.151.223/0001-06</x:v>
      </x:c>
      <x:c r="B2209" s="168" t="str">
        <x:v>CNPJ 27151223000106</x:v>
      </x:c>
      <x:c r="C2209" s="190" t="n">
        <x:v>19625937.98</x:v>
      </x:c>
      <x:c r="D2209" s="168" t="str">
        <x:v>ANGÁ ASSET MANAGEMENT</x:v>
      </x:c>
      <x:c r="E2209" s="168" t="str">
        <x:f>IFERROR(INDEX('Classif Gestoras'!$H$6:$H$462,MATCH(D2209,'Classif Gestoras'!$A$6:$A$462,0)),"Não classificada")</x:f>
        <x:v>Independente</x:v>
      </x:c>
      <x:c r="F2209" s="168" t="str">
        <x:v>BTG Pactual Servicos Financeiros S/A DTVM</x:v>
      </x:c>
      <x:c r="G2209" s="168" t="str">
        <x:v>Não identificado</x:v>
      </x:c>
      <x:c r="H2209" s="168" t="str">
        <x:v>Financeiro</x:v>
      </x:c>
      <x:c r="I2209" s="168" t="str">
        <x:v>Crédito Consignado</x:v>
      </x:c>
      <x:c r="J2209" s="168" t="str">
        <x:v>CI</x:v>
      </x:c>
      <x:c r="K2209" s="174"/>
      <x:c r="L2209" s="187" t="str">
        <x:v>Não classificado</x:v>
      </x:c>
    </x:row>
    <x:row r="2210">
      <x:c r="A2210" s="177" t="str">
        <x:v>32.273.345/0001-05</x:v>
      </x:c>
      <x:c r="B2210" s="168" t="str">
        <x:v>PSS ABSOLUTO FUNDO DE INVESTIMENTO EM DIREITOS CREDITÓRIOS NÃO PADRONIZADO</x:v>
      </x:c>
      <x:c r="C2210" s="190" t="n">
        <x:v>19570664.34</x:v>
      </x:c>
      <x:c r="D2210" s="168" t="str">
        <x:v>PRISMA PRIVATE CREDIT</x:v>
      </x:c>
      <x:c r="E2210" s="168" t="str">
        <x:f>IFERROR(INDEX('Classif Gestoras'!$H$6:$H$462,MATCH(D2210,'Classif Gestoras'!$A$6:$A$462,0)),"Não classificada")</x:f>
        <x:v>Independente</x:v>
      </x:c>
      <x:c r="F2210" s="168" t="str">
        <x:v>Singulare</x:v>
      </x:c>
      <x:c r="G2210" s="168" t="str">
        <x:v>QI CORRETORA DE TÍTULOS E VALORES MOBILIÁRIOS S.A.</x:v>
      </x:c>
      <x:c r="H2210" s="168" t="str">
        <x:v>Outros</x:v>
      </x:c>
      <x:c r="I2210" s="168" t="str">
        <x:v>Multicarteira Outros</x:v>
      </x:c>
      <x:c r="J2210" s="168" t="str">
        <x:v>CI</x:v>
      </x:c>
      <x:c r="K2210" s="174" t="n">
        <x:v>3</x:v>
      </x:c>
      <x:c r="L2210" s="187" t="str">
        <x:v>Proxy multicedente/multissacado — revisar</x:v>
      </x:c>
    </x:row>
    <x:row r="2211">
      <x:c r="A2211" s="177" t="str">
        <x:v>54.229.137/0001-41</x:v>
      </x:c>
      <x:c r="B2211" s="168" t="str">
        <x:v>SENA FUNDO DE INVESTIMENTO EM DIREITOS CREDITÓRIOS - RESPONSABILIDADE LIMITADA</x:v>
      </x:c>
      <x:c r="C2211" s="190" t="n">
        <x:v>19567950.68</x:v>
      </x:c>
      <x:c r="D2211" s="168" t="str">
        <x:v>ANTHARUS GESTORA DE RECURSOS LTDA</x:v>
      </x:c>
      <x:c r="E2211" s="168" t="str">
        <x:f>IFERROR(INDEX('Classif Gestoras'!$H$6:$H$462,MATCH(D2211,'Classif Gestoras'!$A$6:$A$462,0)),"Não classificada")</x:f>
        <x:v>Independente</x:v>
      </x:c>
      <x:c r="F2211" s="168" t="str">
        <x:v>HEMERA DTVM</x:v>
      </x:c>
      <x:c r="G2211" s="168" t="str">
        <x:v>HEMERA DISTRIBUIDORA DE TITULOS E VALORES MOBILIARIOS LTDA</x:v>
      </x:c>
      <x:c r="H2211" s="168" t="str">
        <x:v>Outros</x:v>
      </x:c>
      <x:c r="I2211" s="168" t="str">
        <x:v>Multicarteira Outros</x:v>
      </x:c>
      <x:c r="J2211" s="168" t="str">
        <x:v>CI</x:v>
      </x:c>
      <x:c r="K2211" s="174" t="n">
        <x:v>2</x:v>
      </x:c>
      <x:c r="L2211" s="187" t="str">
        <x:v>Proxy multicedente/multissacado — revisar</x:v>
      </x:c>
    </x:row>
    <x:row r="2212">
      <x:c r="A2212" s="177" t="str">
        <x:v>49.466.341/0001-46</x:v>
      </x:c>
      <x:c r="B2212" s="168" t="str">
        <x:v>FIPAN FUNDO DE INVESTIMENTO EM DIREITOS CREDITÓRIOS MULTISSEGMENTOS</x:v>
      </x:c>
      <x:c r="C2212" s="190" t="n">
        <x:v>19495418.42</x:v>
      </x:c>
      <x:c r="D2212" s="168" t="str">
        <x:v>Petra Capital</x:v>
      </x:c>
      <x:c r="E2212" s="168" t="str">
        <x:f>IFERROR(INDEX('Classif Gestoras'!$H$6:$H$462,MATCH(D2212,'Classif Gestoras'!$A$6:$A$462,0)),"Não classificada")</x:f>
        <x:v>Independente</x:v>
      </x:c>
      <x:c r="F2212" s="168" t="str">
        <x:v>Finaxis Corretora de Títulos e Valores Mobiliários S.A.</x:v>
      </x:c>
      <x:c r="G2212" s="168" t="str">
        <x:v>BANCO FINAXIS S.A.</x:v>
      </x:c>
      <x:c r="H2212" s="168" t="str">
        <x:v>Agro, Indústria e Comércio</x:v>
      </x:c>
      <x:c r="I2212" s="168" t="str">
        <x:v>Multicarteira Agro, Indústria e Comércio</x:v>
      </x:c>
      <x:c r="J2212" s="168" t="str">
        <x:v>CI</x:v>
      </x:c>
      <x:c r="K2212" s="174" t="n">
        <x:v>1</x:v>
      </x:c>
      <x:c r="L2212" s="187" t="str">
        <x:v>Proxy multicedente/multissacado — revisar</x:v>
      </x:c>
    </x:row>
    <x:row r="2213">
      <x:c r="A2213" s="177" t="str">
        <x:v>60.413.367/0001-69</x:v>
      </x:c>
      <x:c r="B2213" s="168" t="str">
        <x:v>PARUSIA FUNDO DE INVESTIMENTO EM DIREITOS CREDITÓRIOS RESPONSABILIDADE LIMITADA</x:v>
      </x:c>
      <x:c r="C2213" s="190" t="n">
        <x:v>19492132.42</x:v>
      </x:c>
      <x:c r="D2213" s="168" t="str">
        <x:v>Tyr Gestao de Recursos Ltda</x:v>
      </x:c>
      <x:c r="E2213" s="168" t="str">
        <x:f>IFERROR(INDEX('Classif Gestoras'!$H$6:$H$462,MATCH(D2213,'Classif Gestoras'!$A$6:$A$462,0)),"Não classificada")</x:f>
        <x:v>Independente</x:v>
      </x:c>
      <x:c r="F2213" s="168" t="str">
        <x:v>ID Corretora de Títulos e Valores Mobiliários S.A.</x:v>
      </x:c>
      <x:c r="G2213" s="168" t="str">
        <x:v>ID CORRETORA DE TITULOS E VALORES MOBILIARIOS S.A.</x:v>
      </x:c>
      <x:c r="H2213" s="168" t="str">
        <x:v>Outros</x:v>
      </x:c>
      <x:c r="I2213" s="168" t="str">
        <x:v>Multicarteira Outros</x:v>
      </x:c>
      <x:c r="J2213" s="168" t="str">
        <x:v>CI</x:v>
      </x:c>
      <x:c r="K2213" s="174" t="n">
        <x:v>18</x:v>
      </x:c>
      <x:c r="L2213" s="187" t="str">
        <x:v>Proxy multicedente/multissacado — revisar</x:v>
      </x:c>
    </x:row>
    <x:row r="2214">
      <x:c r="A2214" s="177" t="str">
        <x:v>31.368.600/0001-30</x:v>
      </x:c>
      <x:c r="B2214" s="168" t="str">
        <x:v>DSX FUNDO DE INVESTIMENTO EM DIREITOS CREDITÓRIOS</x:v>
      </x:c>
      <x:c r="C2214" s="190" t="n">
        <x:v>19463914.89</x:v>
      </x:c>
      <x:c r="D2214" s="168" t="str">
        <x:v>TERCON ASSET MANAGEMENT</x:v>
      </x:c>
      <x:c r="E2214" s="168" t="str">
        <x:f>IFERROR(INDEX('Classif Gestoras'!$H$6:$H$462,MATCH(D2214,'Classif Gestoras'!$A$6:$A$462,0)),"Não classificada")</x:f>
        <x:v>Independente</x:v>
      </x:c>
      <x:c r="F2214" s="168" t="str">
        <x:v>Singulare</x:v>
      </x:c>
      <x:c r="G2214" s="168" t="str">
        <x:v>QI CORRETORA DE TÍTULOS E VALORES MOBILIÁRIOS S.A.</x:v>
      </x:c>
      <x:c r="H2214" s="168" t="str">
        <x:v>Fomento Mercantil</x:v>
      </x:c>
      <x:c r="I2214" s="168" t="str">
        <x:v>Fomento Mercantil</x:v>
      </x:c>
      <x:c r="J2214" s="168" t="str">
        <x:v>CI</x:v>
      </x:c>
      <x:c r="K2214" s="174" t="n">
        <x:v>6</x:v>
      </x:c>
      <x:c r="L2214" s="187" t="str">
        <x:v>Não classificado</x:v>
      </x:c>
    </x:row>
    <x:row r="2215">
      <x:c r="A2215" s="177" t="str">
        <x:v>61.641.786/0001-10</x:v>
      </x:c>
      <x:c r="B2215" s="168" t="str">
        <x:v>VETOR FUNDO DE INVESTIMENTO EM DIREITOS CREDITÓRIOS DE RESPONSABILIDADE LIMITADA</x:v>
      </x:c>
      <x:c r="C2215" s="190" t="n">
        <x:v>19397996.43</x:v>
      </x:c>
      <x:c r="D2215" s="168" t="str">
        <x:v>Multinvest Capital</x:v>
      </x:c>
      <x:c r="E2215" s="168" t="str">
        <x:f>IFERROR(INDEX('Classif Gestoras'!$H$6:$H$462,MATCH(D2215,'Classif Gestoras'!$A$6:$A$462,0)),"Não classificada")</x:f>
        <x:v>Independente</x:v>
      </x:c>
      <x:c r="F2215" s="168" t="str">
        <x:v>BANCO DAYCOVAL S/A</x:v>
      </x:c>
      <x:c r="G2215" s="168" t="str">
        <x:v>BANCO DAYCOVAL S.A.</x:v>
      </x:c>
      <x:c r="H2215" s="168" t="str">
        <x:v>Outros</x:v>
      </x:c>
      <x:c r="I2215" s="168" t="str">
        <x:v>Multicarteira Outros</x:v>
      </x:c>
      <x:c r="J2215" s="168" t="str">
        <x:v>CI</x:v>
      </x:c>
      <x:c r="K2215" s="174" t="n">
        <x:v>3</x:v>
      </x:c>
      <x:c r="L2215" s="187" t="str">
        <x:v>Proxy multicedente/multissacado — revisar</x:v>
      </x:c>
    </x:row>
    <x:row r="2216">
      <x:c r="A2216" s="177" t="str">
        <x:v>57.658.801/0001-66</x:v>
      </x:c>
      <x:c r="B2216" s="168" t="str">
        <x:v>SARFATY INSURED CREDIT FUNDO DE INVESTIMENTO EM DIREITOS CREDITÓRIOS RESPONSABILIDADE LIMITADA</x:v>
      </x:c>
      <x:c r="C2216" s="190" t="n">
        <x:v>19197061.33</x:v>
      </x:c>
      <x:c r="D2216" s="168" t="str">
        <x:v>SARFATY ASSET</x:v>
      </x:c>
      <x:c r="E2216" s="168" t="str">
        <x:f>IFERROR(INDEX('Classif Gestoras'!$H$6:$H$462,MATCH(D2216,'Classif Gestoras'!$A$6:$A$462,0)),"Não classificada")</x:f>
        <x:v>Independente</x:v>
      </x:c>
      <x:c r="F2216" s="168" t="str">
        <x:v>HEMERA DTVM</x:v>
      </x:c>
      <x:c r="G2216" s="168" t="str">
        <x:v>HEMERA DISTRIBUIDORA DE TITULOS E VALORES MOBILIARIOS LTDA</x:v>
      </x:c>
      <x:c r="H2216" s="168" t="str">
        <x:v>Fomento Mercantil</x:v>
      </x:c>
      <x:c r="I2216" s="168" t="str">
        <x:v>Fomento Mercantil</x:v>
      </x:c>
      <x:c r="J2216" s="168" t="str">
        <x:v>CI</x:v>
      </x:c>
      <x:c r="K2216" s="174" t="n">
        <x:v>12</x:v>
      </x:c>
      <x:c r="L2216" s="187" t="str">
        <x:v>Não classificado</x:v>
      </x:c>
    </x:row>
    <x:row r="2217">
      <x:c r="A2217" s="177" t="str">
        <x:v>42.582.289/0001-44</x:v>
      </x:c>
      <x:c r="B2217" s="168" t="str">
        <x:v>ABC FUNDO DE INVESTIMENTO EM DIREITOS CREDITÓRIOS</x:v>
      </x:c>
      <x:c r="C2217" s="190" t="n">
        <x:v>19161848.36</x:v>
      </x:c>
      <x:c r="D2217" s="168" t="str">
        <x:v>TERCON ASSET MANAGEMENT</x:v>
      </x:c>
      <x:c r="E2217" s="168" t="str">
        <x:f>IFERROR(INDEX('Classif Gestoras'!$H$6:$H$462,MATCH(D2217,'Classif Gestoras'!$A$6:$A$462,0)),"Não classificada")</x:f>
        <x:v>Independente</x:v>
      </x:c>
      <x:c r="F2217" s="168" t="str">
        <x:v>Singulare</x:v>
      </x:c>
      <x:c r="G2217" s="168" t="str">
        <x:v>LIMINE TRUST DISTRIBUIDORA DE TITULOS E VALORES MOBILIARIOS LTDA.</x:v>
      </x:c>
      <x:c r="H2217" s="168" t="str">
        <x:v>Fomento Mercantil</x:v>
      </x:c>
      <x:c r="I2217" s="168" t="str">
        <x:v>Fomento Mercantil</x:v>
      </x:c>
      <x:c r="J2217" s="168" t="str">
        <x:v>CI</x:v>
      </x:c>
      <x:c r="K2217" s="174" t="n">
        <x:v>3</x:v>
      </x:c>
      <x:c r="L2217" s="187" t="str">
        <x:v>Não classificado</x:v>
      </x:c>
    </x:row>
    <x:row r="2218">
      <x:c r="A2218" s="177" t="str">
        <x:v>26.648.789/0001-85</x:v>
      </x:c>
      <x:c r="B2218" s="168" t="str">
        <x:v>PROJEÇÃO FUNDO DE INVESTIMENTO EM DIREITOS CREDITÓRIOS MULTISSETORIAL LP</x:v>
      </x:c>
      <x:c r="C2218" s="190" t="n">
        <x:v>19151421.5</x:v>
      </x:c>
      <x:c r="D2218" s="168" t="str">
        <x:v>TERCON ASSET MANAGEMENT</x:v>
      </x:c>
      <x:c r="E2218" s="168" t="str">
        <x:f>IFERROR(INDEX('Classif Gestoras'!$H$6:$H$462,MATCH(D2218,'Classif Gestoras'!$A$6:$A$462,0)),"Não classificada")</x:f>
        <x:v>Independente</x:v>
      </x:c>
      <x:c r="F2218" s="168" t="str">
        <x:v>Singulare</x:v>
      </x:c>
      <x:c r="G2218" s="168" t="str">
        <x:v>QI CORRETORA DE TÍTULOS E VALORES MOBILIÁRIOS S.A.</x:v>
      </x:c>
      <x:c r="H2218" s="168" t="str">
        <x:v>Fomento Mercantil</x:v>
      </x:c>
      <x:c r="I2218" s="168" t="str">
        <x:v>Fomento Mercantil</x:v>
      </x:c>
      <x:c r="J2218" s="168" t="str">
        <x:v>CI</x:v>
      </x:c>
      <x:c r="K2218" s="174" t="n">
        <x:v>3</x:v>
      </x:c>
      <x:c r="L2218" s="187" t="str">
        <x:v>Não classificado</x:v>
      </x:c>
    </x:row>
    <x:row r="2219">
      <x:c r="A2219" s="177" t="str">
        <x:v>64.096.545/0001-26</x:v>
      </x:c>
      <x:c r="B2219" s="168" t="str">
        <x:v>FEX AGRO FIDC RESPONSABILIDADE LIMITADA</x:v>
      </x:c>
      <x:c r="C2219" s="190" t="n">
        <x:v>19073860.16</x:v>
      </x:c>
      <x:c r="D2219" s="168" t="str">
        <x:v>PIER GESTAO DE RECURSOS FINANCEIROS LTDA</x:v>
      </x:c>
      <x:c r="E2219" s="168" t="str">
        <x:f>IFERROR(INDEX('Classif Gestoras'!$H$6:$H$462,MATCH(D2219,'Classif Gestoras'!$A$6:$A$462,0)),"Não classificada")</x:f>
        <x:v>Independente</x:v>
      </x:c>
      <x:c r="F2219" s="168" t="str">
        <x:v>VÓRTX DTVM</x:v>
      </x:c>
      <x:c r="G2219" s="168" t="str">
        <x:v>VORTX DISTRIBUIDORA DE TITULOS E VALORES MOBILIARIOS LTDA.</x:v>
      </x:c>
      <x:c r="H2219" s="168" t="str">
        <x:v>Agro, Indústria e Comércio</x:v>
      </x:c>
      <x:c r="I2219" s="168" t="str">
        <x:v>Agronegócio</x:v>
      </x:c>
      <x:c r="J2219" s="168" t="str">
        <x:v>CI</x:v>
      </x:c>
      <x:c r="K2219" s="174" t="n">
        <x:v>6</x:v>
      </x:c>
      <x:c r="L2219" s="187" t="str">
        <x:v>Não classificado</x:v>
      </x:c>
    </x:row>
    <x:row r="2220">
      <x:c r="A2220" s="177" t="str">
        <x:v>61.289.537/0001-08</x:v>
      </x:c>
      <x:c r="B2220" s="168" t="str">
        <x:v>P12 FUNDO DE INVESTIMENTO EM DIREITOS CREDITÓRIOS</x:v>
      </x:c>
      <x:c r="C2220" s="190" t="n">
        <x:v>19057357.91</x:v>
      </x:c>
      <x:c r="D2220" s="168" t="str">
        <x:v>REAG LEGAL CLAIMS GESTÃO DE ATIVOS</x:v>
      </x:c>
      <x:c r="E2220" s="168" t="str">
        <x:f>IFERROR(INDEX('Classif Gestoras'!$H$6:$H$462,MATCH(D2220,'Classif Gestoras'!$A$6:$A$462,0)),"Não classificada")</x:f>
        <x:v>Independente</x:v>
      </x:c>
      <x:c r="F2220" s="168" t="str">
        <x:v>PLANNER CV</x:v>
      </x:c>
      <x:c r="G2220" s="168" t="str">
        <x:v>PLANNER CORRETORA DE VALORES S.A.</x:v>
      </x:c>
      <x:c r="H2220" s="168" t="str">
        <x:v>Outros</x:v>
      </x:c>
      <x:c r="I2220" s="168" t="str">
        <x:v>Multicarteira Outros</x:v>
      </x:c>
      <x:c r="J2220" s="168" t="str">
        <x:v>CI</x:v>
      </x:c>
      <x:c r="K2220" s="174" t="n">
        <x:v>2</x:v>
      </x:c>
      <x:c r="L2220" s="187" t="str">
        <x:v>Proxy multicedente/multissacado — revisar</x:v>
      </x:c>
    </x:row>
    <x:row r="2221">
      <x:c r="A2221" s="177" t="str">
        <x:v>61.306.033/0001-59</x:v>
      </x:c>
      <x:c r="B2221" s="168" t="str">
        <x:v>BAHREIN I FUNDO DE INVESTIMENTO EM DIREITOS CREDITORIOS</x:v>
      </x:c>
      <x:c r="C2221" s="190" t="n">
        <x:v>18992896.44</x:v>
      </x:c>
      <x:c r="D2221" s="168" t="str">
        <x:v>M8 Partners</x:v>
      </x:c>
      <x:c r="E2221" s="168" t="str">
        <x:f>IFERROR(INDEX('Classif Gestoras'!$H$6:$H$462,MATCH(D2221,'Classif Gestoras'!$A$6:$A$462,0)),"Não classificada")</x:f>
        <x:v>Independente</x:v>
      </x:c>
      <x:c r="F2221" s="168" t="str">
        <x:v>Singulare</x:v>
      </x:c>
      <x:c r="G2221" s="168" t="str">
        <x:v>QI CORRETORA DE TÍTULOS E VALORES MOBILIÁRIOS S.A.</x:v>
      </x:c>
      <x:c r="H2221" s="168" t="str">
        <x:v>Fomento Mercantil</x:v>
      </x:c>
      <x:c r="I2221" s="168" t="str">
        <x:v>Fomento Mercantil</x:v>
      </x:c>
      <x:c r="J2221" s="168" t="str">
        <x:v>CI</x:v>
      </x:c>
      <x:c r="K2221" s="174" t="n">
        <x:v>1</x:v>
      </x:c>
      <x:c r="L2221" s="187" t="str">
        <x:v>Não classificado</x:v>
      </x:c>
    </x:row>
    <x:row r="2222">
      <x:c r="A2222" s="177" t="str">
        <x:v>47.328.080/0001-72</x:v>
      </x:c>
      <x:c r="B2222" s="168" t="str">
        <x:v>AGROFUTURO FUNDO DE INVESTIMENTO EM DIREITOS CREDITÓRIOS MULTISSEGMENTOS</x:v>
      </x:c>
      <x:c r="C2222" s="190" t="n">
        <x:v>18984993.9</x:v>
      </x:c>
      <x:c r="D2222" s="168" t="str">
        <x:v>Petra Capital</x:v>
      </x:c>
      <x:c r="E2222" s="168" t="str">
        <x:f>IFERROR(INDEX('Classif Gestoras'!$H$6:$H$462,MATCH(D2222,'Classif Gestoras'!$A$6:$A$462,0)),"Não classificada")</x:f>
        <x:v>Independente</x:v>
      </x:c>
      <x:c r="F2222" s="168" t="str">
        <x:v>Finaxis Corretora de Títulos e Valores Mobiliários S.A.</x:v>
      </x:c>
      <x:c r="G2222" s="168" t="str">
        <x:v>BANCO FINAXIS S.A.</x:v>
      </x:c>
      <x:c r="H2222" s="168" t="str">
        <x:v>Outros</x:v>
      </x:c>
      <x:c r="I2222" s="168" t="str">
        <x:v>Multicarteira Outros</x:v>
      </x:c>
      <x:c r="J2222" s="168" t="str">
        <x:v>CI</x:v>
      </x:c>
      <x:c r="K2222" s="174" t="n">
        <x:v>3</x:v>
      </x:c>
      <x:c r="L2222" s="187" t="str">
        <x:v>Proxy multicedente/multissacado — revisar</x:v>
      </x:c>
    </x:row>
    <x:row r="2223">
      <x:c r="A2223" s="177" t="str">
        <x:v>42.265.317/0001-08</x:v>
      </x:c>
      <x:c r="B2223" s="168" t="str">
        <x:v>ATACADO FUNDO DE INVESTIMENTO EM DIREITOS CREDITÓRIOS</x:v>
      </x:c>
      <x:c r="C2223" s="190" t="n">
        <x:v>18972498.59</x:v>
      </x:c>
      <x:c r="D2223" s="168" t="str">
        <x:v>BURITI INVESTIMENTOS</x:v>
      </x:c>
      <x:c r="E2223" s="168" t="str">
        <x:f>IFERROR(INDEX('Classif Gestoras'!$H$6:$H$462,MATCH(D2223,'Classif Gestoras'!$A$6:$A$462,0)),"Não classificada")</x:f>
        <x:v>Independente</x:v>
      </x:c>
      <x:c r="F2223" s="168" t="str">
        <x:v>Singulare</x:v>
      </x:c>
      <x:c r="G2223" s="168" t="str">
        <x:v>QI CORRETORA DE TÍTULOS E VALORES MOBILIÁRIOS S.A.</x:v>
      </x:c>
      <x:c r="H2223" s="168" t="str">
        <x:v>Outros</x:v>
      </x:c>
      <x:c r="I2223" s="168" t="str">
        <x:v>Multicarteira Outros</x:v>
      </x:c>
      <x:c r="J2223" s="168" t="str">
        <x:v>CI</x:v>
      </x:c>
      <x:c r="K2223" s="174" t="n">
        <x:v>1</x:v>
      </x:c>
      <x:c r="L2223" s="187" t="str">
        <x:v>Proxy multicedente/multissacado — revisar</x:v>
      </x:c>
    </x:row>
    <x:row r="2224">
      <x:c r="A2224" s="177" t="str">
        <x:v>50.714.026/0001-70</x:v>
      </x:c>
      <x:c r="B2224" s="168" t="str">
        <x:v>1618 LEGAL CLAIMS FUNDO DE INVESTIMENTO EM DIREITOS CREDITÓRIOS</x:v>
      </x:c>
      <x:c r="C2224" s="190" t="n">
        <x:v>18925146.9</x:v>
      </x:c>
      <x:c r="D2224" s="168" t="str">
        <x:v>1618 INVESTIMENTOS</x:v>
      </x:c>
      <x:c r="E2224" s="168" t="str">
        <x:f>IFERROR(INDEX('Classif Gestoras'!$H$6:$H$462,MATCH(D2224,'Classif Gestoras'!$A$6:$A$462,0)),"Não classificada")</x:f>
        <x:v>Independente</x:v>
      </x:c>
      <x:c r="F2224" s="168" t="str">
        <x:v>PLANNER CV</x:v>
      </x:c>
      <x:c r="G2224" s="168" t="str">
        <x:v>PLANNER CORRETORA DE VALORES S.A.</x:v>
      </x:c>
      <x:c r="H2224" s="168" t="str">
        <x:v>Outros</x:v>
      </x:c>
      <x:c r="I2224" s="168" t="str">
        <x:v>Poder Público</x:v>
      </x:c>
      <x:c r="J2224" s="168" t="str">
        <x:v>CI</x:v>
      </x:c>
      <x:c r="K2224" s="174" t="n">
        <x:v>60</x:v>
      </x:c>
      <x:c r="L2224" s="187" t="str">
        <x:v>Não classificado</x:v>
      </x:c>
    </x:row>
    <x:row r="2225">
      <x:c r="A2225" s="177" t="str">
        <x:v>34.737.918/0001-30</x:v>
      </x:c>
      <x:c r="B2225" s="168" t="str">
        <x:v>CNPJ 34737918000130</x:v>
      </x:c>
      <x:c r="C2225" s="190" t="n">
        <x:v>18922014.82</x:v>
      </x:c>
      <x:c r="D2225" s="168" t="str">
        <x:v>Emerald Gestão de Investimento</x:v>
      </x:c>
      <x:c r="E2225" s="168" t="str">
        <x:f>IFERROR(INDEX('Classif Gestoras'!$H$6:$H$462,MATCH(D2225,'Classif Gestoras'!$A$6:$A$462,0)),"Não classificada")</x:f>
        <x:v>Independente</x:v>
      </x:c>
      <x:c r="F2225" s="168" t="str">
        <x:v>BANCO J. SAFRA S/A</x:v>
      </x:c>
      <x:c r="G2225" s="168" t="str">
        <x:v>Não identificado</x:v>
      </x:c>
      <x:c r="H2225" s="168" t="str">
        <x:v>Outros</x:v>
      </x:c>
      <x:c r="I2225" s="168" t="str">
        <x:v>Poder Público</x:v>
      </x:c>
      <x:c r="J2225" s="168" t="str">
        <x:v>CI</x:v>
      </x:c>
      <x:c r="K2225" s="174"/>
      <x:c r="L2225" s="187" t="str">
        <x:v>Não classificado</x:v>
      </x:c>
    </x:row>
    <x:row r="2226">
      <x:c r="A2226" s="177" t="str">
        <x:v>26.689.672/0001-40</x:v>
      </x:c>
      <x:c r="B2226" s="168" t="str">
        <x:v>AFARE I - FUNDO DE INVESTIMENTO EM DIREITOS CREDITORIOS</x:v>
      </x:c>
      <x:c r="C2226" s="190" t="n">
        <x:v>18890538.6</x:v>
      </x:c>
      <x:c r="D2226" s="168" t="str">
        <x:v>Libertas Asset</x:v>
      </x:c>
      <x:c r="E2226" s="168" t="str">
        <x:f>IFERROR(INDEX('Classif Gestoras'!$H$6:$H$462,MATCH(D2226,'Classif Gestoras'!$A$6:$A$462,0)),"Não classificada")</x:f>
        <x:v>Independente</x:v>
      </x:c>
      <x:c r="F2226" s="168" t="str">
        <x:v>ACTUAL DTVM</x:v>
      </x:c>
      <x:c r="G2226" s="168" t="str">
        <x:v>LASTRO RDV DTVM LTDA</x:v>
      </x:c>
      <x:c r="H2226" s="168" t="str">
        <x:v>Outros</x:v>
      </x:c>
      <x:c r="I2226" s="168" t="str">
        <x:v>Multicarteira Outros</x:v>
      </x:c>
      <x:c r="J2226" s="168" t="str">
        <x:v>CI</x:v>
      </x:c>
      <x:c r="K2226" s="174" t="n">
        <x:v>1</x:v>
      </x:c>
      <x:c r="L2226" s="187" t="str">
        <x:v>Proxy multicedente/multissacado — revisar</x:v>
      </x:c>
    </x:row>
    <x:row r="2227">
      <x:c r="A2227" s="177" t="str">
        <x:v>11.813.230/0001-96</x:v>
      </x:c>
      <x:c r="B2227" s="168" t="str">
        <x:v>MA MÁQUINAS FUNDO DE INVESTIMENTO EM DIREITOS CREDITÓRIOS SEGMENTO ECONÔMICO DO AGRONEGÓCIO</x:v>
      </x:c>
      <x:c r="C2227" s="190" t="n">
        <x:v>18848890.2</x:v>
      </x:c>
      <x:c r="D2227" s="168" t="str">
        <x:v>Petra Capital</x:v>
      </x:c>
      <x:c r="E2227" s="168" t="str">
        <x:f>IFERROR(INDEX('Classif Gestoras'!$H$6:$H$462,MATCH(D2227,'Classif Gestoras'!$A$6:$A$462,0)),"Não classificada")</x:f>
        <x:v>Independente</x:v>
      </x:c>
      <x:c r="F2227" s="168" t="str">
        <x:v>Finaxis Corretora de Títulos e Valores Mobiliários S.A.</x:v>
      </x:c>
      <x:c r="G2227" s="168" t="str">
        <x:v>BANCO FINAXIS S.A.</x:v>
      </x:c>
      <x:c r="H2227" s="168" t="str">
        <x:v>Outros</x:v>
      </x:c>
      <x:c r="I2227" s="168" t="str">
        <x:v>Multicarteira Outros</x:v>
      </x:c>
      <x:c r="J2227" s="168" t="str">
        <x:v>CI</x:v>
      </x:c>
      <x:c r="K2227" s="174" t="n">
        <x:v>1</x:v>
      </x:c>
      <x:c r="L2227" s="187" t="str">
        <x:v>Proxy multicedente/multissacado — revisar</x:v>
      </x:c>
    </x:row>
    <x:row r="2228">
      <x:c r="A2228" s="177" t="str">
        <x:v>28.296.597/0001-82</x:v>
      </x:c>
      <x:c r="B2228" s="168" t="str">
        <x:v>HT3 FUNDO DE INVESTIMENTO EM DIREITOS CREDITÓRIOS RESPONSABILIDADE LIMITADA</x:v>
      </x:c>
      <x:c r="C2228" s="190" t="n">
        <x:v>18833101.6</x:v>
      </x:c>
      <x:c r="D2228" s="168" t="str">
        <x:v>Bless Capital Gestora de Recursos Ltda.</x:v>
      </x:c>
      <x:c r="E2228" s="168" t="str">
        <x:f>IFERROR(INDEX('Classif Gestoras'!$H$6:$H$462,MATCH(D2228,'Classif Gestoras'!$A$6:$A$462,0)),"Não classificada")</x:f>
        <x:v>Independente</x:v>
      </x:c>
      <x:c r="F2228" s="168" t="str">
        <x:v>ID Corretora de Títulos e Valores Mobiliários S.A.</x:v>
      </x:c>
      <x:c r="G2228" s="168" t="str">
        <x:v>ID CORRETORA DE TITULOS E VALORES MOBILIARIOS S.A.</x:v>
      </x:c>
      <x:c r="H2228" s="168" t="str">
        <x:v>Outros</x:v>
      </x:c>
      <x:c r="I2228" s="168" t="str">
        <x:v>Multicarteira Outros</x:v>
      </x:c>
      <x:c r="J2228" s="168" t="str">
        <x:v>CI</x:v>
      </x:c>
      <x:c r="K2228" s="174" t="n">
        <x:v>3</x:v>
      </x:c>
      <x:c r="L2228" s="187" t="str">
        <x:v>Proxy multicedente/multissacado — revisar</x:v>
      </x:c>
    </x:row>
    <x:row r="2229">
      <x:c r="A2229" s="177" t="str">
        <x:v>44.909.456/0001-44</x:v>
      </x:c>
      <x:c r="B2229" s="168" t="str">
        <x:v>SOLFÁCIL IV FUNDO DE INVESTIMENTO EM DIREITOS CREDITÓRIOS</x:v>
      </x:c>
      <x:c r="C2229" s="190" t="n">
        <x:v>18823286.01</x:v>
      </x:c>
      <x:c r="D2229" s="168" t="str">
        <x:v>GENIAL GESTÃO LTDA.</x:v>
      </x:c>
      <x:c r="E2229" s="168" t="str">
        <x:f>IFERROR(INDEX('Classif Gestoras'!$H$6:$H$462,MATCH(D2229,'Classif Gestoras'!$A$6:$A$462,0)),"Não classificada")</x:f>
        <x:v>Ligada a banco</x:v>
      </x:c>
      <x:c r="F2229" s="168" t="str">
        <x:v>Banco Genial S.A.</x:v>
      </x:c>
      <x:c r="G2229" s="168" t="str">
        <x:v>BANCO GENIAL S.A.</x:v>
      </x:c>
      <x:c r="H2229" s="168" t="str">
        <x:v>Financeiro</x:v>
      </x:c>
      <x:c r="I2229" s="168" t="str">
        <x:v>Crédito Pessoal</x:v>
      </x:c>
      <x:c r="J2229" s="168" t="str">
        <x:v>CI</x:v>
      </x:c>
      <x:c r="K2229" s="174" t="n">
        <x:v>1</x:v>
      </x:c>
      <x:c r="L2229" s="187" t="str">
        <x:v>Não classificado</x:v>
      </x:c>
    </x:row>
    <x:row r="2230">
      <x:c r="A2230" s="177" t="str">
        <x:v>20.997.814/0001-50</x:v>
      </x:c>
      <x:c r="B2230" s="168" t="str">
        <x:v>SPECIAL SITUATIONS FUNDO DE INVESTIMENTO EM DIREITOS CREDITÓRIOS</x:v>
      </x:c>
      <x:c r="C2230" s="190" t="n">
        <x:v>18791796.79</x:v>
      </x:c>
      <x:c r="D2230" s="168" t="str">
        <x:v>ROOT CAPITAL</x:v>
      </x:c>
      <x:c r="E2230" s="168" t="str">
        <x:f>IFERROR(INDEX('Classif Gestoras'!$H$6:$H$462,MATCH(D2230,'Classif Gestoras'!$A$6:$A$462,0)),"Não classificada")</x:f>
        <x:v>Independente</x:v>
      </x:c>
      <x:c r="F2230" s="168" t="str">
        <x:v>BNY MELLON SERVICOS</x:v>
      </x:c>
      <x:c r="G2230" s="168" t="str">
        <x:v>BNY MELLON BANCO S.A.</x:v>
      </x:c>
      <x:c r="H2230" s="168" t="str">
        <x:v>Outros</x:v>
      </x:c>
      <x:c r="I2230" s="168" t="str">
        <x:v>Recuperação</x:v>
      </x:c>
      <x:c r="J2230" s="168" t="str">
        <x:v>CIPC</x:v>
      </x:c>
      <x:c r="K2230" s="174" t="n">
        <x:v>3</x:v>
      </x:c>
      <x:c r="L2230" s="187" t="str">
        <x:v>Não classificado</x:v>
      </x:c>
    </x:row>
    <x:row r="2231">
      <x:c r="A2231" s="177" t="str">
        <x:v>44.173.399/0001-88</x:v>
      </x:c>
      <x:c r="B2231" s="168" t="str">
        <x:v>H2 ISP FUNDO DE INVESTIMENTO EM DIREITOS CREDITÓRIOS</x:v>
      </x:c>
      <x:c r="C2231" s="190" t="n">
        <x:v>18749749.06</x:v>
      </x:c>
      <x:c r="D2231" s="168" t="str">
        <x:v>H2 ASSET MANAGEMENT LTDA</x:v>
      </x:c>
      <x:c r="E2231" s="168" t="str">
        <x:f>IFERROR(INDEX('Classif Gestoras'!$H$6:$H$462,MATCH(D2231,'Classif Gestoras'!$A$6:$A$462,0)),"Não classificada")</x:f>
        <x:v>Independente</x:v>
      </x:c>
      <x:c r="F2231" s="168" t="str">
        <x:v>BTG Pactual Servicos Financeiros S/A DTVM</x:v>
      </x:c>
      <x:c r="G2231" s="168" t="str">
        <x:v>BANCO BTG PACTUAL S/A</x:v>
      </x:c>
      <x:c r="H2231" s="168" t="str">
        <x:v>Outros</x:v>
      </x:c>
      <x:c r="I2231" s="168" t="str">
        <x:v>Multicarteira Outros</x:v>
      </x:c>
      <x:c r="J2231" s="168" t="str">
        <x:v>CI</x:v>
      </x:c>
      <x:c r="K2231" s="174" t="n">
        <x:v>6</x:v>
      </x:c>
      <x:c r="L2231" s="187" t="str">
        <x:v>Proxy multicedente/multissacado — revisar</x:v>
      </x:c>
    </x:row>
    <x:row r="2232">
      <x:c r="A2232" s="177" t="str">
        <x:v>14.364.744/0001-08</x:v>
      </x:c>
      <x:c r="B2232" s="168" t="str">
        <x:v>CAPITAL FORTE FUNDO DE INVESTIMENTO EM DIREITOS CREDITORIOS MULTISSETORIAL</x:v>
      </x:c>
      <x:c r="C2232" s="190" t="n">
        <x:v>18733828.27</x:v>
      </x:c>
      <x:c r="D2232" s="168" t="str">
        <x:v>TERCON ASSET MANAGEMENT</x:v>
      </x:c>
      <x:c r="E2232" s="168" t="str">
        <x:f>IFERROR(INDEX('Classif Gestoras'!$H$6:$H$462,MATCH(D2232,'Classif Gestoras'!$A$6:$A$462,0)),"Não classificada")</x:f>
        <x:v>Independente</x:v>
      </x:c>
      <x:c r="F2232" s="168" t="str">
        <x:v>Singulare</x:v>
      </x:c>
      <x:c r="G2232" s="168" t="str">
        <x:v>QI CORRETORA DE TÍTULOS E VALORES MOBILIÁRIOS S.A.</x:v>
      </x:c>
      <x:c r="H2232" s="168" t="str">
        <x:v>Fomento Mercantil</x:v>
      </x:c>
      <x:c r="I2232" s="168" t="str">
        <x:v>Fomento Mercantil</x:v>
      </x:c>
      <x:c r="J2232" s="168" t="str">
        <x:v>CI</x:v>
      </x:c>
      <x:c r="K2232" s="174" t="n">
        <x:v>11</x:v>
      </x:c>
      <x:c r="L2232" s="187" t="str">
        <x:v>Não classificado</x:v>
      </x:c>
    </x:row>
    <x:row r="2233">
      <x:c r="A2233" s="177" t="str">
        <x:v>45.145.595/0001-01</x:v>
      </x:c>
      <x:c r="B2233" s="168" t="str">
        <x:v>KP DRACMA FUNDO DE INVESTIMENTO EM DIREITOS CREDITÓRIOS RESPONSABILIDADE LIMITADA</x:v>
      </x:c>
      <x:c r="C2233" s="190" t="n">
        <x:v>18675848.16</x:v>
      </x:c>
      <x:c r="D2233" s="168" t="str">
        <x:v>KP GESTÃO DE RECURSOS LTDA.</x:v>
      </x:c>
      <x:c r="E2233" s="168" t="str">
        <x:f>IFERROR(INDEX('Classif Gestoras'!$H$6:$H$462,MATCH(D2233,'Classif Gestoras'!$A$6:$A$462,0)),"Não classificada")</x:f>
        <x:v>Independente</x:v>
      </x:c>
      <x:c r="F2233" s="168" t="str">
        <x:v>PLANNER CV</x:v>
      </x:c>
      <x:c r="G2233" s="168" t="str">
        <x:v>PLANNER CORRETORA DE VALORES S.A.</x:v>
      </x:c>
      <x:c r="H2233" s="168" t="str">
        <x:v>Outros</x:v>
      </x:c>
      <x:c r="I2233" s="168" t="str">
        <x:v>Poder Público</x:v>
      </x:c>
      <x:c r="J2233" s="168" t="str">
        <x:v>CI</x:v>
      </x:c>
      <x:c r="K2233" s="174" t="n">
        <x:v>10</x:v>
      </x:c>
      <x:c r="L2233" s="187" t="str">
        <x:v>Não classificado</x:v>
      </x:c>
    </x:row>
    <x:row r="2234">
      <x:c r="A2234" s="177" t="str">
        <x:v>57.998.329/0001-00</x:v>
      </x:c>
      <x:c r="B2234" s="168" t="str">
        <x:v>LOYALTY FUNDO DE INVESTIMENTO EM DIREITOS CREDITÓRIOS</x:v>
      </x:c>
      <x:c r="C2234" s="190" t="n">
        <x:v>18602753.31</x:v>
      </x:c>
      <x:c r="D2234" s="168" t="str">
        <x:v>Harbour Capital</x:v>
      </x:c>
      <x:c r="E2234" s="168" t="str">
        <x:f>IFERROR(INDEX('Classif Gestoras'!$H$6:$H$462,MATCH(D2234,'Classif Gestoras'!$A$6:$A$462,0)),"Não classificada")</x:f>
        <x:v>Independente</x:v>
      </x:c>
      <x:c r="F2234" s="168" t="str">
        <x:v>AZUMI DISTRIBUIDORA DE TÍTULOS E VALORES MOBILIÁRIOS LT</x:v>
      </x:c>
      <x:c r="G2234" s="168" t="str">
        <x:v>AZUMI DISTRIBUIDORA DE TÍTULOS E VALORES MOBILIÁRIOS LTDA.</x:v>
      </x:c>
      <x:c r="H2234" s="168" t="str">
        <x:v>Fomento Mercantil</x:v>
      </x:c>
      <x:c r="I2234" s="168" t="str">
        <x:v>Fomento Mercantil</x:v>
      </x:c>
      <x:c r="J2234" s="168" t="str">
        <x:v>CI</x:v>
      </x:c>
      <x:c r="K2234" s="174" t="n">
        <x:v>17</x:v>
      </x:c>
      <x:c r="L2234" s="187" t="str">
        <x:v>Não classificado</x:v>
      </x:c>
    </x:row>
    <x:row r="2235">
      <x:c r="A2235" s="177" t="str">
        <x:v>44.465.412/0001-72</x:v>
      </x:c>
      <x:c r="B2235" s="168" t="str">
        <x:v>HIKARI FUNDO DE INVESTIMENTO EM DIREITOS CREDITORIOS</x:v>
      </x:c>
      <x:c r="C2235" s="190" t="n">
        <x:v>18585128.06</x:v>
      </x:c>
      <x:c r="D2235" s="168" t="str">
        <x:v>ASSET MANAGEMENT</x:v>
      </x:c>
      <x:c r="E2235" s="168" t="str">
        <x:f>IFERROR(INDEX('Classif Gestoras'!$H$6:$H$462,MATCH(D2235,'Classif Gestoras'!$A$6:$A$462,0)),"Não classificada")</x:f>
        <x:v>Independente</x:v>
      </x:c>
      <x:c r="F2235" s="168" t="str">
        <x:v>AZUMI DISTRIBUIDORA DE TÍTULOS E VALORES MOBILIÁRIOS LT</x:v>
      </x:c>
      <x:c r="G2235" s="168" t="str">
        <x:v>Não identificado</x:v>
      </x:c>
      <x:c r="H2235" s="168" t="str">
        <x:v>Outros</x:v>
      </x:c>
      <x:c r="I2235" s="168" t="str">
        <x:v>Multicarteira Outros</x:v>
      </x:c>
      <x:c r="J2235" s="168" t="str">
        <x:v>CI</x:v>
      </x:c>
      <x:c r="K2235" s="174" t="n">
        <x:v>15</x:v>
      </x:c>
      <x:c r="L2235" s="187" t="str">
        <x:v>Proxy multicedente/multissacado — revisar</x:v>
      </x:c>
    </x:row>
    <x:row r="2236">
      <x:c r="A2236" s="177" t="str">
        <x:v>58.157.509/0001-22</x:v>
      </x:c>
      <x:c r="B2236" s="168" t="str">
        <x:v>WK CAPITAL FUNDO DE INVESTIMENTO EM DIREITOS CREDITÓRIOS</x:v>
      </x:c>
      <x:c r="C2236" s="190" t="n">
        <x:v>18567701.54</x:v>
      </x:c>
      <x:c r="D2236" s="168" t="str">
        <x:v>TERCON ASSET MANAGEMENT</x:v>
      </x:c>
      <x:c r="E2236" s="168" t="str">
        <x:f>IFERROR(INDEX('Classif Gestoras'!$H$6:$H$462,MATCH(D2236,'Classif Gestoras'!$A$6:$A$462,0)),"Não classificada")</x:f>
        <x:v>Independente</x:v>
      </x:c>
      <x:c r="F2236" s="168" t="str">
        <x:v>Singulare</x:v>
      </x:c>
      <x:c r="G2236" s="168" t="str">
        <x:v>QI CORRETORA DE TÍTULOS E VALORES MOBILIÁRIOS S.A.</x:v>
      </x:c>
      <x:c r="H2236" s="168" t="str">
        <x:v>Fomento Mercantil</x:v>
      </x:c>
      <x:c r="I2236" s="168" t="str">
        <x:v>Fomento Mercantil</x:v>
      </x:c>
      <x:c r="J2236" s="168" t="str">
        <x:v>CI</x:v>
      </x:c>
      <x:c r="K2236" s="174" t="n">
        <x:v>1</x:v>
      </x:c>
      <x:c r="L2236" s="187" t="str">
        <x:v>Não classificado</x:v>
      </x:c>
    </x:row>
    <x:row r="2237">
      <x:c r="A2237" s="177" t="str">
        <x:v>52.340.225/0001-90</x:v>
      </x:c>
      <x:c r="B2237" s="168" t="str">
        <x:v>INOVA CREDTECH III FIDC SEGMENTO MULTICARTEIRA DE RESPONSABILIDADE LIMITADA</x:v>
      </x:c>
      <x:c r="C2237" s="190" t="n">
        <x:v>18555543.15</x:v>
      </x:c>
      <x:c r="D2237" s="168" t="str">
        <x:v>VERT Gestora de Recursos Financeiros Ltda.</x:v>
      </x:c>
      <x:c r="E2237" s="168" t="str">
        <x:f>IFERROR(INDEX('Classif Gestoras'!$H$6:$H$462,MATCH(D2237,'Classif Gestoras'!$A$6:$A$462,0)),"Não classificada")</x:f>
        <x:v>Independente</x:v>
      </x:c>
      <x:c r="F2237" s="168" t="str">
        <x:v>Limine Trust Distribuidora de Titulos e Valores Mobiliá</x:v>
      </x:c>
      <x:c r="G2237" s="168" t="str">
        <x:v>LIMINE TRUST DISTRIBUIDORA DE TITULOS E VALORES MOBILIARIOS LTDA.</x:v>
      </x:c>
      <x:c r="H2237" s="168" t="str">
        <x:v>Outros</x:v>
      </x:c>
      <x:c r="I2237" s="168" t="str">
        <x:v>Multicarteira Outros</x:v>
      </x:c>
      <x:c r="J2237" s="168" t="str">
        <x:v>CI</x:v>
      </x:c>
      <x:c r="K2237" s="174" t="n">
        <x:v>41</x:v>
      </x:c>
      <x:c r="L2237" s="187" t="str">
        <x:v>Proxy multicedente/multissacado — revisar</x:v>
      </x:c>
    </x:row>
    <x:row r="2238">
      <x:c r="A2238" s="177" t="str">
        <x:v>54.976.450/0001-43</x:v>
      </x:c>
      <x:c r="B2238" s="168" t="str">
        <x:v>JGP SPECIAL SITUATIONS IV FUNDO DE INVESTIMENTO EM DIREITOS CREDITÓRIOS - RESPONSABILIDADE LIMITADA</x:v>
      </x:c>
      <x:c r="C2238" s="190" t="n">
        <x:v>18469873.66</x:v>
      </x:c>
      <x:c r="D2238" s="168" t="str">
        <x:v>JGP GESTAO DE RECURS</x:v>
      </x:c>
      <x:c r="E2238" s="168" t="str">
        <x:f>IFERROR(INDEX('Classif Gestoras'!$H$6:$H$462,MATCH(D2238,'Classif Gestoras'!$A$6:$A$462,0)),"Não classificada")</x:f>
        <x:v>Independente</x:v>
      </x:c>
      <x:c r="F2238" s="168" t="str">
        <x:v>BANCO DAYCOVAL S/A</x:v>
      </x:c>
      <x:c r="G2238" s="168" t="str">
        <x:v>BANCO DAYCOVAL S.A.</x:v>
      </x:c>
      <x:c r="H2238" s="168" t="str">
        <x:v>Financeiro</x:v>
      </x:c>
      <x:c r="I2238" s="168" t="str">
        <x:v>Multicarteira Financeiro</x:v>
      </x:c>
      <x:c r="J2238" s="168" t="str">
        <x:v>CI</x:v>
      </x:c>
      <x:c r="K2238" s="174" t="n">
        <x:v>10</x:v>
      </x:c>
      <x:c r="L2238" s="187" t="str">
        <x:v>Proxy multicedente/multissacado — revisar</x:v>
      </x:c>
    </x:row>
    <x:row r="2239">
      <x:c r="A2239" s="177" t="str">
        <x:v>35.477.786/0001-17</x:v>
      </x:c>
      <x:c r="B2239" s="168" t="str">
        <x:v>OLIVER FUNDO DE INVESTIMENTO EM DIREITOS CREDITORIOS</x:v>
      </x:c>
      <x:c r="C2239" s="190" t="n">
        <x:v>18430535.9</x:v>
      </x:c>
      <x:c r="D2239" s="168" t="str">
        <x:v>MAM ASSET MANAGEMENT</x:v>
      </x:c>
      <x:c r="E2239" s="168" t="str">
        <x:f>IFERROR(INDEX('Classif Gestoras'!$H$6:$H$462,MATCH(D2239,'Classif Gestoras'!$A$6:$A$462,0)),"Não classificada")</x:f>
        <x:v>Independente</x:v>
      </x:c>
      <x:c r="F2239" s="168" t="str">
        <x:v>TRUSTEE DTVM</x:v>
      </x:c>
      <x:c r="G2239" s="168" t="str">
        <x:v>TRUSTEE DISTRIBUIDORA DE TITULOS E VALORES MOBILIARIOS LTDA.</x:v>
      </x:c>
      <x:c r="H2239" s="168" t="str">
        <x:v>Outros</x:v>
      </x:c>
      <x:c r="I2239" s="168" t="str">
        <x:v>Multicarteira Outros</x:v>
      </x:c>
      <x:c r="J2239" s="168" t="str">
        <x:v>CI</x:v>
      </x:c>
      <x:c r="K2239" s="174" t="n">
        <x:v>2</x:v>
      </x:c>
      <x:c r="L2239" s="187" t="str">
        <x:v>Proxy multicedente/multissacado — revisar</x:v>
      </x:c>
    </x:row>
    <x:row r="2240">
      <x:c r="A2240" s="177" t="str">
        <x:v>56.661.282/0001-22</x:v>
      </x:c>
      <x:c r="B2240" s="168" t="str">
        <x:v>VENTURO FUNDO DE INVESTIMENTO EM DIREITOS CREDITÓRIOS</x:v>
      </x:c>
      <x:c r="C2240" s="190" t="n">
        <x:v>18392384.65</x:v>
      </x:c>
      <x:c r="D2240" s="168" t="str">
        <x:v>PACTUAL CAPITAL PART</x:v>
      </x:c>
      <x:c r="E2240" s="168" t="str">
        <x:f>IFERROR(INDEX('Classif Gestoras'!$H$6:$H$462,MATCH(D2240,'Classif Gestoras'!$A$6:$A$462,0)),"Não classificada")</x:f>
        <x:v>Independente</x:v>
      </x:c>
      <x:c r="F2240" s="168" t="str">
        <x:v>BTG Pactual Servicos Financeiros S/A DTVM</x:v>
      </x:c>
      <x:c r="G2240" s="168" t="str">
        <x:v>BANCO BTG PACTUAL S/A</x:v>
      </x:c>
      <x:c r="H2240" s="168" t="str">
        <x:v>Outros</x:v>
      </x:c>
      <x:c r="I2240" s="168" t="str">
        <x:v>Poder Público</x:v>
      </x:c>
      <x:c r="J2240" s="168" t="str">
        <x:v>CI</x:v>
      </x:c>
      <x:c r="K2240" s="174" t="n">
        <x:v>4</x:v>
      </x:c>
      <x:c r="L2240" s="187" t="str">
        <x:v>Não classificado</x:v>
      </x:c>
    </x:row>
    <x:row r="2241">
      <x:c r="A2241" s="177" t="str">
        <x:v>44.395.657/0001-70</x:v>
      </x:c>
      <x:c r="B2241" s="168" t="str">
        <x:v>CM ESTADUAL FUNDO DE INVESTIMENTO EM DIREITOS CREDITÓRIOS NÃO PADRONIZADOS</x:v>
      </x:c>
      <x:c r="C2241" s="190" t="n">
        <x:v>18341062.96</x:v>
      </x:c>
      <x:c r="D2241" s="168" t="str">
        <x:v>BURITI INVESTIMENTOS</x:v>
      </x:c>
      <x:c r="E2241" s="168" t="str">
        <x:f>IFERROR(INDEX('Classif Gestoras'!$H$6:$H$462,MATCH(D2241,'Classif Gestoras'!$A$6:$A$462,0)),"Não classificada")</x:f>
        <x:v>Independente</x:v>
      </x:c>
      <x:c r="F2241" s="168" t="str">
        <x:v>Singulare</x:v>
      </x:c>
      <x:c r="G2241" s="168" t="str">
        <x:v>QI CORRETORA DE TÍTULOS E VALORES MOBILIÁRIOS S.A.</x:v>
      </x:c>
      <x:c r="H2241" s="168" t="str">
        <x:v>Outros</x:v>
      </x:c>
      <x:c r="I2241" s="168" t="str">
        <x:v>Poder Público</x:v>
      </x:c>
      <x:c r="J2241" s="168" t="str">
        <x:v>CI</x:v>
      </x:c>
      <x:c r="K2241" s="174" t="n">
        <x:v>8</x:v>
      </x:c>
      <x:c r="L2241" s="187" t="str">
        <x:v>Não classificado</x:v>
      </x:c>
    </x:row>
    <x:row r="2242">
      <x:c r="A2242" s="177" t="str">
        <x:v>64.155.784/0001-00</x:v>
      </x:c>
      <x:c r="B2242" s="168" t="str">
        <x:v>RES JUDICATA FIDC NÃO PADRONIZADOS RESPONSABILIDADE LIMITADA</x:v>
      </x:c>
      <x:c r="C2242" s="190" t="n">
        <x:v>18327558.64</x:v>
      </x:c>
      <x:c r="D2242" s="168" t="str">
        <x:v>NOVA OCCAM BRASIL GESTÃO DE RECURSOS LTDA.</x:v>
      </x:c>
      <x:c r="E2242" s="168" t="str">
        <x:f>IFERROR(INDEX('Classif Gestoras'!$H$6:$H$462,MATCH(D2242,'Classif Gestoras'!$A$6:$A$462,0)),"Não classificada")</x:f>
        <x:v>Independente</x:v>
      </x:c>
      <x:c r="F2242" s="168" t="str">
        <x:v>Inter Distribuidora de Títulos e Valores Mobiliários Lt</x:v>
      </x:c>
      <x:c r="G2242" s="168" t="str">
        <x:v>INTER DISTRIBUIDORA DE TÍTULOS E VALORES MOBILIÁRIOS</x:v>
      </x:c>
      <x:c r="H2242" s="168" t="str">
        <x:v>Outros</x:v>
      </x:c>
      <x:c r="I2242" s="168" t="str">
        <x:v>Poder Público</x:v>
      </x:c>
      <x:c r="J2242" s="168" t="str">
        <x:v>CI</x:v>
      </x:c>
      <x:c r="K2242" s="174" t="n">
        <x:v>5</x:v>
      </x:c>
      <x:c r="L2242" s="187" t="str">
        <x:v>Não classificado</x:v>
      </x:c>
    </x:row>
    <x:row r="2243">
      <x:c r="A2243" s="177" t="str">
        <x:v>13.409.986/0001-08</x:v>
      </x:c>
      <x:c r="B2243" s="168" t="str">
        <x:v>ALBATROZ FUNDO DE INVESTIMENTO EM DIREITOS CREDITÓRIOS - NÃO PADRONIZADOS</x:v>
      </x:c>
      <x:c r="C2243" s="190" t="n">
        <x:v>18312916.0321</x:v>
      </x:c>
      <x:c r="D2243" s="168" t="str">
        <x:v>Ponta Sul Investimentos Ltda.</x:v>
      </x:c>
      <x:c r="E2243" s="168" t="str">
        <x:f>IFERROR(INDEX('Classif Gestoras'!$H$6:$H$462,MATCH(D2243,'Classif Gestoras'!$A$6:$A$462,0)),"Não classificada")</x:f>
        <x:v>Independente</x:v>
      </x:c>
      <x:c r="F2243" s="168" t="str">
        <x:v>BTG Pactual Servicos Financeiros S/A DTVM</x:v>
      </x:c>
      <x:c r="G2243" s="168" t="str">
        <x:v>BANCO BTG PACTUAL S/A</x:v>
      </x:c>
      <x:c r="H2243" s="168" t="str">
        <x:v>Outros</x:v>
      </x:c>
      <x:c r="I2243" s="168" t="str">
        <x:v>Poder Público</x:v>
      </x:c>
      <x:c r="J2243" s="168" t="str">
        <x:v>CI</x:v>
      </x:c>
      <x:c r="K2243" s="174" t="n">
        <x:v>1</x:v>
      </x:c>
      <x:c r="L2243" s="187" t="str">
        <x:v>Não classificado</x:v>
      </x:c>
    </x:row>
    <x:row r="2244">
      <x:c r="A2244" s="177" t="str">
        <x:v>45.018.911/0001-84</x:v>
      </x:c>
      <x:c r="B2244" s="168" t="str">
        <x:v>HR FUNDO DE INVESTIMENTO EM DIREITOS CREDITÓRIOS FINANCEIRO - RESPONSABILIDADE LIMITADA</x:v>
      </x:c>
      <x:c r="C2244" s="190" t="n">
        <x:v>18244123.38</x:v>
      </x:c>
      <x:c r="D2244" s="168" t="str">
        <x:v>OURO PRETO INVESTIMENTOS</x:v>
      </x:c>
      <x:c r="E2244" s="168" t="str">
        <x:f>IFERROR(INDEX('Classif Gestoras'!$H$6:$H$462,MATCH(D2244,'Classif Gestoras'!$A$6:$A$462,0)),"Não classificada")</x:f>
        <x:v>Independente</x:v>
      </x:c>
      <x:c r="F2244" s="168" t="str">
        <x:v>ID Corretora de Títulos e Valores Mobiliários S.A.</x:v>
      </x:c>
      <x:c r="G2244" s="168" t="str">
        <x:v>ID CORRETORA DE TITULOS E VALORES MOBILIARIOS S.A.</x:v>
      </x:c>
      <x:c r="H2244" s="168" t="str">
        <x:v>Fomento Mercantil</x:v>
      </x:c>
      <x:c r="I2244" s="168" t="str">
        <x:v>Fomento Mercantil</x:v>
      </x:c>
      <x:c r="J2244" s="168" t="str">
        <x:v>CI</x:v>
      </x:c>
      <x:c r="K2244" s="174" t="n">
        <x:v>0</x:v>
      </x:c>
      <x:c r="L2244" s="187" t="str">
        <x:v>Não classificado</x:v>
      </x:c>
    </x:row>
    <x:row r="2245">
      <x:c r="A2245" s="177" t="str">
        <x:v>60.368.384/0001-21</x:v>
      </x:c>
      <x:c r="B2245" s="168" t="str">
        <x:v>ONCRED FUNDO DE INVESTIMENTO EM DIREITOS CREDITÓRIOS</x:v>
      </x:c>
      <x:c r="C2245" s="190" t="n">
        <x:v>18180212.1</x:v>
      </x:c>
      <x:c r="D2245" s="168" t="str">
        <x:v>OURO PRETO INVESTIMENTOS</x:v>
      </x:c>
      <x:c r="E2245" s="168" t="str">
        <x:f>IFERROR(INDEX('Classif Gestoras'!$H$6:$H$462,MATCH(D2245,'Classif Gestoras'!$A$6:$A$462,0)),"Não classificada")</x:f>
        <x:v>Independente</x:v>
      </x:c>
      <x:c r="F2245" s="168" t="str">
        <x:v>Limine Trust Distribuidora de Titulos e Valores Mobiliá</x:v>
      </x:c>
      <x:c r="G2245" s="168" t="str">
        <x:v>LIMINE TRUST DISTRIBUIDORA DE TITULOS E VALORES MOBILIARIOS LTDA.</x:v>
      </x:c>
      <x:c r="H2245" s="168" t="str">
        <x:v>Fomento Mercantil</x:v>
      </x:c>
      <x:c r="I2245" s="168" t="str">
        <x:v>Fomento Mercantil</x:v>
      </x:c>
      <x:c r="J2245" s="168" t="str">
        <x:v>CI</x:v>
      </x:c>
      <x:c r="K2245" s="174" t="n">
        <x:v>3</x:v>
      </x:c>
      <x:c r="L2245" s="187" t="str">
        <x:v>Não classificado</x:v>
      </x:c>
    </x:row>
    <x:row r="2246">
      <x:c r="A2246" s="177" t="str">
        <x:v>48.348.391/0001-66</x:v>
      </x:c>
      <x:c r="B2246" s="168" t="str">
        <x:v>AGROCETE FUNDO DE INVESTIMENTO EM DIREITOS CREDITÓRIOS NÃO-PADRONIZADOS</x:v>
      </x:c>
      <x:c r="C2246" s="190" t="n">
        <x:v>18152094.92</x:v>
      </x:c>
      <x:c r="D2246" s="168" t="str">
        <x:v>Catálise Investimentos</x:v>
      </x:c>
      <x:c r="E2246" s="168" t="str">
        <x:f>IFERROR(INDEX('Classif Gestoras'!$H$6:$H$462,MATCH(D2246,'Classif Gestoras'!$A$6:$A$462,0)),"Não classificada")</x:f>
        <x:v>Independente</x:v>
      </x:c>
      <x:c r="F2246" s="168" t="str">
        <x:v>CATÁLISE DTVM</x:v>
      </x:c>
      <x:c r="G2246" s="168" t="str">
        <x:v>BANCO DAYCOVAL S.A.</x:v>
      </x:c>
      <x:c r="H2246" s="168" t="str">
        <x:v>Outros</x:v>
      </x:c>
      <x:c r="I2246" s="168" t="str">
        <x:v>Multicarteira Outros</x:v>
      </x:c>
      <x:c r="J2246" s="168" t="str">
        <x:v>CI</x:v>
      </x:c>
      <x:c r="K2246" s="174" t="n">
        <x:v>1</x:v>
      </x:c>
      <x:c r="L2246" s="187" t="str">
        <x:v>Proxy multicedente/multissacado — revisar</x:v>
      </x:c>
    </x:row>
    <x:row r="2247">
      <x:c r="A2247" s="177" t="str">
        <x:v>57.740.051/0001-77</x:v>
      </x:c>
      <x:c r="B2247" s="168" t="str">
        <x:v>CHAVANTES FUNDO DE INVESTIMENTO EM DIREITOS CREDITÓRIOS RESPONSABILIDADE LIMITADA</x:v>
      </x:c>
      <x:c r="C2247" s="190" t="n">
        <x:v>18115855.880000003</x:v>
      </x:c>
      <x:c r="D2247" s="168" t="str">
        <x:v>GESTORA DE RECURSOS ID - GRID LTDA.</x:v>
      </x:c>
      <x:c r="E2247" s="168" t="str">
        <x:f>IFERROR(INDEX('Classif Gestoras'!$H$6:$H$462,MATCH(D2247,'Classif Gestoras'!$A$6:$A$462,0)),"Não classificada")</x:f>
        <x:v>Independente</x:v>
      </x:c>
      <x:c r="F2247" s="168" t="str">
        <x:v>ID Corretora de Títulos e Valores Mobiliários S.A.</x:v>
      </x:c>
      <x:c r="G2247" s="168" t="str">
        <x:v>ID CORRETORA DE TITULOS E VALORES MOBILIARIOS S.A.</x:v>
      </x:c>
      <x:c r="H2247" s="168" t="str">
        <x:v>Outros</x:v>
      </x:c>
      <x:c r="I2247" s="168" t="str">
        <x:v>Multicarteira Outros</x:v>
      </x:c>
      <x:c r="J2247" s="168" t="str">
        <x:v>CI</x:v>
      </x:c>
      <x:c r="K2247" s="174" t="n">
        <x:v>5</x:v>
      </x:c>
      <x:c r="L2247" s="187" t="str">
        <x:v>Proxy multicedente/multissacado — revisar</x:v>
      </x:c>
    </x:row>
    <x:row r="2248">
      <x:c r="A2248" s="177" t="str">
        <x:v>31.894.591/0001-11</x:v>
      </x:c>
      <x:c r="B2248" s="168" t="str">
        <x:v>RIO CAPITAL FUNDO DE INVESTIMENTO EM DIREITOS CREDITÓRIOS</x:v>
      </x:c>
      <x:c r="C2248" s="190" t="n">
        <x:v>18094423.08</x:v>
      </x:c>
      <x:c r="D2248" s="168" t="str">
        <x:v>TERCON ASSET MANAGEMENT</x:v>
      </x:c>
      <x:c r="E2248" s="168" t="str">
        <x:f>IFERROR(INDEX('Classif Gestoras'!$H$6:$H$462,MATCH(D2248,'Classif Gestoras'!$A$6:$A$462,0)),"Não classificada")</x:f>
        <x:v>Independente</x:v>
      </x:c>
      <x:c r="F2248" s="168" t="str">
        <x:v>Singulare</x:v>
      </x:c>
      <x:c r="G2248" s="168" t="str">
        <x:v>QI CORRETORA DE TÍTULOS E VALORES MOBILIÁRIOS S.A.</x:v>
      </x:c>
      <x:c r="H2248" s="168" t="str">
        <x:v>Fomento Mercantil</x:v>
      </x:c>
      <x:c r="I2248" s="168" t="str">
        <x:v>Fomento Mercantil</x:v>
      </x:c>
      <x:c r="J2248" s="168" t="str">
        <x:v>CI</x:v>
      </x:c>
      <x:c r="K2248" s="174" t="n">
        <x:v>1</x:v>
      </x:c>
      <x:c r="L2248" s="187" t="str">
        <x:v>Não classificado</x:v>
      </x:c>
    </x:row>
    <x:row r="2249">
      <x:c r="A2249" s="177" t="str">
        <x:v>46.323.053/0001-44</x:v>
      </x:c>
      <x:c r="B2249" s="168" t="str">
        <x:v>CONLIFE FUNDO DE INVESTIMENTO EM DIREITOS CREDITÓRIOS DE RESPONSABILIDADE LIMITADA</x:v>
      </x:c>
      <x:c r="C2249" s="190" t="n">
        <x:v>18065557.24</x:v>
      </x:c>
      <x:c r="D2249" s="168" t="str">
        <x:v>DAYCOVAL ASSET MANAG</x:v>
      </x:c>
      <x:c r="E2249" s="168" t="str">
        <x:f>IFERROR(INDEX('Classif Gestoras'!$H$6:$H$462,MATCH(D2249,'Classif Gestoras'!$A$6:$A$462,0)),"Não classificada")</x:f>
        <x:v>Ligada a banco</x:v>
      </x:c>
      <x:c r="F2249" s="168" t="str">
        <x:v>BANCO DAYCOVAL S/A</x:v>
      </x:c>
      <x:c r="G2249" s="168" t="str">
        <x:v>BANCO DAYCOVAL S.A.</x:v>
      </x:c>
      <x:c r="H2249" s="168" t="str">
        <x:v>Fomento Mercantil</x:v>
      </x:c>
      <x:c r="I2249" s="168" t="str">
        <x:v>Fomento Mercantil</x:v>
      </x:c>
      <x:c r="J2249" s="168" t="str">
        <x:v>CI</x:v>
      </x:c>
      <x:c r="K2249" s="174" t="n">
        <x:v>2</x:v>
      </x:c>
      <x:c r="L2249" s="187" t="str">
        <x:v>Não classificado</x:v>
      </x:c>
    </x:row>
    <x:row r="2250">
      <x:c r="A2250" s="177" t="str">
        <x:v>40.669.040/0001-45</x:v>
      </x:c>
      <x:c r="B2250" s="168" t="str">
        <x:v>CANAL 87 FUNDO DE INVESTIMENTO EM DIREITOS CREDITÓRIOS NÃO-PADRONIZADOS</x:v>
      </x:c>
      <x:c r="C2250" s="190" t="n">
        <x:v>18049791.81</x:v>
      </x:c>
      <x:c r="D2250" s="168" t="str">
        <x:v>Prisma Capital Ltda.</x:v>
      </x:c>
      <x:c r="E2250" s="168" t="str">
        <x:f>IFERROR(INDEX('Classif Gestoras'!$H$6:$H$462,MATCH(D2250,'Classif Gestoras'!$A$6:$A$462,0)),"Não classificada")</x:f>
        <x:v>Independente</x:v>
      </x:c>
      <x:c r="F2250" s="168" t="str">
        <x:v>Singulare</x:v>
      </x:c>
      <x:c r="G2250" s="168" t="str">
        <x:v>QI CORRETORA DE TÍTULOS E VALORES MOBILIÁRIOS S.A.</x:v>
      </x:c>
      <x:c r="H2250" s="168" t="str">
        <x:v>Outros</x:v>
      </x:c>
      <x:c r="I2250" s="168" t="str">
        <x:v>Multicarteira Outros</x:v>
      </x:c>
      <x:c r="J2250" s="168" t="str">
        <x:v>CI</x:v>
      </x:c>
      <x:c r="K2250" s="174" t="n">
        <x:v>14</x:v>
      </x:c>
      <x:c r="L2250" s="187" t="str">
        <x:v>Proxy multicedente/multissacado — revisar</x:v>
      </x:c>
    </x:row>
    <x:row r="2251">
      <x:c r="A2251" s="177" t="str">
        <x:v>18.677.046/0001-05</x:v>
      </x:c>
      <x:c r="B2251" s="168" t="str">
        <x:v>BRASPOR FUNDO DE INVESTIMENTO EM DIREITOS CREDITÓRIOS MULTISSETORIAL</x:v>
      </x:c>
      <x:c r="C2251" s="190" t="n">
        <x:v>18007659.39</x:v>
      </x:c>
      <x:c r="D2251" s="168" t="str">
        <x:v>OURO PRETO INVESTIMENTOS</x:v>
      </x:c>
      <x:c r="E2251" s="168" t="str">
        <x:f>IFERROR(INDEX('Classif Gestoras'!$H$6:$H$462,MATCH(D2251,'Classif Gestoras'!$A$6:$A$462,0)),"Não classificada")</x:f>
        <x:v>Independente</x:v>
      </x:c>
      <x:c r="F2251" s="168" t="str">
        <x:v>Singulare</x:v>
      </x:c>
      <x:c r="G2251" s="168" t="str">
        <x:v>QI CORRETORA DE TÍTULOS E VALORES MOBILIÁRIOS S.A.</x:v>
      </x:c>
      <x:c r="H2251" s="168" t="str">
        <x:v>Fomento Mercantil</x:v>
      </x:c>
      <x:c r="I2251" s="168" t="str">
        <x:v>Fomento Mercantil</x:v>
      </x:c>
      <x:c r="J2251" s="168" t="str">
        <x:v>CI</x:v>
      </x:c>
      <x:c r="K2251" s="174" t="n">
        <x:v>2</x:v>
      </x:c>
      <x:c r="L2251" s="187" t="str">
        <x:v>Não classificado</x:v>
      </x:c>
    </x:row>
    <x:row r="2252">
      <x:c r="A2252" s="177" t="str">
        <x:v>53.078.148/0001-05</x:v>
      </x:c>
      <x:c r="B2252" s="168" t="str">
        <x:v>TSALEACH FUNDO DE INVESTIMENTO EM DIREITOS CREDITÓRIOS RESPONSABILIDADE LIMITADA</x:v>
      </x:c>
      <x:c r="C2252" s="190" t="n">
        <x:v>18005790.84</x:v>
      </x:c>
      <x:c r="D2252" s="168" t="str">
        <x:v>Neves Asset Management</x:v>
      </x:c>
      <x:c r="E2252" s="168" t="str">
        <x:f>IFERROR(INDEX('Classif Gestoras'!$H$6:$H$462,MATCH(D2252,'Classif Gestoras'!$A$6:$A$462,0)),"Não classificada")</x:f>
        <x:v>Independente</x:v>
      </x:c>
      <x:c r="F2252" s="168" t="str">
        <x:v>ID Corretora de Títulos e Valores Mobiliários S.A.</x:v>
      </x:c>
      <x:c r="G2252" s="168" t="str">
        <x:v>ID CORRETORA DE TITULOS E VALORES MOBILIARIOS S.A.</x:v>
      </x:c>
      <x:c r="H2252" s="168" t="str">
        <x:v>Outros</x:v>
      </x:c>
      <x:c r="I2252" s="168" t="str">
        <x:v>Multicarteira Outros</x:v>
      </x:c>
      <x:c r="J2252" s="168" t="str">
        <x:v>CI</x:v>
      </x:c>
      <x:c r="K2252" s="174" t="n">
        <x:v>4</x:v>
      </x:c>
      <x:c r="L2252" s="187" t="str">
        <x:v>Proxy multicedente/multissacado — revisar</x:v>
      </x:c>
    </x:row>
    <x:row r="2253">
      <x:c r="A2253" s="177" t="str">
        <x:v>55.271.694/0001-93</x:v>
      </x:c>
      <x:c r="B2253" s="168" t="str">
        <x:v>TRUST BR FUNDO DE INVESTIMENTO EM DIREITOS CREDITORIOS</x:v>
      </x:c>
      <x:c r="C2253" s="190" t="n">
        <x:v>17983423.69</x:v>
      </x:c>
      <x:c r="D2253" s="168" t="str">
        <x:v>SQUALO CAPITAL GESTORA DE RECURSOS LTDA.</x:v>
      </x:c>
      <x:c r="E2253" s="168" t="str">
        <x:f>IFERROR(INDEX('Classif Gestoras'!$H$6:$H$462,MATCH(D2253,'Classif Gestoras'!$A$6:$A$462,0)),"Não classificada")</x:f>
        <x:v>Independente</x:v>
      </x:c>
      <x:c r="F2253" s="168" t="str">
        <x:v>FIDD DISTRIBUIDORA DE TITULOS E VALORES MOBILIARIOS LTD</x:v>
      </x:c>
      <x:c r="G2253" s="168" t="str">
        <x:v>FIDD DISTRIBUIDORA DE TITULOS E VALORES MOBILIARIOS LTDA.</x:v>
      </x:c>
      <x:c r="H2253" s="168" t="str">
        <x:v>Outros</x:v>
      </x:c>
      <x:c r="I2253" s="168" t="str">
        <x:v>Multicarteira Outros</x:v>
      </x:c>
      <x:c r="J2253" s="168" t="str">
        <x:v>CI</x:v>
      </x:c>
      <x:c r="K2253" s="174" t="n">
        <x:v>1</x:v>
      </x:c>
      <x:c r="L2253" s="187" t="str">
        <x:v>Proxy multicedente/multissacado — revisar</x:v>
      </x:c>
    </x:row>
    <x:row r="2254">
      <x:c r="A2254" s="177" t="str">
        <x:v>63.570.081/0001-85</x:v>
      </x:c>
      <x:c r="B2254" s="168" t="str">
        <x:v>FUNDO DE INVESTIMENTO EM DIREITOS CREDITÓRIOS ATLÉTICO MINEIRO - RESPONSABILIDADE LIMITADA</x:v>
      </x:c>
      <x:c r="C2254" s="190" t="n">
        <x:v>17979402.43</x:v>
      </x:c>
      <x:c r="D2254" s="168" t="str">
        <x:v>Galápagos</x:v>
      </x:c>
      <x:c r="E2254" s="168" t="str">
        <x:f>IFERROR(INDEX('Classif Gestoras'!$H$6:$H$462,MATCH(D2254,'Classif Gestoras'!$A$6:$A$462,0)),"Não classificada")</x:f>
        <x:v>Independente</x:v>
      </x:c>
      <x:c r="F2254" s="168" t="str">
        <x:v>Inter Distribuidora de Títulos e Valores Mobiliários Lt</x:v>
      </x:c>
      <x:c r="G2254" s="168" t="str">
        <x:v>INTER DISTRIBUIDORA DE TÍTULOS E VALORES MOBILIÁRIOS</x:v>
      </x:c>
      <x:c r="H2254" s="168" t="str">
        <x:v>Outros</x:v>
      </x:c>
      <x:c r="I2254" s="168" t="str">
        <x:v>Multicarteira Outros</x:v>
      </x:c>
      <x:c r="J2254" s="168" t="str">
        <x:v>CI</x:v>
      </x:c>
      <x:c r="K2254" s="174" t="n">
        <x:v>171</x:v>
      </x:c>
      <x:c r="L2254" s="187" t="str">
        <x:v>Proxy multicedente/multissacado — revisar</x:v>
      </x:c>
    </x:row>
    <x:row r="2255">
      <x:c r="A2255" s="177" t="str">
        <x:v>33.498.764/0001-08</x:v>
      </x:c>
      <x:c r="B2255" s="168" t="str">
        <x:v>BRAFIC FUNDO DE INVESTIMENTO EM DIREITOS CREDITÓRIOS NÃO-PADRONIZADOS RESPONSABILIDADE LIMITADA</x:v>
      </x:c>
      <x:c r="C2255" s="190" t="n">
        <x:v>17865297.86</x:v>
      </x:c>
      <x:c r="D2255" s="168" t="str">
        <x:v>GESTORA DE RECURSOS ID - GRID LTDA.</x:v>
      </x:c>
      <x:c r="E2255" s="168" t="str">
        <x:f>IFERROR(INDEX('Classif Gestoras'!$H$6:$H$462,MATCH(D2255,'Classif Gestoras'!$A$6:$A$462,0)),"Não classificada")</x:f>
        <x:v>Independente</x:v>
      </x:c>
      <x:c r="F2255" s="168" t="str">
        <x:v>ID Corretora de Títulos e Valores Mobiliários S.A.</x:v>
      </x:c>
      <x:c r="G2255" s="168" t="str">
        <x:v>ID CORRETORA DE TITULOS E VALORES MOBILIARIOS S.A.</x:v>
      </x:c>
      <x:c r="H2255" s="168" t="str">
        <x:v>Outros</x:v>
      </x:c>
      <x:c r="I2255" s="168" t="str">
        <x:v>Multicarteira Outros</x:v>
      </x:c>
      <x:c r="J2255" s="168" t="str">
        <x:v>CI</x:v>
      </x:c>
      <x:c r="K2255" s="174" t="n">
        <x:v>6</x:v>
      </x:c>
      <x:c r="L2255" s="187" t="str">
        <x:v>Proxy multicedente/multissacado — revisar</x:v>
      </x:c>
    </x:row>
    <x:row r="2256">
      <x:c r="A2256" s="177" t="str">
        <x:v>45.964.979/0001-56</x:v>
      </x:c>
      <x:c r="B2256" s="168" t="str">
        <x:v>LIMELIGHT FUNDO DE INVESTIMENTO EM DIREITOS CREDITÓRIOS - RESPONSABILIADE LIMITADA</x:v>
      </x:c>
      <x:c r="C2256" s="190" t="n">
        <x:v>17823040.86</x:v>
      </x:c>
      <x:c r="D2256" s="168" t="str">
        <x:v>Monetiza Investimentos</x:v>
      </x:c>
      <x:c r="E2256" s="168" t="str">
        <x:f>IFERROR(INDEX('Classif Gestoras'!$H$6:$H$462,MATCH(D2256,'Classif Gestoras'!$A$6:$A$462,0)),"Não classificada")</x:f>
        <x:v>Independente</x:v>
      </x:c>
      <x:c r="F2256" s="168" t="str">
        <x:v>HEMERA DTVM</x:v>
      </x:c>
      <x:c r="G2256" s="168" t="str">
        <x:v>HEMERA DISTRIBUIDORA DE TITULOS E VALORES MOBILIARIOS LTDA</x:v>
      </x:c>
      <x:c r="H2256" s="168" t="str">
        <x:v>Outros</x:v>
      </x:c>
      <x:c r="I2256" s="168" t="str">
        <x:v>Multicarteira Outros</x:v>
      </x:c>
      <x:c r="J2256" s="168" t="str">
        <x:v>CI</x:v>
      </x:c>
      <x:c r="K2256" s="174" t="n">
        <x:v>3</x:v>
      </x:c>
      <x:c r="L2256" s="187" t="str">
        <x:v>Proxy multicedente/multissacado — revisar</x:v>
      </x:c>
    </x:row>
    <x:row r="2257">
      <x:c r="A2257" s="177" t="str">
        <x:v>59.715.778/0001-20</x:v>
      </x:c>
      <x:c r="B2257" s="168" t="str">
        <x:v>MALCOM FUNDO DE INVESTIMENTO EM DIREITOS CREDITÓRIOS NP</x:v>
      </x:c>
      <x:c r="C2257" s="190" t="n">
        <x:v>17796775.889999997</x:v>
      </x:c>
      <x:c r="D2257" s="168" t="str">
        <x:v>OKEAN INVEST</x:v>
      </x:c>
      <x:c r="E2257" s="168" t="str">
        <x:f>IFERROR(INDEX('Classif Gestoras'!$H$6:$H$462,MATCH(D2257,'Classif Gestoras'!$A$6:$A$462,0)),"Não classificada")</x:f>
        <x:v>Independente</x:v>
      </x:c>
      <x:c r="F2257" s="168" t="str">
        <x:v>Finvest Digital</x:v>
      </x:c>
      <x:c r="G2257" s="168" t="str">
        <x:v>FINVEST DISTRIBUIDORA DE TÍTULOS E VALORES MOBILIÁRIOS LTDA.</x:v>
      </x:c>
      <x:c r="H2257" s="168" t="str">
        <x:v>Outros</x:v>
      </x:c>
      <x:c r="I2257" s="168" t="str">
        <x:v>Multicarteira Outros</x:v>
      </x:c>
      <x:c r="J2257" s="168" t="str">
        <x:v>CI</x:v>
      </x:c>
      <x:c r="K2257" s="174" t="n">
        <x:v>4</x:v>
      </x:c>
      <x:c r="L2257" s="187" t="str">
        <x:v>Proxy multicedente/multissacado — revisar</x:v>
      </x:c>
    </x:row>
    <x:row r="2258">
      <x:c r="A2258" s="177" t="str">
        <x:v>49.000.687/0001-54</x:v>
      </x:c>
      <x:c r="B2258" s="168" t="str">
        <x:v>ADVANTAGE CREDIT FUNDO DE INVESTIMENTO EM DIREITOS CREDITÓRIOS NÃO-PADRONIZADO</x:v>
      </x:c>
      <x:c r="C2258" s="190" t="n">
        <x:v>17795207.16</x:v>
      </x:c>
      <x:c r="D2258" s="168" t="str">
        <x:v>Mosaico Gestora de Recursos Ltda.</x:v>
      </x:c>
      <x:c r="E2258" s="168" t="str">
        <x:f>IFERROR(INDEX('Classif Gestoras'!$H$6:$H$462,MATCH(D2258,'Classif Gestoras'!$A$6:$A$462,0)),"Não classificada")</x:f>
        <x:v>Independente</x:v>
      </x:c>
      <x:c r="F2258" s="168" t="str">
        <x:v>AZUMI DISTRIBUIDORA DE TÍTULOS E VALORES MOBILIÁRIOS LT</x:v>
      </x:c>
      <x:c r="G2258" s="168" t="str">
        <x:v>AZUMI DISTRIBUIDORA DE TÍTULOS E VALORES MOBILIÁRIOS LTDA.</x:v>
      </x:c>
      <x:c r="H2258" s="168" t="str">
        <x:v>Outros</x:v>
      </x:c>
      <x:c r="I2258" s="168" t="str">
        <x:v>Multicarteira Outros</x:v>
      </x:c>
      <x:c r="J2258" s="168" t="str">
        <x:v>CI</x:v>
      </x:c>
      <x:c r="K2258" s="174" t="n">
        <x:v>4</x:v>
      </x:c>
      <x:c r="L2258" s="187" t="str">
        <x:v>Proxy multicedente/multissacado — revisar</x:v>
      </x:c>
    </x:row>
    <x:row r="2259">
      <x:c r="A2259" s="177" t="str">
        <x:v>54.969.186/0001-10</x:v>
      </x:c>
      <x:c r="B2259" s="168" t="str">
        <x:v>SX CORPORATE FUNDO DE INVESTIMENTO EM DIREITOS CREDITÓRIOS</x:v>
      </x:c>
      <x:c r="C2259" s="190" t="n">
        <x:v>17791522.580000002</x:v>
      </x:c>
      <x:c r="D2259" s="168" t="str">
        <x:v>Quadrante Investimentos Ltda</x:v>
      </x:c>
      <x:c r="E2259" s="168" t="str">
        <x:f>IFERROR(INDEX('Classif Gestoras'!$H$6:$H$462,MATCH(D2259,'Classif Gestoras'!$A$6:$A$462,0)),"Não classificada")</x:f>
        <x:v>Independente</x:v>
      </x:c>
      <x:c r="F2259" s="168" t="str">
        <x:v>Finvest Digital</x:v>
      </x:c>
      <x:c r="G2259" s="168" t="str">
        <x:v>FINVEST DISTRIBUIDORA DE TÍTULOS E VALORES MOBILIÁRIOS LTDA.</x:v>
      </x:c>
      <x:c r="H2259" s="168" t="str">
        <x:v>Fomento Mercantil</x:v>
      </x:c>
      <x:c r="I2259" s="168" t="str">
        <x:v>Fomento Mercantil</x:v>
      </x:c>
      <x:c r="J2259" s="168" t="str">
        <x:v>CI</x:v>
      </x:c>
      <x:c r="K2259" s="174" t="n">
        <x:v>1</x:v>
      </x:c>
      <x:c r="L2259" s="187" t="str">
        <x:v>Não classificado</x:v>
      </x:c>
    </x:row>
    <x:row r="2260">
      <x:c r="A2260" s="177" t="str">
        <x:v>60.602.947/0001-02</x:v>
      </x:c>
      <x:c r="B2260" s="168" t="str">
        <x:v>URUK CORE FUNDO DE INVESTIMENTO EM DIREITOS CREDITÓRIOS - RESPONSABILIDADE LIMITADA</x:v>
      </x:c>
      <x:c r="C2260" s="190" t="n">
        <x:v>17770639.63</x:v>
      </x:c>
      <x:c r="D2260" s="168" t="str">
        <x:v>BLUEWAVE ASSET LTDA</x:v>
      </x:c>
      <x:c r="E2260" s="168" t="str">
        <x:f>IFERROR(INDEX('Classif Gestoras'!$H$6:$H$462,MATCH(D2260,'Classif Gestoras'!$A$6:$A$462,0)),"Não classificada")</x:f>
        <x:v>Independente</x:v>
      </x:c>
      <x:c r="F2260" s="168" t="str">
        <x:v>Finvest Digital</x:v>
      </x:c>
      <x:c r="G2260" s="168" t="str">
        <x:v>FINVEST DISTRIBUIDORA DE TÍTULOS E VALORES MOBILIÁRIOS LTDA.</x:v>
      </x:c>
      <x:c r="H2260" s="168" t="str">
        <x:v>Outros</x:v>
      </x:c>
      <x:c r="I2260" s="168" t="str">
        <x:v>Multicarteira Outros</x:v>
      </x:c>
      <x:c r="J2260" s="168" t="str">
        <x:v>CI</x:v>
      </x:c>
      <x:c r="K2260" s="174" t="n">
        <x:v>11</x:v>
      </x:c>
      <x:c r="L2260" s="187" t="str">
        <x:v>Proxy multicedente/multissacado — revisar</x:v>
      </x:c>
    </x:row>
    <x:row r="2261">
      <x:c r="A2261" s="177" t="str">
        <x:v>44.574.109/0001-08</x:v>
      </x:c>
      <x:c r="B2261" s="168" t="str">
        <x:v>PLATINA 137 FUNDO DE INVESTIMENTO EM DIREITOS CREDITÓRIOS</x:v>
      </x:c>
      <x:c r="C2261" s="190" t="n">
        <x:v>17728092.11</x:v>
      </x:c>
      <x:c r="D2261" s="168" t="str">
        <x:v>WNT Gestora de Recursos Ltda.</x:v>
      </x:c>
      <x:c r="E2261" s="168" t="str">
        <x:f>IFERROR(INDEX('Classif Gestoras'!$H$6:$H$462,MATCH(D2261,'Classif Gestoras'!$A$6:$A$462,0)),"Não classificada")</x:f>
        <x:v>Independente</x:v>
      </x:c>
      <x:c r="F2261" s="168" t="str">
        <x:v>WNT DTVM</x:v>
      </x:c>
      <x:c r="G2261" s="168" t="str">
        <x:v>WNT CAPITAL DISTRIBUIDORA DE TITULOS E VALORES MOBILIARIOS S.A.</x:v>
      </x:c>
      <x:c r="H2261" s="168" t="str">
        <x:v>Outros</x:v>
      </x:c>
      <x:c r="I2261" s="168" t="str">
        <x:v>Multicarteira Outros</x:v>
      </x:c>
      <x:c r="J2261" s="168" t="str">
        <x:v>CI</x:v>
      </x:c>
      <x:c r="K2261" s="174" t="n">
        <x:v>1</x:v>
      </x:c>
      <x:c r="L2261" s="187" t="str">
        <x:v>Proxy multicedente/multissacado — revisar</x:v>
      </x:c>
    </x:row>
    <x:row r="2262">
      <x:c r="A2262" s="177" t="str">
        <x:v>30.791.451/0001-55</x:v>
      </x:c>
      <x:c r="B2262" s="168" t="str">
        <x:v>CRESTONE I FUNDO DE INVESTIMENTO EM DIREITOS CREDITÓRIOS</x:v>
      </x:c>
      <x:c r="C2262" s="190" t="n">
        <x:v>17701456.38</x:v>
      </x:c>
      <x:c r="D2262" s="168" t="str">
        <x:v>Laplace Capital</x:v>
      </x:c>
      <x:c r="E2262" s="168" t="str">
        <x:f>IFERROR(INDEX('Classif Gestoras'!$H$6:$H$462,MATCH(D2262,'Classif Gestoras'!$A$6:$A$462,0)),"Não classificada")</x:f>
        <x:v>Independente</x:v>
      </x:c>
      <x:c r="F2262" s="168" t="str">
        <x:v>BRL TRUST DTVM</x:v>
      </x:c>
      <x:c r="G2262" s="168" t="str">
        <x:v>BRL TRUST DISTRIBUIDORA DE TITULOS E VALORES MOBILIARIOS S.A.</x:v>
      </x:c>
      <x:c r="H2262" s="168" t="str">
        <x:v>Outros</x:v>
      </x:c>
      <x:c r="I2262" s="168" t="str">
        <x:v>Multicarteira Outros</x:v>
      </x:c>
      <x:c r="J2262" s="168" t="str">
        <x:v>CI</x:v>
      </x:c>
      <x:c r="K2262" s="174" t="n">
        <x:v>8</x:v>
      </x:c>
      <x:c r="L2262" s="187" t="str">
        <x:v>Proxy multicedente/multissacado — revisar</x:v>
      </x:c>
    </x:row>
    <x:row r="2263">
      <x:c r="A2263" s="177" t="str">
        <x:v>46.082.697/0001-98</x:v>
      </x:c>
      <x:c r="B2263" s="168" t="str">
        <x:v>GARSON BR FUNDO DE INVESTIMENTO EM DIREITOS CREDITÓRIOS - RESPONSABILIDADE LIMITADA</x:v>
      </x:c>
      <x:c r="C2263" s="190" t="n">
        <x:v>17670668.939999998</x:v>
      </x:c>
      <x:c r="D2263" s="168" t="str">
        <x:v>M8 Partners</x:v>
      </x:c>
      <x:c r="E2263" s="168" t="str">
        <x:f>IFERROR(INDEX('Classif Gestoras'!$H$6:$H$462,MATCH(D2263,'Classif Gestoras'!$A$6:$A$462,0)),"Não classificada")</x:f>
        <x:v>Independente</x:v>
      </x:c>
      <x:c r="F2263" s="168" t="str">
        <x:v>HEMERA DTVM</x:v>
      </x:c>
      <x:c r="G2263" s="168" t="str">
        <x:v>HEMERA DISTRIBUIDORA DE TITULOS E VALORES MOBILIARIOS LTDA</x:v>
      </x:c>
      <x:c r="H2263" s="168" t="str">
        <x:v>Financeiro</x:v>
      </x:c>
      <x:c r="I2263" s="168" t="str">
        <x:v>Multicarteira Financeiro</x:v>
      </x:c>
      <x:c r="J2263" s="168" t="str">
        <x:v>CI</x:v>
      </x:c>
      <x:c r="K2263" s="174" t="n">
        <x:v>9</x:v>
      </x:c>
      <x:c r="L2263" s="187" t="str">
        <x:v>Proxy multicedente/multissacado — revisar</x:v>
      </x:c>
    </x:row>
    <x:row r="2264">
      <x:c r="A2264" s="177" t="str">
        <x:v>61.149.505/0001-07</x:v>
      </x:c>
      <x:c r="B2264" s="168" t="str">
        <x:v>FUNDO DE INVESTIMENTO EM DIREITOS CREDITÓRIOS NEXA BWM - RESPONSABILIDADE LIMITADA</x:v>
      </x:c>
      <x:c r="C2264" s="190" t="n">
        <x:v>17598078.9</x:v>
      </x:c>
      <x:c r="D2264" s="168" t="str">
        <x:v>Nexa</x:v>
      </x:c>
      <x:c r="E2264" s="168" t="str">
        <x:f>IFERROR(INDEX('Classif Gestoras'!$H$6:$H$462,MATCH(D2264,'Classif Gestoras'!$A$6:$A$462,0)),"Não classificada")</x:f>
        <x:v>Independente</x:v>
      </x:c>
      <x:c r="F2264" s="168" t="str">
        <x:v>VÓRTX DTVM</x:v>
      </x:c>
      <x:c r="G2264" s="168" t="str">
        <x:v>VORTX DISTRIBUIDORA DE TITULOS E VALORES MOBILIARIOS LTDA.</x:v>
      </x:c>
      <x:c r="H2264" s="168" t="str">
        <x:v>Outros</x:v>
      </x:c>
      <x:c r="I2264" s="168" t="str">
        <x:v>Multicarteira Outros</x:v>
      </x:c>
      <x:c r="J2264" s="168" t="str">
        <x:v>CI</x:v>
      </x:c>
      <x:c r="K2264" s="174" t="n">
        <x:v>1</x:v>
      </x:c>
      <x:c r="L2264" s="187" t="str">
        <x:v>Proxy multicedente/multissacado — revisar</x:v>
      </x:c>
    </x:row>
    <x:row r="2265">
      <x:c r="A2265" s="177" t="str">
        <x:v>58.954.368/0001-79</x:v>
      </x:c>
      <x:c r="B2265" s="168" t="str">
        <x:v>BELLAGIO FUNDO DE INVESTIMENTO EM DIREITOS CREDITÓRIOS NP</x:v>
      </x:c>
      <x:c r="C2265" s="190" t="n">
        <x:v>17587726.849999998</x:v>
      </x:c>
      <x:c r="D2265" s="168" t="str">
        <x:v>Multiplica Capital</x:v>
      </x:c>
      <x:c r="E2265" s="168" t="str">
        <x:f>IFERROR(INDEX('Classif Gestoras'!$H$6:$H$462,MATCH(D2265,'Classif Gestoras'!$A$6:$A$462,0)),"Não classificada")</x:f>
        <x:v>Independente</x:v>
      </x:c>
      <x:c r="F2265" s="168" t="str">
        <x:v>Singulare</x:v>
      </x:c>
      <x:c r="G2265" s="168" t="str">
        <x:v>QI CORRETORA DE TÍTULOS E VALORES MOBILIÁRIOS S.A.</x:v>
      </x:c>
      <x:c r="H2265" s="168" t="str">
        <x:v>Fomento Mercantil</x:v>
      </x:c>
      <x:c r="I2265" s="168" t="str">
        <x:v>Fomento Mercantil</x:v>
      </x:c>
      <x:c r="J2265" s="168" t="str">
        <x:v>CI</x:v>
      </x:c>
      <x:c r="K2265" s="174" t="n">
        <x:v>1</x:v>
      </x:c>
      <x:c r="L2265" s="187" t="str">
        <x:v>Não classificado</x:v>
      </x:c>
    </x:row>
    <x:row r="2266">
      <x:c r="A2266" s="177" t="str">
        <x:v>50.555.281/0001-17</x:v>
      </x:c>
      <x:c r="B2266" s="168" t="str">
        <x:v>RECEBÍVEIS BRASIL INFRA FUNDO DE INVESTIMENTO EM DIREITOS CREDITÓRIOS NÃO-PADRONIZADOS</x:v>
      </x:c>
      <x:c r="C2266" s="190" t="n">
        <x:v>17479886.599999998</x:v>
      </x:c>
      <x:c r="D2266" s="168" t="str">
        <x:v>OURO PRETO INVESTIMENTOS</x:v>
      </x:c>
      <x:c r="E2266" s="168" t="str">
        <x:f>IFERROR(INDEX('Classif Gestoras'!$H$6:$H$462,MATCH(D2266,'Classif Gestoras'!$A$6:$A$462,0)),"Não classificada")</x:f>
        <x:v>Independente</x:v>
      </x:c>
      <x:c r="F2266" s="168" t="str">
        <x:v>ID Corretora de Títulos e Valores Mobiliários S.A.</x:v>
      </x:c>
      <x:c r="G2266" s="168" t="str">
        <x:v>ID CORRETORA DE TITULOS E VALORES MOBILIARIOS S.A.</x:v>
      </x:c>
      <x:c r="H2266" s="168" t="str">
        <x:v>Outros</x:v>
      </x:c>
      <x:c r="I2266" s="168" t="str">
        <x:v>Multicarteira Outros</x:v>
      </x:c>
      <x:c r="J2266" s="168" t="str">
        <x:v>CI</x:v>
      </x:c>
      <x:c r="K2266" s="174" t="n">
        <x:v>5</x:v>
      </x:c>
      <x:c r="L2266" s="187" t="str">
        <x:v>Proxy multicedente/multissacado — revisar</x:v>
      </x:c>
    </x:row>
    <x:row r="2267">
      <x:c r="A2267" s="177" t="str">
        <x:v>55.790.118/0001-52</x:v>
      </x:c>
      <x:c r="B2267" s="168" t="str">
        <x:v>OPINVEST FUNDO DE INVESTIMENTO EM DIREITOS CREDITÓRIOS</x:v>
      </x:c>
      <x:c r="C2267" s="190" t="n">
        <x:v>17472219.540000003</x:v>
      </x:c>
      <x:c r="D2267" s="168" t="str">
        <x:v>AZUMI ASSET</x:v>
      </x:c>
      <x:c r="E2267" s="168" t="str">
        <x:f>IFERROR(INDEX('Classif Gestoras'!$H$6:$H$462,MATCH(D2267,'Classif Gestoras'!$A$6:$A$462,0)),"Não classificada")</x:f>
        <x:v>Independente</x:v>
      </x:c>
      <x:c r="F2267" s="168" t="str">
        <x:v>AZUMI DISTRIBUIDORA DE TÍTULOS E VALORES MOBILIÁRIOS LT</x:v>
      </x:c>
      <x:c r="G2267" s="168" t="str">
        <x:v>AZUMI DISTRIBUIDORA DE TÍTULOS E VALORES MOBILIÁRIOS LTDA.</x:v>
      </x:c>
      <x:c r="H2267" s="168" t="str">
        <x:v>Outros</x:v>
      </x:c>
      <x:c r="I2267" s="168" t="str">
        <x:v>Multicarteira Outros</x:v>
      </x:c>
      <x:c r="J2267" s="168" t="str">
        <x:v>CI</x:v>
      </x:c>
      <x:c r="K2267" s="174" t="n">
        <x:v>16</x:v>
      </x:c>
      <x:c r="L2267" s="187" t="str">
        <x:v>Proxy multicedente/multissacado — revisar</x:v>
      </x:c>
    </x:row>
    <x:row r="2268">
      <x:c r="A2268" s="177" t="str">
        <x:v>50.153.210/0001-98</x:v>
      </x:c>
      <x:c r="B2268" s="168" t="str">
        <x:v>AMETISTA CONSIGNADO I FUNDO DE INVESTIMENTO EM DIREITOS CREDITÓRIOS</x:v>
      </x:c>
      <x:c r="C2268" s="190" t="n">
        <x:v>17467509.37</x:v>
      </x:c>
      <x:c r="D2268" s="168" t="str">
        <x:v>FICTOR ASSET</x:v>
      </x:c>
      <x:c r="E2268" s="168" t="str">
        <x:f>IFERROR(INDEX('Classif Gestoras'!$H$6:$H$462,MATCH(D2268,'Classif Gestoras'!$A$6:$A$462,0)),"Não classificada")</x:f>
        <x:v>Independente</x:v>
      </x:c>
      <x:c r="F2268" s="168" t="str">
        <x:v>Qore DTVM</x:v>
      </x:c>
      <x:c r="G2268" s="168" t="str">
        <x:v>QORE DISTRIBUIDORA DE TÍTULOS E VALORES MOBILIÁRIOS LTDA.</x:v>
      </x:c>
      <x:c r="H2268" s="168" t="str">
        <x:v>Outros</x:v>
      </x:c>
      <x:c r="I2268" s="168" t="str">
        <x:v>Multicarteira Outros</x:v>
      </x:c>
      <x:c r="J2268" s="168" t="str">
        <x:v>CI</x:v>
      </x:c>
      <x:c r="K2268" s="174" t="n">
        <x:v>2</x:v>
      </x:c>
      <x:c r="L2268" s="187" t="str">
        <x:v>Proxy multicedente/multissacado — revisar</x:v>
      </x:c>
    </x:row>
    <x:row r="2269">
      <x:c r="A2269" s="177" t="str">
        <x:v>49.325.599/0001-22</x:v>
      </x:c>
      <x:c r="B2269" s="168" t="str">
        <x:v>BBG I FUNDO DE INVESTIMENTO EM DIREITOS CREDITÓRIOS</x:v>
      </x:c>
      <x:c r="C2269" s="190" t="n">
        <x:v>17408676.3</x:v>
      </x:c>
      <x:c r="D2269" s="168" t="str">
        <x:v>TERCON ASSET MANAGEMENT</x:v>
      </x:c>
      <x:c r="E2269" s="168" t="str">
        <x:f>IFERROR(INDEX('Classif Gestoras'!$H$6:$H$462,MATCH(D2269,'Classif Gestoras'!$A$6:$A$462,0)),"Não classificada")</x:f>
        <x:v>Independente</x:v>
      </x:c>
      <x:c r="F2269" s="168" t="str">
        <x:v>Singulare</x:v>
      </x:c>
      <x:c r="G2269" s="168" t="str">
        <x:v>QI CORRETORA DE TÍTULOS E VALORES MOBILIÁRIOS S.A.</x:v>
      </x:c>
      <x:c r="H2269" s="168" t="str">
        <x:v>Fomento Mercantil</x:v>
      </x:c>
      <x:c r="I2269" s="168" t="str">
        <x:v>Fomento Mercantil</x:v>
      </x:c>
      <x:c r="J2269" s="168" t="str">
        <x:v>CI</x:v>
      </x:c>
      <x:c r="K2269" s="174" t="n">
        <x:v>7</x:v>
      </x:c>
      <x:c r="L2269" s="187" t="str">
        <x:v>Não classificado</x:v>
      </x:c>
    </x:row>
    <x:row r="2270">
      <x:c r="A2270" s="177" t="str">
        <x:v>63.964.785/0001-32</x:v>
      </x:c>
      <x:c r="B2270" s="168" t="str">
        <x:v>CNPJ 63964785000132</x:v>
      </x:c>
      <x:c r="C2270" s="190" t="n">
        <x:v>17407348.29</x:v>
      </x:c>
      <x:c r="D2270" s="168" t="str">
        <x:v>UC Gestora de Recursos</x:v>
      </x:c>
      <x:c r="E2270" s="168" t="str">
        <x:f>IFERROR(INDEX('Classif Gestoras'!$H$6:$H$462,MATCH(D2270,'Classif Gestoras'!$A$6:$A$462,0)),"Não classificada")</x:f>
        <x:v>Independente</x:v>
      </x:c>
      <x:c r="F2270" s="168" t="str">
        <x:v>PLANNER CV</x:v>
      </x:c>
      <x:c r="G2270" s="168" t="str">
        <x:v>Não identificado</x:v>
      </x:c>
      <x:c r="H2270" s="168" t="str">
        <x:v>Fomento Mercantil</x:v>
      </x:c>
      <x:c r="I2270" s="168" t="str">
        <x:v>Fomento Mercantil</x:v>
      </x:c>
      <x:c r="J2270" s="168" t="str">
        <x:v>CI</x:v>
      </x:c>
      <x:c r="K2270" s="174"/>
      <x:c r="L2270" s="187" t="str">
        <x:v>Não classificado</x:v>
      </x:c>
    </x:row>
    <x:row r="2271">
      <x:c r="A2271" s="177" t="str">
        <x:v>51.731.270/0001-03</x:v>
      </x:c>
      <x:c r="B2271" s="168" t="str">
        <x:v>D'ORO CAPITAL FUNDO DE INVESTIMENTO EM DIREITOS CREDITÓRIOS CRÉDITO CORPORATIVO - RESP LIMITADA</x:v>
      </x:c>
      <x:c r="C2271" s="190" t="n">
        <x:v>17372523.16</x:v>
      </x:c>
      <x:c r="D2271" s="168" t="str">
        <x:v>Harbour Capital</x:v>
      </x:c>
      <x:c r="E2271" s="168" t="str">
        <x:f>IFERROR(INDEX('Classif Gestoras'!$H$6:$H$462,MATCH(D2271,'Classif Gestoras'!$A$6:$A$462,0)),"Não classificada")</x:f>
        <x:v>Independente</x:v>
      </x:c>
      <x:c r="F2271" s="168" t="str">
        <x:v>Limine Trust Distribuidora de Titulos e Valores Mobiliá</x:v>
      </x:c>
      <x:c r="G2271" s="168" t="str">
        <x:v>LIMINE TRUST DISTRIBUIDORA DE TITULOS E VALORES MOBILIARIOS LTDA.</x:v>
      </x:c>
      <x:c r="H2271" s="168" t="str">
        <x:v>Outros</x:v>
      </x:c>
      <x:c r="I2271" s="168" t="str">
        <x:v>Multicarteira Outros</x:v>
      </x:c>
      <x:c r="J2271" s="168" t="str">
        <x:v>CI</x:v>
      </x:c>
      <x:c r="K2271" s="174" t="n">
        <x:v>19</x:v>
      </x:c>
      <x:c r="L2271" s="187" t="str">
        <x:v>Proxy multicedente/multissacado — revisar</x:v>
      </x:c>
    </x:row>
    <x:row r="2272">
      <x:c r="A2272" s="177" t="str">
        <x:v>25.235.009/0001-02</x:v>
      </x:c>
      <x:c r="B2272" s="168" t="str">
        <x:v>FUNDO DE INVESTIMENTO EM DIREITOS CREDITÓRIOS EMPÍRICA IMOBILIÁRIO</x:v>
      </x:c>
      <x:c r="C2272" s="190" t="n">
        <x:v>17323818.910000004</x:v>
      </x:c>
      <x:c r="D2272" s="168" t="str">
        <x:v>REAG GESTÃO DE CRÉDITO</x:v>
      </x:c>
      <x:c r="E2272" s="168" t="str">
        <x:f>IFERROR(INDEX('Classif Gestoras'!$H$6:$H$462,MATCH(D2272,'Classif Gestoras'!$A$6:$A$462,0)),"Não classificada")</x:f>
        <x:v>Independente</x:v>
      </x:c>
      <x:c r="F2272" s="168" t="str">
        <x:v>Oliveira Trust DTVM</x:v>
      </x:c>
      <x:c r="G2272" s="168" t="str">
        <x:v>OLIVEIRA TRUST DTVM S.A.</x:v>
      </x:c>
      <x:c r="H2272" s="168" t="str">
        <x:v>Financeiro</x:v>
      </x:c>
      <x:c r="I2272" s="168" t="str">
        <x:v>Crédito Imobiliário</x:v>
      </x:c>
      <x:c r="J2272" s="168" t="str">
        <x:v>CI</x:v>
      </x:c>
      <x:c r="K2272" s="174" t="n">
        <x:v>5</x:v>
      </x:c>
      <x:c r="L2272" s="187" t="str">
        <x:v>Não classificado</x:v>
      </x:c>
    </x:row>
    <x:row r="2273">
      <x:c r="A2273" s="177" t="str">
        <x:v>59.070.167/0001-71</x:v>
      </x:c>
      <x:c r="B2273" s="168" t="str">
        <x:v>CAPITEL INVEST FIDC CREDITÓRIOS NÃO PADRONIZADOS - RESPONSABILIDADE LIMITADA</x:v>
      </x:c>
      <x:c r="C2273" s="190" t="n">
        <x:v>17271566.53</x:v>
      </x:c>
      <x:c r="D2273" s="168" t="str">
        <x:v>TERCON ASSET MANAGEMENT</x:v>
      </x:c>
      <x:c r="E2273" s="168" t="str">
        <x:f>IFERROR(INDEX('Classif Gestoras'!$H$6:$H$462,MATCH(D2273,'Classif Gestoras'!$A$6:$A$462,0)),"Não classificada")</x:f>
        <x:v>Independente</x:v>
      </x:c>
      <x:c r="F2273" s="168" t="str">
        <x:v>Singulare</x:v>
      </x:c>
      <x:c r="G2273" s="168" t="str">
        <x:v>QI CORRETORA DE TÍTULOS E VALORES MOBILIÁRIOS S.A.</x:v>
      </x:c>
      <x:c r="H2273" s="168" t="str">
        <x:v>Fomento Mercantil</x:v>
      </x:c>
      <x:c r="I2273" s="168" t="str">
        <x:v>Fomento Mercantil</x:v>
      </x:c>
      <x:c r="J2273" s="168" t="str">
        <x:v>CI</x:v>
      </x:c>
      <x:c r="K2273" s="174" t="n">
        <x:v>3</x:v>
      </x:c>
      <x:c r="L2273" s="187" t="str">
        <x:v>Não classificado</x:v>
      </x:c>
    </x:row>
    <x:row r="2274">
      <x:c r="A2274" s="177" t="str">
        <x:v>59.679.768/0001-86</x:v>
      </x:c>
      <x:c r="B2274" s="168" t="str">
        <x:v>AMANA FUNDO DE INVESTIMENTO EM DIREITOS CREDITÓRIOS</x:v>
      </x:c>
      <x:c r="C2274" s="190" t="n">
        <x:v>17239823.950000003</x:v>
      </x:c>
      <x:c r="D2274" s="168" t="str">
        <x:v>Redwood Asset Management</x:v>
      </x:c>
      <x:c r="E2274" s="168" t="str">
        <x:f>IFERROR(INDEX('Classif Gestoras'!$H$6:$H$462,MATCH(D2274,'Classif Gestoras'!$A$6:$A$462,0)),"Não classificada")</x:f>
        <x:v>Independente</x:v>
      </x:c>
      <x:c r="F2274" s="168" t="str">
        <x:v>PLANNER CV</x:v>
      </x:c>
      <x:c r="G2274" s="168" t="str">
        <x:v>PLANNER CORRETORA DE VALORES S.A.</x:v>
      </x:c>
      <x:c r="H2274" s="168" t="str">
        <x:v>Outros</x:v>
      </x:c>
      <x:c r="I2274" s="168" t="str">
        <x:v>Multicarteira Outros</x:v>
      </x:c>
      <x:c r="J2274" s="168" t="str">
        <x:v>CI</x:v>
      </x:c>
      <x:c r="K2274" s="174" t="n">
        <x:v>6</x:v>
      </x:c>
      <x:c r="L2274" s="187" t="str">
        <x:v>Proxy multicedente/multissacado — revisar</x:v>
      </x:c>
    </x:row>
    <x:row r="2275">
      <x:c r="A2275" s="177" t="str">
        <x:v>32.274.238/0001-00</x:v>
      </x:c>
      <x:c r="B2275" s="168" t="str">
        <x:v>SAM 2 - FUNDO DE INVESTIMENTO EM DIREITOS CREDITÓRIOS</x:v>
      </x:c>
      <x:c r="C2275" s="190" t="n">
        <x:v>17230255.93</x:v>
      </x:c>
      <x:c r="D2275" s="168" t="str">
        <x:v>Quadra Gestão de Recursos S.A.</x:v>
      </x:c>
      <x:c r="E2275" s="168" t="str">
        <x:f>IFERROR(INDEX('Classif Gestoras'!$H$6:$H$462,MATCH(D2275,'Classif Gestoras'!$A$6:$A$462,0)),"Não classificada")</x:f>
        <x:v>Independente</x:v>
      </x:c>
      <x:c r="F2275" s="168" t="str">
        <x:v>MAF Distribuidora de Títulos e Valores Mobiliários S.A.</x:v>
      </x:c>
      <x:c r="G2275" s="168" t="str">
        <x:v>MAF DISTRIBUIDORA DE TITULOS E VALORES MOBILIARIOS S.A.</x:v>
      </x:c>
      <x:c r="H2275" s="168" t="str">
        <x:v>Outros</x:v>
      </x:c>
      <x:c r="I2275" s="168" t="str">
        <x:v>Poder Público</x:v>
      </x:c>
      <x:c r="J2275" s="168" t="str">
        <x:v>CI</x:v>
      </x:c>
      <x:c r="K2275" s="174" t="n">
        <x:v>1</x:v>
      </x:c>
      <x:c r="L2275" s="187" t="str">
        <x:v>Não classificado</x:v>
      </x:c>
    </x:row>
    <x:row r="2276">
      <x:c r="A2276" s="177" t="str">
        <x:v>64.738.624/0001-93</x:v>
      </x:c>
      <x:c r="B2276" s="168" t="str">
        <x:v>FIRST AUTO I FUNDO DE INVESTIMENTOS EM CREDITÓRIOS RESPONSABILIDADE LIMITADA</x:v>
      </x:c>
      <x:c r="C2276" s="190" t="n">
        <x:v>17217776.47</x:v>
      </x:c>
      <x:c r="D2276" s="168" t="str">
        <x:v>ORRAM GESTÃO DE RECURSOS LTDA.</x:v>
      </x:c>
      <x:c r="E2276" s="168" t="str">
        <x:f>IFERROR(INDEX('Classif Gestoras'!$H$6:$H$462,MATCH(D2276,'Classif Gestoras'!$A$6:$A$462,0)),"Não classificada")</x:f>
        <x:v>Independente</x:v>
      </x:c>
      <x:c r="F2276" s="168" t="str">
        <x:v>VÓRTX DTVM</x:v>
      </x:c>
      <x:c r="G2276" s="168" t="str">
        <x:v>VORTX DISTRIBUIDORA DE TITULOS E VALORES MOBILIARIOS LTDA.</x:v>
      </x:c>
      <x:c r="H2276" s="168" t="str">
        <x:v>Financeiro</x:v>
      </x:c>
      <x:c r="I2276" s="168" t="str">
        <x:v>Financiamento de Veículos</x:v>
      </x:c>
      <x:c r="J2276" s="168" t="str">
        <x:v>CI</x:v>
      </x:c>
      <x:c r="K2276" s="174" t="n">
        <x:v>17</x:v>
      </x:c>
      <x:c r="L2276" s="187" t="str">
        <x:v>Não classificado</x:v>
      </x:c>
    </x:row>
    <x:row r="2277">
      <x:c r="A2277" s="177" t="str">
        <x:v>59.998.554/0001-72</x:v>
      </x:c>
      <x:c r="B2277" s="168" t="str">
        <x:v>MAIS TODOS NOVOS NEGÓCIOS FUNDO DE INVESTIMENTO EM DIREITOS CREDITÓRIOS RESPONSABILIDADE LIMITADA</x:v>
      </x:c>
      <x:c r="C2277" s="190" t="n">
        <x:v>17152958.44</x:v>
      </x:c>
      <x:c r="D2277" s="168" t="str">
        <x:v>XVI Capital</x:v>
      </x:c>
      <x:c r="E2277" s="168" t="str">
        <x:f>IFERROR(INDEX('Classif Gestoras'!$H$6:$H$462,MATCH(D2277,'Classif Gestoras'!$A$6:$A$462,0)),"Não classificada")</x:f>
        <x:v>Independente</x:v>
      </x:c>
      <x:c r="F2277" s="168" t="str">
        <x:v>BANCO DAYCOVAL S/A</x:v>
      </x:c>
      <x:c r="G2277" s="168" t="str">
        <x:v>BANCO DAYCOVAL S.A.</x:v>
      </x:c>
      <x:c r="H2277" s="168" t="str">
        <x:v>Outros</x:v>
      </x:c>
      <x:c r="I2277" s="168" t="str">
        <x:v>Multicarteira Outros</x:v>
      </x:c>
      <x:c r="J2277" s="168" t="str">
        <x:v>CI</x:v>
      </x:c>
      <x:c r="K2277" s="174" t="n">
        <x:v>4</x:v>
      </x:c>
      <x:c r="L2277" s="187" t="str">
        <x:v>Proxy multicedente/multissacado — revisar</x:v>
      </x:c>
    </x:row>
    <x:row r="2278">
      <x:c r="A2278" s="177" t="str">
        <x:v>55.947.377/0001-44</x:v>
      </x:c>
      <x:c r="B2278" s="168" t="str">
        <x:v>CLASSE ÚNICA DE RESP LIMITADA DO PLGN FORNECEDORES FUNDO DE INVESTIMENTO EM DIREITOS CREDITORIOS</x:v>
      </x:c>
      <x:c r="C2278" s="190" t="n">
        <x:v>17100860.41</x:v>
      </x:c>
      <x:c r="D2278" s="168" t="str">
        <x:v>POLÍGONO CAPITAL LTDA.</x:v>
      </x:c>
      <x:c r="E2278" s="168" t="str">
        <x:f>IFERROR(INDEX('Classif Gestoras'!$H$6:$H$462,MATCH(D2278,'Classif Gestoras'!$A$6:$A$462,0)),"Não classificada")</x:f>
        <x:v>Independente</x:v>
      </x:c>
      <x:c r="F2278" s="168" t="str">
        <x:v>Finvest Digital</x:v>
      </x:c>
      <x:c r="G2278" s="168" t="str">
        <x:v>FINVEST DISTRIBUIDORA DE TÍTULOS E VALORES MOBILIÁRIOS LTDA.</x:v>
      </x:c>
      <x:c r="H2278" s="168" t="str">
        <x:v>Outros</x:v>
      </x:c>
      <x:c r="I2278" s="168" t="str">
        <x:v>Multicarteira Outros</x:v>
      </x:c>
      <x:c r="J2278" s="168" t="str">
        <x:v>CI</x:v>
      </x:c>
      <x:c r="K2278" s="174" t="n">
        <x:v>3</x:v>
      </x:c>
      <x:c r="L2278" s="187" t="str">
        <x:v>Proxy multicedente/multissacado — revisar</x:v>
      </x:c>
    </x:row>
    <x:row r="2279">
      <x:c r="A2279" s="177" t="str">
        <x:v>40.733.257/0001-77</x:v>
      </x:c>
      <x:c r="B2279" s="168" t="str">
        <x:v>WBR FUNDO DE INVESTIMENTO EM DIREITOS CREDITÓRIOS</x:v>
      </x:c>
      <x:c r="C2279" s="190" t="n">
        <x:v>17087423.439999998</x:v>
      </x:c>
      <x:c r="D2279" s="168" t="str">
        <x:v>TERCON ASSET MANAGEMENT</x:v>
      </x:c>
      <x:c r="E2279" s="168" t="str">
        <x:f>IFERROR(INDEX('Classif Gestoras'!$H$6:$H$462,MATCH(D2279,'Classif Gestoras'!$A$6:$A$462,0)),"Não classificada")</x:f>
        <x:v>Independente</x:v>
      </x:c>
      <x:c r="F2279" s="168" t="str">
        <x:v>Singulare</x:v>
      </x:c>
      <x:c r="G2279" s="168" t="str">
        <x:v>QI CORRETORA DE TÍTULOS E VALORES MOBILIÁRIOS S.A.</x:v>
      </x:c>
      <x:c r="H2279" s="168" t="str">
        <x:v>Fomento Mercantil</x:v>
      </x:c>
      <x:c r="I2279" s="168" t="str">
        <x:v>Fomento Mercantil</x:v>
      </x:c>
      <x:c r="J2279" s="168" t="str">
        <x:v>CI</x:v>
      </x:c>
      <x:c r="K2279" s="174" t="n">
        <x:v>9</x:v>
      </x:c>
      <x:c r="L2279" s="187" t="str">
        <x:v>Não classificado</x:v>
      </x:c>
    </x:row>
    <x:row r="2280">
      <x:c r="A2280" s="177" t="str">
        <x:v>55.768.864/0001-40</x:v>
      </x:c>
      <x:c r="B2280" s="168" t="str">
        <x:v>CLASSE ÚNICA DE COTAS DO SIMPPLIFY FUNDO DE INVESTIMENTO EM DIREITOS CREDITÓRIOS</x:v>
      </x:c>
      <x:c r="C2280" s="190" t="n">
        <x:v>17083268.849999998</x:v>
      </x:c>
      <x:c r="D2280" s="168" t="str">
        <x:v>BDR Asset</x:v>
      </x:c>
      <x:c r="E2280" s="168" t="str">
        <x:f>IFERROR(INDEX('Classif Gestoras'!$H$6:$H$462,MATCH(D2280,'Classif Gestoras'!$A$6:$A$462,0)),"Não classificada")</x:f>
        <x:v>Independente</x:v>
      </x:c>
      <x:c r="F2280" s="168" t="str">
        <x:v>BANCO DAYCOVAL S/A</x:v>
      </x:c>
      <x:c r="G2280" s="168" t="str">
        <x:v>BANCO DAYCOVAL S.A.</x:v>
      </x:c>
      <x:c r="H2280" s="168" t="str">
        <x:v>Outros</x:v>
      </x:c>
      <x:c r="I2280" s="168" t="str">
        <x:v>Multicarteira Outros</x:v>
      </x:c>
      <x:c r="J2280" s="168" t="str">
        <x:v>CI</x:v>
      </x:c>
      <x:c r="K2280" s="174" t="n">
        <x:v>1</x:v>
      </x:c>
      <x:c r="L2280" s="187" t="str">
        <x:v>Proxy multicedente/multissacado — revisar</x:v>
      </x:c>
    </x:row>
    <x:row r="2281">
      <x:c r="A2281" s="177" t="str">
        <x:v>19.503.125/0001-62</x:v>
      </x:c>
      <x:c r="B2281" s="168" t="str">
        <x:v>FAMA FUNDO DE INVESTIMENTO EM DIREITOS CREDITÓRIOS MULTISEGMENTOS</x:v>
      </x:c>
      <x:c r="C2281" s="190" t="n">
        <x:v>17057928.48</x:v>
      </x:c>
      <x:c r="D2281" s="168" t="str">
        <x:v>Petra Capital</x:v>
      </x:c>
      <x:c r="E2281" s="168" t="str">
        <x:f>IFERROR(INDEX('Classif Gestoras'!$H$6:$H$462,MATCH(D2281,'Classif Gestoras'!$A$6:$A$462,0)),"Não classificada")</x:f>
        <x:v>Independente</x:v>
      </x:c>
      <x:c r="F2281" s="168" t="str">
        <x:v>Banco Finaxis S.A.</x:v>
      </x:c>
      <x:c r="G2281" s="168" t="str">
        <x:v>BANCO FINAXIS S.A.</x:v>
      </x:c>
      <x:c r="H2281" s="168" t="str">
        <x:v>Fomento Mercantil</x:v>
      </x:c>
      <x:c r="I2281" s="168" t="str">
        <x:v>Fomento Mercantil</x:v>
      </x:c>
      <x:c r="J2281" s="168" t="str">
        <x:v>CI</x:v>
      </x:c>
      <x:c r="K2281" s="174" t="n">
        <x:v>1</x:v>
      </x:c>
      <x:c r="L2281" s="187" t="str">
        <x:v>Não classificado</x:v>
      </x:c>
    </x:row>
    <x:row r="2282">
      <x:c r="A2282" s="177" t="str">
        <x:v>54.776.530/0001-55</x:v>
      </x:c>
      <x:c r="B2282" s="168" t="str">
        <x:v>FINTRUST FUNDO DE INVESTIMENTO EM DIREITOS CREDITÓRIOS</x:v>
      </x:c>
      <x:c r="C2282" s="190" t="n">
        <x:v>17052060.650000002</x:v>
      </x:c>
      <x:c r="D2282" s="168" t="str">
        <x:v>Catálise Investimentos</x:v>
      </x:c>
      <x:c r="E2282" s="168" t="str">
        <x:f>IFERROR(INDEX('Classif Gestoras'!$H$6:$H$462,MATCH(D2282,'Classif Gestoras'!$A$6:$A$462,0)),"Não classificada")</x:f>
        <x:v>Independente</x:v>
      </x:c>
      <x:c r="F2282" s="168" t="str">
        <x:v>FIDD DISTRIBUIDORA DE TITULOS E VALORES MOBILIARIOS LTD</x:v>
      </x:c>
      <x:c r="G2282" s="168" t="str">
        <x:v>FIDD DISTRIBUIDORA DE TITULOS E VALORES MOBILIARIOS LTDA.</x:v>
      </x:c>
      <x:c r="H2282" s="168" t="str">
        <x:v>Agro, Indústria e Comércio</x:v>
      </x:c>
      <x:c r="I2282" s="168" t="str">
        <x:v>Recebíveis Comerciais</x:v>
      </x:c>
      <x:c r="J2282" s="168" t="str">
        <x:v>CI</x:v>
      </x:c>
      <x:c r="K2282" s="174" t="n">
        <x:v>6</x:v>
      </x:c>
      <x:c r="L2282" s="187" t="str">
        <x:v>Não classificado</x:v>
      </x:c>
    </x:row>
    <x:row r="2283">
      <x:c r="A2283" s="177" t="str">
        <x:v>59.673.010/0001-30</x:v>
      </x:c>
      <x:c r="B2283" s="168" t="str">
        <x:v>FUNDO DE INVESTIMENTO EM DIREITOS CREDITÓRIOS CREDITAS AUTO VEÍCULOS</x:v>
      </x:c>
      <x:c r="C2283" s="190" t="n">
        <x:v>17051709.6</x:v>
      </x:c>
      <x:c r="D2283" s="168" t="str">
        <x:v>VERT Gestora de Recursos Financeiros Ltda.</x:v>
      </x:c>
      <x:c r="E2283" s="168" t="str">
        <x:f>IFERROR(INDEX('Classif Gestoras'!$H$6:$H$462,MATCH(D2283,'Classif Gestoras'!$A$6:$A$462,0)),"Não classificada")</x:f>
        <x:v>Independente</x:v>
      </x:c>
      <x:c r="F2283" s="168" t="str">
        <x:v>BANCO DAYCOVAL S/A</x:v>
      </x:c>
      <x:c r="G2283" s="168" t="str">
        <x:v>BANCO DAYCOVAL S.A.</x:v>
      </x:c>
      <x:c r="H2283" s="168" t="str">
        <x:v>Financeiro</x:v>
      </x:c>
      <x:c r="I2283" s="168" t="str">
        <x:v>Multicarteira Financeiro</x:v>
      </x:c>
      <x:c r="J2283" s="168" t="str">
        <x:v>CI</x:v>
      </x:c>
      <x:c r="K2283" s="174" t="n">
        <x:v>1071</x:v>
      </x:c>
      <x:c r="L2283" s="187" t="str">
        <x:v>Proxy multicedente/multissacado — revisar</x:v>
      </x:c>
    </x:row>
    <x:row r="2284">
      <x:c r="A2284" s="177" t="str">
        <x:v>56.806.240/0001-32</x:v>
      </x:c>
      <x:c r="B2284" s="168" t="str">
        <x:v>FUNDO DE INVESTIMENTO EM DIREITOS CREDITÓRIOS EXT WARREN I DE RESPONSABILIDADE LIMITADA</x:v>
      </x:c>
      <x:c r="C2284" s="190" t="n">
        <x:v>17045320.69</x:v>
      </x:c>
      <x:c r="D2284" s="168" t="str">
        <x:v>Ext Capital</x:v>
      </x:c>
      <x:c r="E2284" s="168" t="str">
        <x:f>IFERROR(INDEX('Classif Gestoras'!$H$6:$H$462,MATCH(D2284,'Classif Gestoras'!$A$6:$A$462,0)),"Não classificada")</x:f>
        <x:v>Independente</x:v>
      </x:c>
      <x:c r="F2284" s="168" t="str">
        <x:v>BANCO DAYCOVAL S/A</x:v>
      </x:c>
      <x:c r="G2284" s="168" t="str">
        <x:v>BANCO DAYCOVAL S.A.</x:v>
      </x:c>
      <x:c r="H2284" s="168" t="str">
        <x:v>Financeiro</x:v>
      </x:c>
      <x:c r="I2284" s="168" t="str">
        <x:v>Multicarteira Financeiro</x:v>
      </x:c>
      <x:c r="J2284" s="168" t="str">
        <x:v>CI</x:v>
      </x:c>
      <x:c r="K2284" s="174" t="n">
        <x:v>18</x:v>
      </x:c>
      <x:c r="L2284" s="187" t="str">
        <x:v>Proxy multicedente/multissacado — revisar</x:v>
      </x:c>
    </x:row>
    <x:row r="2285">
      <x:c r="A2285" s="177" t="str">
        <x:v>63.606.548/0001-08</x:v>
      </x:c>
      <x:c r="B2285" s="168" t="str">
        <x:v>AURA INVEST FUNDO DE INVESTIMENTO EM DIREITOS CREDITÓRIOS CRÉDITO CORPORATIVO</x:v>
      </x:c>
      <x:c r="C2285" s="190" t="n">
        <x:v>17010412.650000002</x:v>
      </x:c>
      <x:c r="D2285" s="168" t="str">
        <x:v>Harbour Capital</x:v>
      </x:c>
      <x:c r="E2285" s="168" t="str">
        <x:f>IFERROR(INDEX('Classif Gestoras'!$H$6:$H$462,MATCH(D2285,'Classif Gestoras'!$A$6:$A$462,0)),"Não classificada")</x:f>
        <x:v>Independente</x:v>
      </x:c>
      <x:c r="F2285" s="168" t="str">
        <x:v>AZUMI DISTRIBUIDORA DE TÍTULOS E VALORES MOBILIÁRIOS LT</x:v>
      </x:c>
      <x:c r="G2285" s="168" t="str">
        <x:v>AZUMI DISTRIBUIDORA DE TÍTULOS E VALORES MOBILIÁRIOS LTDA.</x:v>
      </x:c>
      <x:c r="H2285" s="168" t="str">
        <x:v>Fomento Mercantil</x:v>
      </x:c>
      <x:c r="I2285" s="168" t="str">
        <x:v>Fomento Mercantil</x:v>
      </x:c>
      <x:c r="J2285" s="168" t="str">
        <x:v>CI</x:v>
      </x:c>
      <x:c r="K2285" s="174" t="n">
        <x:v>2</x:v>
      </x:c>
      <x:c r="L2285" s="187" t="str">
        <x:v>Não classificado</x:v>
      </x:c>
    </x:row>
    <x:row r="2286">
      <x:c r="A2286" s="177" t="str">
        <x:v>30.808.102/0001-07</x:v>
      </x:c>
      <x:c r="B2286" s="168" t="str">
        <x:v>SAM - FUNDO DE INVESTIMENTO EM DIREITOS CREDITÓRIOS</x:v>
      </x:c>
      <x:c r="C2286" s="190" t="n">
        <x:v>16937350.02</x:v>
      </x:c>
      <x:c r="D2286" s="168" t="str">
        <x:v>Quadra Gestão de Recursos S.A.</x:v>
      </x:c>
      <x:c r="E2286" s="168" t="str">
        <x:f>IFERROR(INDEX('Classif Gestoras'!$H$6:$H$462,MATCH(D2286,'Classif Gestoras'!$A$6:$A$462,0)),"Não classificada")</x:f>
        <x:v>Independente</x:v>
      </x:c>
      <x:c r="F2286" s="168" t="str">
        <x:v>MAF Distribuidora de Títulos e Valores Mobiliários S.A.</x:v>
      </x:c>
      <x:c r="G2286" s="168" t="str">
        <x:v>MAF DISTRIBUIDORA DE TITULOS E VALORES MOBILIARIOS S.A.</x:v>
      </x:c>
      <x:c r="H2286" s="168" t="str">
        <x:v>Outros</x:v>
      </x:c>
      <x:c r="I2286" s="168" t="str">
        <x:v>Multicarteira Outros</x:v>
      </x:c>
      <x:c r="J2286" s="168" t="str">
        <x:v>CI</x:v>
      </x:c>
      <x:c r="K2286" s="174" t="n">
        <x:v>2</x:v>
      </x:c>
      <x:c r="L2286" s="187" t="str">
        <x:v>Proxy multicedente/multissacado — revisar</x:v>
      </x:c>
    </x:row>
    <x:row r="2287">
      <x:c r="A2287" s="177" t="str">
        <x:v>46.082.838/0001-72</x:v>
      </x:c>
      <x:c r="B2287" s="168" t="str">
        <x:v>ENGENHO FUNDO DE INVESTIMENTO EM DIREITOS CREDITÓRIOS</x:v>
      </x:c>
      <x:c r="C2287" s="190" t="n">
        <x:v>16936146.720000003</x:v>
      </x:c>
      <x:c r="D2287" s="168" t="str">
        <x:v>Solis</x:v>
      </x:c>
      <x:c r="E2287" s="168" t="str">
        <x:f>IFERROR(INDEX('Classif Gestoras'!$H$6:$H$462,MATCH(D2287,'Classif Gestoras'!$A$6:$A$462,0)),"Não classificada")</x:f>
        <x:v>Independente</x:v>
      </x:c>
      <x:c r="F2287" s="168" t="str">
        <x:v>HEMERA DTVM</x:v>
      </x:c>
      <x:c r="G2287" s="168" t="str">
        <x:v>HEMERA DISTRIBUIDORA DE TITULOS E VALORES MOBILIARIOS LTDA</x:v>
      </x:c>
      <x:c r="H2287" s="168" t="str">
        <x:v>Outros</x:v>
      </x:c>
      <x:c r="I2287" s="168" t="str">
        <x:v>Multicarteira Outros</x:v>
      </x:c>
      <x:c r="J2287" s="168" t="str">
        <x:v>CI</x:v>
      </x:c>
      <x:c r="K2287" s="174" t="n">
        <x:v>5</x:v>
      </x:c>
      <x:c r="L2287" s="187" t="str">
        <x:v>Proxy multicedente/multissacado — revisar</x:v>
      </x:c>
    </x:row>
    <x:row r="2288">
      <x:c r="A2288" s="177" t="str">
        <x:v>47.425.776/0001-17</x:v>
      </x:c>
      <x:c r="B2288" s="168" t="str">
        <x:v>FAMA FUNDO DE INVESTIMENTO EM DIREITOS CREDITÓRIOS</x:v>
      </x:c>
      <x:c r="C2288" s="190" t="n">
        <x:v>16921643.82</x:v>
      </x:c>
      <x:c r="D2288" s="168" t="str">
        <x:v>TERCON ASSET MANAGEMENT</x:v>
      </x:c>
      <x:c r="E2288" s="168" t="str">
        <x:f>IFERROR(INDEX('Classif Gestoras'!$H$6:$H$462,MATCH(D2288,'Classif Gestoras'!$A$6:$A$462,0)),"Não classificada")</x:f>
        <x:v>Independente</x:v>
      </x:c>
      <x:c r="F2288" s="168" t="str">
        <x:v>Singulare</x:v>
      </x:c>
      <x:c r="G2288" s="168" t="str">
        <x:v>QI CORRETORA DE TÍTULOS E VALORES MOBILIÁRIOS S.A.</x:v>
      </x:c>
      <x:c r="H2288" s="168" t="str">
        <x:v>Fomento Mercantil</x:v>
      </x:c>
      <x:c r="I2288" s="168" t="str">
        <x:v>Fomento Mercantil</x:v>
      </x:c>
      <x:c r="J2288" s="168" t="str">
        <x:v>CI</x:v>
      </x:c>
      <x:c r="K2288" s="174" t="n">
        <x:v>6</x:v>
      </x:c>
      <x:c r="L2288" s="187" t="str">
        <x:v>Não classificado</x:v>
      </x:c>
    </x:row>
    <x:row r="2289">
      <x:c r="A2289" s="177" t="str">
        <x:v>61.698.214/0001-78</x:v>
      </x:c>
      <x:c r="B2289" s="168" t="str">
        <x:v>NEO MORIÁ PRECATÓRIOS I - FUNDO DE INVESTIMENTO EM DIREITOS CREDITÓRIOS - RESPONSABILIDADE LIMITADA</x:v>
      </x:c>
      <x:c r="C2289" s="190" t="n">
        <x:v>16919772.92</x:v>
      </x:c>
      <x:c r="D2289" s="168" t="str">
        <x:v>SPECIAL SITUATIONS NEO GESTAO DE RECURSOS LTDA</x:v>
      </x:c>
      <x:c r="E2289" s="168" t="str">
        <x:f>IFERROR(INDEX('Classif Gestoras'!$H$6:$H$462,MATCH(D2289,'Classif Gestoras'!$A$6:$A$462,0)),"Não classificada")</x:f>
        <x:v>Independente</x:v>
      </x:c>
      <x:c r="F2289" s="168" t="str">
        <x:v>VÓRTX DTVM</x:v>
      </x:c>
      <x:c r="G2289" s="168" t="str">
        <x:v>VORTX DISTRIBUIDORA DE TITULOS E VALORES MOBILIARIOS LTDA.</x:v>
      </x:c>
      <x:c r="H2289" s="168" t="str">
        <x:v>Outros</x:v>
      </x:c>
      <x:c r="I2289" s="168" t="str">
        <x:v>Poder Público</x:v>
      </x:c>
      <x:c r="J2289" s="168" t="str">
        <x:v>CI</x:v>
      </x:c>
      <x:c r="K2289" s="174" t="n">
        <x:v>4</x:v>
      </x:c>
      <x:c r="L2289" s="187" t="str">
        <x:v>Não classificado</x:v>
      </x:c>
    </x:row>
    <x:row r="2290">
      <x:c r="A2290" s="177" t="str">
        <x:v>43.702.427/0001-44</x:v>
      </x:c>
      <x:c r="B2290" s="168" t="str">
        <x:v>GRUPO AFFIX FUNDO DE INVESTIMENTO EM DIREITOS CREDITÓRIOS MULTISSETORIAL</x:v>
      </x:c>
      <x:c r="C2290" s="190" t="n">
        <x:v>16895061.490000002</x:v>
      </x:c>
      <x:c r="D2290" s="168" t="str">
        <x:v>TERCON ASSET MANAGEMENT</x:v>
      </x:c>
      <x:c r="E2290" s="168" t="str">
        <x:f>IFERROR(INDEX('Classif Gestoras'!$H$6:$H$462,MATCH(D2290,'Classif Gestoras'!$A$6:$A$462,0)),"Não classificada")</x:f>
        <x:v>Independente</x:v>
      </x:c>
      <x:c r="F2290" s="168" t="str">
        <x:v>Limine Trust Distribuidora de Titulos e Valores Mobiliá</x:v>
      </x:c>
      <x:c r="G2290" s="168" t="str">
        <x:v>LIMINE TRUST DISTRIBUIDORA DE TITULOS E VALORES MOBILIARIOS LTDA.</x:v>
      </x:c>
      <x:c r="H2290" s="168" t="str">
        <x:v>Fomento Mercantil</x:v>
      </x:c>
      <x:c r="I2290" s="168" t="str">
        <x:v>Fomento Mercantil</x:v>
      </x:c>
      <x:c r="J2290" s="168" t="str">
        <x:v>CI</x:v>
      </x:c>
      <x:c r="K2290" s="174" t="n">
        <x:v>13</x:v>
      </x:c>
      <x:c r="L2290" s="187" t="str">
        <x:v>Não classificado</x:v>
      </x:c>
    </x:row>
    <x:row r="2291">
      <x:c r="A2291" s="177" t="str">
        <x:v>58.363.382/0001-06</x:v>
      </x:c>
      <x:c r="B2291" s="168" t="str">
        <x:v>IPIRANGA FUNDO DE INVESTIMENTO EM DIREITOS CREDITORIOS</x:v>
      </x:c>
      <x:c r="C2291" s="190" t="n">
        <x:v>16786310.18</x:v>
      </x:c>
      <x:c r="D2291" s="168" t="str">
        <x:v>AF Invest</x:v>
      </x:c>
      <x:c r="E2291" s="168" t="str">
        <x:f>IFERROR(INDEX('Classif Gestoras'!$H$6:$H$462,MATCH(D2291,'Classif Gestoras'!$A$6:$A$462,0)),"Não classificada")</x:f>
        <x:v>Independente</x:v>
      </x:c>
      <x:c r="F2291" s="168" t="str">
        <x:v>ACTUAL DTVM</x:v>
      </x:c>
      <x:c r="G2291" s="168" t="str">
        <x:v>TRUSTEE DISTRIBUIDORA DE TITULOS E VALORES MOBILIARIOS LTDA.</x:v>
      </x:c>
      <x:c r="H2291" s="168" t="str">
        <x:v>Outros</x:v>
      </x:c>
      <x:c r="I2291" s="168" t="str">
        <x:v>Multicarteira Outros</x:v>
      </x:c>
      <x:c r="J2291" s="168" t="str">
        <x:v>CI</x:v>
      </x:c>
      <x:c r="K2291" s="174" t="n">
        <x:v>1</x:v>
      </x:c>
      <x:c r="L2291" s="187" t="str">
        <x:v>Proxy multicedente/multissacado — revisar</x:v>
      </x:c>
    </x:row>
    <x:row r="2292">
      <x:c r="A2292" s="177" t="str">
        <x:v>60.456.726/0001-65</x:v>
      </x:c>
      <x:c r="B2292" s="168" t="str">
        <x:v>VIRTUS CAPITAL FUNDO DE INVESTIMENTO EM DIREITOS CREDITÓRIOS DE CLASSE ÚNICA ABERTA</x:v>
      </x:c>
      <x:c r="C2292" s="190" t="n">
        <x:v>16767229.689999998</x:v>
      </x:c>
      <x:c r="D2292" s="168" t="str">
        <x:v>CARMEL GESTORA DE ATIVOS LTDA</x:v>
      </x:c>
      <x:c r="E2292" s="168" t="str">
        <x:f>IFERROR(INDEX('Classif Gestoras'!$H$6:$H$462,MATCH(D2292,'Classif Gestoras'!$A$6:$A$462,0)),"Não classificada")</x:f>
        <x:v>Independente</x:v>
      </x:c>
      <x:c r="F2292" s="168" t="str">
        <x:v>BRL TRUST DTVM</x:v>
      </x:c>
      <x:c r="G2292" s="168" t="str">
        <x:v>QI CORRETORA DE TÍTULOS E VALORES MOBILIÁRIOS S.A.</x:v>
      </x:c>
      <x:c r="H2292" s="168" t="str">
        <x:v>Outros</x:v>
      </x:c>
      <x:c r="I2292" s="168" t="str">
        <x:v>Multicarteira Outros</x:v>
      </x:c>
      <x:c r="J2292" s="168" t="str">
        <x:v>CI</x:v>
      </x:c>
      <x:c r="K2292" s="174" t="n">
        <x:v>29</x:v>
      </x:c>
      <x:c r="L2292" s="187" t="str">
        <x:v>Proxy multicedente/multissacado — revisar</x:v>
      </x:c>
    </x:row>
    <x:row r="2293">
      <x:c r="A2293" s="177" t="str">
        <x:v>58.265.368/0001-61</x:v>
      </x:c>
      <x:c r="B2293" s="168" t="str">
        <x:v>OCTOPUS CAPITAL FUNDO DE INVESTIMENTO EM DIREITOS CREDITÓRIOS RESPONSABILIDADE LIMITADA</x:v>
      </x:c>
      <x:c r="C2293" s="190" t="n">
        <x:v>16763171.06</x:v>
      </x:c>
      <x:c r="D2293" s="168" t="str">
        <x:v>Redwood Asset Management</x:v>
      </x:c>
      <x:c r="E2293" s="168" t="str">
        <x:f>IFERROR(INDEX('Classif Gestoras'!$H$6:$H$462,MATCH(D2293,'Classif Gestoras'!$A$6:$A$462,0)),"Não classificada")</x:f>
        <x:v>Independente</x:v>
      </x:c>
      <x:c r="F2293" s="168" t="str">
        <x:v>PLANNER CV</x:v>
      </x:c>
      <x:c r="G2293" s="168" t="str">
        <x:v>PLANNER CORRETORA DE VALORES S.A.</x:v>
      </x:c>
      <x:c r="H2293" s="168" t="str">
        <x:v>Outros</x:v>
      </x:c>
      <x:c r="I2293" s="168" t="str">
        <x:v>Multicarteira Outros</x:v>
      </x:c>
      <x:c r="J2293" s="168" t="str">
        <x:v>CI</x:v>
      </x:c>
      <x:c r="K2293" s="174" t="n">
        <x:v>2</x:v>
      </x:c>
      <x:c r="L2293" s="187" t="str">
        <x:v>Proxy multicedente/multissacado — revisar</x:v>
      </x:c>
    </x:row>
    <x:row r="2294">
      <x:c r="A2294" s="177" t="str">
        <x:v>60.124.803/0001-80</x:v>
      </x:c>
      <x:c r="B2294" s="168" t="str">
        <x:v>INOVA III FUNDO DE INVESTIMENTO EM COTAS DE FIDC DE RESPONSABILIDADE LIMITADA</x:v>
      </x:c>
      <x:c r="C2294" s="190" t="n">
        <x:v>16753153.98</x:v>
      </x:c>
      <x:c r="D2294" s="168" t="str">
        <x:v>BERTHA CAPITAL</x:v>
      </x:c>
      <x:c r="E2294" s="168" t="str">
        <x:f>IFERROR(INDEX('Classif Gestoras'!$H$6:$H$462,MATCH(D2294,'Classif Gestoras'!$A$6:$A$462,0)),"Não classificada")</x:f>
        <x:v>Independente</x:v>
      </x:c>
      <x:c r="F2294" s="168" t="str">
        <x:v>MONETAR DISTRIBUIDORA DE TITUL</x:v>
      </x:c>
      <x:c r="G2294" s="168" t="str">
        <x:v>TERRA INVESTIMENTOS DISTRIBUIDORA DE TITULOS E VALORES MOBILIARIOS LTDA</x:v>
      </x:c>
      <x:c r="H2294" s="168" t="str">
        <x:v>Outros</x:v>
      </x:c>
      <x:c r="I2294" s="168" t="str">
        <x:v>Multicarteira Outros</x:v>
      </x:c>
      <x:c r="J2294" s="168" t="str">
        <x:v>CI</x:v>
      </x:c>
      <x:c r="K2294" s="174" t="n">
        <x:v>5</x:v>
      </x:c>
      <x:c r="L2294" s="187" t="str">
        <x:v>Proxy multicedente/multissacado — revisar</x:v>
      </x:c>
    </x:row>
    <x:row r="2295">
      <x:c r="A2295" s="177" t="str">
        <x:v>64.111.846/0001-81</x:v>
      </x:c>
      <x:c r="B2295" s="168" t="str">
        <x:v>MAGNUS FUNDO DE INVESTIMENTO EM DIREITOS CREDITÓRIOS RESPONSABILIDADE LIMITADA</x:v>
      </x:c>
      <x:c r="C2295" s="190" t="n">
        <x:v>16713512.71</x:v>
      </x:c>
      <x:c r="D2295" s="168" t="str">
        <x:v>ICON CAPITAL</x:v>
      </x:c>
      <x:c r="E2295" s="168" t="str">
        <x:f>IFERROR(INDEX('Classif Gestoras'!$H$6:$H$462,MATCH(D2295,'Classif Gestoras'!$A$6:$A$462,0)),"Não classificada")</x:f>
        <x:v>Independente</x:v>
      </x:c>
      <x:c r="F2295" s="168" t="str">
        <x:v>FIDD DISTRIBUIDORA DE TITULOS E VALORES MOBILIARIOS LTD</x:v>
      </x:c>
      <x:c r="G2295" s="168" t="str">
        <x:v>FIDD DISTRIBUIDORA DE TITULOS E VALORES MOBILIARIOS LTDA.</x:v>
      </x:c>
      <x:c r="H2295" s="168" t="str">
        <x:v>Agro, Indústria e Comércio</x:v>
      </x:c>
      <x:c r="I2295" s="168" t="str">
        <x:v>Multicarteira Agro, Indústria e Comércio</x:v>
      </x:c>
      <x:c r="J2295" s="168" t="str">
        <x:v>CI</x:v>
      </x:c>
      <x:c r="K2295" s="174" t="n">
        <x:v>5</x:v>
      </x:c>
      <x:c r="L2295" s="187" t="str">
        <x:v>Proxy multicedente/multissacado — revisar</x:v>
      </x:c>
    </x:row>
    <x:row r="2296">
      <x:c r="A2296" s="177" t="str">
        <x:v>63.696.976/0001-60</x:v>
      </x:c>
      <x:c r="B2296" s="168" t="str">
        <x:v>LIZARD FUNDO DE INVESTIMENTO EM DIREITOS CREDITÓRIOS CRÉDITO CONSIGNADO PRIVADO - RESP LIMITADA</x:v>
      </x:c>
      <x:c r="C2296" s="190" t="n">
        <x:v>16712003.7</x:v>
      </x:c>
      <x:c r="D2296" s="168" t="str">
        <x:v>Strata Capital</x:v>
      </x:c>
      <x:c r="E2296" s="168" t="str">
        <x:f>IFERROR(INDEX('Classif Gestoras'!$H$6:$H$462,MATCH(D2296,'Classif Gestoras'!$A$6:$A$462,0)),"Não classificada")</x:f>
        <x:v>Independente</x:v>
      </x:c>
      <x:c r="F2296" s="168" t="str">
        <x:v>VERT Distribuidora de Títulos e Valores Mobiliários Ltd</x:v>
      </x:c>
      <x:c r="G2296" s="168" t="str">
        <x:v>VERT DISTRIBUIDORA DE TÍTULOS E VALORES MOBILIÁRIOS LTDA.</x:v>
      </x:c>
      <x:c r="H2296" s="168" t="str">
        <x:v>Financeiro</x:v>
      </x:c>
      <x:c r="I2296" s="168" t="str">
        <x:v>Crédito Consignado</x:v>
      </x:c>
      <x:c r="J2296" s="168" t="str">
        <x:v>CI</x:v>
      </x:c>
      <x:c r="K2296" s="174" t="n">
        <x:v>1</x:v>
      </x:c>
      <x:c r="L2296" s="187" t="str">
        <x:v>Não classificado</x:v>
      </x:c>
    </x:row>
    <x:row r="2297">
      <x:c r="A2297" s="177" t="str">
        <x:v>53.937.754/0001-39</x:v>
      </x:c>
      <x:c r="B2297" s="168" t="str">
        <x:v>VALOR MAX FUNDO DE INVESTIMENTO EM DIREITOS CREDITÓRIOS SEGMENTO NPL-RESPONSABILIDADE LIMITADA</x:v>
      </x:c>
      <x:c r="C2297" s="190" t="n">
        <x:v>16707884.880000005</x:v>
      </x:c>
      <x:c r="D2297" s="168" t="str">
        <x:v>VBR Capital Ltda.</x:v>
      </x:c>
      <x:c r="E2297" s="168" t="str">
        <x:f>IFERROR(INDEX('Classif Gestoras'!$H$6:$H$462,MATCH(D2297,'Classif Gestoras'!$A$6:$A$462,0)),"Não classificada")</x:f>
        <x:v>Independente</x:v>
      </x:c>
      <x:c r="F2297" s="168" t="str">
        <x:v>OSLO DTVM S. A.</x:v>
      </x:c>
      <x:c r="G2297" s="168" t="str">
        <x:v>OSLO CAPITAL DISTRIBUIDORA DE TITULOS E VALORES MOBILIARIOS S.A.</x:v>
      </x:c>
      <x:c r="H2297" s="168" t="str">
        <x:v>Outros</x:v>
      </x:c>
      <x:c r="I2297" s="168" t="str">
        <x:v>Recuperação</x:v>
      </x:c>
      <x:c r="J2297" s="168" t="str">
        <x:v>CI</x:v>
      </x:c>
      <x:c r="K2297" s="174" t="n">
        <x:v>21</x:v>
      </x:c>
      <x:c r="L2297" s="187" t="str">
        <x:v>Não classificado</x:v>
      </x:c>
    </x:row>
    <x:row r="2298">
      <x:c r="A2298" s="177" t="str">
        <x:v>57.246.541/0001-11</x:v>
      </x:c>
      <x:c r="B2298" s="168" t="str">
        <x:v>ZTIRAH FUNDO DE INVESTIMENTO EM DIREITOS CREDITÓRIOS</x:v>
      </x:c>
      <x:c r="C2298" s="190" t="n">
        <x:v>16664004.96</x:v>
      </x:c>
      <x:c r="D2298" s="168" t="str">
        <x:v>Redwood Asset Management</x:v>
      </x:c>
      <x:c r="E2298" s="168" t="str">
        <x:f>IFERROR(INDEX('Classif Gestoras'!$H$6:$H$462,MATCH(D2298,'Classif Gestoras'!$A$6:$A$462,0)),"Não classificada")</x:f>
        <x:v>Independente</x:v>
      </x:c>
      <x:c r="F2298" s="168" t="str">
        <x:v>PLANNER CV</x:v>
      </x:c>
      <x:c r="G2298" s="168" t="str">
        <x:v>PLANNER CORRETORA DE VALORES S.A.</x:v>
      </x:c>
      <x:c r="H2298" s="168" t="str">
        <x:v>Outros</x:v>
      </x:c>
      <x:c r="I2298" s="168" t="str">
        <x:v>Multicarteira Outros</x:v>
      </x:c>
      <x:c r="J2298" s="168" t="str">
        <x:v>CI</x:v>
      </x:c>
      <x:c r="K2298" s="174" t="n">
        <x:v>1</x:v>
      </x:c>
      <x:c r="L2298" s="187" t="str">
        <x:v>Proxy multicedente/multissacado — revisar</x:v>
      </x:c>
    </x:row>
    <x:row r="2299">
      <x:c r="A2299" s="177" t="str">
        <x:v>32.990.687/0001-46</x:v>
      </x:c>
      <x:c r="B2299" s="168" t="str">
        <x:v>MUNDI FUNDO DE INVESTIMENTO EM DIREITOS CREDITÓRIOS MULTISEGMENT0S</x:v>
      </x:c>
      <x:c r="C2299" s="190" t="n">
        <x:v>16661643.03</x:v>
      </x:c>
      <x:c r="D2299" s="168" t="str">
        <x:v>Aventis Asset</x:v>
      </x:c>
      <x:c r="E2299" s="168" t="str">
        <x:f>IFERROR(INDEX('Classif Gestoras'!$H$6:$H$462,MATCH(D2299,'Classif Gestoras'!$A$6:$A$462,0)),"Não classificada")</x:f>
        <x:v>Independente</x:v>
      </x:c>
      <x:c r="F2299" s="168" t="str">
        <x:v>Finaxis Corretora de Títulos e Valores Mobiliários S.A.</x:v>
      </x:c>
      <x:c r="G2299" s="168" t="str">
        <x:v>BANCO FINAXIS S.A.</x:v>
      </x:c>
      <x:c r="H2299" s="168" t="str">
        <x:v>Outros</x:v>
      </x:c>
      <x:c r="I2299" s="168" t="str">
        <x:v>Multicarteira Outros</x:v>
      </x:c>
      <x:c r="J2299" s="168" t="str">
        <x:v>CI</x:v>
      </x:c>
      <x:c r="K2299" s="174" t="n">
        <x:v>4</x:v>
      </x:c>
      <x:c r="L2299" s="187" t="str">
        <x:v>Proxy multicedente/multissacado — revisar</x:v>
      </x:c>
    </x:row>
    <x:row r="2300">
      <x:c r="A2300" s="177" t="str">
        <x:v>48.513.136/0001-21</x:v>
      </x:c>
      <x:c r="B2300" s="168" t="str">
        <x:v>GALGA FUNDO DE INVESTIMENTO EM DIREITOS CREDITÓRIOS-RESPONSABILIDADE LIMITADA</x:v>
      </x:c>
      <x:c r="C2300" s="190" t="n">
        <x:v>16600267.55</x:v>
      </x:c>
      <x:c r="D2300" s="168" t="str">
        <x:v>GESTORA DE RECURSOS ID - GRID LTDA.</x:v>
      </x:c>
      <x:c r="E2300" s="168" t="str">
        <x:f>IFERROR(INDEX('Classif Gestoras'!$H$6:$H$462,MATCH(D2300,'Classif Gestoras'!$A$6:$A$462,0)),"Não classificada")</x:f>
        <x:v>Independente</x:v>
      </x:c>
      <x:c r="F2300" s="168" t="str">
        <x:v>ID Corretora de Títulos e Valores Mobiliários S.A.</x:v>
      </x:c>
      <x:c r="G2300" s="168" t="str">
        <x:v>ID CORRETORA DE TITULOS E VALORES MOBILIARIOS S.A.</x:v>
      </x:c>
      <x:c r="H2300" s="168" t="str">
        <x:v>Outros</x:v>
      </x:c>
      <x:c r="I2300" s="168" t="str">
        <x:v>Multicarteira Outros</x:v>
      </x:c>
      <x:c r="J2300" s="168" t="str">
        <x:v>CI</x:v>
      </x:c>
      <x:c r="K2300" s="174" t="n">
        <x:v>1</x:v>
      </x:c>
      <x:c r="L2300" s="187" t="str">
        <x:v>Proxy multicedente/multissacado — revisar</x:v>
      </x:c>
    </x:row>
    <x:row r="2301">
      <x:c r="A2301" s="177" t="str">
        <x:v>33.701.253/0001-41</x:v>
      </x:c>
      <x:c r="B2301" s="168" t="str">
        <x:v>TRADIÇÃO FUNDO DE INVESTIMENTO EM DIREITOS CREDITORIOS</x:v>
      </x:c>
      <x:c r="C2301" s="190" t="n">
        <x:v>16573914.65</x:v>
      </x:c>
      <x:c r="D2301" s="168" t="str">
        <x:v>Libertas Asset</x:v>
      </x:c>
      <x:c r="E2301" s="168" t="str">
        <x:f>IFERROR(INDEX('Classif Gestoras'!$H$6:$H$462,MATCH(D2301,'Classif Gestoras'!$A$6:$A$462,0)),"Não classificada")</x:f>
        <x:v>Independente</x:v>
      </x:c>
      <x:c r="F2301" s="168" t="str">
        <x:v>ACTUAL DTVM</x:v>
      </x:c>
      <x:c r="G2301" s="168" t="str">
        <x:v>LASTRO RDV DTVM LTDA</x:v>
      </x:c>
      <x:c r="H2301" s="168" t="str">
        <x:v>Fomento Mercantil</x:v>
      </x:c>
      <x:c r="I2301" s="168" t="str">
        <x:v>Fomento Mercantil</x:v>
      </x:c>
      <x:c r="J2301" s="168" t="str">
        <x:v>CI</x:v>
      </x:c>
      <x:c r="K2301" s="174" t="n">
        <x:v>3</x:v>
      </x:c>
      <x:c r="L2301" s="187" t="str">
        <x:v>Não classificado</x:v>
      </x:c>
    </x:row>
    <x:row r="2302">
      <x:c r="A2302" s="177" t="str">
        <x:v>48.411.822/0001-91</x:v>
      </x:c>
      <x:c r="B2302" s="168" t="str">
        <x:v>SIGSUG FUNDO DE INVESTIMENTO EM DIREITOS CREDITÓRIOS - RESPONSABILIDADE LIMITADA</x:v>
      </x:c>
      <x:c r="C2302" s="190" t="n">
        <x:v>16483383.36</x:v>
      </x:c>
      <x:c r="D2302" s="168" t="str">
        <x:v>Plural Investimentos Gestão de Recursos Ltda.</x:v>
      </x:c>
      <x:c r="E2302" s="168" t="str">
        <x:f>IFERROR(INDEX('Classif Gestoras'!$H$6:$H$462,MATCH(D2302,'Classif Gestoras'!$A$6:$A$462,0)),"Não classificada")</x:f>
        <x:v>Ligada a banco</x:v>
      </x:c>
      <x:c r="F2302" s="168" t="str">
        <x:v>BNY MELLON SERVICOS</x:v>
      </x:c>
      <x:c r="G2302" s="168" t="str">
        <x:v>BNY MELLON BANCO S.A.</x:v>
      </x:c>
      <x:c r="H2302" s="168" t="str">
        <x:v>Outros</x:v>
      </x:c>
      <x:c r="I2302" s="168" t="str">
        <x:v>Multicarteira Outros</x:v>
      </x:c>
      <x:c r="J2302" s="168" t="str">
        <x:v>CI</x:v>
      </x:c>
      <x:c r="K2302" s="174" t="n">
        <x:v>1</x:v>
      </x:c>
      <x:c r="L2302" s="187" t="str">
        <x:v>Proxy multicedente/multissacado — revisar</x:v>
      </x:c>
    </x:row>
    <x:row r="2303">
      <x:c r="A2303" s="177" t="str">
        <x:v>41.755.904/0001-04</x:v>
      </x:c>
      <x:c r="B2303" s="168" t="str">
        <x:v>LESTE ATIVOS - FUNDO DE INVESTIMENTO EM DIREITOS CREDITÓRIOS RESPONSABILIDADE LIMITADA</x:v>
      </x:c>
      <x:c r="C2303" s="190" t="n">
        <x:v>16444827.73</x:v>
      </x:c>
      <x:c r="D2303" s="168" t="str">
        <x:v>Leste Credit Gestão de Recursos LTDA.</x:v>
      </x:c>
      <x:c r="E2303" s="168" t="str">
        <x:f>IFERROR(INDEX('Classif Gestoras'!$H$6:$H$462,MATCH(D2303,'Classif Gestoras'!$A$6:$A$462,0)),"Não classificada")</x:f>
        <x:v>Independente</x:v>
      </x:c>
      <x:c r="F2303" s="168" t="str">
        <x:v>PLANNER CV</x:v>
      </x:c>
      <x:c r="G2303" s="168" t="str">
        <x:v>PLANNER CORRETORA DE VALORES S.A.</x:v>
      </x:c>
      <x:c r="H2303" s="168" t="str">
        <x:v>Outros</x:v>
      </x:c>
      <x:c r="I2303" s="168" t="str">
        <x:v>Multicarteira Outros</x:v>
      </x:c>
      <x:c r="J2303" s="168" t="str">
        <x:v>CI</x:v>
      </x:c>
      <x:c r="K2303" s="174" t="n">
        <x:v>2</x:v>
      </x:c>
      <x:c r="L2303" s="187" t="str">
        <x:v>Proxy multicedente/multissacado — revisar</x:v>
      </x:c>
    </x:row>
    <x:row r="2304">
      <x:c r="A2304" s="177" t="str">
        <x:v>57.037.064/0001-84</x:v>
      </x:c>
      <x:c r="B2304" s="168" t="str">
        <x:v>FUNDO DE INVESTIMENTO EM DIREITOS CREDITÓRIOS NMPA - RESPONSABILIDADE LIMITADA</x:v>
      </x:c>
      <x:c r="C2304" s="190" t="n">
        <x:v>16435938.45</x:v>
      </x:c>
      <x:c r="D2304" s="168" t="str">
        <x:v>Plural Investimentos Gestão de Recursos Ltda.</x:v>
      </x:c>
      <x:c r="E2304" s="168" t="str">
        <x:f>IFERROR(INDEX('Classif Gestoras'!$H$6:$H$462,MATCH(D2304,'Classif Gestoras'!$A$6:$A$462,0)),"Não classificada")</x:f>
        <x:v>Ligada a banco</x:v>
      </x:c>
      <x:c r="F2304" s="168" t="str">
        <x:v>Banco Genial S.A.</x:v>
      </x:c>
      <x:c r="G2304" s="168" t="str">
        <x:v>BANCO GENIAL S.A.</x:v>
      </x:c>
      <x:c r="H2304" s="168" t="str">
        <x:v>Outros</x:v>
      </x:c>
      <x:c r="I2304" s="168" t="str">
        <x:v>Multicarteira Outros</x:v>
      </x:c>
      <x:c r="J2304" s="168" t="str">
        <x:v>CI</x:v>
      </x:c>
      <x:c r="K2304" s="174" t="n">
        <x:v>1</x:v>
      </x:c>
      <x:c r="L2304" s="187" t="str">
        <x:v>Proxy multicedente/multissacado — revisar</x:v>
      </x:c>
    </x:row>
    <x:row r="2305">
      <x:c r="A2305" s="177" t="str">
        <x:v>51.190.919/0001-26</x:v>
      </x:c>
      <x:c r="B2305" s="168" t="str">
        <x:v>CÉREBRO FUNDO DE INVESTIMENTO EM DIREITOS CREDITÓRIOS</x:v>
      </x:c>
      <x:c r="C2305" s="190" t="n">
        <x:v>16417529.6</x:v>
      </x:c>
      <x:c r="D2305" s="168" t="str">
        <x:v>Iggy Investimentos</x:v>
      </x:c>
      <x:c r="E2305" s="168" t="str">
        <x:f>IFERROR(INDEX('Classif Gestoras'!$H$6:$H$462,MATCH(D2305,'Classif Gestoras'!$A$6:$A$462,0)),"Não classificada")</x:f>
        <x:v>Independente</x:v>
      </x:c>
      <x:c r="F2305" s="168" t="str">
        <x:v>Singulare</x:v>
      </x:c>
      <x:c r="G2305" s="168" t="str">
        <x:v>QI CORRETORA DE TÍTULOS E VALORES MOBILIÁRIOS S.A.</x:v>
      </x:c>
      <x:c r="H2305" s="168" t="str">
        <x:v>Outros</x:v>
      </x:c>
      <x:c r="I2305" s="168" t="str">
        <x:v>Multicarteira Outros</x:v>
      </x:c>
      <x:c r="J2305" s="168" t="str">
        <x:v>CI</x:v>
      </x:c>
      <x:c r="K2305" s="174" t="n">
        <x:v>1</x:v>
      </x:c>
      <x:c r="L2305" s="187" t="str">
        <x:v>Proxy multicedente/multissacado — revisar</x:v>
      </x:c>
    </x:row>
    <x:row r="2306">
      <x:c r="A2306" s="177" t="str">
        <x:v>62.453.870/0001-73</x:v>
      </x:c>
      <x:c r="B2306" s="168" t="str">
        <x:v>OTMOW I FUNDO DE INVESTIMENTO EM DIREITOS CREDITÓRIOS RESPONSABILIDADE LIMITADA</x:v>
      </x:c>
      <x:c r="C2306" s="190" t="n">
        <x:v>16394357.669999998</x:v>
      </x:c>
      <x:c r="D2306" s="168" t="str">
        <x:v>Riza Securitização e Carteiras</x:v>
      </x:c>
      <x:c r="E2306" s="168" t="str">
        <x:f>IFERROR(INDEX('Classif Gestoras'!$H$6:$H$462,MATCH(D2306,'Classif Gestoras'!$A$6:$A$462,0)),"Não classificada")</x:f>
        <x:v>Independente</x:v>
      </x:c>
      <x:c r="F2306" s="168" t="str">
        <x:v>BRL TRUST DTVM</x:v>
      </x:c>
      <x:c r="G2306" s="168" t="str">
        <x:v>BRL TRUST DISTRIBUIDORA DE TITULOS E VALORES MOBILIARIOS S.A.</x:v>
      </x:c>
      <x:c r="H2306" s="168" t="str">
        <x:v>Outros</x:v>
      </x:c>
      <x:c r="I2306" s="168" t="str">
        <x:v>Poder Público</x:v>
      </x:c>
      <x:c r="J2306" s="168" t="str">
        <x:v>CI</x:v>
      </x:c>
      <x:c r="K2306" s="174" t="n">
        <x:v>3</x:v>
      </x:c>
      <x:c r="L2306" s="187" t="str">
        <x:v>Não classificado</x:v>
      </x:c>
    </x:row>
    <x:row r="2307">
      <x:c r="A2307" s="177" t="str">
        <x:v>32.670.379/0001-33</x:v>
      </x:c>
      <x:c r="B2307" s="168" t="str">
        <x:v>ALLIANCE FUNDO DE INVESTIMENTO EM DIREITOS CREDITÓRIOS</x:v>
      </x:c>
      <x:c r="C2307" s="190" t="n">
        <x:v>16338614.44</x:v>
      </x:c>
      <x:c r="D2307" s="168" t="str">
        <x:v>Libertas Asset</x:v>
      </x:c>
      <x:c r="E2307" s="168" t="str">
        <x:f>IFERROR(INDEX('Classif Gestoras'!$H$6:$H$462,MATCH(D2307,'Classif Gestoras'!$A$6:$A$462,0)),"Não classificada")</x:f>
        <x:v>Independente</x:v>
      </x:c>
      <x:c r="F2307" s="168" t="str">
        <x:v>ACTUAL DTVM</x:v>
      </x:c>
      <x:c r="G2307" s="168" t="str">
        <x:v>TRUSTEE DISTRIBUIDORA DE TITULOS E VALORES MOBILIARIOS LTDA.</x:v>
      </x:c>
      <x:c r="H2307" s="168" t="str">
        <x:v>Fomento Mercantil</x:v>
      </x:c>
      <x:c r="I2307" s="168" t="str">
        <x:v>Fomento Mercantil</x:v>
      </x:c>
      <x:c r="J2307" s="168" t="str">
        <x:v>CI</x:v>
      </x:c>
      <x:c r="K2307" s="174" t="n">
        <x:v>1</x:v>
      </x:c>
      <x:c r="L2307" s="187" t="str">
        <x:v>Não classificado</x:v>
      </x:c>
    </x:row>
    <x:row r="2308">
      <x:c r="A2308" s="177" t="str">
        <x:v>55.255.330/0001-10</x:v>
      </x:c>
      <x:c r="B2308" s="168" t="str">
        <x:v>FUNDO DE INVESTIMENTO EM DIREITOS CREDITÓRIOS DE RESPONSABILIDADE LIMITADA INCLUSÃO FINANCEIRA PLUS</x:v>
      </x:c>
      <x:c r="C2308" s="190" t="n">
        <x:v>16325006.01</x:v>
      </x:c>
      <x:c r="D2308" s="168" t="str">
        <x:v>Milênio Capital</x:v>
      </x:c>
      <x:c r="E2308" s="168" t="str">
        <x:f>IFERROR(INDEX('Classif Gestoras'!$H$6:$H$462,MATCH(D2308,'Classif Gestoras'!$A$6:$A$462,0)),"Não classificada")</x:f>
        <x:v>Independente</x:v>
      </x:c>
      <x:c r="F2308" s="168" t="str">
        <x:v>VÓRTX DTVM</x:v>
      </x:c>
      <x:c r="G2308" s="168" t="str">
        <x:v>VORTX DISTRIBUIDORA DE TITULOS E VALORES MOBILIARIOS LTDA.</x:v>
      </x:c>
      <x:c r="H2308" s="168" t="str">
        <x:v>Financeiro</x:v>
      </x:c>
      <x:c r="I2308" s="168" t="str">
        <x:v>Crédito Pessoal</x:v>
      </x:c>
      <x:c r="J2308" s="168" t="str">
        <x:v>CI</x:v>
      </x:c>
      <x:c r="K2308" s="174" t="n">
        <x:v>63</x:v>
      </x:c>
      <x:c r="L2308" s="187" t="str">
        <x:v>Não classificado</x:v>
      </x:c>
    </x:row>
    <x:row r="2309">
      <x:c r="A2309" s="177" t="str">
        <x:v>60.598.710/0001-97</x:v>
      </x:c>
      <x:c r="B2309" s="168" t="str">
        <x:v>MAKALU FUNDO DE INVESTIMENTO EM DIREITOS CREDITÓRIOS RESPONSABILIDADE LIMITADA</x:v>
      </x:c>
      <x:c r="C2309" s="190" t="n">
        <x:v>16297380.05</x:v>
      </x:c>
      <x:c r="D2309" s="168" t="str">
        <x:v>MAKALU</x:v>
      </x:c>
      <x:c r="E2309" s="168" t="str">
        <x:f>IFERROR(INDEX('Classif Gestoras'!$H$6:$H$462,MATCH(D2309,'Classif Gestoras'!$A$6:$A$462,0)),"Não classificada")</x:f>
        <x:v>Independente</x:v>
      </x:c>
      <x:c r="F2309" s="168" t="str">
        <x:v>BANCO DAYCOVAL S/A</x:v>
      </x:c>
      <x:c r="G2309" s="168" t="str">
        <x:v>BANCO DAYCOVAL S.A.</x:v>
      </x:c>
      <x:c r="H2309" s="168" t="str">
        <x:v>Outros</x:v>
      </x:c>
      <x:c r="I2309" s="168" t="str">
        <x:v>Multicarteira Outros</x:v>
      </x:c>
      <x:c r="J2309" s="168" t="str">
        <x:v>CI</x:v>
      </x:c>
      <x:c r="K2309" s="174" t="n">
        <x:v>32</x:v>
      </x:c>
      <x:c r="L2309" s="187" t="str">
        <x:v>Proxy multicedente/multissacado — revisar</x:v>
      </x:c>
    </x:row>
    <x:row r="2310">
      <x:c r="A2310" s="177" t="str">
        <x:v>53.323.357/0001-77</x:v>
      </x:c>
      <x:c r="B2310" s="168" t="str">
        <x:v>EMBRAPREC FUNDO DE INVESTIMENTO EM DIREITOS CREDITÓRIO NÃO PADRONIZADO</x:v>
      </x:c>
      <x:c r="C2310" s="190" t="n">
        <x:v>16290664.23</x:v>
      </x:c>
      <x:c r="D2310" s="168" t="str">
        <x:v>Terra Asset Management</x:v>
      </x:c>
      <x:c r="E2310" s="168" t="str">
        <x:f>IFERROR(INDEX('Classif Gestoras'!$H$6:$H$462,MATCH(D2310,'Classif Gestoras'!$A$6:$A$462,0)),"Não classificada")</x:f>
        <x:v>Independente</x:v>
      </x:c>
      <x:c r="F2310" s="168" t="str">
        <x:v>MONETAR DISTRIBUIDORA DE TITUL</x:v>
      </x:c>
      <x:c r="G2310" s="168" t="str">
        <x:v>TERRA INVESTIMENTOS DISTRIBUIDORA DE TITULOS E VALORES MOBILIARIOS LTDA</x:v>
      </x:c>
      <x:c r="H2310" s="168" t="str">
        <x:v>Outros</x:v>
      </x:c>
      <x:c r="I2310" s="168" t="str">
        <x:v>Multicarteira Outros</x:v>
      </x:c>
      <x:c r="J2310" s="168" t="str">
        <x:v>CI</x:v>
      </x:c>
      <x:c r="K2310" s="174" t="n">
        <x:v>1</x:v>
      </x:c>
      <x:c r="L2310" s="187" t="str">
        <x:v>Proxy multicedente/multissacado — revisar</x:v>
      </x:c>
    </x:row>
    <x:row r="2311">
      <x:c r="A2311" s="177" t="str">
        <x:v>63.937.880/0001-47</x:v>
      </x:c>
      <x:c r="B2311" s="168" t="str">
        <x:v>GPMG FUNDO DE INVESTIMENTO EM DIREITOS CREDITÓRIOS RESPONSABILIDADE LIMITADA</x:v>
      </x:c>
      <x:c r="C2311" s="190" t="n">
        <x:v>16275376.1</x:v>
      </x:c>
      <x:c r="D2311" s="168" t="str">
        <x:v>Renova Gestora</x:v>
      </x:c>
      <x:c r="E2311" s="168" t="str">
        <x:f>IFERROR(INDEX('Classif Gestoras'!$H$6:$H$462,MATCH(D2311,'Classif Gestoras'!$A$6:$A$462,0)),"Não classificada")</x:f>
        <x:v>Independente</x:v>
      </x:c>
      <x:c r="F2311" s="168" t="str">
        <x:v>MONETAR DISTRIBUIDORA DE TITUL</x:v>
      </x:c>
      <x:c r="G2311" s="168" t="str">
        <x:v>TERRA INVESTIMENTOS DISTRIBUIDORA DE TITULOS E VALORES MOBILIARIOS LTDA</x:v>
      </x:c>
      <x:c r="H2311" s="168" t="str">
        <x:v>Fomento Mercantil</x:v>
      </x:c>
      <x:c r="I2311" s="168" t="str">
        <x:v>Fomento Mercantil</x:v>
      </x:c>
      <x:c r="J2311" s="168" t="str">
        <x:v>CI</x:v>
      </x:c>
      <x:c r="K2311" s="174" t="n">
        <x:v>1</x:v>
      </x:c>
      <x:c r="L2311" s="187" t="str">
        <x:v>Não classificado</x:v>
      </x:c>
    </x:row>
    <x:row r="2312">
      <x:c r="A2312" s="177" t="str">
        <x:v>33.827.572/0001-06</x:v>
      </x:c>
      <x:c r="B2312" s="168" t="str">
        <x:v>MEGA INFINITY FUNDO DE INVESTIMENTO EM DIREITOS CREDITÓRIOS RESPONSABILIDADE LIMITADA</x:v>
      </x:c>
      <x:c r="C2312" s="190" t="n">
        <x:v>16227736.11</x:v>
      </x:c>
      <x:c r="D2312" s="168" t="str">
        <x:v>Blue Solutions</x:v>
      </x:c>
      <x:c r="E2312" s="168" t="str">
        <x:f>IFERROR(INDEX('Classif Gestoras'!$H$6:$H$462,MATCH(D2312,'Classif Gestoras'!$A$6:$A$462,0)),"Não classificada")</x:f>
        <x:v>Independente</x:v>
      </x:c>
      <x:c r="F2312" s="168" t="str">
        <x:v>TRUSTEE DTVM</x:v>
      </x:c>
      <x:c r="G2312" s="168" t="str">
        <x:v>TRUSTEE DISTRIBUIDORA DE TITULOS E VALORES MOBILIARIOS LTDA.</x:v>
      </x:c>
      <x:c r="H2312" s="168" t="str">
        <x:v>Outros</x:v>
      </x:c>
      <x:c r="I2312" s="168" t="str">
        <x:v>Multicarteira Outros</x:v>
      </x:c>
      <x:c r="J2312" s="168" t="str">
        <x:v>CI</x:v>
      </x:c>
      <x:c r="K2312" s="174" t="n">
        <x:v>3</x:v>
      </x:c>
      <x:c r="L2312" s="187" t="str">
        <x:v>Proxy multicedente/multissacado — revisar</x:v>
      </x:c>
    </x:row>
    <x:row r="2313">
      <x:c r="A2313" s="177" t="str">
        <x:v>60.698.656/0001-51</x:v>
      </x:c>
      <x:c r="B2313" s="168" t="str">
        <x:v>MACEIÓ FUNDO DE INVESTIMENTO EM DIREITOS CREDITÓRIOS</x:v>
      </x:c>
      <x:c r="C2313" s="190" t="n">
        <x:v>16211272.68</x:v>
      </x:c>
      <x:c r="D2313" s="168" t="str">
        <x:v>SOSU CAPITAL GESTÃO DE INVESTIMENTOS LTDA.</x:v>
      </x:c>
      <x:c r="E2313" s="168" t="str">
        <x:f>IFERROR(INDEX('Classif Gestoras'!$H$6:$H$462,MATCH(D2313,'Classif Gestoras'!$A$6:$A$462,0)),"Não classificada")</x:f>
        <x:v>Independente</x:v>
      </x:c>
      <x:c r="F2313" s="168" t="str">
        <x:v>BTG Pactual Servicos Financeiros S/A DTVM</x:v>
      </x:c>
      <x:c r="G2313" s="168" t="str">
        <x:v>BANCO BTG PACTUAL S/A</x:v>
      </x:c>
      <x:c r="H2313" s="168" t="str">
        <x:v>Outros</x:v>
      </x:c>
      <x:c r="I2313" s="168" t="str">
        <x:v>Poder Público</x:v>
      </x:c>
      <x:c r="J2313" s="168" t="str">
        <x:v>CI</x:v>
      </x:c>
      <x:c r="K2313" s="174" t="n">
        <x:v>2</x:v>
      </x:c>
      <x:c r="L2313" s="187" t="str">
        <x:v>Não classificado</x:v>
      </x:c>
    </x:row>
    <x:row r="2314">
      <x:c r="A2314" s="177" t="str">
        <x:v>62.114.622/0001-06</x:v>
      </x:c>
      <x:c r="B2314" s="168" t="str">
        <x:v>SÉCULO FUNDO DE INVESTIMENTO EM DIREITOS CREDITÓRIOS - RESPONSABILIDADE LIMITADA</x:v>
      </x:c>
      <x:c r="C2314" s="190" t="n">
        <x:v>16172390.87</x:v>
      </x:c>
      <x:c r="D2314" s="168" t="str">
        <x:v>BERTHA CAPITAL</x:v>
      </x:c>
      <x:c r="E2314" s="168" t="str">
        <x:f>IFERROR(INDEX('Classif Gestoras'!$H$6:$H$462,MATCH(D2314,'Classif Gestoras'!$A$6:$A$462,0)),"Não classificada")</x:f>
        <x:v>Independente</x:v>
      </x:c>
      <x:c r="F2314" s="168" t="str">
        <x:v>HEMERA DTVM</x:v>
      </x:c>
      <x:c r="G2314" s="168" t="str">
        <x:v>HEMERA DISTRIBUIDORA DE TITULOS E VALORES MOBILIARIOS LTDA</x:v>
      </x:c>
      <x:c r="H2314" s="168" t="str">
        <x:v>Fomento Mercantil</x:v>
      </x:c>
      <x:c r="I2314" s="168" t="str">
        <x:v>Fomento Mercantil</x:v>
      </x:c>
      <x:c r="J2314" s="168" t="str">
        <x:v>CI</x:v>
      </x:c>
      <x:c r="K2314" s="174" t="n">
        <x:v>1</x:v>
      </x:c>
      <x:c r="L2314" s="187" t="str">
        <x:v>Não classificado</x:v>
      </x:c>
    </x:row>
    <x:row r="2315">
      <x:c r="A2315" s="177" t="str">
        <x:v>49.776.300/0001-56</x:v>
      </x:c>
      <x:c r="B2315" s="168" t="str">
        <x:v>OUTFIELD FUNDO DE INVESTIMENTO EM DIREITOS CREDITÓRIOS CLASSE ÚNICA FECHADA RESPONSABILIDADE LIMITAD</x:v>
      </x:c>
      <x:c r="C2315" s="190" t="n">
        <x:v>16155983.05</x:v>
      </x:c>
      <x:c r="D2315" s="168" t="str">
        <x:v>Galápagos</x:v>
      </x:c>
      <x:c r="E2315" s="168" t="str">
        <x:f>IFERROR(INDEX('Classif Gestoras'!$H$6:$H$462,MATCH(D2315,'Classif Gestoras'!$A$6:$A$462,0)),"Não classificada")</x:f>
        <x:v>Independente</x:v>
      </x:c>
      <x:c r="F2315" s="168" t="str">
        <x:v>VÓRTX DTVM</x:v>
      </x:c>
      <x:c r="G2315" s="168" t="str">
        <x:v>VORTX DISTRIBUIDORA DE TITULOS E VALORES MOBILIARIOS LTDA.</x:v>
      </x:c>
      <x:c r="H2315" s="168" t="str">
        <x:v>Outros</x:v>
      </x:c>
      <x:c r="I2315" s="168" t="str">
        <x:v>Multicarteira Outros</x:v>
      </x:c>
      <x:c r="J2315" s="168" t="str">
        <x:v>CI</x:v>
      </x:c>
      <x:c r="K2315" s="174" t="n">
        <x:v>4</x:v>
      </x:c>
      <x:c r="L2315" s="187" t="str">
        <x:v>Proxy multicedente/multissacado — revisar</x:v>
      </x:c>
    </x:row>
    <x:row r="2316">
      <x:c r="A2316" s="177" t="str">
        <x:v>64.382.297/0001-80</x:v>
      </x:c>
      <x:c r="B2316" s="168" t="str">
        <x:v>ST 1024 FUNDO DE INVESTIMENTO EM DIREITOS CREDITÓRIOS RESPONSABILIDADE LIMITADA</x:v>
      </x:c>
      <x:c r="C2316" s="190" t="n">
        <x:v>16138451.52</x:v>
      </x:c>
      <x:c r="D2316" s="168" t="str">
        <x:v>Strata Capital</x:v>
      </x:c>
      <x:c r="E2316" s="168" t="str">
        <x:f>IFERROR(INDEX('Classif Gestoras'!$H$6:$H$462,MATCH(D2316,'Classif Gestoras'!$A$6:$A$462,0)),"Não classificada")</x:f>
        <x:v>Independente</x:v>
      </x:c>
      <x:c r="F2316" s="168" t="str">
        <x:v>BANCO DAYCOVAL S/A</x:v>
      </x:c>
      <x:c r="G2316" s="168" t="str">
        <x:v>BANCO DAYCOVAL S.A.</x:v>
      </x:c>
      <x:c r="H2316" s="168" t="str">
        <x:v>Outros</x:v>
      </x:c>
      <x:c r="I2316" s="168" t="str">
        <x:v>Multicarteira Outros</x:v>
      </x:c>
      <x:c r="J2316" s="168" t="str">
        <x:v>CI</x:v>
      </x:c>
      <x:c r="K2316" s="174" t="n">
        <x:v>6</x:v>
      </x:c>
      <x:c r="L2316" s="187" t="str">
        <x:v>Proxy multicedente/multissacado — revisar</x:v>
      </x:c>
    </x:row>
    <x:row r="2317">
      <x:c r="A2317" s="177" t="str">
        <x:v>53.272.875/0001-09</x:v>
      </x:c>
      <x:c r="B2317" s="168" t="str">
        <x:v>EL CHALTÉN FUNDO DE INVESTIMENTO EM DIREITOS CREDITÓRIOS</x:v>
      </x:c>
      <x:c r="C2317" s="190" t="n">
        <x:v>16127244.37</x:v>
      </x:c>
      <x:c r="D2317" s="168" t="str">
        <x:v>PATAGÔNIA CAPITAL</x:v>
      </x:c>
      <x:c r="E2317" s="168" t="str">
        <x:f>IFERROR(INDEX('Classif Gestoras'!$H$6:$H$462,MATCH(D2317,'Classif Gestoras'!$A$6:$A$462,0)),"Não classificada")</x:f>
        <x:v>Independente</x:v>
      </x:c>
      <x:c r="F2317" s="168" t="str">
        <x:v>VÓRTX DTVM</x:v>
      </x:c>
      <x:c r="G2317" s="168" t="str">
        <x:v>VORTX DISTRIBUIDORA DE TITULOS E VALORES MOBILIARIOS LTDA.</x:v>
      </x:c>
      <x:c r="H2317" s="168" t="str">
        <x:v>Financeiro</x:v>
      </x:c>
      <x:c r="I2317" s="168" t="str">
        <x:v>Multicarteira Financeiro</x:v>
      </x:c>
      <x:c r="J2317" s="168" t="str">
        <x:v>CI</x:v>
      </x:c>
      <x:c r="K2317" s="174" t="n">
        <x:v>1</x:v>
      </x:c>
      <x:c r="L2317" s="187" t="str">
        <x:v>Proxy multicedente/multissacado — revisar</x:v>
      </x:c>
    </x:row>
    <x:row r="2318">
      <x:c r="A2318" s="177" t="str">
        <x:v>53.129.205/0001-38</x:v>
      </x:c>
      <x:c r="B2318" s="168" t="str">
        <x:v>INOVA CREDTECH VI FUNDO DE INVESTIMENTO EM DIREITOS CREDITÓRIOS - RESPONSABILIDADE LIMITADA</x:v>
      </x:c>
      <x:c r="C2318" s="190" t="n">
        <x:v>16119052.48</x:v>
      </x:c>
      <x:c r="D2318" s="168" t="str">
        <x:v>BERTHA CAPITAL</x:v>
      </x:c>
      <x:c r="E2318" s="168" t="str">
        <x:f>IFERROR(INDEX('Classif Gestoras'!$H$6:$H$462,MATCH(D2318,'Classif Gestoras'!$A$6:$A$462,0)),"Não classificada")</x:f>
        <x:v>Independente</x:v>
      </x:c>
      <x:c r="F2318" s="168" t="str">
        <x:v>VÓRTX DTVM</x:v>
      </x:c>
      <x:c r="G2318" s="168" t="str">
        <x:v>VORTX DISTRIBUIDORA DE TITULOS E VALORES MOBILIARIOS LTDA.</x:v>
      </x:c>
      <x:c r="H2318" s="168" t="str">
        <x:v>Outros</x:v>
      </x:c>
      <x:c r="I2318" s="168" t="str">
        <x:v>Multicarteira Outros</x:v>
      </x:c>
      <x:c r="J2318" s="168" t="str">
        <x:v>CI</x:v>
      </x:c>
      <x:c r="K2318" s="174" t="n">
        <x:v>17</x:v>
      </x:c>
      <x:c r="L2318" s="187" t="str">
        <x:v>Proxy multicedente/multissacado — revisar</x:v>
      </x:c>
    </x:row>
    <x:row r="2319">
      <x:c r="A2319" s="177" t="str">
        <x:v>61.909.905/0001-73</x:v>
      </x:c>
      <x:c r="B2319" s="168" t="str">
        <x:v>MARAÚ FUNDO DE INVESTIMENTO EM DIREITOS CREDITÓRIOS - RESPONSABILIDADE LIMITADA</x:v>
      </x:c>
      <x:c r="C2319" s="190" t="n">
        <x:v>16019151.02</x:v>
      </x:c>
      <x:c r="D2319" s="168" t="str">
        <x:v>GENIAL GESTÃO LTDA.</x:v>
      </x:c>
      <x:c r="E2319" s="168" t="str">
        <x:f>IFERROR(INDEX('Classif Gestoras'!$H$6:$H$462,MATCH(D2319,'Classif Gestoras'!$A$6:$A$462,0)),"Não classificada")</x:f>
        <x:v>Ligada a banco</x:v>
      </x:c>
      <x:c r="F2319" s="168" t="str">
        <x:v>Genial Investimentos Corretora de Valores Mobiliários S.A.</x:v>
      </x:c>
      <x:c r="G2319" s="168" t="str">
        <x:v>BANCO GENIAL S.A.</x:v>
      </x:c>
      <x:c r="H2319" s="168" t="str">
        <x:v>Outros</x:v>
      </x:c>
      <x:c r="I2319" s="168" t="str">
        <x:v>Multicarteira Outros</x:v>
      </x:c>
      <x:c r="J2319" s="168" t="str">
        <x:v>CI</x:v>
      </x:c>
      <x:c r="K2319" s="174" t="n">
        <x:v>1</x:v>
      </x:c>
      <x:c r="L2319" s="187" t="str">
        <x:v>Proxy multicedente/multissacado — revisar</x:v>
      </x:c>
    </x:row>
    <x:row r="2320">
      <x:c r="A2320" s="177" t="str">
        <x:v>44.680.388/0001-94</x:v>
      </x:c>
      <x:c r="B2320" s="168" t="str">
        <x:v>ACELERA VAREJO FUNDO DE INVESTIMENTO EM DIREITOS CREDITÓRIOS RESPONSABILIDADE LIMITADA</x:v>
      </x:c>
      <x:c r="C2320" s="190" t="n">
        <x:v>16011722.85</x:v>
      </x:c>
      <x:c r="D2320" s="168" t="str">
        <x:v>IDGR</x:v>
      </x:c>
      <x:c r="E2320" s="168" t="str">
        <x:f>IFERROR(INDEX('Classif Gestoras'!$H$6:$H$462,MATCH(D2320,'Classif Gestoras'!$A$6:$A$462,0)),"Não classificada")</x:f>
        <x:v>Independente</x:v>
      </x:c>
      <x:c r="F2320" s="168" t="str">
        <x:v>ID Corretora de Títulos e Valores Mobiliários S.A.</x:v>
      </x:c>
      <x:c r="G2320" s="168" t="str">
        <x:v>ID CORRETORA DE TITULOS E VALORES MOBILIARIOS S.A.</x:v>
      </x:c>
      <x:c r="H2320" s="168" t="str">
        <x:v>Outros</x:v>
      </x:c>
      <x:c r="I2320" s="168" t="str">
        <x:v>Multicarteira Outros</x:v>
      </x:c>
      <x:c r="J2320" s="168" t="str">
        <x:v>CI</x:v>
      </x:c>
      <x:c r="K2320" s="174" t="n">
        <x:v>17</x:v>
      </x:c>
      <x:c r="L2320" s="187" t="str">
        <x:v>Proxy multicedente/multissacado — revisar</x:v>
      </x:c>
    </x:row>
    <x:row r="2321">
      <x:c r="A2321" s="177" t="str">
        <x:v>45.207.430/0001-17</x:v>
      </x:c>
      <x:c r="B2321" s="168" t="str">
        <x:v>FIDC MILAS II JCPE - FUNDO DE INVESTIMENTO EM DIREITOS CREDITÓRIOS</x:v>
      </x:c>
      <x:c r="C2321" s="190" t="n">
        <x:v>15984864.25</x:v>
      </x:c>
      <x:c r="D2321" s="168" t="str">
        <x:v>PACTUAL CAPITAL PART</x:v>
      </x:c>
      <x:c r="E2321" s="168" t="str">
        <x:f>IFERROR(INDEX('Classif Gestoras'!$H$6:$H$462,MATCH(D2321,'Classif Gestoras'!$A$6:$A$462,0)),"Não classificada")</x:f>
        <x:v>Independente</x:v>
      </x:c>
      <x:c r="F2321" s="168" t="str">
        <x:v>BTG Pactual Servicos Financeiros S/A DTVM</x:v>
      </x:c>
      <x:c r="G2321" s="168" t="str">
        <x:v>BANCO BTG PACTUAL S/A</x:v>
      </x:c>
      <x:c r="H2321" s="168" t="str">
        <x:v>Outros</x:v>
      </x:c>
      <x:c r="I2321" s="168" t="str">
        <x:v>Multicarteira Outros</x:v>
      </x:c>
      <x:c r="J2321" s="168" t="str">
        <x:v>CI</x:v>
      </x:c>
      <x:c r="K2321" s="174" t="n">
        <x:v>1</x:v>
      </x:c>
      <x:c r="L2321" s="187" t="str">
        <x:v>Proxy multicedente/multissacado — revisar</x:v>
      </x:c>
    </x:row>
    <x:row r="2322">
      <x:c r="A2322" s="177" t="str">
        <x:v>50.791.925/0001-76</x:v>
      </x:c>
      <x:c r="B2322" s="168" t="str">
        <x:v>FACTIA FUNDO DE INVESTIMENTO EM DIREITOS CREDITÓRIOS</x:v>
      </x:c>
      <x:c r="C2322" s="190" t="n">
        <x:v>15980172.33</x:v>
      </x:c>
      <x:c r="D2322" s="168" t="str">
        <x:v>UC Gestora de Recursos</x:v>
      </x:c>
      <x:c r="E2322" s="168" t="str">
        <x:f>IFERROR(INDEX('Classif Gestoras'!$H$6:$H$462,MATCH(D2322,'Classif Gestoras'!$A$6:$A$462,0)),"Não classificada")</x:f>
        <x:v>Independente</x:v>
      </x:c>
      <x:c r="F2322" s="168" t="str">
        <x:v>Limine Trust Distribuidora de Titulos e Valores Mobiliá</x:v>
      </x:c>
      <x:c r="G2322" s="168" t="str">
        <x:v>LIMINE TRUST DISTRIBUIDORA DE TITULOS E VALORES MOBILIARIOS LTDA.</x:v>
      </x:c>
      <x:c r="H2322" s="168" t="str">
        <x:v>Agro, Indústria e Comércio</x:v>
      </x:c>
      <x:c r="I2322" s="168" t="str">
        <x:v>Multicarteira Agro, Indústria e Comércio</x:v>
      </x:c>
      <x:c r="J2322" s="168" t="str">
        <x:v>CI</x:v>
      </x:c>
      <x:c r="K2322" s="174" t="n">
        <x:v>1</x:v>
      </x:c>
      <x:c r="L2322" s="187" t="str">
        <x:v>Proxy multicedente/multissacado — revisar</x:v>
      </x:c>
    </x:row>
    <x:row r="2323">
      <x:c r="A2323" s="177" t="str">
        <x:v>51.114.682/0001-02</x:v>
      </x:c>
      <x:c r="B2323" s="168" t="str">
        <x:v>ARIA FUNDO DE INVESTIMENTO EM DIREITOS CREDITÓRIOS NÃO PADRONIZADOS DE RESPONSABILIDADE LIMITADA</x:v>
      </x:c>
      <x:c r="C2323" s="190" t="n">
        <x:v>15970968.89</x:v>
      </x:c>
      <x:c r="D2323" s="168" t="str">
        <x:v>CARMEL GESTORA DE ATIVOS LTDA</x:v>
      </x:c>
      <x:c r="E2323" s="168" t="str">
        <x:f>IFERROR(INDEX('Classif Gestoras'!$H$6:$H$462,MATCH(D2323,'Classif Gestoras'!$A$6:$A$462,0)),"Não classificada")</x:f>
        <x:v>Independente</x:v>
      </x:c>
      <x:c r="F2323" s="168" t="str">
        <x:v>MONETAR DISTRIBUIDORA DE TITUL</x:v>
      </x:c>
      <x:c r="G2323" s="168" t="str">
        <x:v>TERRA INVESTIMENTOS DISTRIBUIDORA DE TITULOS E VALORES MOBILIARIOS LTDA</x:v>
      </x:c>
      <x:c r="H2323" s="168" t="str">
        <x:v>Outros</x:v>
      </x:c>
      <x:c r="I2323" s="168" t="str">
        <x:v>Multicarteira Outros</x:v>
      </x:c>
      <x:c r="J2323" s="168" t="str">
        <x:v>CI</x:v>
      </x:c>
      <x:c r="K2323" s="174" t="n">
        <x:v>3</x:v>
      </x:c>
      <x:c r="L2323" s="187" t="str">
        <x:v>Proxy multicedente/multissacado — revisar</x:v>
      </x:c>
    </x:row>
    <x:row r="2324">
      <x:c r="A2324" s="177" t="str">
        <x:v>36.566.257/0001-52</x:v>
      </x:c>
      <x:c r="B2324" s="168" t="str">
        <x:v>ROMA FUNDO DE INVESTIMENTO EM DIREITOS CREDITÓRIOS</x:v>
      </x:c>
      <x:c r="C2324" s="190" t="n">
        <x:v>15906663.99</x:v>
      </x:c>
      <x:c r="D2324" s="168" t="str">
        <x:v>Libertas Asset</x:v>
      </x:c>
      <x:c r="E2324" s="168" t="str">
        <x:f>IFERROR(INDEX('Classif Gestoras'!$H$6:$H$462,MATCH(D2324,'Classif Gestoras'!$A$6:$A$462,0)),"Não classificada")</x:f>
        <x:v>Independente</x:v>
      </x:c>
      <x:c r="F2324" s="168" t="str">
        <x:v>ACTUAL DTVM</x:v>
      </x:c>
      <x:c r="G2324" s="168" t="str">
        <x:v>TRUSTEE DISTRIBUIDORA DE TITULOS E VALORES MOBILIARIOS LTDA.</x:v>
      </x:c>
      <x:c r="H2324" s="168" t="str">
        <x:v>Outros</x:v>
      </x:c>
      <x:c r="I2324" s="168" t="str">
        <x:v>Multicarteira Outros</x:v>
      </x:c>
      <x:c r="J2324" s="168" t="str">
        <x:v>CI</x:v>
      </x:c>
      <x:c r="K2324" s="174" t="n">
        <x:v>1</x:v>
      </x:c>
      <x:c r="L2324" s="187" t="str">
        <x:v>Proxy multicedente/multissacado — revisar</x:v>
      </x:c>
    </x:row>
    <x:row r="2325">
      <x:c r="A2325" s="177" t="str">
        <x:v>64.603.028/0001-04</x:v>
      </x:c>
      <x:c r="B2325" s="168" t="str">
        <x:v>CREDIT CASH FUNDO DE INVESTIMENTO EM DIREITOS CREDITÓRIOS</x:v>
      </x:c>
      <x:c r="C2325" s="190" t="n">
        <x:v>15879332.569999998</x:v>
      </x:c>
      <x:c r="D2325" s="168" t="str">
        <x:v>Redwood Asset Management</x:v>
      </x:c>
      <x:c r="E2325" s="168" t="str">
        <x:f>IFERROR(INDEX('Classif Gestoras'!$H$6:$H$462,MATCH(D2325,'Classif Gestoras'!$A$6:$A$462,0)),"Não classificada")</x:f>
        <x:v>Independente</x:v>
      </x:c>
      <x:c r="F2325" s="168" t="str">
        <x:v>PLANNER CV</x:v>
      </x:c>
      <x:c r="G2325" s="168" t="str">
        <x:v>PLANNER CORRETORA DE VALORES S.A.</x:v>
      </x:c>
      <x:c r="H2325" s="168" t="str">
        <x:v>Agro, Indústria e Comércio</x:v>
      </x:c>
      <x:c r="I2325" s="168" t="str">
        <x:v>Recebíveis Comerciais</x:v>
      </x:c>
      <x:c r="J2325" s="168" t="str">
        <x:v>CI</x:v>
      </x:c>
      <x:c r="K2325" s="174" t="n">
        <x:v>1</x:v>
      </x:c>
      <x:c r="L2325" s="187" t="str">
        <x:v>Não classificado</x:v>
      </x:c>
    </x:row>
    <x:row r="2326">
      <x:c r="A2326" s="177" t="str">
        <x:v>61.750.443/0001-94</x:v>
      </x:c>
      <x:c r="B2326" s="168" t="str">
        <x:v>GCRED FUNDO DE INVESTIMENTO EM DIREITOS CREDITÓRIOS</x:v>
      </x:c>
      <x:c r="C2326" s="190" t="n">
        <x:v>15820882.44</x:v>
      </x:c>
      <x:c r="D2326" s="168" t="str">
        <x:v>TERCON ASSET MANAGEMENT</x:v>
      </x:c>
      <x:c r="E2326" s="168" t="str">
        <x:f>IFERROR(INDEX('Classif Gestoras'!$H$6:$H$462,MATCH(D2326,'Classif Gestoras'!$A$6:$A$462,0)),"Não classificada")</x:f>
        <x:v>Independente</x:v>
      </x:c>
      <x:c r="F2326" s="168" t="str">
        <x:v>Limine Trust Distribuidora de Titulos e Valores Mobiliá</x:v>
      </x:c>
      <x:c r="G2326" s="168" t="str">
        <x:v>LIMINE TRUST DISTRIBUIDORA DE TITULOS E VALORES MOBILIARIOS LTDA.</x:v>
      </x:c>
      <x:c r="H2326" s="168" t="str">
        <x:v>Outros</x:v>
      </x:c>
      <x:c r="I2326" s="168" t="str">
        <x:v>Multicarteira Outros</x:v>
      </x:c>
      <x:c r="J2326" s="168" t="str">
        <x:v>CI</x:v>
      </x:c>
      <x:c r="K2326" s="174" t="n">
        <x:v>3</x:v>
      </x:c>
      <x:c r="L2326" s="187" t="str">
        <x:v>Proxy multicedente/multissacado — revisar</x:v>
      </x:c>
    </x:row>
    <x:row r="2327">
      <x:c r="A2327" s="177" t="str">
        <x:v>64.536.059/0001-81</x:v>
      </x:c>
      <x:c r="B2327" s="168" t="str">
        <x:v>MM FUNDO DE INVESTIMENTO EM DIREITOS CREDITÓRIOS</x:v>
      </x:c>
      <x:c r="C2327" s="190" t="n">
        <x:v>15812261.68</x:v>
      </x:c>
      <x:c r="D2327" s="168" t="str">
        <x:v>QUAESTUS GESTÃO DE INVESTIMENTOS LTDA.</x:v>
      </x:c>
      <x:c r="E2327" s="168" t="str">
        <x:f>IFERROR(INDEX('Classif Gestoras'!$H$6:$H$462,MATCH(D2327,'Classif Gestoras'!$A$6:$A$462,0)),"Não classificada")</x:f>
        <x:v>Independente</x:v>
      </x:c>
      <x:c r="F2327" s="168" t="str">
        <x:v>Limine Trust Distribuidora de Titulos e Valores Mobiliá</x:v>
      </x:c>
      <x:c r="G2327" s="168" t="str">
        <x:v>LIMINE TRUST DISTRIBUIDORA DE TITULOS E VALORES MOBILIARIOS LTDA.</x:v>
      </x:c>
      <x:c r="H2327" s="168" t="str">
        <x:v>Fomento Mercantil</x:v>
      </x:c>
      <x:c r="I2327" s="168" t="str">
        <x:v>Fomento Mercantil</x:v>
      </x:c>
      <x:c r="J2327" s="168" t="str">
        <x:v>CI</x:v>
      </x:c>
      <x:c r="K2327" s="174" t="n">
        <x:v>2</x:v>
      </x:c>
      <x:c r="L2327" s="187" t="str">
        <x:v>Não classificado</x:v>
      </x:c>
    </x:row>
    <x:row r="2328">
      <x:c r="A2328" s="177" t="str">
        <x:v>63.535.955/0001-63</x:v>
      </x:c>
      <x:c r="B2328" s="168" t="str">
        <x:v>FATURACRED FUNDO DE INVESTIMENTO EM DIREITOS CREDITÓRIOS RESPONSABILIDADE</x:v>
      </x:c>
      <x:c r="C2328" s="190" t="n">
        <x:v>15749479.19</x:v>
      </x:c>
      <x:c r="D2328" s="168" t="str">
        <x:v>Terra Asset Management</x:v>
      </x:c>
      <x:c r="E2328" s="168" t="str">
        <x:f>IFERROR(INDEX('Classif Gestoras'!$H$6:$H$462,MATCH(D2328,'Classif Gestoras'!$A$6:$A$462,0)),"Não classificada")</x:f>
        <x:v>Independente</x:v>
      </x:c>
      <x:c r="F2328" s="168" t="str">
        <x:v>MONETAR DISTRIBUIDORA DE TITUL</x:v>
      </x:c>
      <x:c r="G2328" s="168" t="str">
        <x:v>TERRA INVESTIMENTOS DISTRIBUIDORA DE TITULOS E VALORES MOBILIARIOS LTDA</x:v>
      </x:c>
      <x:c r="H2328" s="168" t="str">
        <x:v>Financeiro</x:v>
      </x:c>
      <x:c r="I2328" s="168" t="str">
        <x:v>Multicarteira Financeiro</x:v>
      </x:c>
      <x:c r="J2328" s="168" t="str">
        <x:v>CI</x:v>
      </x:c>
      <x:c r="K2328" s="174" t="n">
        <x:v>1</x:v>
      </x:c>
      <x:c r="L2328" s="187" t="str">
        <x:v>Proxy multicedente/multissacado — revisar</x:v>
      </x:c>
    </x:row>
    <x:row r="2329">
      <x:c r="A2329" s="177" t="str">
        <x:v>28.472.352/0001-69</x:v>
      </x:c>
      <x:c r="B2329" s="168" t="str">
        <x:v>SPS CORP I - FUNDO DE INVESTIMENTO EM DIREITOS CREDITÓRIOS - NÃO PADRONIZADOS</x:v>
      </x:c>
      <x:c r="C2329" s="190" t="n">
        <x:v>15744900.730000004</x:v>
      </x:c>
      <x:c r="D2329" s="168" t="str">
        <x:v>Vinci SPS Gestão de Recursos Ltda.</x:v>
      </x:c>
      <x:c r="E2329" s="168" t="str">
        <x:f>IFERROR(INDEX('Classif Gestoras'!$H$6:$H$462,MATCH(D2329,'Classif Gestoras'!$A$6:$A$462,0)),"Não classificada")</x:f>
        <x:v>Independente</x:v>
      </x:c>
      <x:c r="F2329" s="168" t="str">
        <x:v>VÓRTX DTVM</x:v>
      </x:c>
      <x:c r="G2329" s="168" t="str">
        <x:v>VORTX DISTRIBUIDORA DE TITULOS E VALORES MOBILIARIOS LTDA.</x:v>
      </x:c>
      <x:c r="H2329" s="168" t="str">
        <x:v>Outros</x:v>
      </x:c>
      <x:c r="I2329" s="168" t="str">
        <x:v>Multicarteira Outros</x:v>
      </x:c>
      <x:c r="J2329" s="168" t="str">
        <x:v>CI</x:v>
      </x:c>
      <x:c r="K2329" s="174" t="n">
        <x:v>28</x:v>
      </x:c>
      <x:c r="L2329" s="187" t="str">
        <x:v>Proxy multicedente/multissacado — revisar</x:v>
      </x:c>
    </x:row>
    <x:row r="2330">
      <x:c r="A2330" s="177" t="str">
        <x:v>54.776.077/0001-87</x:v>
      </x:c>
      <x:c r="B2330" s="168" t="str">
        <x:v>MARANATA FUNDO DE INVESTIMENTO EM DIREITOS CREDITÓRIOS</x:v>
      </x:c>
      <x:c r="C2330" s="190" t="n">
        <x:v>15718410.31</x:v>
      </x:c>
      <x:c r="D2330" s="168" t="str">
        <x:v>QUAESTUS GESTÃO DE INVESTIMENTOS LTDA.</x:v>
      </x:c>
      <x:c r="E2330" s="168" t="str">
        <x:f>IFERROR(INDEX('Classif Gestoras'!$H$6:$H$462,MATCH(D2330,'Classif Gestoras'!$A$6:$A$462,0)),"Não classificada")</x:f>
        <x:v>Independente</x:v>
      </x:c>
      <x:c r="F2330" s="168" t="str">
        <x:v>Limine Trust Distribuidora de Titulos e Valores Mobiliá</x:v>
      </x:c>
      <x:c r="G2330" s="168" t="str">
        <x:v>QORE DISTRIBUIDORA DE TÍTULOS E VALORES MOBILIÁRIOS LTDA.</x:v>
      </x:c>
      <x:c r="H2330" s="168" t="str">
        <x:v>Outros</x:v>
      </x:c>
      <x:c r="I2330" s="168" t="str">
        <x:v>Multicarteira Outros</x:v>
      </x:c>
      <x:c r="J2330" s="168" t="str">
        <x:v>CI</x:v>
      </x:c>
      <x:c r="K2330" s="174" t="n">
        <x:v>2</x:v>
      </x:c>
      <x:c r="L2330" s="187" t="str">
        <x:v>Proxy multicedente/multissacado — revisar</x:v>
      </x:c>
    </x:row>
    <x:row r="2331">
      <x:c r="A2331" s="177" t="str">
        <x:v>60.942.645/0001-75</x:v>
      </x:c>
      <x:c r="B2331" s="168" t="str">
        <x:v>VOLT FUNDO DE INVESTIMENTO EM DIREITOS CREDITÓRIOS RESPONSABILIDADE LIMITADA</x:v>
      </x:c>
      <x:c r="C2331" s="190" t="n">
        <x:v>15665184.27</x:v>
      </x:c>
      <x:c r="D2331" s="168" t="str">
        <x:v>Iggy Investimentos</x:v>
      </x:c>
      <x:c r="E2331" s="168" t="str">
        <x:f>IFERROR(INDEX('Classif Gestoras'!$H$6:$H$462,MATCH(D2331,'Classif Gestoras'!$A$6:$A$462,0)),"Não classificada")</x:f>
        <x:v>Independente</x:v>
      </x:c>
      <x:c r="F2331" s="168" t="str">
        <x:v>BRL TRUST DTVM</x:v>
      </x:c>
      <x:c r="G2331" s="168" t="str">
        <x:v>BRL TRUST DISTRIBUIDORA DE TITULOS E VALORES MOBILIARIOS S.A.</x:v>
      </x:c>
      <x:c r="H2331" s="168" t="str">
        <x:v>Outros</x:v>
      </x:c>
      <x:c r="I2331" s="168" t="str">
        <x:v>Multicarteira Outros</x:v>
      </x:c>
      <x:c r="J2331" s="168" t="str">
        <x:v>CI</x:v>
      </x:c>
      <x:c r="K2331" s="174" t="n">
        <x:v>5</x:v>
      </x:c>
      <x:c r="L2331" s="187" t="str">
        <x:v>Proxy multicedente/multissacado — revisar</x:v>
      </x:c>
    </x:row>
    <x:row r="2332">
      <x:c r="A2332" s="177" t="str">
        <x:v>35.949.828/0001-75</x:v>
      </x:c>
      <x:c r="B2332" s="168" t="str">
        <x:v>ROCKET II PRECATÓRIOS FUNDO DE INVESTIMENTO EM DIREITOS CREDITÓRIOS</x:v>
      </x:c>
      <x:c r="C2332" s="190" t="n">
        <x:v>15624943.170000002</x:v>
      </x:c>
      <x:c r="D2332" s="168" t="str">
        <x:v>SOSU CAPITAL GESTÃO DE INVESTIMENTOS LTDA.</x:v>
      </x:c>
      <x:c r="E2332" s="168" t="str">
        <x:f>IFERROR(INDEX('Classif Gestoras'!$H$6:$H$462,MATCH(D2332,'Classif Gestoras'!$A$6:$A$462,0)),"Não classificada")</x:f>
        <x:v>Independente</x:v>
      </x:c>
      <x:c r="F2332" s="168" t="str">
        <x:v>BRL TRUST DTVM</x:v>
      </x:c>
      <x:c r="G2332" s="168" t="str">
        <x:v>BRL TRUST DISTRIBUIDORA DE TITULOS E VALORES MOBILIARIOS S.A.</x:v>
      </x:c>
      <x:c r="H2332" s="168" t="str">
        <x:v>Outros</x:v>
      </x:c>
      <x:c r="I2332" s="168" t="str">
        <x:v>Poder Público</x:v>
      </x:c>
      <x:c r="J2332" s="168" t="str">
        <x:v>CI</x:v>
      </x:c>
      <x:c r="K2332" s="174" t="n">
        <x:v>2</x:v>
      </x:c>
      <x:c r="L2332" s="187" t="str">
        <x:v>Não classificado</x:v>
      </x:c>
    </x:row>
    <x:row r="2333">
      <x:c r="A2333" s="177" t="str">
        <x:v>53.279.903/0001-10</x:v>
      </x:c>
      <x:c r="B2333" s="168" t="str">
        <x:v>CUMARI FUNDO DE INVESTIMENTO EM DIREITOS CREDITÓRIOS RESPONSABILIDADE LIMITADA</x:v>
      </x:c>
      <x:c r="C2333" s="190" t="n">
        <x:v>15604543.55</x:v>
      </x:c>
      <x:c r="D2333" s="168" t="str">
        <x:v>SOSU CAPITAL GESTÃO DE INVESTIMENTOS LTDA.</x:v>
      </x:c>
      <x:c r="E2333" s="168" t="str">
        <x:f>IFERROR(INDEX('Classif Gestoras'!$H$6:$H$462,MATCH(D2333,'Classif Gestoras'!$A$6:$A$462,0)),"Não classificada")</x:f>
        <x:v>Independente</x:v>
      </x:c>
      <x:c r="F2333" s="168" t="str">
        <x:v>BTG Pactual Servicos Financeiros S/A DTVM</x:v>
      </x:c>
      <x:c r="G2333" s="168" t="str">
        <x:v>BANCO BTG PACTUAL S/A</x:v>
      </x:c>
      <x:c r="H2333" s="168" t="str">
        <x:v>Outros</x:v>
      </x:c>
      <x:c r="I2333" s="168" t="str">
        <x:v>Multicarteira Outros</x:v>
      </x:c>
      <x:c r="J2333" s="168" t="str">
        <x:v>CI</x:v>
      </x:c>
      <x:c r="K2333" s="174" t="n">
        <x:v>1</x:v>
      </x:c>
      <x:c r="L2333" s="187" t="str">
        <x:v>Proxy multicedente/multissacado — revisar</x:v>
      </x:c>
    </x:row>
    <x:row r="2334">
      <x:c r="A2334" s="177" t="str">
        <x:v>64.721.990/0001-30</x:v>
      </x:c>
      <x:c r="B2334" s="168" t="str">
        <x:v>JEP AGRO FUNDO DE INVESTIMENTO EM DIREITOS CREDITÓRIOS CRÉDITO CORPORATIVO</x:v>
      </x:c>
      <x:c r="C2334" s="190" t="n">
        <x:v>15568157.41</x:v>
      </x:c>
      <x:c r="D2334" s="168" t="str">
        <x:v>Harbour Capital</x:v>
      </x:c>
      <x:c r="E2334" s="168" t="str">
        <x:f>IFERROR(INDEX('Classif Gestoras'!$H$6:$H$462,MATCH(D2334,'Classif Gestoras'!$A$6:$A$462,0)),"Não classificada")</x:f>
        <x:v>Independente</x:v>
      </x:c>
      <x:c r="F2334" s="168" t="str">
        <x:v>AZUMI DISTRIBUIDORA DE TÍTULOS E VALORES MOBILIÁRIOS LT</x:v>
      </x:c>
      <x:c r="G2334" s="168" t="str">
        <x:v>AZUMI DISTRIBUIDORA DE TÍTULOS E VALORES MOBILIÁRIOS LTDA.</x:v>
      </x:c>
      <x:c r="H2334" s="168" t="str">
        <x:v>Fomento Mercantil</x:v>
      </x:c>
      <x:c r="I2334" s="168" t="str">
        <x:v>Fomento Mercantil</x:v>
      </x:c>
      <x:c r="J2334" s="168" t="str">
        <x:v>CI</x:v>
      </x:c>
      <x:c r="K2334" s="174" t="n">
        <x:v>2</x:v>
      </x:c>
      <x:c r="L2334" s="187" t="str">
        <x:v>Não classificado</x:v>
      </x:c>
    </x:row>
    <x:row r="2335">
      <x:c r="A2335" s="177" t="str">
        <x:v>61.176.663/0001-56</x:v>
      </x:c>
      <x:c r="B2335" s="168" t="str">
        <x:v>SCROLL FUNDO DE INVESTIMENTO EM DIREITOS CREDITÓRIOS</x:v>
      </x:c>
      <x:c r="C2335" s="190" t="n">
        <x:v>15563881.000000002</x:v>
      </x:c>
      <x:c r="D2335" s="168" t="str">
        <x:v>B.Side Wealth</x:v>
      </x:c>
      <x:c r="E2335" s="168" t="str">
        <x:f>IFERROR(INDEX('Classif Gestoras'!$H$6:$H$462,MATCH(D2335,'Classif Gestoras'!$A$6:$A$462,0)),"Não classificada")</x:f>
        <x:v>Independente</x:v>
      </x:c>
      <x:c r="F2335" s="168" t="str">
        <x:v>ID Corretora de Títulos e Valores Mobiliários S.A.</x:v>
      </x:c>
      <x:c r="G2335" s="168" t="str">
        <x:v>ID CORRETORA DE TITULOS E VALORES MOBILIARIOS S.A.</x:v>
      </x:c>
      <x:c r="H2335" s="168" t="str">
        <x:v>Outros</x:v>
      </x:c>
      <x:c r="I2335" s="168" t="str">
        <x:v>Multicarteira Outros</x:v>
      </x:c>
      <x:c r="J2335" s="168" t="str">
        <x:v>CI</x:v>
      </x:c>
      <x:c r="K2335" s="174" t="n">
        <x:v>2</x:v>
      </x:c>
      <x:c r="L2335" s="187" t="str">
        <x:v>Proxy multicedente/multissacado — revisar</x:v>
      </x:c>
    </x:row>
    <x:row r="2336">
      <x:c r="A2336" s="177" t="str">
        <x:v>49.156.414/0001-01</x:v>
      </x:c>
      <x:c r="B2336" s="168" t="str">
        <x:v>VERA CRUZ I - ATIVOS JUDICIAIS - PROCESSO DE CONHECIMENTO - FIDC - RESPONSABILIDADE LIMITADA</x:v>
      </x:c>
      <x:c r="C2336" s="190" t="n">
        <x:v>15557355.91</x:v>
      </x:c>
      <x:c r="D2336" s="168" t="str">
        <x:v>CRD Capital Administração de Recursos Ltda</x:v>
      </x:c>
      <x:c r="E2336" s="168" t="str">
        <x:f>IFERROR(INDEX('Classif Gestoras'!$H$6:$H$462,MATCH(D2336,'Classif Gestoras'!$A$6:$A$462,0)),"Não classificada")</x:f>
        <x:v>Independente</x:v>
      </x:c>
      <x:c r="F2336" s="168" t="str">
        <x:v>FIDD DISTRIBUIDORA DE TITULOS E VALORES MOBILIARIOS LTD</x:v>
      </x:c>
      <x:c r="G2336" s="168" t="str">
        <x:v>FIDD DISTRIBUIDORA DE TITULOS E VALORES MOBILIARIOS LTDA.</x:v>
      </x:c>
      <x:c r="H2336" s="168" t="str">
        <x:v>Outros</x:v>
      </x:c>
      <x:c r="I2336" s="168" t="str">
        <x:v>Multicarteira Outros</x:v>
      </x:c>
      <x:c r="J2336" s="168" t="str">
        <x:v>CI</x:v>
      </x:c>
      <x:c r="K2336" s="174" t="n">
        <x:v>27</x:v>
      </x:c>
      <x:c r="L2336" s="187" t="str">
        <x:v>Proxy multicedente/multissacado — revisar</x:v>
      </x:c>
    </x:row>
    <x:row r="2337">
      <x:c r="A2337" s="177" t="str">
        <x:v>62.838.783/0001-34</x:v>
      </x:c>
      <x:c r="B2337" s="168" t="str">
        <x:v>FIGTREE COBRAFIX EDUCACIONAL INADIMPLENCIA FUNDO DE INVESTIMENTO EM DIREITOS CREDITÓRIOS</x:v>
      </x:c>
      <x:c r="C2337" s="190" t="n">
        <x:v>15545572.55</x:v>
      </x:c>
      <x:c r="D2337" s="168" t="str">
        <x:v>FigTree Capital</x:v>
      </x:c>
      <x:c r="E2337" s="168" t="str">
        <x:f>IFERROR(INDEX('Classif Gestoras'!$H$6:$H$462,MATCH(D2337,'Classif Gestoras'!$A$6:$A$462,0)),"Não classificada")</x:f>
        <x:v>Independente</x:v>
      </x:c>
      <x:c r="F2337" s="168" t="str">
        <x:v>BRL TRUST DTVM</x:v>
      </x:c>
      <x:c r="G2337" s="168" t="str">
        <x:v>BRL TRUST DISTRIBUIDORA DE TITULOS E VALORES MOBILIARIOS S.A.</x:v>
      </x:c>
      <x:c r="H2337" s="168" t="str">
        <x:v>Outros</x:v>
      </x:c>
      <x:c r="I2337" s="168" t="str">
        <x:v>Multicarteira Outros</x:v>
      </x:c>
      <x:c r="J2337" s="168" t="str">
        <x:v>CI</x:v>
      </x:c>
      <x:c r="K2337" s="174" t="n">
        <x:v>20</x:v>
      </x:c>
      <x:c r="L2337" s="187" t="str">
        <x:v>Proxy multicedente/multissacado — revisar</x:v>
      </x:c>
    </x:row>
    <x:row r="2338">
      <x:c r="A2338" s="177" t="str">
        <x:v>09.636.040/0001-07</x:v>
      </x:c>
      <x:c r="B2338" s="168" t="str">
        <x:v>ATLANTIC FUNDO DE INVESTIMENTO EM DIREITOS CREDITORIOS MULTISSETORIAL - RESPONSABILIDADE LIMITADA</x:v>
      </x:c>
      <x:c r="C2338" s="190" t="n">
        <x:v>15515248.299999995</x:v>
      </x:c>
      <x:c r="D2338" s="168" t="str">
        <x:v>Aventis Asset</x:v>
      </x:c>
      <x:c r="E2338" s="168" t="str">
        <x:f>IFERROR(INDEX('Classif Gestoras'!$H$6:$H$462,MATCH(D2338,'Classif Gestoras'!$A$6:$A$462,0)),"Não classificada")</x:f>
        <x:v>Independente</x:v>
      </x:c>
      <x:c r="F2338" s="168" t="str">
        <x:v>Banvox DTVM</x:v>
      </x:c>
      <x:c r="G2338" s="168" t="str">
        <x:v>MERITO DISTRIBUIDORA DE TITULOS E VALORES MOBILIARIOS LTDA.</x:v>
      </x:c>
      <x:c r="H2338" s="168" t="str">
        <x:v>Outros</x:v>
      </x:c>
      <x:c r="I2338" s="168" t="str">
        <x:v>Multicarteira Outros</x:v>
      </x:c>
      <x:c r="J2338" s="168" t="str">
        <x:v>CI</x:v>
      </x:c>
      <x:c r="K2338" s="174" t="n">
        <x:v>18</x:v>
      </x:c>
      <x:c r="L2338" s="187" t="str">
        <x:v>Proxy multicedente/multissacado — revisar</x:v>
      </x:c>
    </x:row>
    <x:row r="2339">
      <x:c r="A2339" s="177" t="str">
        <x:v>40.669.872/0001-61</x:v>
      </x:c>
      <x:c r="B2339" s="168" t="str">
        <x:v>GUATAMBU FUNDO DE INVESTIMENTO EM DIREITOS CREDITÓRIOS NÃO-PADRONIZADO</x:v>
      </x:c>
      <x:c r="C2339" s="190" t="n">
        <x:v>15434146.96</x:v>
      </x:c>
      <x:c r="D2339" s="168" t="str">
        <x:v>WNT Gestora de Recursos Ltda.</x:v>
      </x:c>
      <x:c r="E2339" s="168" t="str">
        <x:f>IFERROR(INDEX('Classif Gestoras'!$H$6:$H$462,MATCH(D2339,'Classif Gestoras'!$A$6:$A$462,0)),"Não classificada")</x:f>
        <x:v>Independente</x:v>
      </x:c>
      <x:c r="F2339" s="168" t="str">
        <x:v>WNT DTVM</x:v>
      </x:c>
      <x:c r="G2339" s="168" t="str">
        <x:v>WNT CAPITAL DISTRIBUIDORA DE TITULOS E VALORES MOBILIARIOS S.A.</x:v>
      </x:c>
      <x:c r="H2339" s="168" t="str">
        <x:v>Outros</x:v>
      </x:c>
      <x:c r="I2339" s="168" t="str">
        <x:v>Multicarteira Outros</x:v>
      </x:c>
      <x:c r="J2339" s="168" t="str">
        <x:v>CI</x:v>
      </x:c>
      <x:c r="K2339" s="174" t="n">
        <x:v>1</x:v>
      </x:c>
      <x:c r="L2339" s="187" t="str">
        <x:v>Proxy multicedente/multissacado — revisar</x:v>
      </x:c>
    </x:row>
    <x:row r="2340">
      <x:c r="A2340" s="177" t="str">
        <x:v>60.796.225/0001-28</x:v>
      </x:c>
      <x:c r="B2340" s="168" t="str">
        <x:v>WCS CONSIG FUNDO DE INVESTIMENTO EM DIREITOS CREDITÓRIOS RESPONSABILIDADE LIMITADA</x:v>
      </x:c>
      <x:c r="C2340" s="190" t="n">
        <x:v>15393704.52</x:v>
      </x:c>
      <x:c r="D2340" s="168" t="str">
        <x:v>Redwood Asset Management</x:v>
      </x:c>
      <x:c r="E2340" s="168" t="str">
        <x:f>IFERROR(INDEX('Classif Gestoras'!$H$6:$H$462,MATCH(D2340,'Classif Gestoras'!$A$6:$A$462,0)),"Não classificada")</x:f>
        <x:v>Independente</x:v>
      </x:c>
      <x:c r="F2340" s="168" t="str">
        <x:v>PLANNER CV</x:v>
      </x:c>
      <x:c r="G2340" s="168" t="str">
        <x:v>PLANNER CORRETORA DE VALORES S.A.</x:v>
      </x:c>
      <x:c r="H2340" s="168" t="str">
        <x:v>Outros</x:v>
      </x:c>
      <x:c r="I2340" s="168" t="str">
        <x:v>Multicarteira Outros</x:v>
      </x:c>
      <x:c r="J2340" s="168" t="str">
        <x:v>CI</x:v>
      </x:c>
      <x:c r="K2340" s="174" t="n">
        <x:v>5</x:v>
      </x:c>
      <x:c r="L2340" s="187" t="str">
        <x:v>Proxy multicedente/multissacado — revisar</x:v>
      </x:c>
    </x:row>
    <x:row r="2341">
      <x:c r="A2341" s="177" t="str">
        <x:v>53.280.106/0001-52</x:v>
      </x:c>
      <x:c r="B2341" s="168" t="str">
        <x:v>JURERÊ FUNDO DE INVESTIMENTO EM DIREITOS CREDITÓRIOS RESPONSABILIDADE LIMITADA</x:v>
      </x:c>
      <x:c r="C2341" s="190" t="n">
        <x:v>15368293.7</x:v>
      </x:c>
      <x:c r="D2341" s="168" t="str">
        <x:v>SOSU CAPITAL GESTÃO DE INVESTIMENTOS LTDA.</x:v>
      </x:c>
      <x:c r="E2341" s="168" t="str">
        <x:f>IFERROR(INDEX('Classif Gestoras'!$H$6:$H$462,MATCH(D2341,'Classif Gestoras'!$A$6:$A$462,0)),"Não classificada")</x:f>
        <x:v>Independente</x:v>
      </x:c>
      <x:c r="F2341" s="168" t="str">
        <x:v>BTG Pactual Servicos Financeiros S/A DTVM</x:v>
      </x:c>
      <x:c r="G2341" s="168" t="str">
        <x:v>BANCO BTG PACTUAL S/A</x:v>
      </x:c>
      <x:c r="H2341" s="168" t="str">
        <x:v>Outros</x:v>
      </x:c>
      <x:c r="I2341" s="168" t="str">
        <x:v>Poder Público</x:v>
      </x:c>
      <x:c r="J2341" s="168" t="str">
        <x:v>CI</x:v>
      </x:c>
      <x:c r="K2341" s="174" t="n">
        <x:v>1</x:v>
      </x:c>
      <x:c r="L2341" s="187" t="str">
        <x:v>Não classificado</x:v>
      </x:c>
    </x:row>
    <x:row r="2342">
      <x:c r="A2342" s="177" t="str">
        <x:v>42.794.237/0001-31</x:v>
      </x:c>
      <x:c r="B2342" s="168" t="str">
        <x:v>ONNI FUNDO DE INVESTIMENTO EM DIREITOS CREDITÓRIOS</x:v>
      </x:c>
      <x:c r="C2342" s="190" t="n">
        <x:v>15344258.22</x:v>
      </x:c>
      <x:c r="D2342" s="168" t="str">
        <x:v>Solis</x:v>
      </x:c>
      <x:c r="E2342" s="168" t="str">
        <x:f>IFERROR(INDEX('Classif Gestoras'!$H$6:$H$462,MATCH(D2342,'Classif Gestoras'!$A$6:$A$462,0)),"Não classificada")</x:f>
        <x:v>Independente</x:v>
      </x:c>
      <x:c r="F2342" s="168" t="str">
        <x:v>HEMERA DTVM</x:v>
      </x:c>
      <x:c r="G2342" s="168" t="str">
        <x:v>HEMERA DISTRIBUIDORA DE TITULOS E VALORES MOBILIARIOS LTDA</x:v>
      </x:c>
      <x:c r="H2342" s="168" t="str">
        <x:v>Outros</x:v>
      </x:c>
      <x:c r="I2342" s="168" t="str">
        <x:v>Multicarteira Outros</x:v>
      </x:c>
      <x:c r="J2342" s="168" t="str">
        <x:v>CI</x:v>
      </x:c>
      <x:c r="K2342" s="174" t="n">
        <x:v>2</x:v>
      </x:c>
      <x:c r="L2342" s="187" t="str">
        <x:v>Proxy multicedente/multissacado — revisar</x:v>
      </x:c>
    </x:row>
    <x:row r="2343">
      <x:c r="A2343" s="177" t="str">
        <x:v>63.139.835/0001-47</x:v>
      </x:c>
      <x:c r="B2343" s="168" t="str">
        <x:v>SPRINGS I FUNDO DE INVESTIMENTO EM DIREITOS CREDITÓRIOS DE PRECATÓRIOS DE RESPONSABILIDADE LIMITADA</x:v>
      </x:c>
      <x:c r="C2343" s="190" t="n">
        <x:v>15328311.720000004</x:v>
      </x:c>
      <x:c r="D2343" s="168" t="str">
        <x:v>Springs Capital Ltda.</x:v>
      </x:c>
      <x:c r="E2343" s="168" t="str">
        <x:f>IFERROR(INDEX('Classif Gestoras'!$H$6:$H$462,MATCH(D2343,'Classif Gestoras'!$A$6:$A$462,0)),"Não classificada")</x:f>
        <x:v>Independente</x:v>
      </x:c>
      <x:c r="F2343" s="168" t="str">
        <x:v>BRL TRUST DTVM</x:v>
      </x:c>
      <x:c r="G2343" s="168" t="str">
        <x:v>BRL TRUST DISTRIBUIDORA DE TITULOS E VALORES MOBILIARIOS S.A.</x:v>
      </x:c>
      <x:c r="H2343" s="168" t="str">
        <x:v>Outros</x:v>
      </x:c>
      <x:c r="I2343" s="168" t="str">
        <x:v>Poder Público</x:v>
      </x:c>
      <x:c r="J2343" s="168" t="str">
        <x:v>CI</x:v>
      </x:c>
      <x:c r="K2343" s="174" t="n">
        <x:v>27</x:v>
      </x:c>
      <x:c r="L2343" s="187" t="str">
        <x:v>Não classificado</x:v>
      </x:c>
    </x:row>
    <x:row r="2344">
      <x:c r="A2344" s="177" t="str">
        <x:v>58.505.957/0001-70</x:v>
      </x:c>
      <x:c r="B2344" s="168" t="str">
        <x:v>FIRENZE CAPITAL FUNDO DE INVESTIMENTO EM DIREITOS CREDITÓRIOS</x:v>
      </x:c>
      <x:c r="C2344" s="190" t="n">
        <x:v>15291380.27</x:v>
      </x:c>
      <x:c r="D2344" s="168" t="str">
        <x:v>Catálise Investimentos</x:v>
      </x:c>
      <x:c r="E2344" s="168" t="str">
        <x:f>IFERROR(INDEX('Classif Gestoras'!$H$6:$H$462,MATCH(D2344,'Classif Gestoras'!$A$6:$A$462,0)),"Não classificada")</x:f>
        <x:v>Independente</x:v>
      </x:c>
      <x:c r="F2344" s="168" t="str">
        <x:v>FIDD DISTRIBUIDORA DE TITULOS E VALORES MOBILIARIOS LTD</x:v>
      </x:c>
      <x:c r="G2344" s="168" t="str">
        <x:v>FIDD DISTRIBUIDORA DE TITULOS E VALORES MOBILIARIOS LTDA.</x:v>
      </x:c>
      <x:c r="H2344" s="168" t="str">
        <x:v>Agro, Indústria e Comércio</x:v>
      </x:c>
      <x:c r="I2344" s="168" t="str">
        <x:v>Multicarteira Agro, Indústria e Comércio</x:v>
      </x:c>
      <x:c r="J2344" s="168" t="str">
        <x:v>CI</x:v>
      </x:c>
      <x:c r="K2344" s="174" t="n">
        <x:v>11</x:v>
      </x:c>
      <x:c r="L2344" s="187" t="str">
        <x:v>Proxy multicedente/multissacado — revisar</x:v>
      </x:c>
    </x:row>
    <x:row r="2345">
      <x:c r="A2345" s="177" t="str">
        <x:v>60.232.878/0001-84</x:v>
      </x:c>
      <x:c r="B2345" s="168" t="str">
        <x:v>SINAI DIRECT FUNDO DE INVESTIMENTO EM DIREITOS CREDITÓRIOS RESPONSABILIDADE LIMITADA</x:v>
      </x:c>
      <x:c r="C2345" s="190" t="n">
        <x:v>15271605.44</x:v>
      </x:c>
      <x:c r="D2345" s="168" t="str">
        <x:v>SINAI ASSET</x:v>
      </x:c>
      <x:c r="E2345" s="168" t="str">
        <x:f>IFERROR(INDEX('Classif Gestoras'!$H$6:$H$462,MATCH(D2345,'Classif Gestoras'!$A$6:$A$462,0)),"Não classificada")</x:f>
        <x:v>Independente</x:v>
      </x:c>
      <x:c r="F2345" s="168" t="str">
        <x:v>ID Corretora de Títulos e Valores Mobiliários S.A.</x:v>
      </x:c>
      <x:c r="G2345" s="168" t="str">
        <x:v>ID CORRETORA DE TITULOS E VALORES MOBILIARIOS S.A.</x:v>
      </x:c>
      <x:c r="H2345" s="168" t="str">
        <x:v>Outros</x:v>
      </x:c>
      <x:c r="I2345" s="168" t="str">
        <x:v>Multicarteira Outros</x:v>
      </x:c>
      <x:c r="J2345" s="168" t="str">
        <x:v>CI</x:v>
      </x:c>
      <x:c r="K2345" s="174" t="n">
        <x:v>6</x:v>
      </x:c>
      <x:c r="L2345" s="187" t="str">
        <x:v>Proxy multicedente/multissacado — revisar</x:v>
      </x:c>
    </x:row>
    <x:row r="2346">
      <x:c r="A2346" s="177" t="str">
        <x:v>49.507.576/0001-39</x:v>
      </x:c>
      <x:c r="B2346" s="168" t="str">
        <x:v>IPIRANGA CAPITAL FUNDO DE INVESTIMENTO EM DIREITOS CREDITÓRIOS</x:v>
      </x:c>
      <x:c r="C2346" s="190" t="n">
        <x:v>15260526.5</x:v>
      </x:c>
      <x:c r="D2346" s="168" t="str">
        <x:v>TERCON ASSET MANAGEMENT</x:v>
      </x:c>
      <x:c r="E2346" s="168" t="str">
        <x:f>IFERROR(INDEX('Classif Gestoras'!$H$6:$H$462,MATCH(D2346,'Classif Gestoras'!$A$6:$A$462,0)),"Não classificada")</x:f>
        <x:v>Independente</x:v>
      </x:c>
      <x:c r="F2346" s="168" t="str">
        <x:v>Singulare</x:v>
      </x:c>
      <x:c r="G2346" s="168" t="str">
        <x:v>QI CORRETORA DE TÍTULOS E VALORES MOBILIÁRIOS S.A.</x:v>
      </x:c>
      <x:c r="H2346" s="168" t="str">
        <x:v>Fomento Mercantil</x:v>
      </x:c>
      <x:c r="I2346" s="168" t="str">
        <x:v>Fomento Mercantil</x:v>
      </x:c>
      <x:c r="J2346" s="168" t="str">
        <x:v>CI</x:v>
      </x:c>
      <x:c r="K2346" s="174" t="n">
        <x:v>3</x:v>
      </x:c>
      <x:c r="L2346" s="187" t="str">
        <x:v>Não classificado</x:v>
      </x:c>
    </x:row>
    <x:row r="2347">
      <x:c r="A2347" s="177" t="str">
        <x:v>50.367.468/0001-97</x:v>
      </x:c>
      <x:c r="B2347" s="168" t="str">
        <x:v>EVOQUE FUNDO DE INVESTIMENTO EM DIREITOS CREDITÓRIOS</x:v>
      </x:c>
      <x:c r="C2347" s="190" t="n">
        <x:v>15245624.43</x:v>
      </x:c>
      <x:c r="D2347" s="168" t="str">
        <x:v>Reag Administradora de Recursos Ltda</x:v>
      </x:c>
      <x:c r="E2347" s="168" t="str">
        <x:f>IFERROR(INDEX('Classif Gestoras'!$H$6:$H$462,MATCH(D2347,'Classif Gestoras'!$A$6:$A$462,0)),"Não classificada")</x:f>
        <x:v>Independente</x:v>
      </x:c>
      <x:c r="F2347" s="168" t="str">
        <x:v>REAG DTVM</x:v>
      </x:c>
      <x:c r="G2347" s="168" t="str">
        <x:v>QORE DISTRIBUIDORA DE TÍTULOS E VALORES MOBILIÁRIOS LTDA.</x:v>
      </x:c>
      <x:c r="H2347" s="168" t="str">
        <x:v>Financeiro</x:v>
      </x:c>
      <x:c r="I2347" s="168" t="str">
        <x:v>Crédito Imobiliário</x:v>
      </x:c>
      <x:c r="J2347" s="168" t="str">
        <x:v>CI</x:v>
      </x:c>
      <x:c r="K2347" s="174" t="n">
        <x:v>1</x:v>
      </x:c>
      <x:c r="L2347" s="187" t="str">
        <x:v>Não classificado</x:v>
      </x:c>
    </x:row>
    <x:row r="2348">
      <x:c r="A2348" s="177" t="str">
        <x:v>46.766.118/0001-26</x:v>
      </x:c>
      <x:c r="B2348" s="168" t="str">
        <x:v>FUNDO DE INVESTIMENTO EM DIREITOS CREDITÓRIOS CONSIGNADO Q1</x:v>
      </x:c>
      <x:c r="C2348" s="190" t="n">
        <x:v>15235445.53</x:v>
      </x:c>
      <x:c r="D2348" s="168" t="str">
        <x:v>REAG SPECIAL SITUATIONS</x:v>
      </x:c>
      <x:c r="E2348" s="168" t="str">
        <x:f>IFERROR(INDEX('Classif Gestoras'!$H$6:$H$462,MATCH(D2348,'Classif Gestoras'!$A$6:$A$462,0)),"Não classificada")</x:f>
        <x:v>Independente</x:v>
      </x:c>
      <x:c r="F2348" s="168" t="str">
        <x:v>Banvox DTVM</x:v>
      </x:c>
      <x:c r="G2348" s="168" t="str">
        <x:v>BANVOX DISTRIBUIDORA DE TITULOS E VALORES MOBILIARIOS LTDA</x:v>
      </x:c>
      <x:c r="H2348" s="168" t="str">
        <x:v>Financeiro</x:v>
      </x:c>
      <x:c r="I2348" s="168" t="str">
        <x:v>Crédito Consignado</x:v>
      </x:c>
      <x:c r="J2348" s="168" t="str">
        <x:v>CI</x:v>
      </x:c>
      <x:c r="K2348" s="174" t="n">
        <x:v>19</x:v>
      </x:c>
      <x:c r="L2348" s="187" t="str">
        <x:v>Não classificado</x:v>
      </x:c>
    </x:row>
    <x:row r="2349">
      <x:c r="A2349" s="177" t="str">
        <x:v>41.114.200/0001-52</x:v>
      </x:c>
      <x:c r="B2349" s="168" t="str">
        <x:v>FIDC MILAS II PRODUTOR RURAL - FUNDO DE INVESTIMENTO EM DIREITOS CREDITÓRIOS</x:v>
      </x:c>
      <x:c r="C2349" s="190" t="n">
        <x:v>15221808.77</x:v>
      </x:c>
      <x:c r="D2349" s="168" t="str">
        <x:v>Quadra Gestão de Recursos S.A.</x:v>
      </x:c>
      <x:c r="E2349" s="168" t="str">
        <x:f>IFERROR(INDEX('Classif Gestoras'!$H$6:$H$462,MATCH(D2349,'Classif Gestoras'!$A$6:$A$462,0)),"Não classificada")</x:f>
        <x:v>Independente</x:v>
      </x:c>
      <x:c r="F2349" s="168" t="str">
        <x:v>BTG Pactual Servicos Financeiros S/A DTVM</x:v>
      </x:c>
      <x:c r="G2349" s="168" t="str">
        <x:v>BANCO BTG PACTUAL S/A</x:v>
      </x:c>
      <x:c r="H2349" s="168" t="str">
        <x:v>Outros</x:v>
      </x:c>
      <x:c r="I2349" s="168" t="str">
        <x:v>Multicarteira Outros</x:v>
      </x:c>
      <x:c r="J2349" s="168" t="str">
        <x:v>CI</x:v>
      </x:c>
      <x:c r="K2349" s="174" t="n">
        <x:v>1</x:v>
      </x:c>
      <x:c r="L2349" s="187" t="str">
        <x:v>Proxy multicedente/multissacado — revisar</x:v>
      </x:c>
    </x:row>
    <x:row r="2350">
      <x:c r="A2350" s="177" t="str">
        <x:v>37.511.950/0001-90</x:v>
      </x:c>
      <x:c r="B2350" s="168" t="str">
        <x:v>FAST CAPITAL FUNDO DE INVESTIMENTO EM DIREITOS CREDITÓRIOS</x:v>
      </x:c>
      <x:c r="C2350" s="190" t="n">
        <x:v>15156845.61</x:v>
      </x:c>
      <x:c r="D2350" s="168" t="str">
        <x:v>Libertas Asset</x:v>
      </x:c>
      <x:c r="E2350" s="168" t="str">
        <x:f>IFERROR(INDEX('Classif Gestoras'!$H$6:$H$462,MATCH(D2350,'Classif Gestoras'!$A$6:$A$462,0)),"Não classificada")</x:f>
        <x:v>Independente</x:v>
      </x:c>
      <x:c r="F2350" s="168" t="str">
        <x:v>ACTUAL DTVM</x:v>
      </x:c>
      <x:c r="G2350" s="168" t="str">
        <x:v>LASTRO RDV DTVM LTDA</x:v>
      </x:c>
      <x:c r="H2350" s="168" t="str">
        <x:v>Fomento Mercantil</x:v>
      </x:c>
      <x:c r="I2350" s="168" t="str">
        <x:v>Fomento Mercantil</x:v>
      </x:c>
      <x:c r="J2350" s="168" t="str">
        <x:v>CI</x:v>
      </x:c>
      <x:c r="K2350" s="174" t="n">
        <x:v>2</x:v>
      </x:c>
      <x:c r="L2350" s="187" t="str">
        <x:v>Não classificado</x:v>
      </x:c>
    </x:row>
    <x:row r="2351">
      <x:c r="A2351" s="177" t="str">
        <x:v>63.672.769/0001-76</x:v>
      </x:c>
      <x:c r="B2351" s="168" t="str">
        <x:v>SIGMA INDIE RAIZ AGRO PERFORMADO FIDC RESPONSABILIDADE LIMITADA</x:v>
      </x:c>
      <x:c r="C2351" s="190" t="n">
        <x:v>15131402.37</x:v>
      </x:c>
      <x:c r="D2351" s="168" t="str">
        <x:v>INDIE CAPITAL INVESTIMENTOS LT</x:v>
      </x:c>
      <x:c r="E2351" s="168" t="str">
        <x:f>IFERROR(INDEX('Classif Gestoras'!$H$6:$H$462,MATCH(D2351,'Classif Gestoras'!$A$6:$A$462,0)),"Não classificada")</x:f>
        <x:v>Independente</x:v>
      </x:c>
      <x:c r="F2351" s="168" t="str">
        <x:v>BANCO DAYCOVAL S/A</x:v>
      </x:c>
      <x:c r="G2351" s="168" t="str">
        <x:v>BANCO DAYCOVAL S.A.</x:v>
      </x:c>
      <x:c r="H2351" s="168" t="str">
        <x:v>Agro, Indústria e Comércio</x:v>
      </x:c>
      <x:c r="I2351" s="168" t="str">
        <x:v>Recebíveis Comerciais</x:v>
      </x:c>
      <x:c r="J2351" s="168" t="str">
        <x:v>CI</x:v>
      </x:c>
      <x:c r="K2351" s="174" t="n">
        <x:v>6</x:v>
      </x:c>
      <x:c r="L2351" s="187" t="str">
        <x:v>Não classificado</x:v>
      </x:c>
    </x:row>
    <x:row r="2352">
      <x:c r="A2352" s="177" t="str">
        <x:v>51.942.865/0001-08</x:v>
      </x:c>
      <x:c r="B2352" s="168" t="str">
        <x:v>EVEREST FUNDO DE INVESTIMENTO EM DIREITOS CREDITÓRIOS</x:v>
      </x:c>
      <x:c r="C2352" s="190" t="n">
        <x:v>15083028.61</x:v>
      </x:c>
      <x:c r="D2352" s="168" t="str">
        <x:v>PLANNER CV</x:v>
      </x:c>
      <x:c r="E2352" s="168" t="str">
        <x:f>IFERROR(INDEX('Classif Gestoras'!$H$6:$H$462,MATCH(D2352,'Classif Gestoras'!$A$6:$A$462,0)),"Não classificada")</x:f>
        <x:v>Independente</x:v>
      </x:c>
      <x:c r="F2352" s="168" t="str">
        <x:v>PLANNER CV</x:v>
      </x:c>
      <x:c r="G2352" s="168" t="str">
        <x:v>PLANNER CORRETORA DE VALORES S.A.</x:v>
      </x:c>
      <x:c r="H2352" s="168" t="str">
        <x:v>Outros</x:v>
      </x:c>
      <x:c r="I2352" s="168" t="str">
        <x:v>Multicarteira Outros</x:v>
      </x:c>
      <x:c r="J2352" s="168" t="str">
        <x:v>CI</x:v>
      </x:c>
      <x:c r="K2352" s="174" t="n">
        <x:v>2</x:v>
      </x:c>
      <x:c r="L2352" s="187" t="str">
        <x:v>Proxy multicedente/multissacado — revisar</x:v>
      </x:c>
    </x:row>
    <x:row r="2353">
      <x:c r="A2353" s="177" t="str">
        <x:v>52.364.436/0001-63</x:v>
      </x:c>
      <x:c r="B2353" s="168" t="str">
        <x:v>VBINVEST FUNDO DE INVESTIMENTO EM DIREITOS CREDITÓRIOS</x:v>
      </x:c>
      <x:c r="C2353" s="190" t="n">
        <x:v>14932851.52</x:v>
      </x:c>
      <x:c r="D2353" s="168" t="str">
        <x:v>Veritas Capital Management</x:v>
      </x:c>
      <x:c r="E2353" s="168" t="str">
        <x:f>IFERROR(INDEX('Classif Gestoras'!$H$6:$H$462,MATCH(D2353,'Classif Gestoras'!$A$6:$A$462,0)),"Não classificada")</x:f>
        <x:v>Independente</x:v>
      </x:c>
      <x:c r="F2353" s="168" t="str">
        <x:v>PLANNER CV</x:v>
      </x:c>
      <x:c r="G2353" s="168" t="str">
        <x:v>PLANNER CORRETORA DE VALORES S.A.</x:v>
      </x:c>
      <x:c r="H2353" s="168" t="str">
        <x:v>Outros</x:v>
      </x:c>
      <x:c r="I2353" s="168" t="str">
        <x:v>Multicarteira Outros</x:v>
      </x:c>
      <x:c r="J2353" s="168" t="str">
        <x:v>CI</x:v>
      </x:c>
      <x:c r="K2353" s="174" t="n">
        <x:v>1</x:v>
      </x:c>
      <x:c r="L2353" s="187" t="str">
        <x:v>Proxy multicedente/multissacado — revisar</x:v>
      </x:c>
    </x:row>
    <x:row r="2354">
      <x:c r="A2354" s="177" t="str">
        <x:v>63.812.734/0001-95</x:v>
      </x:c>
      <x:c r="B2354" s="168" t="str">
        <x:v>FUNDO DE INVESTIMENTO EM DIREITOS CREDITÓRIOS CREDITAS TEMPUS IV</x:v>
      </x:c>
      <x:c r="C2354" s="190" t="n">
        <x:v>14920925.41</x:v>
      </x:c>
      <x:c r="D2354" s="168" t="str">
        <x:v>Kanastra</x:v>
      </x:c>
      <x:c r="E2354" s="168" t="str">
        <x:f>IFERROR(INDEX('Classif Gestoras'!$H$6:$H$462,MATCH(D2354,'Classif Gestoras'!$A$6:$A$462,0)),"Não classificada")</x:f>
        <x:v>Independente</x:v>
      </x:c>
      <x:c r="F2354" s="168" t="str">
        <x:v>Limine Trust Distribuidora de Titulos e Valores Mobiliá</x:v>
      </x:c>
      <x:c r="G2354" s="168" t="str">
        <x:v>LIMINE TRUST DISTRIBUIDORA DE TITULOS E VALORES MOBILIARIOS LTDA.</x:v>
      </x:c>
      <x:c r="H2354" s="168" t="str">
        <x:v>Outros</x:v>
      </x:c>
      <x:c r="I2354" s="168" t="str">
        <x:v>Multicarteira Outros</x:v>
      </x:c>
      <x:c r="J2354" s="168" t="str">
        <x:v>CI</x:v>
      </x:c>
      <x:c r="K2354" s="174" t="n">
        <x:v>1</x:v>
      </x:c>
      <x:c r="L2354" s="187" t="str">
        <x:v>Proxy multicedente/multissacado — revisar</x:v>
      </x:c>
    </x:row>
    <x:row r="2355">
      <x:c r="A2355" s="177" t="str">
        <x:v>33.701.697/0001-87</x:v>
      </x:c>
      <x:c r="B2355" s="168" t="str">
        <x:v>MELBOURNE FUNDO DE INVESTIMENTO EM DIREITOS CREDITORIOS</x:v>
      </x:c>
      <x:c r="C2355" s="190" t="n">
        <x:v>14911850.04</x:v>
      </x:c>
      <x:c r="D2355" s="168" t="str">
        <x:v>MAM ASSET MANAGEMENT</x:v>
      </x:c>
      <x:c r="E2355" s="168" t="str">
        <x:f>IFERROR(INDEX('Classif Gestoras'!$H$6:$H$462,MATCH(D2355,'Classif Gestoras'!$A$6:$A$462,0)),"Não classificada")</x:f>
        <x:v>Independente</x:v>
      </x:c>
      <x:c r="F2355" s="168" t="str">
        <x:v>TRUSTEE DTVM</x:v>
      </x:c>
      <x:c r="G2355" s="168" t="str">
        <x:v>TRUSTEE DISTRIBUIDORA DE TITULOS E VALORES MOBILIARIOS LTDA.</x:v>
      </x:c>
      <x:c r="H2355" s="168" t="str">
        <x:v>Outros</x:v>
      </x:c>
      <x:c r="I2355" s="168" t="str">
        <x:v>Multicarteira Outros</x:v>
      </x:c>
      <x:c r="J2355" s="168" t="str">
        <x:v>CI</x:v>
      </x:c>
      <x:c r="K2355" s="174" t="n">
        <x:v>2</x:v>
      </x:c>
      <x:c r="L2355" s="187" t="str">
        <x:v>Proxy multicedente/multissacado — revisar</x:v>
      </x:c>
    </x:row>
    <x:row r="2356">
      <x:c r="A2356" s="177" t="str">
        <x:v>62.431.397/0001-23</x:v>
      </x:c>
      <x:c r="B2356" s="168" t="str">
        <x:v>BMJ FUNDO DE INVESTIMENTO EM DIREITOS CREDITÓRIOS</x:v>
      </x:c>
      <x:c r="C2356" s="190" t="n">
        <x:v>14904087.61</x:v>
      </x:c>
      <x:c r="D2356" s="168" t="str">
        <x:v>TERCON ASSET MANAGEMENT</x:v>
      </x:c>
      <x:c r="E2356" s="168" t="str">
        <x:f>IFERROR(INDEX('Classif Gestoras'!$H$6:$H$462,MATCH(D2356,'Classif Gestoras'!$A$6:$A$462,0)),"Não classificada")</x:f>
        <x:v>Independente</x:v>
      </x:c>
      <x:c r="F2356" s="168" t="str">
        <x:v>Limine Trust Distribuidora de Titulos e Valores Mobiliá</x:v>
      </x:c>
      <x:c r="G2356" s="168" t="str">
        <x:v>LIMINE TRUST DISTRIBUIDORA DE TITULOS E VALORES MOBILIARIOS LTDA.</x:v>
      </x:c>
      <x:c r="H2356" s="168" t="str">
        <x:v>Fomento Mercantil</x:v>
      </x:c>
      <x:c r="I2356" s="168" t="str">
        <x:v>Fomento Mercantil</x:v>
      </x:c>
      <x:c r="J2356" s="168" t="str">
        <x:v>CI</x:v>
      </x:c>
      <x:c r="K2356" s="174" t="n">
        <x:v>1</x:v>
      </x:c>
      <x:c r="L2356" s="187" t="str">
        <x:v>Não classificado</x:v>
      </x:c>
    </x:row>
    <x:row r="2357">
      <x:c r="A2357" s="177" t="str">
        <x:v>66.644.176/0001-94</x:v>
      </x:c>
      <x:c r="B2357" s="168" t="str">
        <x:v>FORESTER FUNDO DE INVESTIMENTO EM DIREITOS CREDITÓRIOS</x:v>
      </x:c>
      <x:c r="C2357" s="190" t="n">
        <x:v>14875566</x:v>
      </x:c>
      <x:c r="D2357" s="168" t="str">
        <x:v>Multiplica Capital</x:v>
      </x:c>
      <x:c r="E2357" s="168" t="str">
        <x:f>IFERROR(INDEX('Classif Gestoras'!$H$6:$H$462,MATCH(D2357,'Classif Gestoras'!$A$6:$A$462,0)),"Não classificada")</x:f>
        <x:v>Independente</x:v>
      </x:c>
      <x:c r="F2357" s="168" t="str">
        <x:v>Singulare</x:v>
      </x:c>
      <x:c r="G2357" s="168" t="str">
        <x:v>QI CORRETORA DE TÍTULOS E VALORES MOBILIÁRIOS S.A.</x:v>
      </x:c>
      <x:c r="H2357" s="168" t="str">
        <x:v>Fomento Mercantil</x:v>
      </x:c>
      <x:c r="I2357" s="168" t="str">
        <x:v>Fomento Mercantil</x:v>
      </x:c>
      <x:c r="J2357" s="168" t="str">
        <x:v>CI</x:v>
      </x:c>
      <x:c r="K2357" s="174" t="n">
        <x:v>4</x:v>
      </x:c>
      <x:c r="L2357" s="187" t="str">
        <x:v>Não classificado</x:v>
      </x:c>
    </x:row>
    <x:row r="2358">
      <x:c r="A2358" s="177" t="str">
        <x:v>63.143.050/0001-48</x:v>
      </x:c>
      <x:c r="B2358" s="168" t="str">
        <x:v>FUNDO DE INVESTIMENTO EM DIREITOS CREDITÓRIOS 3BGP RESPONSABILIDADE LIMITADA</x:v>
      </x:c>
      <x:c r="C2358" s="190" t="n">
        <x:v>14839870.6</x:v>
      </x:c>
      <x:c r="D2358" s="168" t="str">
        <x:v>VERT Gestora de Recursos Financeiros Ltda.</x:v>
      </x:c>
      <x:c r="E2358" s="168" t="str">
        <x:f>IFERROR(INDEX('Classif Gestoras'!$H$6:$H$462,MATCH(D2358,'Classif Gestoras'!$A$6:$A$462,0)),"Não classificada")</x:f>
        <x:v>Independente</x:v>
      </x:c>
      <x:c r="F2358" s="168" t="str">
        <x:v>VERT Distribuidora de Títulos e Valores Mobiliários Ltd</x:v>
      </x:c>
      <x:c r="G2358" s="168" t="str">
        <x:v>VERT DISTRIBUIDORA DE TÍTULOS E VALORES MOBILIÁRIOS LTDA.</x:v>
      </x:c>
      <x:c r="H2358" s="168" t="str">
        <x:v>Outros</x:v>
      </x:c>
      <x:c r="I2358" s="168" t="str">
        <x:v>Poder Público</x:v>
      </x:c>
      <x:c r="J2358" s="168" t="str">
        <x:v>CI</x:v>
      </x:c>
      <x:c r="K2358" s="174" t="n">
        <x:v>3</x:v>
      </x:c>
      <x:c r="L2358" s="187" t="str">
        <x:v>Não classificado</x:v>
      </x:c>
    </x:row>
    <x:row r="2359">
      <x:c r="A2359" s="177" t="str">
        <x:v>38.448.253/0001-03</x:v>
      </x:c>
      <x:c r="B2359" s="168" t="str">
        <x:v>FRAM CAPITAL BALTO FUNDO DE INVESTIMENTO E DIREITOS CREDITORIOS NAO - PADRONIZADOS</x:v>
      </x:c>
      <x:c r="C2359" s="190" t="n">
        <x:v>14707084.900000002</x:v>
      </x:c>
      <x:c r="D2359" s="168" t="str">
        <x:v>Fram Capital Gestão de Ativos Ltda</x:v>
      </x:c>
      <x:c r="E2359" s="168" t="str">
        <x:f>IFERROR(INDEX('Classif Gestoras'!$H$6:$H$462,MATCH(D2359,'Classif Gestoras'!$A$6:$A$462,0)),"Não classificada")</x:f>
        <x:v>Independente</x:v>
      </x:c>
      <x:c r="F2359" s="168" t="str">
        <x:v>OSLO DTVM S. A.</x:v>
      </x:c>
      <x:c r="G2359" s="168" t="str">
        <x:v>OSLO CAPITAL DISTRIBUIDORA DE TITULOS E VALORES MOBILIARIOS S.A.</x:v>
      </x:c>
      <x:c r="H2359" s="168" t="str">
        <x:v>Outros</x:v>
      </x:c>
      <x:c r="I2359" s="168" t="str">
        <x:v>Multicarteira Outros</x:v>
      </x:c>
      <x:c r="J2359" s="168" t="str">
        <x:v>CI</x:v>
      </x:c>
      <x:c r="K2359" s="174" t="n">
        <x:v>14</x:v>
      </x:c>
      <x:c r="L2359" s="187" t="str">
        <x:v>Proxy multicedente/multissacado — revisar</x:v>
      </x:c>
    </x:row>
    <x:row r="2360">
      <x:c r="A2360" s="177" t="str">
        <x:v>55.579.164/0001-07</x:v>
      </x:c>
      <x:c r="B2360" s="168" t="str">
        <x:v>VERA CRUZ II - ATIVOS JUDICIAIS - PROCESSO DE CONHECIMENTO - FIDC - RESPONSABILIDADE LIMITADA</x:v>
      </x:c>
      <x:c r="C2360" s="190" t="n">
        <x:v>14696068.59</x:v>
      </x:c>
      <x:c r="D2360" s="168" t="str">
        <x:v>CRD Capital Administração de Recursos Ltda</x:v>
      </x:c>
      <x:c r="E2360" s="168" t="str">
        <x:f>IFERROR(INDEX('Classif Gestoras'!$H$6:$H$462,MATCH(D2360,'Classif Gestoras'!$A$6:$A$462,0)),"Não classificada")</x:f>
        <x:v>Independente</x:v>
      </x:c>
      <x:c r="F2360" s="168" t="str">
        <x:v>FIDD DISTRIBUIDORA DE TITULOS E VALORES MOBILIARIOS LTD</x:v>
      </x:c>
      <x:c r="G2360" s="168" t="str">
        <x:v>FIDD DISTRIBUIDORA DE TITULOS E VALORES MOBILIARIOS LTDA.</x:v>
      </x:c>
      <x:c r="H2360" s="168" t="str">
        <x:v>Outros</x:v>
      </x:c>
      <x:c r="I2360" s="168" t="str">
        <x:v>Multicarteira Outros</x:v>
      </x:c>
      <x:c r="J2360" s="168" t="str">
        <x:v>CI</x:v>
      </x:c>
      <x:c r="K2360" s="174" t="n">
        <x:v>17</x:v>
      </x:c>
      <x:c r="L2360" s="187" t="str">
        <x:v>Proxy multicedente/multissacado — revisar</x:v>
      </x:c>
    </x:row>
    <x:row r="2361">
      <x:c r="A2361" s="177" t="str">
        <x:v>44.585.152/0001-79</x:v>
      </x:c>
      <x:c r="B2361" s="168" t="str">
        <x:v>BARUC FUNDO DE INVESTIMENTO EM DIREITOS CREDITÓRIOS NÃO PADRONIZADOS</x:v>
      </x:c>
      <x:c r="C2361" s="190" t="n">
        <x:v>14601111.86</x:v>
      </x:c>
      <x:c r="D2361" s="168" t="str">
        <x:v>ASSET MANAGEMENT</x:v>
      </x:c>
      <x:c r="E2361" s="168" t="str">
        <x:f>IFERROR(INDEX('Classif Gestoras'!$H$6:$H$462,MATCH(D2361,'Classif Gestoras'!$A$6:$A$462,0)),"Não classificada")</x:f>
        <x:v>Independente</x:v>
      </x:c>
      <x:c r="F2361" s="168" t="str">
        <x:v>AZUMI DISTRIBUIDORA DE TÍTULOS E VALORES MOBILIÁRIOS LT</x:v>
      </x:c>
      <x:c r="G2361" s="168" t="str">
        <x:v>AZUMI DISTRIBUIDORA DE TÍTULOS E VALORES MOBILIÁRIOS LTDA.</x:v>
      </x:c>
      <x:c r="H2361" s="168" t="str">
        <x:v>Outros</x:v>
      </x:c>
      <x:c r="I2361" s="168" t="str">
        <x:v>Multicarteira Outros</x:v>
      </x:c>
      <x:c r="J2361" s="168" t="str">
        <x:v>CI</x:v>
      </x:c>
      <x:c r="K2361" s="174" t="n">
        <x:v>2</x:v>
      </x:c>
      <x:c r="L2361" s="187" t="str">
        <x:v>Proxy multicedente/multissacado — revisar</x:v>
      </x:c>
    </x:row>
    <x:row r="2362">
      <x:c r="A2362" s="177" t="str">
        <x:v>29.306.608/0001-20</x:v>
      </x:c>
      <x:c r="B2362" s="168" t="str">
        <x:v>TAURUS FUNDO DE INVESTIMENTO EM DIREITOS CREDITÓRIOS</x:v>
      </x:c>
      <x:c r="C2362" s="190" t="n">
        <x:v>14542281.22</x:v>
      </x:c>
      <x:c r="D2362" s="168" t="str">
        <x:v>Redwood Asset Management</x:v>
      </x:c>
      <x:c r="E2362" s="168" t="str">
        <x:f>IFERROR(INDEX('Classif Gestoras'!$H$6:$H$462,MATCH(D2362,'Classif Gestoras'!$A$6:$A$462,0)),"Não classificada")</x:f>
        <x:v>Independente</x:v>
      </x:c>
      <x:c r="F2362" s="168" t="str">
        <x:v>PLANNER CV</x:v>
      </x:c>
      <x:c r="G2362" s="168" t="str">
        <x:v>PLANNER CORRETORA DE VALORES S.A.</x:v>
      </x:c>
      <x:c r="H2362" s="168" t="str">
        <x:v>Outros</x:v>
      </x:c>
      <x:c r="I2362" s="168" t="str">
        <x:v>Multicarteira Outros</x:v>
      </x:c>
      <x:c r="J2362" s="168" t="str">
        <x:v>CI</x:v>
      </x:c>
      <x:c r="K2362" s="174" t="n">
        <x:v>5</x:v>
      </x:c>
      <x:c r="L2362" s="187" t="str">
        <x:v>Proxy multicedente/multissacado — revisar</x:v>
      </x:c>
    </x:row>
    <x:row r="2363">
      <x:c r="A2363" s="177" t="str">
        <x:v>32.274.528/0001-45</x:v>
      </x:c>
      <x:c r="B2363" s="168" t="str">
        <x:v>SANTA ALICE CRÉDITOS JUDICIAIS FUNDO DE INVESTIMENTO EM DIREITOS CREDITÓRIOS</x:v>
      </x:c>
      <x:c r="C2363" s="190" t="n">
        <x:v>14534221.5501</x:v>
      </x:c>
      <x:c r="D2363" s="168" t="str">
        <x:v>PACTUAL CAPITAL PART</x:v>
      </x:c>
      <x:c r="E2363" s="168" t="str">
        <x:f>IFERROR(INDEX('Classif Gestoras'!$H$6:$H$462,MATCH(D2363,'Classif Gestoras'!$A$6:$A$462,0)),"Não classificada")</x:f>
        <x:v>Independente</x:v>
      </x:c>
      <x:c r="F2363" s="168" t="str">
        <x:v>BTG Pactual Servicos Financeiros S/A DTVM</x:v>
      </x:c>
      <x:c r="G2363" s="168" t="str">
        <x:v>BANCO BTG PACTUAL S/A</x:v>
      </x:c>
      <x:c r="H2363" s="168" t="str">
        <x:v>Outros</x:v>
      </x:c>
      <x:c r="I2363" s="168" t="str">
        <x:v>Multicarteira Outros</x:v>
      </x:c>
      <x:c r="J2363" s="168" t="str">
        <x:v>CI</x:v>
      </x:c>
      <x:c r="K2363" s="174" t="n">
        <x:v>2</x:v>
      </x:c>
      <x:c r="L2363" s="187" t="str">
        <x:v>Proxy multicedente/multissacado — revisar</x:v>
      </x:c>
    </x:row>
    <x:row r="2364">
      <x:c r="A2364" s="177" t="str">
        <x:v>30.366.229/0001-05</x:v>
      </x:c>
      <x:c r="B2364" s="168" t="str">
        <x:v>ITAPEVA XII MULTICARTEIRA FUNDO DE INVESTIMENTO EM DIREITOS CREDITÓRIOS RESPONSABILIDADE LIMITADA</x:v>
      </x:c>
      <x:c r="C2364" s="190" t="n">
        <x:v>14461200.34</x:v>
      </x:c>
      <x:c r="D2364" s="168" t="str">
        <x:v>RCB PORTFOLIOS</x:v>
      </x:c>
      <x:c r="E2364" s="168" t="str">
        <x:f>IFERROR(INDEX('Classif Gestoras'!$H$6:$H$462,MATCH(D2364,'Classif Gestoras'!$A$6:$A$462,0)),"Não classificada")</x:f>
        <x:v>Independente</x:v>
      </x:c>
      <x:c r="F2364" s="168" t="str">
        <x:v>Banvox DTVM</x:v>
      </x:c>
      <x:c r="G2364" s="168" t="str">
        <x:v>OSLO CAPITAL DISTRIBUIDORA DE TITULOS E VALORES MOBILIARIOS S.A.</x:v>
      </x:c>
      <x:c r="H2364" s="168" t="str">
        <x:v>Outros</x:v>
      </x:c>
      <x:c r="I2364" s="168" t="str">
        <x:v>Multicarteira Outros</x:v>
      </x:c>
      <x:c r="J2364" s="168" t="str">
        <x:v>CI</x:v>
      </x:c>
      <x:c r="K2364" s="174" t="n">
        <x:v>2</x:v>
      </x:c>
      <x:c r="L2364" s="187" t="str">
        <x:v>Proxy multicedente/multissacado — revisar</x:v>
      </x:c>
    </x:row>
    <x:row r="2365">
      <x:c r="A2365" s="177" t="str">
        <x:v>59.283.314/0001-91</x:v>
      </x:c>
      <x:c r="B2365" s="168" t="str">
        <x:v>FUNDO DE INVESTIMENTO EM DIREITOS CREDITÓRIOS TATUHY</x:v>
      </x:c>
      <x:c r="C2365" s="190" t="n">
        <x:v>14448912.79</x:v>
      </x:c>
      <x:c r="D2365" s="168" t="str">
        <x:v>TERCON ASSET MANAGEMENT</x:v>
      </x:c>
      <x:c r="E2365" s="168" t="str">
        <x:f>IFERROR(INDEX('Classif Gestoras'!$H$6:$H$462,MATCH(D2365,'Classif Gestoras'!$A$6:$A$462,0)),"Não classificada")</x:f>
        <x:v>Independente</x:v>
      </x:c>
      <x:c r="F2365" s="168" t="str">
        <x:v>Singulare</x:v>
      </x:c>
      <x:c r="G2365" s="168" t="str">
        <x:v>QI CORRETORA DE TÍTULOS E VALORES MOBILIÁRIOS S.A.</x:v>
      </x:c>
      <x:c r="H2365" s="168" t="str">
        <x:v>Fomento Mercantil</x:v>
      </x:c>
      <x:c r="I2365" s="168" t="str">
        <x:v>Fomento Mercantil</x:v>
      </x:c>
      <x:c r="J2365" s="168" t="str">
        <x:v>CI</x:v>
      </x:c>
      <x:c r="K2365" s="174" t="n">
        <x:v>7</x:v>
      </x:c>
      <x:c r="L2365" s="187" t="str">
        <x:v>Não classificado</x:v>
      </x:c>
    </x:row>
    <x:row r="2366">
      <x:c r="A2366" s="177" t="str">
        <x:v>64.655.872/0001-70</x:v>
      </x:c>
      <x:c r="B2366" s="168" t="str">
        <x:v>CONECTEPAG ELETROBIDU FUNDO DE INVESTIMENTO EM DIREITOS CREDITÓRIOS RESP LIMITADA</x:v>
      </x:c>
      <x:c r="C2366" s="190" t="n">
        <x:v>14447639.5</x:v>
      </x:c>
      <x:c r="D2366" s="168" t="str">
        <x:v>AUGME CAPITAL GESTÃO DE RECURSOS LTDA.</x:v>
      </x:c>
      <x:c r="E2366" s="168" t="str">
        <x:f>IFERROR(INDEX('Classif Gestoras'!$H$6:$H$462,MATCH(D2366,'Classif Gestoras'!$A$6:$A$462,0)),"Não classificada")</x:f>
        <x:v>Independente</x:v>
      </x:c>
      <x:c r="F2366" s="168" t="str">
        <x:v>BANCO DAYCOVAL S/A</x:v>
      </x:c>
      <x:c r="G2366" s="168" t="str">
        <x:v>BANCO DAYCOVAL S.A.</x:v>
      </x:c>
      <x:c r="H2366" s="168" t="str">
        <x:v>Financeiro</x:v>
      </x:c>
      <x:c r="I2366" s="168" t="str">
        <x:v>Crédito Imobiliário</x:v>
      </x:c>
      <x:c r="J2366" s="168" t="str">
        <x:v>CI</x:v>
      </x:c>
      <x:c r="K2366" s="174" t="n">
        <x:v>9</x:v>
      </x:c>
      <x:c r="L2366" s="187" t="str">
        <x:v>Não classificado</x:v>
      </x:c>
    </x:row>
    <x:row r="2367">
      <x:c r="A2367" s="177" t="str">
        <x:v>35.686.949/0001-71</x:v>
      </x:c>
      <x:c r="B2367" s="168" t="str">
        <x:v>GREEN WAY I FUNDO DE INVESTIMENTO EM DIREITOS CREDITORIOS RESPONSABILIDADE LIMITADA</x:v>
      </x:c>
      <x:c r="C2367" s="190" t="n">
        <x:v>14429999.27</x:v>
      </x:c>
      <x:c r="D2367" s="168" t="str">
        <x:v>BPS CAPITAL</x:v>
      </x:c>
      <x:c r="E2367" s="168" t="str">
        <x:f>IFERROR(INDEX('Classif Gestoras'!$H$6:$H$462,MATCH(D2367,'Classif Gestoras'!$A$6:$A$462,0)),"Não classificada")</x:f>
        <x:v>Independente</x:v>
      </x:c>
      <x:c r="F2367" s="168" t="str">
        <x:v>ID Corretora de Títulos e Valores Mobiliários S.A.</x:v>
      </x:c>
      <x:c r="G2367" s="168" t="str">
        <x:v>ID CORRETORA DE TITULOS E VALORES MOBILIARIOS S.A.</x:v>
      </x:c>
      <x:c r="H2367" s="168" t="str">
        <x:v>Outros</x:v>
      </x:c>
      <x:c r="I2367" s="168" t="str">
        <x:v>Multicarteira Outros</x:v>
      </x:c>
      <x:c r="J2367" s="168" t="str">
        <x:v>CI</x:v>
      </x:c>
      <x:c r="K2367" s="174" t="n">
        <x:v>1</x:v>
      </x:c>
      <x:c r="L2367" s="187" t="str">
        <x:v>Proxy multicedente/multissacado — revisar</x:v>
      </x:c>
    </x:row>
    <x:row r="2368">
      <x:c r="A2368" s="177" t="str">
        <x:v>32.316.919/0001-85</x:v>
      </x:c>
      <x:c r="B2368" s="168" t="str">
        <x:v>CASE FUNDO DE INVESTIMENTO EM DIREITOS CREDITÓRIOS</x:v>
      </x:c>
      <x:c r="C2368" s="190" t="n">
        <x:v>14418586.98</x:v>
      </x:c>
      <x:c r="D2368" s="168" t="str">
        <x:v>TERCON ASSET MANAGEMENT</x:v>
      </x:c>
      <x:c r="E2368" s="168" t="str">
        <x:f>IFERROR(INDEX('Classif Gestoras'!$H$6:$H$462,MATCH(D2368,'Classif Gestoras'!$A$6:$A$462,0)),"Não classificada")</x:f>
        <x:v>Independente</x:v>
      </x:c>
      <x:c r="F2368" s="168" t="str">
        <x:v>Singulare</x:v>
      </x:c>
      <x:c r="G2368" s="168" t="str">
        <x:v>QI CORRETORA DE TÍTULOS E VALORES MOBILIÁRIOS S.A.</x:v>
      </x:c>
      <x:c r="H2368" s="168" t="str">
        <x:v>Fomento Mercantil</x:v>
      </x:c>
      <x:c r="I2368" s="168" t="str">
        <x:v>Fomento Mercantil</x:v>
      </x:c>
      <x:c r="J2368" s="168" t="str">
        <x:v>CI</x:v>
      </x:c>
      <x:c r="K2368" s="174" t="n">
        <x:v>16</x:v>
      </x:c>
      <x:c r="L2368" s="187" t="str">
        <x:v>Não classificado</x:v>
      </x:c>
    </x:row>
    <x:row r="2369">
      <x:c r="A2369" s="177" t="str">
        <x:v>60.604.312/0001-36</x:v>
      </x:c>
      <x:c r="B2369" s="168" t="str">
        <x:v>MASTER VELOZ FUNDO DE INVESTIMENTO EM DIREITOS CREDITÓRIOS NÃO-PADRONIZADOS</x:v>
      </x:c>
      <x:c r="C2369" s="190" t="n">
        <x:v>14411736.510000002</x:v>
      </x:c>
      <x:c r="D2369" s="168" t="str">
        <x:v>AZUMI ASSET</x:v>
      </x:c>
      <x:c r="E2369" s="168" t="str">
        <x:f>IFERROR(INDEX('Classif Gestoras'!$H$6:$H$462,MATCH(D2369,'Classif Gestoras'!$A$6:$A$462,0)),"Não classificada")</x:f>
        <x:v>Independente</x:v>
      </x:c>
      <x:c r="F2369" s="168" t="str">
        <x:v>AZUMI DISTRIBUIDORA DE TÍTULOS E VALORES MOBILIÁRIOS LT</x:v>
      </x:c>
      <x:c r="G2369" s="168" t="str">
        <x:v>AZUMI DISTRIBUIDORA DE TÍTULOS E VALORES MOBILIÁRIOS LTDA.</x:v>
      </x:c>
      <x:c r="H2369" s="168" t="str">
        <x:v>Outros</x:v>
      </x:c>
      <x:c r="I2369" s="168" t="str">
        <x:v>Multicarteira Outros</x:v>
      </x:c>
      <x:c r="J2369" s="168" t="str">
        <x:v>CI</x:v>
      </x:c>
      <x:c r="K2369" s="174" t="n">
        <x:v>2</x:v>
      </x:c>
      <x:c r="L2369" s="187" t="str">
        <x:v>Proxy multicedente/multissacado — revisar</x:v>
      </x:c>
    </x:row>
    <x:row r="2370">
      <x:c r="A2370" s="177" t="str">
        <x:v>64.883.935/0001-46</x:v>
      </x:c>
      <x:c r="B2370" s="168" t="str">
        <x:v>KVS STEEL CREDIT FUNDO DE INVESTIMENTO EM DIREITOS CREDITÓRIOS</x:v>
      </x:c>
      <x:c r="C2370" s="190" t="n">
        <x:v>14280048.83</x:v>
      </x:c>
      <x:c r="D2370" s="168" t="str">
        <x:v>TERCON ASSET MANAGEMENT</x:v>
      </x:c>
      <x:c r="E2370" s="168" t="str">
        <x:f>IFERROR(INDEX('Classif Gestoras'!$H$6:$H$462,MATCH(D2370,'Classif Gestoras'!$A$6:$A$462,0)),"Não classificada")</x:f>
        <x:v>Independente</x:v>
      </x:c>
      <x:c r="F2370" s="168" t="str">
        <x:v>Singulare</x:v>
      </x:c>
      <x:c r="G2370" s="168" t="str">
        <x:v>QI CORRETORA DE TÍTULOS E VALORES MOBILIÁRIOS S.A.</x:v>
      </x:c>
      <x:c r="H2370" s="168" t="str">
        <x:v>Fomento Mercantil</x:v>
      </x:c>
      <x:c r="I2370" s="168" t="str">
        <x:v>Fomento Mercantil</x:v>
      </x:c>
      <x:c r="J2370" s="168" t="str">
        <x:v>CI</x:v>
      </x:c>
      <x:c r="K2370" s="174" t="n">
        <x:v>1</x:v>
      </x:c>
      <x:c r="L2370" s="187" t="str">
        <x:v>Não classificado</x:v>
      </x:c>
    </x:row>
    <x:row r="2371">
      <x:c r="A2371" s="177" t="str">
        <x:v>49.998.666/0001-70</x:v>
      </x:c>
      <x:c r="B2371" s="168" t="str">
        <x:v>VSI SAC FUNDO DE INVESTIMENTO EM DIREITOS CREDITÓRIOS</x:v>
      </x:c>
      <x:c r="C2371" s="190" t="n">
        <x:v>14259000.170000002</x:v>
      </x:c>
      <x:c r="D2371" s="168" t="str">
        <x:v>FIDD Administração de Recursos Ltda.</x:v>
      </x:c>
      <x:c r="E2371" s="168" t="str">
        <x:f>IFERROR(INDEX('Classif Gestoras'!$H$6:$H$462,MATCH(D2371,'Classif Gestoras'!$A$6:$A$462,0)),"Não classificada")</x:f>
        <x:v>Independente</x:v>
      </x:c>
      <x:c r="F2371" s="168" t="str">
        <x:v>FIDD DISTRIBUIDORA DE TITULOS E VALORES MOBILIARIOS LTD</x:v>
      </x:c>
      <x:c r="G2371" s="168" t="str">
        <x:v>FIDD DISTRIBUIDORA DE TITULOS E VALORES MOBILIARIOS LTDA.</x:v>
      </x:c>
      <x:c r="H2371" s="168" t="str">
        <x:v>Financeiro</x:v>
      </x:c>
      <x:c r="I2371" s="168" t="str">
        <x:v>Crédito Consignado</x:v>
      </x:c>
      <x:c r="J2371" s="168" t="str">
        <x:v>CI</x:v>
      </x:c>
      <x:c r="K2371" s="174" t="n">
        <x:v>2</x:v>
      </x:c>
      <x:c r="L2371" s="187" t="str">
        <x:v>Não classificado</x:v>
      </x:c>
    </x:row>
    <x:row r="2372">
      <x:c r="A2372" s="177" t="str">
        <x:v>51.781.164/0001-34</x:v>
      </x:c>
      <x:c r="B2372" s="168" t="str">
        <x:v>NEW INTER FUNDO DE INVESTIMENTO EM DIREITOS CREDITÓRIOS</x:v>
      </x:c>
      <x:c r="C2372" s="190" t="n">
        <x:v>14233866.81</x:v>
      </x:c>
      <x:c r="D2372" s="168" t="str">
        <x:v>ASSET MANAGEMENT</x:v>
      </x:c>
      <x:c r="E2372" s="168" t="str">
        <x:f>IFERROR(INDEX('Classif Gestoras'!$H$6:$H$462,MATCH(D2372,'Classif Gestoras'!$A$6:$A$462,0)),"Não classificada")</x:f>
        <x:v>Independente</x:v>
      </x:c>
      <x:c r="F2372" s="168" t="str">
        <x:v>AZUMI DISTRIBUIDORA DE TÍTULOS E VALORES MOBILIÁRIOS LT</x:v>
      </x:c>
      <x:c r="G2372" s="168" t="str">
        <x:v>AZUMI DISTRIBUIDORA DE TÍTULOS E VALORES MOBILIÁRIOS LTDA.</x:v>
      </x:c>
      <x:c r="H2372" s="168" t="str">
        <x:v>Outros</x:v>
      </x:c>
      <x:c r="I2372" s="168" t="str">
        <x:v>Multicarteira Outros</x:v>
      </x:c>
      <x:c r="J2372" s="168" t="str">
        <x:v>CI</x:v>
      </x:c>
      <x:c r="K2372" s="174" t="n">
        <x:v>5</x:v>
      </x:c>
      <x:c r="L2372" s="187" t="str">
        <x:v>Proxy multicedente/multissacado — revisar</x:v>
      </x:c>
    </x:row>
    <x:row r="2373">
      <x:c r="A2373" s="177" t="str">
        <x:v>58.284.749/0001-98</x:v>
      </x:c>
      <x:c r="B2373" s="168" t="str">
        <x:v>TVP FUNDO DE INVESTIMENTO EM DIREITOS CREDITÓRIOS</x:v>
      </x:c>
      <x:c r="C2373" s="190" t="n">
        <x:v>14159488.8</x:v>
      </x:c>
      <x:c r="D2373" s="168" t="str">
        <x:v>ATF</x:v>
      </x:c>
      <x:c r="E2373" s="168" t="str">
        <x:f>IFERROR(INDEX('Classif Gestoras'!$H$6:$H$462,MATCH(D2373,'Classif Gestoras'!$A$6:$A$462,0)),"Não classificada")</x:f>
        <x:v>Independente</x:v>
      </x:c>
      <x:c r="F2373" s="168" t="str">
        <x:v>FIDD DISTRIBUIDORA DE TITULOS E VALORES MOBILIARIOS LTD</x:v>
      </x:c>
      <x:c r="G2373" s="168" t="str">
        <x:v>FIDD DISTRIBUIDORA DE TITULOS E VALORES MOBILIARIOS LTDA.</x:v>
      </x:c>
      <x:c r="H2373" s="168" t="str">
        <x:v>Outros</x:v>
      </x:c>
      <x:c r="I2373" s="168" t="str">
        <x:v>Multicarteira Outros</x:v>
      </x:c>
      <x:c r="J2373" s="168" t="str">
        <x:v>CI</x:v>
      </x:c>
      <x:c r="K2373" s="174" t="n">
        <x:v>7</x:v>
      </x:c>
      <x:c r="L2373" s="187" t="str">
        <x:v>Proxy multicedente/multissacado — revisar</x:v>
      </x:c>
    </x:row>
    <x:row r="2374">
      <x:c r="A2374" s="177" t="str">
        <x:v>36.115.099/0001-14</x:v>
      </x:c>
      <x:c r="B2374" s="168" t="str">
        <x:v>VERTICAL BANK FUNDO DE INVESTIMENTO EM DIREITOS CREDITÓRIOS</x:v>
      </x:c>
      <x:c r="C2374" s="190" t="n">
        <x:v>14156034</x:v>
      </x:c>
      <x:c r="D2374" s="168" t="str">
        <x:v>CERES ASSET</x:v>
      </x:c>
      <x:c r="E2374" s="168" t="str">
        <x:f>IFERROR(INDEX('Classif Gestoras'!$H$6:$H$462,MATCH(D2374,'Classif Gestoras'!$A$6:$A$462,0)),"Não classificada")</x:f>
        <x:v>Independente</x:v>
      </x:c>
      <x:c r="F2374" s="168" t="str">
        <x:v>TRUSTEE DTVM</x:v>
      </x:c>
      <x:c r="G2374" s="168" t="str">
        <x:v>TRUSTEE DISTRIBUIDORA DE TITULOS E VALORES MOBILIARIOS LTDA.</x:v>
      </x:c>
      <x:c r="H2374" s="168" t="str">
        <x:v>Outros</x:v>
      </x:c>
      <x:c r="I2374" s="168" t="str">
        <x:v>Multicarteira Outros</x:v>
      </x:c>
      <x:c r="J2374" s="168" t="str">
        <x:v>CI</x:v>
      </x:c>
      <x:c r="K2374" s="174" t="n">
        <x:v>7</x:v>
      </x:c>
      <x:c r="L2374" s="187" t="str">
        <x:v>Proxy multicedente/multissacado — revisar</x:v>
      </x:c>
    </x:row>
    <x:row r="2375">
      <x:c r="A2375" s="177" t="str">
        <x:v>42.866.998/0001-51</x:v>
      </x:c>
      <x:c r="B2375" s="168" t="str">
        <x:v>PRECAVIDA FUNDO DE INVESTIMENTO EM DIREITOS CREDITÓRIOS</x:v>
      </x:c>
      <x:c r="C2375" s="190" t="n">
        <x:v>14141415.96</x:v>
      </x:c>
      <x:c r="D2375" s="168" t="str">
        <x:v>Libertas Asset</x:v>
      </x:c>
      <x:c r="E2375" s="168" t="str">
        <x:f>IFERROR(INDEX('Classif Gestoras'!$H$6:$H$462,MATCH(D2375,'Classif Gestoras'!$A$6:$A$462,0)),"Não classificada")</x:f>
        <x:v>Independente</x:v>
      </x:c>
      <x:c r="F2375" s="168" t="str">
        <x:v>ACTUAL DTVM</x:v>
      </x:c>
      <x:c r="G2375" s="168" t="str">
        <x:v>TRUSTEE DISTRIBUIDORA DE TITULOS E VALORES MOBILIARIOS LTDA.</x:v>
      </x:c>
      <x:c r="H2375" s="168" t="str">
        <x:v>Fomento Mercantil</x:v>
      </x:c>
      <x:c r="I2375" s="168" t="str">
        <x:v>Fomento Mercantil</x:v>
      </x:c>
      <x:c r="J2375" s="168" t="str">
        <x:v>CI</x:v>
      </x:c>
      <x:c r="K2375" s="174" t="n">
        <x:v>26</x:v>
      </x:c>
      <x:c r="L2375" s="187" t="str">
        <x:v>Não classificado</x:v>
      </x:c>
    </x:row>
    <x:row r="2376">
      <x:c r="A2376" s="177" t="str">
        <x:v>55.708.679/0001-60</x:v>
      </x:c>
      <x:c r="B2376" s="168" t="str">
        <x:v>AMETISTA I FUNDO DE INVESTIMENTO EM DIREITOS CREDITÓRIOS RESPONSABILIDADE LIMITADA</x:v>
      </x:c>
      <x:c r="C2376" s="190" t="n">
        <x:v>14139850.699999996</x:v>
      </x:c>
      <x:c r="D2376" s="168" t="str">
        <x:v>Redwood Asset Management</x:v>
      </x:c>
      <x:c r="E2376" s="168" t="str">
        <x:f>IFERROR(INDEX('Classif Gestoras'!$H$6:$H$462,MATCH(D2376,'Classif Gestoras'!$A$6:$A$462,0)),"Não classificada")</x:f>
        <x:v>Independente</x:v>
      </x:c>
      <x:c r="F2376" s="168" t="str">
        <x:v>PLANNER CV</x:v>
      </x:c>
      <x:c r="G2376" s="168" t="str">
        <x:v>PLANNER CORRETORA DE VALORES S.A.</x:v>
      </x:c>
      <x:c r="H2376" s="168" t="str">
        <x:v>Financeiro</x:v>
      </x:c>
      <x:c r="I2376" s="168" t="str">
        <x:v>Crédito Consignado</x:v>
      </x:c>
      <x:c r="J2376" s="168" t="str">
        <x:v>CI</x:v>
      </x:c>
      <x:c r="K2376" s="174" t="n">
        <x:v>5</x:v>
      </x:c>
      <x:c r="L2376" s="187" t="str">
        <x:v>Não classificado</x:v>
      </x:c>
    </x:row>
    <x:row r="2377">
      <x:c r="A2377" s="177" t="str">
        <x:v>59.479.362/0001-50</x:v>
      </x:c>
      <x:c r="B2377" s="168" t="str">
        <x:v>INC SOMA CREDIT FUNDO DE INVESTIMENTO EM DIREITOS CREDITÓRIOS SEGMENTO FINANCEIRO</x:v>
      </x:c>
      <x:c r="C2377" s="190" t="n">
        <x:v>14135263.54</x:v>
      </x:c>
      <x:c r="D2377" s="168" t="str">
        <x:v>Petra Capital</x:v>
      </x:c>
      <x:c r="E2377" s="168" t="str">
        <x:f>IFERROR(INDEX('Classif Gestoras'!$H$6:$H$462,MATCH(D2377,'Classif Gestoras'!$A$6:$A$462,0)),"Não classificada")</x:f>
        <x:v>Independente</x:v>
      </x:c>
      <x:c r="F2377" s="168" t="str">
        <x:v>Finaxis Corretora de Títulos e Valores Mobiliários S.A.</x:v>
      </x:c>
      <x:c r="G2377" s="168" t="str">
        <x:v>BANCO FINAXIS S.A.</x:v>
      </x:c>
      <x:c r="H2377" s="168" t="str">
        <x:v>Outros</x:v>
      </x:c>
      <x:c r="I2377" s="168" t="str">
        <x:v>Multicarteira Outros</x:v>
      </x:c>
      <x:c r="J2377" s="168" t="str">
        <x:v>CI</x:v>
      </x:c>
      <x:c r="K2377" s="174" t="n">
        <x:v>2</x:v>
      </x:c>
      <x:c r="L2377" s="187" t="str">
        <x:v>Proxy multicedente/multissacado — revisar</x:v>
      </x:c>
    </x:row>
    <x:row r="2378">
      <x:c r="A2378" s="177" t="str">
        <x:v>47.936.587/0001-09</x:v>
      </x:c>
      <x:c r="B2378" s="168" t="str">
        <x:v>FARM M II FUNDO DE INVESTIMENTO EM DIREITOS CREDITÓRIOS RESPONSABILIDADE LIMITADA</x:v>
      </x:c>
      <x:c r="C2378" s="190" t="n">
        <x:v>14118407.430000002</x:v>
      </x:c>
      <x:c r="D2378" s="168" t="str">
        <x:v>Farmtech Gestão de Recursos Ltda.</x:v>
      </x:c>
      <x:c r="E2378" s="168" t="str">
        <x:f>IFERROR(INDEX('Classif Gestoras'!$H$6:$H$462,MATCH(D2378,'Classif Gestoras'!$A$6:$A$462,0)),"Não classificada")</x:f>
        <x:v>Independente</x:v>
      </x:c>
      <x:c r="F2378" s="168" t="str">
        <x:v>BTG Pactual Servicos Financeiros S/A DTVM</x:v>
      </x:c>
      <x:c r="G2378" s="168" t="str">
        <x:v>BANCO BTG PACTUAL S/A</x:v>
      </x:c>
      <x:c r="H2378" s="168" t="str">
        <x:v>Agro, Indústria e Comércio</x:v>
      </x:c>
      <x:c r="I2378" s="168" t="str">
        <x:v>Agronegócio</x:v>
      </x:c>
      <x:c r="J2378" s="168" t="str">
        <x:v>CIC</x:v>
      </x:c>
      <x:c r="K2378" s="174" t="n">
        <x:v>6</x:v>
      </x:c>
      <x:c r="L2378" s="187" t="str">
        <x:v>Não classificado</x:v>
      </x:c>
    </x:row>
    <x:row r="2379">
      <x:c r="A2379" s="177" t="str">
        <x:v>54.842.370/0001-03</x:v>
      </x:c>
      <x:c r="B2379" s="168" t="str">
        <x:v>BEFIC FUNDO DE INVESTIMENTO EM DIREITOS CREDITÓRIOS DE RESPONSABILIDADE LIMITADA</x:v>
      </x:c>
      <x:c r="C2379" s="190" t="n">
        <x:v>14115058.3</x:v>
      </x:c>
      <x:c r="D2379" s="168" t="str">
        <x:v>Catálise Investimentos</x:v>
      </x:c>
      <x:c r="E2379" s="168" t="str">
        <x:f>IFERROR(INDEX('Classif Gestoras'!$H$6:$H$462,MATCH(D2379,'Classif Gestoras'!$A$6:$A$462,0)),"Não classificada")</x:f>
        <x:v>Independente</x:v>
      </x:c>
      <x:c r="F2379" s="168" t="str">
        <x:v>CATÁLISE DTVM</x:v>
      </x:c>
      <x:c r="G2379" s="168" t="str">
        <x:v>BANCO DAYCOVAL S.A.</x:v>
      </x:c>
      <x:c r="H2379" s="168" t="str">
        <x:v>Agro, Indústria e Comércio</x:v>
      </x:c>
      <x:c r="I2379" s="168" t="str">
        <x:v>Recebíveis Comerciais</x:v>
      </x:c>
      <x:c r="J2379" s="168" t="str">
        <x:v>CI</x:v>
      </x:c>
      <x:c r="K2379" s="174" t="n">
        <x:v>1</x:v>
      </x:c>
      <x:c r="L2379" s="187" t="str">
        <x:v>Não classificado</x:v>
      </x:c>
    </x:row>
    <x:row r="2380">
      <x:c r="A2380" s="177" t="str">
        <x:v>53.505.712/0001-29</x:v>
      </x:c>
      <x:c r="B2380" s="168" t="str">
        <x:v>QI LOANS FUNDO DE INVESTIMENTO EM DIREITOS CREDITÓRIOS</x:v>
      </x:c>
      <x:c r="C2380" s="190" t="n">
        <x:v>14094299.46</x:v>
      </x:c>
      <x:c r="D2380" s="168" t="str">
        <x:v>Quadrante Investimentos Ltda</x:v>
      </x:c>
      <x:c r="E2380" s="168" t="str">
        <x:f>IFERROR(INDEX('Classif Gestoras'!$H$6:$H$462,MATCH(D2380,'Classif Gestoras'!$A$6:$A$462,0)),"Não classificada")</x:f>
        <x:v>Independente</x:v>
      </x:c>
      <x:c r="F2380" s="168" t="str">
        <x:v>Finvest Digital</x:v>
      </x:c>
      <x:c r="G2380" s="168" t="str">
        <x:v>FINVEST DISTRIBUIDORA DE TÍTULOS E VALORES MOBILIÁRIOS LTDA.</x:v>
      </x:c>
      <x:c r="H2380" s="168" t="str">
        <x:v>Outros</x:v>
      </x:c>
      <x:c r="I2380" s="168" t="str">
        <x:v>Multicarteira Outros</x:v>
      </x:c>
      <x:c r="J2380" s="168" t="str">
        <x:v>CI</x:v>
      </x:c>
      <x:c r="K2380" s="174" t="n">
        <x:v>1</x:v>
      </x:c>
      <x:c r="L2380" s="187" t="str">
        <x:v>Proxy multicedente/multissacado — revisar</x:v>
      </x:c>
    </x:row>
    <x:row r="2381">
      <x:c r="A2381" s="177" t="str">
        <x:v>59.958.357/0001-20</x:v>
      </x:c>
      <x:c r="B2381" s="168" t="str">
        <x:v>ATLAS FUNDO DE INVESTIMENTO EM DIREITOS CREDITÓRIOS</x:v>
      </x:c>
      <x:c r="C2381" s="190" t="n">
        <x:v>14082616.98</x:v>
      </x:c>
      <x:c r="D2381" s="168" t="str">
        <x:v>BURITI INVESTIMENTOS</x:v>
      </x:c>
      <x:c r="E2381" s="168" t="str">
        <x:f>IFERROR(INDEX('Classif Gestoras'!$H$6:$H$462,MATCH(D2381,'Classif Gestoras'!$A$6:$A$462,0)),"Não classificada")</x:f>
        <x:v>Independente</x:v>
      </x:c>
      <x:c r="F2381" s="168" t="str">
        <x:v>Baru DTVM</x:v>
      </x:c>
      <x:c r="G2381" s="168" t="str">
        <x:v>BARU DISTRIBUIDORA DE TÍTULOS E VALORES MOBILIÁRIOS LTDA.</x:v>
      </x:c>
      <x:c r="H2381" s="168" t="str">
        <x:v>Financeiro</x:v>
      </x:c>
      <x:c r="I2381" s="168" t="str">
        <x:v>Multicarteira Financeiro</x:v>
      </x:c>
      <x:c r="J2381" s="168" t="str">
        <x:v>CI</x:v>
      </x:c>
      <x:c r="K2381" s="174" t="n">
        <x:v>1</x:v>
      </x:c>
      <x:c r="L2381" s="187" t="str">
        <x:v>Proxy multicedente/multissacado — revisar</x:v>
      </x:c>
    </x:row>
    <x:row r="2382">
      <x:c r="A2382" s="177" t="str">
        <x:v>53.807.437/0001-06</x:v>
      </x:c>
      <x:c r="B2382" s="168" t="str">
        <x:v>FPMFP FUNDO DE INVESTIMENTO EM DIREITOS CREDITÓRIOS</x:v>
      </x:c>
      <x:c r="C2382" s="190" t="n">
        <x:v>14076055.52</x:v>
      </x:c>
      <x:c r="D2382" s="168" t="str">
        <x:v>TRUSTEE DTVM</x:v>
      </x:c>
      <x:c r="E2382" s="168" t="str">
        <x:f>IFERROR(INDEX('Classif Gestoras'!$H$6:$H$462,MATCH(D2382,'Classif Gestoras'!$A$6:$A$462,0)),"Não classificada")</x:f>
        <x:v>Independente</x:v>
      </x:c>
      <x:c r="F2382" s="168" t="str">
        <x:v>TRUSTEE DTVM</x:v>
      </x:c>
      <x:c r="G2382" s="168" t="str">
        <x:v>ID CORRETORA DE TITULOS E VALORES MOBILIARIOS S.A.</x:v>
      </x:c>
      <x:c r="H2382" s="168" t="str">
        <x:v>Outros</x:v>
      </x:c>
      <x:c r="I2382" s="168" t="str">
        <x:v>Recuperação</x:v>
      </x:c>
      <x:c r="J2382" s="168" t="str">
        <x:v>CI</x:v>
      </x:c>
      <x:c r="K2382" s="174" t="n">
        <x:v>1</x:v>
      </x:c>
      <x:c r="L2382" s="187" t="str">
        <x:v>Não classificado</x:v>
      </x:c>
    </x:row>
    <x:row r="2383">
      <x:c r="A2383" s="177" t="str">
        <x:v>61.941.406/0001-63</x:v>
      </x:c>
      <x:c r="B2383" s="168" t="str">
        <x:v>EXODO FUNDO DE INVESTIMENTO EM DIREITOS CREDITORIOS</x:v>
      </x:c>
      <x:c r="C2383" s="190" t="n">
        <x:v>14052041.920000002</x:v>
      </x:c>
      <x:c r="D2383" s="168" t="str">
        <x:v>Menestys</x:v>
      </x:c>
      <x:c r="E2383" s="168" t="str">
        <x:f>IFERROR(INDEX('Classif Gestoras'!$H$6:$H$462,MATCH(D2383,'Classif Gestoras'!$A$6:$A$462,0)),"Não classificada")</x:f>
        <x:v>Independente</x:v>
      </x:c>
      <x:c r="F2383" s="168" t="str">
        <x:v>FIDD DISTRIBUIDORA DE TITULOS E VALORES MOBILIARIOS LTD</x:v>
      </x:c>
      <x:c r="G2383" s="168" t="str">
        <x:v>FIDD DISTRIBUIDORA DE TITULOS E VALORES MOBILIARIOS LTDA.</x:v>
      </x:c>
      <x:c r="H2383" s="168" t="str">
        <x:v>Outros</x:v>
      </x:c>
      <x:c r="I2383" s="168" t="str">
        <x:v>Multicarteira Outros</x:v>
      </x:c>
      <x:c r="J2383" s="168" t="str">
        <x:v>CI</x:v>
      </x:c>
      <x:c r="K2383" s="174" t="n">
        <x:v>4</x:v>
      </x:c>
      <x:c r="L2383" s="187" t="str">
        <x:v>Proxy multicedente/multissacado — revisar</x:v>
      </x:c>
    </x:row>
    <x:row r="2384">
      <x:c r="A2384" s="177" t="str">
        <x:v>61.067.121/0001-45</x:v>
      </x:c>
      <x:c r="B2384" s="168" t="str">
        <x:v>ORATA FUNDO DE INVESTIMENTO EM DIREITOS CREDITÓRIOS RESPONSABILIDADE LIMITADA</x:v>
      </x:c>
      <x:c r="C2384" s="190" t="n">
        <x:v>14050346.6</x:v>
      </x:c>
      <x:c r="D2384" s="168" t="str">
        <x:v>FIDD Administração de Recursos Ltda.</x:v>
      </x:c>
      <x:c r="E2384" s="168" t="str">
        <x:f>IFERROR(INDEX('Classif Gestoras'!$H$6:$H$462,MATCH(D2384,'Classif Gestoras'!$A$6:$A$462,0)),"Não classificada")</x:f>
        <x:v>Independente</x:v>
      </x:c>
      <x:c r="F2384" s="168" t="str">
        <x:v>FIDD DISTRIBUIDORA DE TITULOS E VALORES MOBILIARIOS LTD</x:v>
      </x:c>
      <x:c r="G2384" s="168" t="str">
        <x:v>FIDD DISTRIBUIDORA DE TITULOS E VALORES MOBILIARIOS LTDA.</x:v>
      </x:c>
      <x:c r="H2384" s="168" t="str">
        <x:v>Agro, Indústria e Comércio</x:v>
      </x:c>
      <x:c r="I2384" s="168" t="str">
        <x:v>Multicarteira Agro, Indústria e Comércio</x:v>
      </x:c>
      <x:c r="J2384" s="168" t="str">
        <x:v>CI</x:v>
      </x:c>
      <x:c r="K2384" s="174" t="n">
        <x:v>5</x:v>
      </x:c>
      <x:c r="L2384" s="187" t="str">
        <x:v>Proxy multicedente/multissacado — revisar</x:v>
      </x:c>
    </x:row>
    <x:row r="2385">
      <x:c r="A2385" s="177" t="str">
        <x:v>45.525.150/0001-57</x:v>
      </x:c>
      <x:c r="B2385" s="168" t="str">
        <x:v>CITRINO FUNDO DE INVESTIMENTO EM DIREITOS CREDITÓRIOS NÃO PADRONIZADOS</x:v>
      </x:c>
      <x:c r="C2385" s="190" t="n">
        <x:v>14043167.69</x:v>
      </x:c>
      <x:c r="D2385" s="168" t="str">
        <x:v>GV ATACAMA CAPITAL LTDA.</x:v>
      </x:c>
      <x:c r="E2385" s="168" t="str">
        <x:f>IFERROR(INDEX('Classif Gestoras'!$H$6:$H$462,MATCH(D2385,'Classif Gestoras'!$A$6:$A$462,0)),"Não classificada")</x:f>
        <x:v>Independente</x:v>
      </x:c>
      <x:c r="F2385" s="168" t="str">
        <x:v>Singulare</x:v>
      </x:c>
      <x:c r="G2385" s="168" t="str">
        <x:v>QI CORRETORA DE TÍTULOS E VALORES MOBILIÁRIOS S.A.</x:v>
      </x:c>
      <x:c r="H2385" s="168" t="str">
        <x:v>Financeiro</x:v>
      </x:c>
      <x:c r="I2385" s="168" t="str">
        <x:v>Crédito Imobiliário</x:v>
      </x:c>
      <x:c r="J2385" s="168" t="str">
        <x:v>CI</x:v>
      </x:c>
      <x:c r="K2385" s="174" t="n">
        <x:v>2</x:v>
      </x:c>
      <x:c r="L2385" s="187" t="str">
        <x:v>Não classificado</x:v>
      </x:c>
    </x:row>
    <x:row r="2386">
      <x:c r="A2386" s="177" t="str">
        <x:v>44.414.972/0001-06</x:v>
      </x:c>
      <x:c r="B2386" s="168" t="str">
        <x:v>TECNOMOTOR FUNDO DE INVESTIMENTO EM DIREITOS CREDITORIOS</x:v>
      </x:c>
      <x:c r="C2386" s="190" t="n">
        <x:v>14041432.61</x:v>
      </x:c>
      <x:c r="D2386" s="168" t="str">
        <x:v>ASSET MANAGEMENT</x:v>
      </x:c>
      <x:c r="E2386" s="168" t="str">
        <x:f>IFERROR(INDEX('Classif Gestoras'!$H$6:$H$462,MATCH(D2386,'Classif Gestoras'!$A$6:$A$462,0)),"Não classificada")</x:f>
        <x:v>Independente</x:v>
      </x:c>
      <x:c r="F2386" s="168" t="str">
        <x:v>AZUMI DISTRIBUIDORA DE TÍTULOS E VALORES MOBILIÁRIOS LT</x:v>
      </x:c>
      <x:c r="G2386" s="168" t="str">
        <x:v>AZUMI DISTRIBUIDORA DE TÍTULOS E VALORES MOBILIÁRIOS LTDA.</x:v>
      </x:c>
      <x:c r="H2386" s="168" t="str">
        <x:v>Outros</x:v>
      </x:c>
      <x:c r="I2386" s="168" t="str">
        <x:v>Multicarteira Outros</x:v>
      </x:c>
      <x:c r="J2386" s="168" t="str">
        <x:v>CI</x:v>
      </x:c>
      <x:c r="K2386" s="174" t="n">
        <x:v>7</x:v>
      </x:c>
      <x:c r="L2386" s="187" t="str">
        <x:v>Proxy multicedente/multissacado — revisar</x:v>
      </x:c>
    </x:row>
    <x:row r="2387">
      <x:c r="A2387" s="177" t="str">
        <x:v>54.477.887/0001-32</x:v>
      </x:c>
      <x:c r="B2387" s="168" t="str">
        <x:v>VALORA BYX WAREHOUSE FUNDO DE INVESTIMENTO EM DIREITOS CREDITÓRIOS</x:v>
      </x:c>
      <x:c r="C2387" s="190" t="n">
        <x:v>14030260.430000002</x:v>
      </x:c>
      <x:c r="D2387" s="168" t="str">
        <x:v>VALORA RENDA FIXA ESTRUTURADOS LTDA.</x:v>
      </x:c>
      <x:c r="E2387" s="168" t="str">
        <x:f>IFERROR(INDEX('Classif Gestoras'!$H$6:$H$462,MATCH(D2387,'Classif Gestoras'!$A$6:$A$462,0)),"Não classificada")</x:f>
        <x:v>Independente</x:v>
      </x:c>
      <x:c r="F2387" s="168" t="str">
        <x:v>BANCO DAYCOVAL S/A</x:v>
      </x:c>
      <x:c r="G2387" s="168" t="str">
        <x:v>BANCO DAYCOVAL S.A.</x:v>
      </x:c>
      <x:c r="H2387" s="168" t="str">
        <x:v>Financeiro</x:v>
      </x:c>
      <x:c r="I2387" s="168" t="str">
        <x:v>Crédito Pessoal</x:v>
      </x:c>
      <x:c r="J2387" s="168" t="str">
        <x:v>CI</x:v>
      </x:c>
      <x:c r="K2387" s="174" t="n">
        <x:v>37</x:v>
      </x:c>
      <x:c r="L2387" s="187" t="str">
        <x:v>Não classificado</x:v>
      </x:c>
    </x:row>
    <x:row r="2388">
      <x:c r="A2388" s="177" t="str">
        <x:v>62.359.337/0001-47</x:v>
      </x:c>
      <x:c r="B2388" s="168" t="str">
        <x:v>ANKER FUNDO DE INVESTIMENTO EM DIREITOS CREDITÓRIOS CONSÓRCIOS I - RESPONSABILIDADE LIMITADA</x:v>
      </x:c>
      <x:c r="C2388" s="190" t="n">
        <x:v>14026621.77</x:v>
      </x:c>
      <x:c r="D2388" s="168" t="str">
        <x:v>Fram Capital Gestão de Ativos Ltda</x:v>
      </x:c>
      <x:c r="E2388" s="168" t="str">
        <x:f>IFERROR(INDEX('Classif Gestoras'!$H$6:$H$462,MATCH(D2388,'Classif Gestoras'!$A$6:$A$462,0)),"Não classificada")</x:f>
        <x:v>Independente</x:v>
      </x:c>
      <x:c r="F2388" s="168" t="str">
        <x:v>AZUMI DISTRIBUIDORA DE TÍTULOS E VALORES MOBILIÁRIOS LT</x:v>
      </x:c>
      <x:c r="G2388" s="168" t="str">
        <x:v>AZUMI DISTRIBUIDORA DE TÍTULOS E VALORES MOBILIÁRIOS LTDA.</x:v>
      </x:c>
      <x:c r="H2388" s="168" t="str">
        <x:v>Outros</x:v>
      </x:c>
      <x:c r="I2388" s="168" t="str">
        <x:v>Multicarteira Outros</x:v>
      </x:c>
      <x:c r="J2388" s="168" t="str">
        <x:v>CI</x:v>
      </x:c>
      <x:c r="K2388" s="174" t="n">
        <x:v>29</x:v>
      </x:c>
      <x:c r="L2388" s="187" t="str">
        <x:v>Proxy multicedente/multissacado — revisar</x:v>
      </x:c>
    </x:row>
    <x:row r="2389">
      <x:c r="A2389" s="177" t="str">
        <x:v>62.324.138/0001-01</x:v>
      </x:c>
      <x:c r="B2389" s="168" t="str">
        <x:v>BTG PACTUAL FINANTO FGTS FUNDO DE INVESTIMENTO EM DIREITOS CREDITÓRIOS RESPONSABILIDADE LIMITADA</x:v>
      </x:c>
      <x:c r="C2389" s="190" t="n">
        <x:v>13989316.85</x:v>
      </x:c>
      <x:c r="D2389" s="168" t="str">
        <x:v>BTG Pactual Asset</x:v>
      </x:c>
      <x:c r="E2389" s="168" t="str">
        <x:f>IFERROR(INDEX('Classif Gestoras'!$H$6:$H$462,MATCH(D2389,'Classif Gestoras'!$A$6:$A$462,0)),"Não classificada")</x:f>
        <x:v>Ligada a banco</x:v>
      </x:c>
      <x:c r="F2389" s="168" t="str">
        <x:v>BTG Pactual Servicos Financeiros S/A DTVM</x:v>
      </x:c>
      <x:c r="G2389" s="168" t="str">
        <x:v>BANCO BTG PACTUAL S/A</x:v>
      </x:c>
      <x:c r="H2389" s="168" t="str">
        <x:v>Financeiro</x:v>
      </x:c>
      <x:c r="I2389" s="168" t="str">
        <x:v>Crédito Pessoal</x:v>
      </x:c>
      <x:c r="J2389" s="168" t="str">
        <x:v>CI</x:v>
      </x:c>
      <x:c r="K2389" s="174" t="n">
        <x:v>10</x:v>
      </x:c>
      <x:c r="L2389" s="187" t="str">
        <x:v>Não classificado</x:v>
      </x:c>
    </x:row>
    <x:row r="2390">
      <x:c r="A2390" s="177" t="str">
        <x:v>51.587.009/0001-81</x:v>
      </x:c>
      <x:c r="B2390" s="168" t="str">
        <x:v>AJ86 FUNDO DE INVESTIMENTO EM DIREITOS CREDITÓRIOS NÃO PADRONIZADO</x:v>
      </x:c>
      <x:c r="C2390" s="190" t="n">
        <x:v>13915657.58</x:v>
      </x:c>
      <x:c r="D2390" s="168" t="str">
        <x:v>Global Gestão e Investimentos</x:v>
      </x:c>
      <x:c r="E2390" s="168" t="str">
        <x:f>IFERROR(INDEX('Classif Gestoras'!$H$6:$H$462,MATCH(D2390,'Classif Gestoras'!$A$6:$A$462,0)),"Não classificada")</x:f>
        <x:v>Independente</x:v>
      </x:c>
      <x:c r="F2390" s="168" t="str">
        <x:v>Singulare</x:v>
      </x:c>
      <x:c r="G2390" s="168" t="str">
        <x:v>QI CORRETORA DE TÍTULOS E VALORES MOBILIÁRIOS S.A.</x:v>
      </x:c>
      <x:c r="H2390" s="168" t="str">
        <x:v>Fomento Mercantil</x:v>
      </x:c>
      <x:c r="I2390" s="168" t="str">
        <x:v>Fomento Mercantil</x:v>
      </x:c>
      <x:c r="J2390" s="168" t="str">
        <x:v>CI</x:v>
      </x:c>
      <x:c r="K2390" s="174" t="n">
        <x:v>1</x:v>
      </x:c>
      <x:c r="L2390" s="187" t="str">
        <x:v>Não classificado</x:v>
      </x:c>
    </x:row>
    <x:row r="2391">
      <x:c r="A2391" s="177" t="str">
        <x:v>62.031.792/0001-19</x:v>
      </x:c>
      <x:c r="B2391" s="168" t="str">
        <x:v>DS CAPITAL FUNDO DE INVESTIMENTO EM DIREITOS CREDITÓRIOS</x:v>
      </x:c>
      <x:c r="C2391" s="190" t="n">
        <x:v>13825760.95</x:v>
      </x:c>
      <x:c r="D2391" s="168" t="str">
        <x:v>Global Gestão e Investimentos</x:v>
      </x:c>
      <x:c r="E2391" s="168" t="str">
        <x:f>IFERROR(INDEX('Classif Gestoras'!$H$6:$H$462,MATCH(D2391,'Classif Gestoras'!$A$6:$A$462,0)),"Não classificada")</x:f>
        <x:v>Independente</x:v>
      </x:c>
      <x:c r="F2391" s="168" t="str">
        <x:v>MONETAR DISTRIBUIDORA DE TITUL</x:v>
      </x:c>
      <x:c r="G2391" s="168" t="str">
        <x:v>TERRA INVESTIMENTOS DISTRIBUIDORA DE TITULOS E VALORES MOBILIARIOS LTDA</x:v>
      </x:c>
      <x:c r="H2391" s="168" t="str">
        <x:v>Financeiro</x:v>
      </x:c>
      <x:c r="I2391" s="168" t="str">
        <x:v>Financiamento de Veículos</x:v>
      </x:c>
      <x:c r="J2391" s="168" t="str">
        <x:v>CI</x:v>
      </x:c>
      <x:c r="K2391" s="174" t="n">
        <x:v>4</x:v>
      </x:c>
      <x:c r="L2391" s="187" t="str">
        <x:v>Não classificado</x:v>
      </x:c>
    </x:row>
    <x:row r="2392">
      <x:c r="A2392" s="177" t="str">
        <x:v>59.714.044/0001-26</x:v>
      </x:c>
      <x:c r="B2392" s="168" t="str">
        <x:v>NTZ ALPHA FUNDO DE INVESTIMENTO EM DIREITOS CRÉDITORIOS NÃO PADRONIZADODE RESPONSABILIDADE LIMITADA</x:v>
      </x:c>
      <x:c r="C2392" s="190" t="n">
        <x:v>13817486.87</x:v>
      </x:c>
      <x:c r="D2392" s="168" t="str">
        <x:v>Netz Asset</x:v>
      </x:c>
      <x:c r="E2392" s="168" t="str">
        <x:f>IFERROR(INDEX('Classif Gestoras'!$H$6:$H$462,MATCH(D2392,'Classif Gestoras'!$A$6:$A$462,0)),"Não classificada")</x:f>
        <x:v>Independente</x:v>
      </x:c>
      <x:c r="F2392" s="168" t="str">
        <x:v>MONETAR DISTRIBUIDORA DE TITUL</x:v>
      </x:c>
      <x:c r="G2392" s="168" t="str">
        <x:v>TERRA INVESTIMENTOS DISTRIBUIDORA DE TITULOS E VALORES MOBILIARIOS LTDA</x:v>
      </x:c>
      <x:c r="H2392" s="168" t="str">
        <x:v>Outros</x:v>
      </x:c>
      <x:c r="I2392" s="168" t="str">
        <x:v>Multicarteira Outros</x:v>
      </x:c>
      <x:c r="J2392" s="168" t="str">
        <x:v>CI</x:v>
      </x:c>
      <x:c r="K2392" s="174" t="n">
        <x:v>2</x:v>
      </x:c>
      <x:c r="L2392" s="187" t="str">
        <x:v>Proxy multicedente/multissacado — revisar</x:v>
      </x:c>
    </x:row>
    <x:row r="2393">
      <x:c r="A2393" s="177" t="str">
        <x:v>55.694.842/0001-82</x:v>
      </x:c>
      <x:c r="B2393" s="168" t="str">
        <x:v>NEO 8 FUNDO DE INVESTIMENTO EM DIREITOS CREDITÓRIOS MULTISSETORIAL</x:v>
      </x:c>
      <x:c r="C2393" s="190" t="n">
        <x:v>13810950.03</x:v>
      </x:c>
      <x:c r="D2393" s="168" t="str">
        <x:v>Soma Asset</x:v>
      </x:c>
      <x:c r="E2393" s="168" t="str">
        <x:f>IFERROR(INDEX('Classif Gestoras'!$H$6:$H$462,MATCH(D2393,'Classif Gestoras'!$A$6:$A$462,0)),"Não classificada")</x:f>
        <x:v>Independente</x:v>
      </x:c>
      <x:c r="F2393" s="168" t="str">
        <x:v>Singulare</x:v>
      </x:c>
      <x:c r="G2393" s="168" t="str">
        <x:v>QI CORRETORA DE TÍTULOS E VALORES MOBILIÁRIOS S.A.</x:v>
      </x:c>
      <x:c r="H2393" s="168" t="str">
        <x:v>Fomento Mercantil</x:v>
      </x:c>
      <x:c r="I2393" s="168" t="str">
        <x:v>Fomento Mercantil</x:v>
      </x:c>
      <x:c r="J2393" s="168" t="str">
        <x:v>CI</x:v>
      </x:c>
      <x:c r="K2393" s="174" t="n">
        <x:v>12</x:v>
      </x:c>
      <x:c r="L2393" s="187" t="str">
        <x:v>Não classificado</x:v>
      </x:c>
    </x:row>
    <x:row r="2394">
      <x:c r="A2394" s="177" t="str">
        <x:v>45.019.108/0001-64</x:v>
      </x:c>
      <x:c r="B2394" s="168" t="str">
        <x:v>UJAY SPARTA FUNDO DE INVESTIMENTO EM DIREITOS CREDITORIOS NAO - PADRONIZADOS - FIDC NP</x:v>
      </x:c>
      <x:c r="C2394" s="190" t="n">
        <x:v>13780664.12</x:v>
      </x:c>
      <x:c r="D2394" s="168" t="str">
        <x:v>Ujay Capital Investimentos Ltda</x:v>
      </x:c>
      <x:c r="E2394" s="168" t="str">
        <x:f>IFERROR(INDEX('Classif Gestoras'!$H$6:$H$462,MATCH(D2394,'Classif Gestoras'!$A$6:$A$462,0)),"Não classificada")</x:f>
        <x:v>Independente</x:v>
      </x:c>
      <x:c r="F2394" s="168" t="str">
        <x:v>ID Corretora de Títulos e Valores Mobiliários S.A.</x:v>
      </x:c>
      <x:c r="G2394" s="168" t="str">
        <x:v>ID CORRETORA DE TITULOS E VALORES MOBILIARIOS S.A.</x:v>
      </x:c>
      <x:c r="H2394" s="168" t="str">
        <x:v>Outros</x:v>
      </x:c>
      <x:c r="I2394" s="168" t="str">
        <x:v>Poder Público</x:v>
      </x:c>
      <x:c r="J2394" s="168" t="str">
        <x:v>CI</x:v>
      </x:c>
      <x:c r="K2394" s="174" t="n">
        <x:v>1</x:v>
      </x:c>
      <x:c r="L2394" s="187" t="str">
        <x:v>Não classificado</x:v>
      </x:c>
    </x:row>
    <x:row r="2395">
      <x:c r="A2395" s="177" t="str">
        <x:v>57.550.093/0001-45</x:v>
      </x:c>
      <x:c r="B2395" s="168" t="str">
        <x:v>UPB FUNDO DE INVESTIMENTO EM DIREITOS CREDITÓRIOS DE CLASSE ÚNICA FECHADA</x:v>
      </x:c>
      <x:c r="C2395" s="190" t="n">
        <x:v>13735881.8</x:v>
      </x:c>
      <x:c r="D2395" s="168" t="str">
        <x:v>Soma Asset</x:v>
      </x:c>
      <x:c r="E2395" s="168" t="str">
        <x:f>IFERROR(INDEX('Classif Gestoras'!$H$6:$H$462,MATCH(D2395,'Classif Gestoras'!$A$6:$A$462,0)),"Não classificada")</x:f>
        <x:v>Independente</x:v>
      </x:c>
      <x:c r="F2395" s="168" t="str">
        <x:v>Singulare</x:v>
      </x:c>
      <x:c r="G2395" s="168" t="str">
        <x:v>QI CORRETORA DE TÍTULOS E VALORES MOBILIÁRIOS S.A.</x:v>
      </x:c>
      <x:c r="H2395" s="168" t="str">
        <x:v>Outros</x:v>
      </x:c>
      <x:c r="I2395" s="168" t="str">
        <x:v>Multicarteira Outros</x:v>
      </x:c>
      <x:c r="J2395" s="168" t="str">
        <x:v>CI</x:v>
      </x:c>
      <x:c r="K2395" s="174" t="n">
        <x:v>3</x:v>
      </x:c>
      <x:c r="L2395" s="187" t="str">
        <x:v>Proxy multicedente/multissacado — revisar</x:v>
      </x:c>
    </x:row>
    <x:row r="2396">
      <x:c r="A2396" s="177" t="str">
        <x:v>47.227.626/0001-07</x:v>
      </x:c>
      <x:c r="B2396" s="168" t="str">
        <x:v>BOCAINA 051 FUNDO DE INVESTIMENTO EM DIREITOS CREDITÓRIOS DE RESPONSABILIDADE LIMITADA</x:v>
      </x:c>
      <x:c r="C2396" s="190" t="n">
        <x:v>13726129.53</x:v>
      </x:c>
      <x:c r="D2396" s="168" t="str">
        <x:v>Bocaina Capital</x:v>
      </x:c>
      <x:c r="E2396" s="168" t="str">
        <x:f>IFERROR(INDEX('Classif Gestoras'!$H$6:$H$462,MATCH(D2396,'Classif Gestoras'!$A$6:$A$462,0)),"Não classificada")</x:f>
        <x:v>Independente</x:v>
      </x:c>
      <x:c r="F2396" s="168" t="str">
        <x:v>BANCO DAYCOVAL S/A</x:v>
      </x:c>
      <x:c r="G2396" s="168" t="str">
        <x:v>BANCO DAYCOVAL S.A.</x:v>
      </x:c>
      <x:c r="H2396" s="168" t="str">
        <x:v>Outros</x:v>
      </x:c>
      <x:c r="I2396" s="168" t="str">
        <x:v>Multicarteira Outros</x:v>
      </x:c>
      <x:c r="J2396" s="168" t="str">
        <x:v>CI</x:v>
      </x:c>
      <x:c r="K2396" s="174" t="n">
        <x:v>1</x:v>
      </x:c>
      <x:c r="L2396" s="187" t="str">
        <x:v>Proxy multicedente/multissacado — revisar</x:v>
      </x:c>
    </x:row>
    <x:row r="2397">
      <x:c r="A2397" s="177" t="str">
        <x:v>42.133.745/0001-79</x:v>
      </x:c>
      <x:c r="B2397" s="168" t="str">
        <x:v>CLASSE ÚNICA DO STRATEGI SPECIAL OPPORTUNITIES I FIDC RESPONSABILIDADE LTDA</x:v>
      </x:c>
      <x:c r="C2397" s="190" t="n">
        <x:v>13681941.76</x:v>
      </x:c>
      <x:c r="D2397" s="168" t="str">
        <x:v>STRATEGI CAPITAL ASSET MANAGEMENT</x:v>
      </x:c>
      <x:c r="E2397" s="168" t="str">
        <x:f>IFERROR(INDEX('Classif Gestoras'!$H$6:$H$462,MATCH(D2397,'Classif Gestoras'!$A$6:$A$462,0)),"Não classificada")</x:f>
        <x:v>Independente</x:v>
      </x:c>
      <x:c r="F2397" s="168" t="str">
        <x:v>VÓRTX DTVM</x:v>
      </x:c>
      <x:c r="G2397" s="168" t="str">
        <x:v>VORTX DISTRIBUIDORA DE TITULOS E VALORES MOBILIARIOS LTDA.</x:v>
      </x:c>
      <x:c r="H2397" s="168" t="str">
        <x:v>Financeiro</x:v>
      </x:c>
      <x:c r="I2397" s="168" t="str">
        <x:v>Multicarteira Financeiro</x:v>
      </x:c>
      <x:c r="J2397" s="168" t="str">
        <x:v>CI</x:v>
      </x:c>
      <x:c r="K2397" s="174" t="n">
        <x:v>2</x:v>
      </x:c>
      <x:c r="L2397" s="187" t="str">
        <x:v>Proxy multicedente/multissacado — revisar</x:v>
      </x:c>
    </x:row>
    <x:row r="2398">
      <x:c r="A2398" s="177" t="str">
        <x:v>59.359.053/0001-46</x:v>
      </x:c>
      <x:c r="B2398" s="168" t="str">
        <x:v>CNPJ 59359053000146</x:v>
      </x:c>
      <x:c r="C2398" s="190" t="n">
        <x:v>13626014.54</x:v>
      </x:c>
      <x:c r="D2398" s="168" t="str">
        <x:v>GESTORA DE RECURSOS ID - GRID LTDA.</x:v>
      </x:c>
      <x:c r="E2398" s="168" t="str">
        <x:f>IFERROR(INDEX('Classif Gestoras'!$H$6:$H$462,MATCH(D2398,'Classif Gestoras'!$A$6:$A$462,0)),"Não classificada")</x:f>
        <x:v>Independente</x:v>
      </x:c>
      <x:c r="F2398" s="168" t="str">
        <x:v>ID Corretora de Títulos e Valores Mobiliários S.A.</x:v>
      </x:c>
      <x:c r="G2398" s="168" t="str">
        <x:v>Não identificado</x:v>
      </x:c>
      <x:c r="H2398" s="168" t="str">
        <x:v>Outros</x:v>
      </x:c>
      <x:c r="I2398" s="168" t="str">
        <x:v>Multicarteira Outros</x:v>
      </x:c>
      <x:c r="J2398" s="168" t="str">
        <x:v>CI</x:v>
      </x:c>
      <x:c r="K2398" s="174"/>
      <x:c r="L2398" s="187" t="str">
        <x:v>Proxy multicedente/multissacado — revisar</x:v>
      </x:c>
    </x:row>
    <x:row r="2399">
      <x:c r="A2399" s="177" t="str">
        <x:v>59.472.452/0001-19</x:v>
      </x:c>
      <x:c r="B2399" s="168" t="str">
        <x:v>GAMBOA FUNDO DE INVESTIMENTO EM DIREITOS CREDITÓRIOS RESPONSABILIDADE LIMITADA</x:v>
      </x:c>
      <x:c r="C2399" s="190" t="n">
        <x:v>13614195.81</x:v>
      </x:c>
      <x:c r="D2399" s="168" t="str">
        <x:v>Paraguaçu Investimentos</x:v>
      </x:c>
      <x:c r="E2399" s="168" t="str">
        <x:f>IFERROR(INDEX('Classif Gestoras'!$H$6:$H$462,MATCH(D2399,'Classif Gestoras'!$A$6:$A$462,0)),"Não classificada")</x:f>
        <x:v>Independente</x:v>
      </x:c>
      <x:c r="F2399" s="168" t="str">
        <x:v>Genial Investimentos Corretora de Valores Mobiliários S.A.</x:v>
      </x:c>
      <x:c r="G2399" s="168" t="str">
        <x:v>BANCO GENIAL S.A.</x:v>
      </x:c>
      <x:c r="H2399" s="168" t="str">
        <x:v>Outros</x:v>
      </x:c>
      <x:c r="I2399" s="168" t="str">
        <x:v>Multicarteira Outros</x:v>
      </x:c>
      <x:c r="J2399" s="168" t="str">
        <x:v>CI</x:v>
      </x:c>
      <x:c r="K2399" s="174" t="n">
        <x:v>1</x:v>
      </x:c>
      <x:c r="L2399" s="187" t="str">
        <x:v>Proxy multicedente/multissacado — revisar</x:v>
      </x:c>
    </x:row>
    <x:row r="2400">
      <x:c r="A2400" s="177" t="str">
        <x:v>32.295.244/0001-35</x:v>
      </x:c>
      <x:c r="B2400" s="168" t="str">
        <x:v>CREDORES FUNDO DE INVESTIMENTO EM DIREITOS CREDITÓRIOS NÃO-PADRONIZADOS RESPONSABILIDADE LIMITADA</x:v>
      </x:c>
      <x:c r="C2400" s="190" t="n">
        <x:v>13573418.3</x:v>
      </x:c>
      <x:c r="D2400" s="168" t="str">
        <x:v>GESTORA DE RECURSOS ID - GRID LTDA.</x:v>
      </x:c>
      <x:c r="E2400" s="168" t="str">
        <x:f>IFERROR(INDEX('Classif Gestoras'!$H$6:$H$462,MATCH(D2400,'Classif Gestoras'!$A$6:$A$462,0)),"Não classificada")</x:f>
        <x:v>Independente</x:v>
      </x:c>
      <x:c r="F2400" s="168" t="str">
        <x:v>ID Corretora de Títulos e Valores Mobiliários S.A.</x:v>
      </x:c>
      <x:c r="G2400" s="168" t="str">
        <x:v>ID CORRETORA DE TITULOS E VALORES MOBILIARIOS S.A.</x:v>
      </x:c>
      <x:c r="H2400" s="168" t="str">
        <x:v>Outros</x:v>
      </x:c>
      <x:c r="I2400" s="168" t="str">
        <x:v>Multicarteira Outros</x:v>
      </x:c>
      <x:c r="J2400" s="168" t="str">
        <x:v>CI</x:v>
      </x:c>
      <x:c r="K2400" s="174" t="n">
        <x:v>2</x:v>
      </x:c>
      <x:c r="L2400" s="187" t="str">
        <x:v>Proxy multicedente/multissacado — revisar</x:v>
      </x:c>
    </x:row>
    <x:row r="2401">
      <x:c r="A2401" s="177" t="str">
        <x:v>34.964.529/0001-47</x:v>
      </x:c>
      <x:c r="B2401" s="168" t="str">
        <x:v>MORELIA FUNDO DE INVESTIMENTO EM DIREITOS CREDITÓRIOS NÃO-PADRONIZADOS</x:v>
      </x:c>
      <x:c r="C2401" s="190" t="n">
        <x:v>13564282.287599998</x:v>
      </x:c>
      <x:c r="D2401" s="168" t="str">
        <x:v>Jus Capital Gestão de Recursos LTDA</x:v>
      </x:c>
      <x:c r="E2401" s="168" t="str">
        <x:f>IFERROR(INDEX('Classif Gestoras'!$H$6:$H$462,MATCH(D2401,'Classif Gestoras'!$A$6:$A$462,0)),"Não classificada")</x:f>
        <x:v>Independente</x:v>
      </x:c>
      <x:c r="F2401" s="168" t="str">
        <x:v>BTG Pactual Servicos Financeiros S/A DTVM</x:v>
      </x:c>
      <x:c r="G2401" s="168" t="str">
        <x:v>BANCO BTG PACTUAL S/A</x:v>
      </x:c>
      <x:c r="H2401" s="168" t="str">
        <x:v>Outros</x:v>
      </x:c>
      <x:c r="I2401" s="168" t="str">
        <x:v>Não se aplica</x:v>
      </x:c>
      <x:c r="J2401" s="168" t="str">
        <x:v>CI</x:v>
      </x:c>
      <x:c r="K2401" s="174" t="n">
        <x:v>7</x:v>
      </x:c>
      <x:c r="L2401" s="187" t="str">
        <x:v>Não classificado</x:v>
      </x:c>
    </x:row>
    <x:row r="2402">
      <x:c r="A2402" s="177" t="str">
        <x:v>31.894.563/0001-02</x:v>
      </x:c>
      <x:c r="B2402" s="168" t="str">
        <x:v>BELSINOS FUNDO DE INVESTIMENTO EM DIREITOS CREDITÓRIOS</x:v>
      </x:c>
      <x:c r="C2402" s="190" t="n">
        <x:v>13545607.58</x:v>
      </x:c>
      <x:c r="D2402" s="168" t="str">
        <x:v>OURO PRETO INVESTIMENTOS</x:v>
      </x:c>
      <x:c r="E2402" s="168" t="str">
        <x:f>IFERROR(INDEX('Classif Gestoras'!$H$6:$H$462,MATCH(D2402,'Classif Gestoras'!$A$6:$A$462,0)),"Não classificada")</x:f>
        <x:v>Independente</x:v>
      </x:c>
      <x:c r="F2402" s="168" t="str">
        <x:v>Singulare</x:v>
      </x:c>
      <x:c r="G2402" s="168" t="str">
        <x:v>QI CORRETORA DE TÍTULOS E VALORES MOBILIÁRIOS S.A.</x:v>
      </x:c>
      <x:c r="H2402" s="168" t="str">
        <x:v>Fomento Mercantil</x:v>
      </x:c>
      <x:c r="I2402" s="168" t="str">
        <x:v>Fomento Mercantil</x:v>
      </x:c>
      <x:c r="J2402" s="168" t="str">
        <x:v>CI</x:v>
      </x:c>
      <x:c r="K2402" s="174" t="n">
        <x:v>4</x:v>
      </x:c>
      <x:c r="L2402" s="187" t="str">
        <x:v>Não classificado</x:v>
      </x:c>
    </x:row>
    <x:row r="2403">
      <x:c r="A2403" s="177" t="str">
        <x:v>43.143.438/0001-31</x:v>
      </x:c>
      <x:c r="B2403" s="168" t="str">
        <x:v>STZ FORNECEDORES FUNDO DE INVESTIMENTO EM DIREITOS CREDITÓRIOS CORPORATIVOS</x:v>
      </x:c>
      <x:c r="C2403" s="190" t="n">
        <x:v>13540359.320000002</x:v>
      </x:c>
      <x:c r="D2403" s="168" t="str">
        <x:v>EuQueroInvestir Gestão de Recursos Ltda.</x:v>
      </x:c>
      <x:c r="E2403" s="168" t="str">
        <x:f>IFERROR(INDEX('Classif Gestoras'!$H$6:$H$462,MATCH(D2403,'Classif Gestoras'!$A$6:$A$462,0)),"Não classificada")</x:f>
        <x:v>Independente</x:v>
      </x:c>
      <x:c r="F2403" s="168" t="str">
        <x:v>BTG Pactual Servicos Financeiros S/A DTVM</x:v>
      </x:c>
      <x:c r="G2403" s="168" t="str">
        <x:v>BANCO BTG PACTUAL S/A</x:v>
      </x:c>
      <x:c r="H2403" s="168" t="str">
        <x:v>Agro, Indústria e Comércio</x:v>
      </x:c>
      <x:c r="I2403" s="168" t="str">
        <x:v>Crédito Corporativo</x:v>
      </x:c>
      <x:c r="J2403" s="168" t="str">
        <x:v>CI</x:v>
      </x:c>
      <x:c r="K2403" s="174" t="n">
        <x:v>477</x:v>
      </x:c>
      <x:c r="L2403" s="187" t="str">
        <x:v>Não classificado</x:v>
      </x:c>
    </x:row>
    <x:row r="2404">
      <x:c r="A2404" s="177" t="str">
        <x:v>60.369.814/0001-20</x:v>
      </x:c>
      <x:c r="B2404" s="168" t="str">
        <x:v>BR4 FUND FUNDO DE INVESTIMENTO EM DIREITOS CREDITÓRIOS RESPONSABILIDADE LIMITADA</x:v>
      </x:c>
      <x:c r="C2404" s="190" t="n">
        <x:v>13507291.76</x:v>
      </x:c>
      <x:c r="D2404" s="168" t="str">
        <x:v>Paraguaçu Investimentos</x:v>
      </x:c>
      <x:c r="E2404" s="168" t="str">
        <x:f>IFERROR(INDEX('Classif Gestoras'!$H$6:$H$462,MATCH(D2404,'Classif Gestoras'!$A$6:$A$462,0)),"Não classificada")</x:f>
        <x:v>Independente</x:v>
      </x:c>
      <x:c r="F2404" s="168" t="str">
        <x:v>RJI Investimentos</x:v>
      </x:c>
      <x:c r="G2404" s="168" t="str">
        <x:v>RJI CORRETORA DE TÍTULOS E VALORES MOBILIÁRIOS LTDA.</x:v>
      </x:c>
      <x:c r="H2404" s="168" t="str">
        <x:v>Agro, Indústria e Comércio</x:v>
      </x:c>
      <x:c r="I2404" s="168" t="str">
        <x:v>Multicarteira Agro, Indústria e Comércio</x:v>
      </x:c>
      <x:c r="J2404" s="168" t="str">
        <x:v>CI</x:v>
      </x:c>
      <x:c r="K2404" s="174" t="n">
        <x:v>3</x:v>
      </x:c>
      <x:c r="L2404" s="187" t="str">
        <x:v>Proxy multicedente/multissacado — revisar</x:v>
      </x:c>
    </x:row>
    <x:row r="2405">
      <x:c r="A2405" s="177" t="str">
        <x:v>63.024.768/0001-15</x:v>
      </x:c>
      <x:c r="B2405" s="168" t="str">
        <x:v>BRAVIUM FUNDO DE INVESTIMENTO EM DIREITOS CREDITÓRIOS</x:v>
      </x:c>
      <x:c r="C2405" s="190" t="n">
        <x:v>13493200.63</x:v>
      </x:c>
      <x:c r="D2405" s="168" t="str">
        <x:v>Redwood Asset Management</x:v>
      </x:c>
      <x:c r="E2405" s="168" t="str">
        <x:f>IFERROR(INDEX('Classif Gestoras'!$H$6:$H$462,MATCH(D2405,'Classif Gestoras'!$A$6:$A$462,0)),"Não classificada")</x:f>
        <x:v>Independente</x:v>
      </x:c>
      <x:c r="F2405" s="168" t="str">
        <x:v>PLANNER CV</x:v>
      </x:c>
      <x:c r="G2405" s="168" t="str">
        <x:v>PLANNER CORRETORA DE VALORES S.A.</x:v>
      </x:c>
      <x:c r="H2405" s="168" t="str">
        <x:v>Outros</x:v>
      </x:c>
      <x:c r="I2405" s="168" t="str">
        <x:v>Multicarteira Outros</x:v>
      </x:c>
      <x:c r="J2405" s="168" t="str">
        <x:v>CI</x:v>
      </x:c>
      <x:c r="K2405" s="174" t="n">
        <x:v>1</x:v>
      </x:c>
      <x:c r="L2405" s="187" t="str">
        <x:v>Proxy multicedente/multissacado — revisar</x:v>
      </x:c>
    </x:row>
    <x:row r="2406">
      <x:c r="A2406" s="177" t="str">
        <x:v>55.965.708/0001-79</x:v>
      </x:c>
      <x:c r="B2406" s="168" t="str">
        <x:v>ATLANTA I FUNDO DE INVESTIMENTO EM DIREITOS CREDITÓRIOS RESPONSABILIDADE LIMITADA</x:v>
      </x:c>
      <x:c r="C2406" s="190" t="n">
        <x:v>13486411.5</x:v>
      </x:c>
      <x:c r="D2406" s="168" t="str">
        <x:v>Redwood Asset Management</x:v>
      </x:c>
      <x:c r="E2406" s="168" t="str">
        <x:f>IFERROR(INDEX('Classif Gestoras'!$H$6:$H$462,MATCH(D2406,'Classif Gestoras'!$A$6:$A$462,0)),"Não classificada")</x:f>
        <x:v>Independente</x:v>
      </x:c>
      <x:c r="F2406" s="168" t="str">
        <x:v>PLANNER CV</x:v>
      </x:c>
      <x:c r="G2406" s="168" t="str">
        <x:v>PLANNER CORRETORA DE VALORES S.A.</x:v>
      </x:c>
      <x:c r="H2406" s="168" t="str">
        <x:v>Outros</x:v>
      </x:c>
      <x:c r="I2406" s="168" t="str">
        <x:v>Multicarteira Outros</x:v>
      </x:c>
      <x:c r="J2406" s="168" t="str">
        <x:v>CI</x:v>
      </x:c>
      <x:c r="K2406" s="174" t="n">
        <x:v>1</x:v>
      </x:c>
      <x:c r="L2406" s="187" t="str">
        <x:v>Proxy multicedente/multissacado — revisar</x:v>
      </x:c>
    </x:row>
    <x:row r="2407">
      <x:c r="A2407" s="177" t="str">
        <x:v>56.972.378/0001-01</x:v>
      </x:c>
      <x:c r="B2407" s="168" t="str">
        <x:v>FUNDO DE INVESTIMENTO EM DIREITOS CREDITÓRIOS PFN MT III RESPONSABILIDADE LIMITADA</x:v>
      </x:c>
      <x:c r="C2407" s="190" t="n">
        <x:v>13451426.17</x:v>
      </x:c>
      <x:c r="D2407" s="168" t="str">
        <x:v>Solis</x:v>
      </x:c>
      <x:c r="E2407" s="168" t="str">
        <x:f>IFERROR(INDEX('Classif Gestoras'!$H$6:$H$462,MATCH(D2407,'Classif Gestoras'!$A$6:$A$462,0)),"Não classificada")</x:f>
        <x:v>Independente</x:v>
      </x:c>
      <x:c r="F2407" s="168" t="str">
        <x:v>BANCO DAYCOVAL S/A</x:v>
      </x:c>
      <x:c r="G2407" s="168" t="str">
        <x:v>BANCO DAYCOVAL S.A.</x:v>
      </x:c>
      <x:c r="H2407" s="168" t="str">
        <x:v>Financeiro</x:v>
      </x:c>
      <x:c r="I2407" s="168" t="str">
        <x:v>Crédito Pessoal</x:v>
      </x:c>
      <x:c r="J2407" s="168" t="str">
        <x:v>CI</x:v>
      </x:c>
      <x:c r="K2407" s="174" t="n">
        <x:v>20</x:v>
      </x:c>
      <x:c r="L2407" s="187" t="str">
        <x:v>Não classificado</x:v>
      </x:c>
    </x:row>
    <x:row r="2408">
      <x:c r="A2408" s="177" t="str">
        <x:v>22.101.473/0001-18</x:v>
      </x:c>
      <x:c r="B2408" s="168" t="str">
        <x:v>LITUS FUNDO DE INVESTIMENTO EM DIREITOS CREDITÓRIOS MULTISEGMENTOS</x:v>
      </x:c>
      <x:c r="C2408" s="190" t="n">
        <x:v>13428930.909999998</x:v>
      </x:c>
      <x:c r="D2408" s="168" t="str">
        <x:v>Litus Gestão de Recursos LTDA</x:v>
      </x:c>
      <x:c r="E2408" s="168" t="str">
        <x:f>IFERROR(INDEX('Classif Gestoras'!$H$6:$H$462,MATCH(D2408,'Classif Gestoras'!$A$6:$A$462,0)),"Não classificada")</x:f>
        <x:v>Independente</x:v>
      </x:c>
      <x:c r="F2408" s="168" t="str">
        <x:v>Finaxis Corretora de Títulos e Valores Mobiliários S.A.</x:v>
      </x:c>
      <x:c r="G2408" s="168" t="str">
        <x:v>BANCO FINAXIS S.A.</x:v>
      </x:c>
      <x:c r="H2408" s="168" t="str">
        <x:v>Outros</x:v>
      </x:c>
      <x:c r="I2408" s="168" t="str">
        <x:v>Multicarteira Outros</x:v>
      </x:c>
      <x:c r="J2408" s="168" t="str">
        <x:v>CI</x:v>
      </x:c>
      <x:c r="K2408" s="174" t="n">
        <x:v>11</x:v>
      </x:c>
      <x:c r="L2408" s="187" t="str">
        <x:v>Proxy multicedente/multissacado — revisar</x:v>
      </x:c>
    </x:row>
    <x:row r="2409">
      <x:c r="A2409" s="177" t="str">
        <x:v>09.414.255/0001-75</x:v>
      </x:c>
      <x:c r="B2409" s="168" t="str">
        <x:v>DANIELE I - FUNDO DE INVESTIMENTO EM DIREITOS CREDITÓRIOS MULTISSEGMENTOS</x:v>
      </x:c>
      <x:c r="C2409" s="190" t="n">
        <x:v>13403325.550000004</x:v>
      </x:c>
      <x:c r="D2409" s="168" t="str">
        <x:v>Petra Capital</x:v>
      </x:c>
      <x:c r="E2409" s="168" t="str">
        <x:f>IFERROR(INDEX('Classif Gestoras'!$H$6:$H$462,MATCH(D2409,'Classif Gestoras'!$A$6:$A$462,0)),"Não classificada")</x:f>
        <x:v>Independente</x:v>
      </x:c>
      <x:c r="F2409" s="168" t="str">
        <x:v>Finaxis Corretora de Títulos e Valores Mobiliários S.A.</x:v>
      </x:c>
      <x:c r="G2409" s="168" t="str">
        <x:v>BANCO FINAXIS S.A.</x:v>
      </x:c>
      <x:c r="H2409" s="168" t="str">
        <x:v>Fomento Mercantil</x:v>
      </x:c>
      <x:c r="I2409" s="168" t="str">
        <x:v>Fomento Mercantil</x:v>
      </x:c>
      <x:c r="J2409" s="168" t="str">
        <x:v>CI</x:v>
      </x:c>
      <x:c r="K2409" s="174" t="n">
        <x:v>2</x:v>
      </x:c>
      <x:c r="L2409" s="187" t="str">
        <x:v>Não classificado</x:v>
      </x:c>
    </x:row>
    <x:row r="2410">
      <x:c r="A2410" s="177" t="str">
        <x:v>43.181.523/0001-94</x:v>
      </x:c>
      <x:c r="B2410" s="168" t="str">
        <x:v>CNPJ 43181523000194</x:v>
      </x:c>
      <x:c r="C2410" s="190" t="n">
        <x:v>13387160.26</x:v>
      </x:c>
      <x:c r="D2410" s="168" t="str">
        <x:v>OURO PRETO INVESTIMENTOS</x:v>
      </x:c>
      <x:c r="E2410" s="168" t="str">
        <x:f>IFERROR(INDEX('Classif Gestoras'!$H$6:$H$462,MATCH(D2410,'Classif Gestoras'!$A$6:$A$462,0)),"Não classificada")</x:f>
        <x:v>Independente</x:v>
      </x:c>
      <x:c r="F2410" s="168" t="str">
        <x:v>ACTUAL DTVM</x:v>
      </x:c>
      <x:c r="G2410" s="168" t="str">
        <x:v>Não identificado</x:v>
      </x:c>
      <x:c r="H2410" s="168" t="str">
        <x:v>Fomento Mercantil</x:v>
      </x:c>
      <x:c r="I2410" s="168" t="str">
        <x:v>Fomento Mercantil</x:v>
      </x:c>
      <x:c r="J2410" s="168" t="str">
        <x:v>CI</x:v>
      </x:c>
      <x:c r="K2410" s="174"/>
      <x:c r="L2410" s="187" t="str">
        <x:v>Não classificado</x:v>
      </x:c>
    </x:row>
    <x:row r="2411">
      <x:c r="A2411" s="177" t="str">
        <x:v>48.900.092/0001-92</x:v>
      </x:c>
      <x:c r="B2411" s="168" t="str">
        <x:v>SEVEN LAKES FUNDO DE INVESTIMENTO EM DIREITOS CREDITÓRIOS</x:v>
      </x:c>
      <x:c r="C2411" s="190" t="n">
        <x:v>13384222.09</x:v>
      </x:c>
      <x:c r="D2411" s="168" t="str">
        <x:v>PATAGÔNIA CAPITAL</x:v>
      </x:c>
      <x:c r="E2411" s="168" t="str">
        <x:f>IFERROR(INDEX('Classif Gestoras'!$H$6:$H$462,MATCH(D2411,'Classif Gestoras'!$A$6:$A$462,0)),"Não classificada")</x:f>
        <x:v>Independente</x:v>
      </x:c>
      <x:c r="F2411" s="168" t="str">
        <x:v>VÓRTX DTVM</x:v>
      </x:c>
      <x:c r="G2411" s="168" t="str">
        <x:v>VORTX DISTRIBUIDORA DE TITULOS E VALORES MOBILIARIOS LTDA.</x:v>
      </x:c>
      <x:c r="H2411" s="168" t="str">
        <x:v>Agro, Indústria e Comércio</x:v>
      </x:c>
      <x:c r="I2411" s="168" t="str">
        <x:v>Crédito Corporativo</x:v>
      </x:c>
      <x:c r="J2411" s="168" t="str">
        <x:v>CI</x:v>
      </x:c>
      <x:c r="K2411" s="174" t="n">
        <x:v>4</x:v>
      </x:c>
      <x:c r="L2411" s="187" t="str">
        <x:v>Não classificado</x:v>
      </x:c>
    </x:row>
    <x:row r="2412">
      <x:c r="A2412" s="177" t="str">
        <x:v>64.054.550/0001-76</x:v>
      </x:c>
      <x:c r="B2412" s="168" t="str">
        <x:v>KUARÁ ARTEMIS HIGH YIELD I FUNDO DE INVESTIMENTO EM DIREITOS CREDITÓRIOS RESPONSABILIDADE LIMITADA</x:v>
      </x:c>
      <x:c r="C2412" s="190" t="n">
        <x:v>13374202.14</x:v>
      </x:c>
      <x:c r="D2412" s="168" t="str">
        <x:v>Kuará Capital</x:v>
      </x:c>
      <x:c r="E2412" s="168" t="str">
        <x:f>IFERROR(INDEX('Classif Gestoras'!$H$6:$H$462,MATCH(D2412,'Classif Gestoras'!$A$6:$A$462,0)),"Não classificada")</x:f>
        <x:v>Independente</x:v>
      </x:c>
      <x:c r="F2412" s="168" t="str">
        <x:v>ID Corretora de Títulos e Valores Mobiliários S.A.</x:v>
      </x:c>
      <x:c r="G2412" s="168" t="str">
        <x:v>BARU DISTRIBUIDORA DE TÍTULOS E VALORES MOBILIÁRIOS LTDA.</x:v>
      </x:c>
      <x:c r="H2412" s="168" t="str">
        <x:v>Fomento Mercantil</x:v>
      </x:c>
      <x:c r="I2412" s="168" t="str">
        <x:v>Fomento Mercantil</x:v>
      </x:c>
      <x:c r="J2412" s="168" t="str">
        <x:v>CI</x:v>
      </x:c>
      <x:c r="K2412" s="174" t="n">
        <x:v>2</x:v>
      </x:c>
      <x:c r="L2412" s="187" t="str">
        <x:v>Não classificado</x:v>
      </x:c>
    </x:row>
    <x:row r="2413">
      <x:c r="A2413" s="177" t="str">
        <x:v>23.884.799/0001-21</x:v>
      </x:c>
      <x:c r="B2413" s="168" t="str">
        <x:v>FP GENIAL 2 RECUPERAÇÃO DE CRÉDITO FUNDO DE INVESTIMENTO EM DIREITOS CREDITÓRIOS NÃO PADRONIZADOS</x:v>
      </x:c>
      <x:c r="C2413" s="190" t="n">
        <x:v>13373079.54</x:v>
      </x:c>
      <x:c r="D2413" s="168" t="str">
        <x:v>Plural</x:v>
      </x:c>
      <x:c r="E2413" s="168" t="str">
        <x:f>IFERROR(INDEX('Classif Gestoras'!$H$6:$H$462,MATCH(D2413,'Classif Gestoras'!$A$6:$A$462,0)),"Não classificada")</x:f>
        <x:v>Ligada a banco</x:v>
      </x:c>
      <x:c r="F2413" s="168" t="str">
        <x:v>Singulare</x:v>
      </x:c>
      <x:c r="G2413" s="168" t="str">
        <x:v>QI CORRETORA DE TÍTULOS E VALORES MOBILIÁRIOS S.A.</x:v>
      </x:c>
      <x:c r="H2413" s="168" t="str">
        <x:v>Outros</x:v>
      </x:c>
      <x:c r="I2413" s="168" t="str">
        <x:v>Recuperação</x:v>
      </x:c>
      <x:c r="J2413" s="168" t="str">
        <x:v>CI</x:v>
      </x:c>
      <x:c r="K2413" s="174" t="n">
        <x:v>10</x:v>
      </x:c>
      <x:c r="L2413" s="187" t="str">
        <x:v>Não classificado</x:v>
      </x:c>
    </x:row>
    <x:row r="2414">
      <x:c r="A2414" s="177" t="str">
        <x:v>48.213.253/0001-70</x:v>
      </x:c>
      <x:c r="B2414" s="168" t="str">
        <x:v>INVESTMAX FUNDO DE INVESTIMENTO EM DIREITOS CREDITÓRIOS</x:v>
      </x:c>
      <x:c r="C2414" s="190" t="n">
        <x:v>13363940.71</x:v>
      </x:c>
      <x:c r="D2414" s="168" t="str">
        <x:v>ASSET MANAGEMENT</x:v>
      </x:c>
      <x:c r="E2414" s="168" t="str">
        <x:f>IFERROR(INDEX('Classif Gestoras'!$H$6:$H$462,MATCH(D2414,'Classif Gestoras'!$A$6:$A$462,0)),"Não classificada")</x:f>
        <x:v>Independente</x:v>
      </x:c>
      <x:c r="F2414" s="168" t="str">
        <x:v>AZUMI DISTRIBUIDORA DE TÍTULOS E VALORES MOBILIÁRIOS LT</x:v>
      </x:c>
      <x:c r="G2414" s="168" t="str">
        <x:v>AZUMI DISTRIBUIDORA DE TÍTULOS E VALORES MOBILIÁRIOS LTDA.</x:v>
      </x:c>
      <x:c r="H2414" s="168" t="str">
        <x:v>Outros</x:v>
      </x:c>
      <x:c r="I2414" s="168" t="str">
        <x:v>Multicarteira Outros</x:v>
      </x:c>
      <x:c r="J2414" s="168" t="str">
        <x:v>CI</x:v>
      </x:c>
      <x:c r="K2414" s="174" t="n">
        <x:v>8</x:v>
      </x:c>
      <x:c r="L2414" s="187" t="str">
        <x:v>Proxy multicedente/multissacado — revisar</x:v>
      </x:c>
    </x:row>
    <x:row r="2415">
      <x:c r="A2415" s="177" t="str">
        <x:v>51.901.421/0001-24</x:v>
      </x:c>
      <x:c r="B2415" s="168" t="str">
        <x:v>MASTRENN FUNDO DE INVESTIMENTO EM DIREITOS CREDITÓRIOS</x:v>
      </x:c>
      <x:c r="C2415" s="190" t="n">
        <x:v>13289310.159999998</x:v>
      </x:c>
      <x:c r="D2415" s="168" t="str">
        <x:v>Catálise Investimentos</x:v>
      </x:c>
      <x:c r="E2415" s="168" t="str">
        <x:f>IFERROR(INDEX('Classif Gestoras'!$H$6:$H$462,MATCH(D2415,'Classif Gestoras'!$A$6:$A$462,0)),"Não classificada")</x:f>
        <x:v>Independente</x:v>
      </x:c>
      <x:c r="F2415" s="168" t="str">
        <x:v>CATÁLISE DTVM</x:v>
      </x:c>
      <x:c r="G2415" s="168" t="str">
        <x:v>BANCO DAYCOVAL S.A.</x:v>
      </x:c>
      <x:c r="H2415" s="168" t="str">
        <x:v>Agro, Indústria e Comércio</x:v>
      </x:c>
      <x:c r="I2415" s="168" t="str">
        <x:v>Recebíveis Comerciais</x:v>
      </x:c>
      <x:c r="J2415" s="168" t="str">
        <x:v>CI</x:v>
      </x:c>
      <x:c r="K2415" s="174" t="n">
        <x:v>1</x:v>
      </x:c>
      <x:c r="L2415" s="187" t="str">
        <x:v>Não classificado</x:v>
      </x:c>
    </x:row>
    <x:row r="2416">
      <x:c r="A2416" s="177" t="str">
        <x:v>60.666.932/0001-08</x:v>
      </x:c>
      <x:c r="B2416" s="168" t="str">
        <x:v>BPI CAPITAIS FUNDO DE INVESTIMENTO EM DIREITOS CREDITÓRIOS</x:v>
      </x:c>
      <x:c r="C2416" s="190" t="n">
        <x:v>13241751.35</x:v>
      </x:c>
      <x:c r="D2416" s="168" t="str">
        <x:v>Tyr Gestao de Recursos Ltda</x:v>
      </x:c>
      <x:c r="E2416" s="168" t="str">
        <x:f>IFERROR(INDEX('Classif Gestoras'!$H$6:$H$462,MATCH(D2416,'Classif Gestoras'!$A$6:$A$462,0)),"Não classificada")</x:f>
        <x:v>Independente</x:v>
      </x:c>
      <x:c r="F2416" s="168" t="str">
        <x:v>ID Corretora de Títulos e Valores Mobiliários S.A.</x:v>
      </x:c>
      <x:c r="G2416" s="168" t="str">
        <x:v>ID CORRETORA DE TITULOS E VALORES MOBILIARIOS S.A.</x:v>
      </x:c>
      <x:c r="H2416" s="168" t="str">
        <x:v>Outros</x:v>
      </x:c>
      <x:c r="I2416" s="168" t="str">
        <x:v>Multicarteira Outros</x:v>
      </x:c>
      <x:c r="J2416" s="168" t="str">
        <x:v>CI</x:v>
      </x:c>
      <x:c r="K2416" s="174" t="n">
        <x:v>1</x:v>
      </x:c>
      <x:c r="L2416" s="187" t="str">
        <x:v>Proxy multicedente/multissacado — revisar</x:v>
      </x:c>
    </x:row>
    <x:row r="2417">
      <x:c r="A2417" s="177" t="str">
        <x:v>53.032.513/0001-40</x:v>
      </x:c>
      <x:c r="B2417" s="168" t="str">
        <x:v>COBUCCIO EMPRÉSTIMOS FUNDO DE INVESTIMENTO EM DIREITOS CREDITÓRIOS</x:v>
      </x:c>
      <x:c r="C2417" s="190" t="n">
        <x:v>13218839.38</x:v>
      </x:c>
      <x:c r="D2417" s="168" t="str">
        <x:v>CARMEL GESTORA DE ATIVOS LTDA</x:v>
      </x:c>
      <x:c r="E2417" s="168" t="str">
        <x:f>IFERROR(INDEX('Classif Gestoras'!$H$6:$H$462,MATCH(D2417,'Classif Gestoras'!$A$6:$A$462,0)),"Não classificada")</x:f>
        <x:v>Independente</x:v>
      </x:c>
      <x:c r="F2417" s="168" t="str">
        <x:v>Singulare</x:v>
      </x:c>
      <x:c r="G2417" s="168" t="str">
        <x:v>QI CORRETORA DE TÍTULOS E VALORES MOBILIÁRIOS S.A.</x:v>
      </x:c>
      <x:c r="H2417" s="168" t="str">
        <x:v>Financeiro</x:v>
      </x:c>
      <x:c r="I2417" s="168" t="str">
        <x:v>Crédito Consignado</x:v>
      </x:c>
      <x:c r="J2417" s="168" t="str">
        <x:v>CI</x:v>
      </x:c>
      <x:c r="K2417" s="174" t="n">
        <x:v>2</x:v>
      </x:c>
      <x:c r="L2417" s="187" t="str">
        <x:v>Não classificado</x:v>
      </x:c>
    </x:row>
    <x:row r="2418">
      <x:c r="A2418" s="177" t="str">
        <x:v>51.681.932/0001-88</x:v>
      </x:c>
      <x:c r="B2418" s="168" t="str">
        <x:v>STW FUNDO DE INVESTIMENTO EM DIREITOS CREDITÓRIOS NÃO PADRONIZADOS</x:v>
      </x:c>
      <x:c r="C2418" s="190" t="n">
        <x:v>13177273.53</x:v>
      </x:c>
      <x:c r="D2418" s="168" t="str">
        <x:v>Harbour Capital</x:v>
      </x:c>
      <x:c r="E2418" s="168" t="str">
        <x:f>IFERROR(INDEX('Classif Gestoras'!$H$6:$H$462,MATCH(D2418,'Classif Gestoras'!$A$6:$A$462,0)),"Não classificada")</x:f>
        <x:v>Independente</x:v>
      </x:c>
      <x:c r="F2418" s="168" t="str">
        <x:v>REAG DTVM</x:v>
      </x:c>
      <x:c r="G2418" s="168" t="str">
        <x:v>FINVEST DISTRIBUIDORA DE TÍTULOS E VALORES MOBILIÁRIOS LTDA.</x:v>
      </x:c>
      <x:c r="H2418" s="168" t="str">
        <x:v>Financeiro</x:v>
      </x:c>
      <x:c r="I2418" s="168" t="str">
        <x:v>Multicarteira Financeiro</x:v>
      </x:c>
      <x:c r="J2418" s="168" t="str">
        <x:v>CI</x:v>
      </x:c>
      <x:c r="K2418" s="174" t="n">
        <x:v>2</x:v>
      </x:c>
      <x:c r="L2418" s="187" t="str">
        <x:v>Proxy multicedente/multissacado — revisar</x:v>
      </x:c>
    </x:row>
    <x:row r="2419">
      <x:c r="A2419" s="177" t="str">
        <x:v>60.981.534/0001-78</x:v>
      </x:c>
      <x:c r="B2419" s="168" t="str">
        <x:v>CAIMAN FUNDO DE INVESTIMENTO EM DIREITOS CREDITÓRIOS</x:v>
      </x:c>
      <x:c r="C2419" s="190" t="n">
        <x:v>13153457.44</x:v>
      </x:c>
      <x:c r="D2419" s="168" t="str">
        <x:v>SOSU CAPITAL GESTÃO DE INVESTIMENTOS LTDA.</x:v>
      </x:c>
      <x:c r="E2419" s="168" t="str">
        <x:f>IFERROR(INDEX('Classif Gestoras'!$H$6:$H$462,MATCH(D2419,'Classif Gestoras'!$A$6:$A$462,0)),"Não classificada")</x:f>
        <x:v>Independente</x:v>
      </x:c>
      <x:c r="F2419" s="168" t="str">
        <x:v>BTG Pactual Servicos Financeiros S/A DTVM</x:v>
      </x:c>
      <x:c r="G2419" s="168" t="str">
        <x:v>BANCO BTG PACTUAL S/A</x:v>
      </x:c>
      <x:c r="H2419" s="168" t="str">
        <x:v>Outros</x:v>
      </x:c>
      <x:c r="I2419" s="168" t="str">
        <x:v>Multicarteira Outros</x:v>
      </x:c>
      <x:c r="J2419" s="168" t="str">
        <x:v>CI</x:v>
      </x:c>
      <x:c r="K2419" s="174" t="n">
        <x:v>1</x:v>
      </x:c>
      <x:c r="L2419" s="187" t="str">
        <x:v>Proxy multicedente/multissacado — revisar</x:v>
      </x:c>
    </x:row>
    <x:row r="2420">
      <x:c r="A2420" s="177" t="str">
        <x:v>23.520.837/0001-67</x:v>
      </x:c>
      <x:c r="B2420" s="168" t="str">
        <x:v>DIVALLORE FUNDO DE INVESTIMENTO EM DIREITOS CREDITÓRIOS</x:v>
      </x:c>
      <x:c r="C2420" s="190" t="n">
        <x:v>13135419.73</x:v>
      </x:c>
      <x:c r="D2420" s="168" t="str">
        <x:v>TERCON ASSET MANAGEMENT</x:v>
      </x:c>
      <x:c r="E2420" s="168" t="str">
        <x:f>IFERROR(INDEX('Classif Gestoras'!$H$6:$H$462,MATCH(D2420,'Classif Gestoras'!$A$6:$A$462,0)),"Não classificada")</x:f>
        <x:v>Independente</x:v>
      </x:c>
      <x:c r="F2420" s="168" t="str">
        <x:v>Singulare</x:v>
      </x:c>
      <x:c r="G2420" s="168" t="str">
        <x:v>QI CORRETORA DE TÍTULOS E VALORES MOBILIÁRIOS S.A.</x:v>
      </x:c>
      <x:c r="H2420" s="168" t="str">
        <x:v>Fomento Mercantil</x:v>
      </x:c>
      <x:c r="I2420" s="168" t="str">
        <x:v>Fomento Mercantil</x:v>
      </x:c>
      <x:c r="J2420" s="168" t="str">
        <x:v>CI</x:v>
      </x:c>
      <x:c r="K2420" s="174" t="n">
        <x:v>1</x:v>
      </x:c>
      <x:c r="L2420" s="187" t="str">
        <x:v>Não classificado</x:v>
      </x:c>
    </x:row>
    <x:row r="2421">
      <x:c r="A2421" s="177" t="str">
        <x:v>63.701.570/0001-29</x:v>
      </x:c>
      <x:c r="B2421" s="168" t="str">
        <x:v>AURORA FUNDO DE INVESTIMENTO EM COTAS DE FUNDOS DE INVESTIMENTO EM DIREITOS CREDITÓRIOS</x:v>
      </x:c>
      <x:c r="C2421" s="190" t="n">
        <x:v>13126849.06</x:v>
      </x:c>
      <x:c r="D2421" s="168" t="str">
        <x:v>Iggy Investimentos</x:v>
      </x:c>
      <x:c r="E2421" s="168" t="str">
        <x:f>IFERROR(INDEX('Classif Gestoras'!$H$6:$H$462,MATCH(D2421,'Classif Gestoras'!$A$6:$A$462,0)),"Não classificada")</x:f>
        <x:v>Independente</x:v>
      </x:c>
      <x:c r="F2421" s="168" t="str">
        <x:v>BRL TRUST DTVM</x:v>
      </x:c>
      <x:c r="G2421" s="168" t="str">
        <x:v>BRL TRUST DISTRIBUIDORA DE TITULOS E VALORES MOBILIARIOS S.A.</x:v>
      </x:c>
      <x:c r="H2421" s="168" t="str">
        <x:v>Fomento Mercantil</x:v>
      </x:c>
      <x:c r="I2421" s="168" t="str">
        <x:v>Fomento Mercantil</x:v>
      </x:c>
      <x:c r="J2421" s="168" t="str">
        <x:v>CI</x:v>
      </x:c>
      <x:c r="K2421" s="174" t="n">
        <x:v>1</x:v>
      </x:c>
      <x:c r="L2421" s="187" t="str">
        <x:v>Não classificado</x:v>
      </x:c>
    </x:row>
    <x:row r="2422">
      <x:c r="A2422" s="177" t="str">
        <x:v>51.200.316/0001-68</x:v>
      </x:c>
      <x:c r="B2422" s="168" t="str">
        <x:v>FUNDO DE INVESTIMENTO EM DIREITOS CREDITORIOS CATHON</x:v>
      </x:c>
      <x:c r="C2422" s="190" t="n">
        <x:v>13098090.16</x:v>
      </x:c>
      <x:c r="D2422" s="168" t="str">
        <x:v>Redwood Asset Management</x:v>
      </x:c>
      <x:c r="E2422" s="168" t="str">
        <x:f>IFERROR(INDEX('Classif Gestoras'!$H$6:$H$462,MATCH(D2422,'Classif Gestoras'!$A$6:$A$462,0)),"Não classificada")</x:f>
        <x:v>Independente</x:v>
      </x:c>
      <x:c r="F2422" s="168" t="str">
        <x:v>PLANNER CV</x:v>
      </x:c>
      <x:c r="G2422" s="168" t="str">
        <x:v>PLANNER CORRETORA DE VALORES S.A.</x:v>
      </x:c>
      <x:c r="H2422" s="168" t="str">
        <x:v>Outros</x:v>
      </x:c>
      <x:c r="I2422" s="168" t="str">
        <x:v>Multicarteira Outros</x:v>
      </x:c>
      <x:c r="J2422" s="168" t="str">
        <x:v>CI</x:v>
      </x:c>
      <x:c r="K2422" s="174" t="n">
        <x:v>1</x:v>
      </x:c>
      <x:c r="L2422" s="187" t="str">
        <x:v>Proxy multicedente/multissacado — revisar</x:v>
      </x:c>
    </x:row>
    <x:row r="2423">
      <x:c r="A2423" s="177" t="str">
        <x:v>60.696.087/0001-05</x:v>
      </x:c>
      <x:c r="B2423" s="168" t="str">
        <x:v>UNIQUE CAPITAL FUNDO DE INVESTIMENTO EM DIREITOS CREDITÓRIOS</x:v>
      </x:c>
      <x:c r="C2423" s="190" t="n">
        <x:v>13095504.95</x:v>
      </x:c>
      <x:c r="D2423" s="168" t="str">
        <x:v>OKEAN INVEST</x:v>
      </x:c>
      <x:c r="E2423" s="168" t="str">
        <x:f>IFERROR(INDEX('Classif Gestoras'!$H$6:$H$462,MATCH(D2423,'Classif Gestoras'!$A$6:$A$462,0)),"Não classificada")</x:f>
        <x:v>Independente</x:v>
      </x:c>
      <x:c r="F2423" s="168" t="str">
        <x:v>REAG DTVM</x:v>
      </x:c>
      <x:c r="G2423" s="168" t="str">
        <x:v>QI CORRETORA DE TÍTULOS E VALORES MOBILIÁRIOS S.A.</x:v>
      </x:c>
      <x:c r="H2423" s="168" t="str">
        <x:v>Outros</x:v>
      </x:c>
      <x:c r="I2423" s="168" t="str">
        <x:v>Fomento Mercantil</x:v>
      </x:c>
      <x:c r="J2423" s="168" t="str">
        <x:v>CI</x:v>
      </x:c>
      <x:c r="K2423" s="174" t="n">
        <x:v>2</x:v>
      </x:c>
      <x:c r="L2423" s="187" t="str">
        <x:v>Não classificado</x:v>
      </x:c>
    </x:row>
    <x:row r="2424">
      <x:c r="A2424" s="177" t="str">
        <x:v>57.532.782/0001-27</x:v>
      </x:c>
      <x:c r="B2424" s="168" t="str">
        <x:v>COFFEE BANK FIDC FINANCEIROS DO AGRONEGÓCIO DE RESPONSABILIDADE LIMITADA</x:v>
      </x:c>
      <x:c r="C2424" s="190" t="n">
        <x:v>13075197.09</x:v>
      </x:c>
      <x:c r="D2424" s="168" t="str">
        <x:v>Seven Pounds Asset</x:v>
      </x:c>
      <x:c r="E2424" s="168" t="str">
        <x:f>IFERROR(INDEX('Classif Gestoras'!$H$6:$H$462,MATCH(D2424,'Classif Gestoras'!$A$6:$A$462,0)),"Não classificada")</x:f>
        <x:v>Independente</x:v>
      </x:c>
      <x:c r="F2424" s="168" t="str">
        <x:v>INTRAG DIST. DE TÍTU</x:v>
      </x:c>
      <x:c r="G2424" s="168" t="str">
        <x:v>ITAU UNIBANCO S.A.</x:v>
      </x:c>
      <x:c r="H2424" s="168" t="str">
        <x:v>Agro, Indústria e Comércio</x:v>
      </x:c>
      <x:c r="I2424" s="168" t="str">
        <x:v>Agronegócio</x:v>
      </x:c>
      <x:c r="J2424" s="168" t="str">
        <x:v>CI</x:v>
      </x:c>
      <x:c r="K2424" s="174" t="n">
        <x:v>1</x:v>
      </x:c>
      <x:c r="L2424" s="187" t="str">
        <x:v>Não classificado</x:v>
      </x:c>
    </x:row>
    <x:row r="2425">
      <x:c r="A2425" s="177" t="str">
        <x:v>61.766.813/0001-81</x:v>
      </x:c>
      <x:c r="B2425" s="168" t="str">
        <x:v>DIVIX FUNDO DE INVESTIMENTO EM DIREITOS CREDITÓRIOS NÃO-PADRONIZADOS</x:v>
      </x:c>
      <x:c r="C2425" s="190" t="n">
        <x:v>13075142.77</x:v>
      </x:c>
      <x:c r="D2425" s="168" t="str">
        <x:v>AZUMI ASSET</x:v>
      </x:c>
      <x:c r="E2425" s="168" t="str">
        <x:f>IFERROR(INDEX('Classif Gestoras'!$H$6:$H$462,MATCH(D2425,'Classif Gestoras'!$A$6:$A$462,0)),"Não classificada")</x:f>
        <x:v>Independente</x:v>
      </x:c>
      <x:c r="F2425" s="168" t="str">
        <x:v>AZUMI DISTRIBUIDORA DE TÍTULOS E VALORES MOBILIÁRIOS LT</x:v>
      </x:c>
      <x:c r="G2425" s="168" t="str">
        <x:v>AZUMI DISTRIBUIDORA DE TÍTULOS E VALORES MOBILIÁRIOS LTDA.</x:v>
      </x:c>
      <x:c r="H2425" s="168" t="str">
        <x:v>Outros</x:v>
      </x:c>
      <x:c r="I2425" s="168" t="str">
        <x:v>Multicarteira Outros</x:v>
      </x:c>
      <x:c r="J2425" s="168" t="str">
        <x:v>CI</x:v>
      </x:c>
      <x:c r="K2425" s="174" t="n">
        <x:v>6</x:v>
      </x:c>
      <x:c r="L2425" s="187" t="str">
        <x:v>Proxy multicedente/multissacado — revisar</x:v>
      </x:c>
    </x:row>
    <x:row r="2426">
      <x:c r="A2426" s="177" t="str">
        <x:v>58.242.346/0001-86</x:v>
      </x:c>
      <x:c r="B2426" s="168" t="str">
        <x:v>FUNDO DE INVESTIMENTO EM DIREITOS CREDITÓRIOS MAIS EDUCAÇÃO RESPONSABILIDADE LIMITADA</x:v>
      </x:c>
      <x:c r="C2426" s="190" t="n">
        <x:v>13023575.04</x:v>
      </x:c>
      <x:c r="D2426" s="168" t="str">
        <x:v>Paraguaçu Investimentos</x:v>
      </x:c>
      <x:c r="E2426" s="168" t="str">
        <x:f>IFERROR(INDEX('Classif Gestoras'!$H$6:$H$462,MATCH(D2426,'Classif Gestoras'!$A$6:$A$462,0)),"Não classificada")</x:f>
        <x:v>Independente</x:v>
      </x:c>
      <x:c r="F2426" s="168" t="str">
        <x:v>Singulare</x:v>
      </x:c>
      <x:c r="G2426" s="168" t="str">
        <x:v>QI CORRETORA DE TÍTULOS E VALORES MOBILIÁRIOS S.A.</x:v>
      </x:c>
      <x:c r="H2426" s="168" t="str">
        <x:v>Outros</x:v>
      </x:c>
      <x:c r="I2426" s="168" t="str">
        <x:v>Poder Público</x:v>
      </x:c>
      <x:c r="J2426" s="168" t="str">
        <x:v>CI</x:v>
      </x:c>
      <x:c r="K2426" s="174" t="n">
        <x:v>16</x:v>
      </x:c>
      <x:c r="L2426" s="187" t="str">
        <x:v>Não classificado</x:v>
      </x:c>
    </x:row>
    <x:row r="2427">
      <x:c r="A2427" s="177" t="str">
        <x:v>62.252.049/0001-99</x:v>
      </x:c>
      <x:c r="B2427" s="168" t="str">
        <x:v>FYTO MULTI FUNDO DE INVESTIMENTO EM DIREITOS CREDITÓRIOS - RESPONSABILIDADE LIMITADA</x:v>
      </x:c>
      <x:c r="C2427" s="190" t="n">
        <x:v>12899086.23</x:v>
      </x:c>
      <x:c r="D2427" s="168" t="str">
        <x:v>Fyto Capital</x:v>
      </x:c>
      <x:c r="E2427" s="168" t="str">
        <x:f>IFERROR(INDEX('Classif Gestoras'!$H$6:$H$462,MATCH(D2427,'Classif Gestoras'!$A$6:$A$462,0)),"Não classificada")</x:f>
        <x:v>Independente</x:v>
      </x:c>
      <x:c r="F2427" s="168" t="str">
        <x:v>VÓRTX DTVM</x:v>
      </x:c>
      <x:c r="G2427" s="168" t="str">
        <x:v>VORTX DISTRIBUIDORA DE TITULOS E VALORES MOBILIARIOS LTDA.</x:v>
      </x:c>
      <x:c r="H2427" s="168" t="str">
        <x:v>Outros</x:v>
      </x:c>
      <x:c r="I2427" s="168" t="str">
        <x:v>Multicarteira Outros</x:v>
      </x:c>
      <x:c r="J2427" s="168" t="str">
        <x:v>CI</x:v>
      </x:c>
      <x:c r="K2427" s="174" t="n">
        <x:v>1</x:v>
      </x:c>
      <x:c r="L2427" s="187" t="str">
        <x:v>Proxy multicedente/multissacado — revisar</x:v>
      </x:c>
    </x:row>
    <x:row r="2428">
      <x:c r="A2428" s="177" t="str">
        <x:v>53.311.084/0001-40</x:v>
      </x:c>
      <x:c r="B2428" s="168" t="str">
        <x:v>CHIMERA ALTERNATIVE ASSETS IV FUNDO DE INVESTIMENTO EM DIREITOS CREDITÓRIOS DE RESP. LIMITADA</x:v>
      </x:c>
      <x:c r="C2428" s="190" t="n">
        <x:v>12845806.4</x:v>
      </x:c>
      <x:c r="D2428" s="168" t="str">
        <x:v>Chimera Capital Asset Management Ltda.</x:v>
      </x:c>
      <x:c r="E2428" s="168" t="str">
        <x:f>IFERROR(INDEX('Classif Gestoras'!$H$6:$H$462,MATCH(D2428,'Classif Gestoras'!$A$6:$A$462,0)),"Não classificada")</x:f>
        <x:v>Independente</x:v>
      </x:c>
      <x:c r="F2428" s="168" t="str">
        <x:v>MONETAR DISTRIBUIDORA DE TITUL</x:v>
      </x:c>
      <x:c r="G2428" s="168" t="str">
        <x:v>TERRA INVESTIMENTOS DISTRIBUIDORA DE TITULOS E VALORES MOBILIARIOS LTDA</x:v>
      </x:c>
      <x:c r="H2428" s="168" t="str">
        <x:v>Outros</x:v>
      </x:c>
      <x:c r="I2428" s="168" t="str">
        <x:v>Poder Público</x:v>
      </x:c>
      <x:c r="J2428" s="168" t="str">
        <x:v>CI</x:v>
      </x:c>
      <x:c r="K2428" s="174" t="n">
        <x:v>5</x:v>
      </x:c>
      <x:c r="L2428" s="187" t="str">
        <x:v>Não classificado</x:v>
      </x:c>
    </x:row>
    <x:row r="2429">
      <x:c r="A2429" s="177" t="str">
        <x:v>52.324.200/0001-01</x:v>
      </x:c>
      <x:c r="B2429" s="168" t="str">
        <x:v>LEOA JVS FUNDO DE INVESTIMENTO EM DIREITOS CREDITÓRIOS RESPONSABILIDADE LIMITADA</x:v>
      </x:c>
      <x:c r="C2429" s="190" t="n">
        <x:v>12814453.58</x:v>
      </x:c>
      <x:c r="D2429" s="168" t="str">
        <x:v>BRL TRUST DTVM</x:v>
      </x:c>
      <x:c r="E2429" s="168" t="str">
        <x:f>IFERROR(INDEX('Classif Gestoras'!$H$6:$H$462,MATCH(D2429,'Classif Gestoras'!$A$6:$A$462,0)),"Não classificada")</x:f>
        <x:v>Independente</x:v>
      </x:c>
      <x:c r="F2429" s="168" t="str">
        <x:v>BRL TRUST DTVM</x:v>
      </x:c>
      <x:c r="G2429" s="168" t="str">
        <x:v>BRL TRUST DISTRIBUIDORA DE TITULOS E VALORES MOBILIARIOS S.A.</x:v>
      </x:c>
      <x:c r="H2429" s="168" t="str">
        <x:v>Financeiro</x:v>
      </x:c>
      <x:c r="I2429" s="168" t="str">
        <x:v>Crédito Pessoal</x:v>
      </x:c>
      <x:c r="J2429" s="168" t="str">
        <x:v>CI</x:v>
      </x:c>
      <x:c r="K2429" s="174" t="n">
        <x:v>1</x:v>
      </x:c>
      <x:c r="L2429" s="187" t="str">
        <x:v>Não classificado</x:v>
      </x:c>
    </x:row>
    <x:row r="2430">
      <x:c r="A2430" s="177" t="str">
        <x:v>52.306.146/0001-63</x:v>
      </x:c>
      <x:c r="B2430" s="168" t="str">
        <x:v>FUNDO DE INVESTIMENTO EM DIREITOS CREDITÓRIOS OPEN PME I SEGMENTO FINANCEIRO DE RESP LIMITADA</x:v>
      </x:c>
      <x:c r="C2430" s="190" t="n">
        <x:v>12750777.08</x:v>
      </x:c>
      <x:c r="D2430" s="168" t="str">
        <x:v>REAG GESTÃO DE CRÉDITO</x:v>
      </x:c>
      <x:c r="E2430" s="168" t="str">
        <x:f>IFERROR(INDEX('Classif Gestoras'!$H$6:$H$462,MATCH(D2430,'Classif Gestoras'!$A$6:$A$462,0)),"Não classificada")</x:f>
        <x:v>Independente</x:v>
      </x:c>
      <x:c r="F2430" s="168" t="str">
        <x:v>BRL TRUST DTVM</x:v>
      </x:c>
      <x:c r="G2430" s="168" t="str">
        <x:v>BRL TRUST DISTRIBUIDORA DE TITULOS E VALORES MOBILIARIOS S.A.</x:v>
      </x:c>
      <x:c r="H2430" s="168" t="str">
        <x:v>Agro, Indústria e Comércio</x:v>
      </x:c>
      <x:c r="I2430" s="168" t="str">
        <x:v>Crédito Corporativo</x:v>
      </x:c>
      <x:c r="J2430" s="168" t="str">
        <x:v>CI</x:v>
      </x:c>
      <x:c r="K2430" s="174" t="n">
        <x:v>14</x:v>
      </x:c>
      <x:c r="L2430" s="187" t="str">
        <x:v>Não classificado</x:v>
      </x:c>
    </x:row>
    <x:row r="2431">
      <x:c r="A2431" s="177" t="str">
        <x:v>46.230.817/0001-57</x:v>
      </x:c>
      <x:c r="B2431" s="168" t="str">
        <x:v>NG OPPORTUNITY FUNDO DE INVESTIMENTO EM DIREITOS CREDITÓRIOS NÃO PADRONIZADOS</x:v>
      </x:c>
      <x:c r="C2431" s="190" t="n">
        <x:v>12748796.68</x:v>
      </x:c>
      <x:c r="D2431" s="168" t="str">
        <x:v>BURITI INVESTIMENTOS</x:v>
      </x:c>
      <x:c r="E2431" s="168" t="str">
        <x:f>IFERROR(INDEX('Classif Gestoras'!$H$6:$H$462,MATCH(D2431,'Classif Gestoras'!$A$6:$A$462,0)),"Não classificada")</x:f>
        <x:v>Independente</x:v>
      </x:c>
      <x:c r="F2431" s="168" t="str">
        <x:v>Singulare</x:v>
      </x:c>
      <x:c r="G2431" s="168" t="str">
        <x:v>QI CORRETORA DE TÍTULOS E VALORES MOBILIÁRIOS S.A.</x:v>
      </x:c>
      <x:c r="H2431" s="168" t="str">
        <x:v>Outros</x:v>
      </x:c>
      <x:c r="I2431" s="168" t="str">
        <x:v>Poder Público</x:v>
      </x:c>
      <x:c r="J2431" s="168" t="str">
        <x:v>CI</x:v>
      </x:c>
      <x:c r="K2431" s="174" t="n">
        <x:v>2</x:v>
      </x:c>
      <x:c r="L2431" s="187" t="str">
        <x:v>Não classificado</x:v>
      </x:c>
    </x:row>
    <x:row r="2432">
      <x:c r="A2432" s="177" t="str">
        <x:v>54.842.157/0001-93</x:v>
      </x:c>
      <x:c r="B2432" s="168" t="str">
        <x:v>LIBRA CONSIGNADO FUNDO DE INVESTIMENTO EM DIREITOS CREDITÓRIOS</x:v>
      </x:c>
      <x:c r="C2432" s="190" t="n">
        <x:v>12722995.12</x:v>
      </x:c>
      <x:c r="D2432" s="168" t="str">
        <x:v>Apuama Capital</x:v>
      </x:c>
      <x:c r="E2432" s="168" t="str">
        <x:f>IFERROR(INDEX('Classif Gestoras'!$H$6:$H$462,MATCH(D2432,'Classif Gestoras'!$A$6:$A$462,0)),"Não classificada")</x:f>
        <x:v>Independente</x:v>
      </x:c>
      <x:c r="F2432" s="168" t="str">
        <x:v>CATÁLISE DTVM</x:v>
      </x:c>
      <x:c r="G2432" s="168" t="str">
        <x:v>BANCO DAYCOVAL S.A.</x:v>
      </x:c>
      <x:c r="H2432" s="168" t="str">
        <x:v>Agro, Indústria e Comércio</x:v>
      </x:c>
      <x:c r="I2432" s="168" t="str">
        <x:v>Recebíveis Comerciais</x:v>
      </x:c>
      <x:c r="J2432" s="168" t="str">
        <x:v>CI</x:v>
      </x:c>
      <x:c r="K2432" s="174" t="n">
        <x:v>15</x:v>
      </x:c>
      <x:c r="L2432" s="187" t="str">
        <x:v>Não classificado</x:v>
      </x:c>
    </x:row>
    <x:row r="2433">
      <x:c r="A2433" s="177" t="str">
        <x:v>22.406.927/0001-69</x:v>
      </x:c>
      <x:c r="B2433" s="168" t="str">
        <x:v>INVESTCON FUNDO DE INVESTIMENTO EM DIREITOS CREDITORIOS</x:v>
      </x:c>
      <x:c r="C2433" s="190" t="n">
        <x:v>12698172.41</x:v>
      </x:c>
      <x:c r="D2433" s="168" t="str">
        <x:v>TERCON ASSET MANAGEMENT</x:v>
      </x:c>
      <x:c r="E2433" s="168" t="str">
        <x:f>IFERROR(INDEX('Classif Gestoras'!$H$6:$H$462,MATCH(D2433,'Classif Gestoras'!$A$6:$A$462,0)),"Não classificada")</x:f>
        <x:v>Independente</x:v>
      </x:c>
      <x:c r="F2433" s="168" t="str">
        <x:v>Singulare</x:v>
      </x:c>
      <x:c r="G2433" s="168" t="str">
        <x:v>QI CORRETORA DE TÍTULOS E VALORES MOBILIÁRIOS S.A.</x:v>
      </x:c>
      <x:c r="H2433" s="168" t="str">
        <x:v>Fomento Mercantil</x:v>
      </x:c>
      <x:c r="I2433" s="168" t="str">
        <x:v>Fomento Mercantil</x:v>
      </x:c>
      <x:c r="J2433" s="168" t="str">
        <x:v>CI</x:v>
      </x:c>
      <x:c r="K2433" s="174" t="n">
        <x:v>7</x:v>
      </x:c>
      <x:c r="L2433" s="187" t="str">
        <x:v>Não classificado</x:v>
      </x:c>
    </x:row>
    <x:row r="2434">
      <x:c r="A2434" s="177" t="str">
        <x:v>24.506.265/0001-24</x:v>
      </x:c>
      <x:c r="B2434" s="168" t="str">
        <x:v>VERSATIL FUNDO DE INVESTIMENTO EM DIREITOS CREDITÓRIOS</x:v>
      </x:c>
      <x:c r="C2434" s="190" t="n">
        <x:v>12697665.36</x:v>
      </x:c>
      <x:c r="D2434" s="168" t="str">
        <x:v>TERCON ASSET MANAGEMENT</x:v>
      </x:c>
      <x:c r="E2434" s="168" t="str">
        <x:f>IFERROR(INDEX('Classif Gestoras'!$H$6:$H$462,MATCH(D2434,'Classif Gestoras'!$A$6:$A$462,0)),"Não classificada")</x:f>
        <x:v>Independente</x:v>
      </x:c>
      <x:c r="F2434" s="168" t="str">
        <x:v>Singulare</x:v>
      </x:c>
      <x:c r="G2434" s="168" t="str">
        <x:v>QI CORRETORA DE TÍTULOS E VALORES MOBILIÁRIOS S.A.</x:v>
      </x:c>
      <x:c r="H2434" s="168" t="str">
        <x:v>Fomento Mercantil</x:v>
      </x:c>
      <x:c r="I2434" s="168" t="str">
        <x:v>Fomento Mercantil</x:v>
      </x:c>
      <x:c r="J2434" s="168" t="str">
        <x:v>CI</x:v>
      </x:c>
      <x:c r="K2434" s="174" t="n">
        <x:v>15</x:v>
      </x:c>
      <x:c r="L2434" s="187" t="str">
        <x:v>Não classificado</x:v>
      </x:c>
    </x:row>
    <x:row r="2435">
      <x:c r="A2435" s="177" t="str">
        <x:v>64.087.936/0001-84</x:v>
      </x:c>
      <x:c r="B2435" s="168" t="str">
        <x:v>VQS FUNDO DE INVESTIMENTO EM DIREITOS CREDITÓRIOS</x:v>
      </x:c>
      <x:c r="C2435" s="190" t="n">
        <x:v>12630740.35</x:v>
      </x:c>
      <x:c r="D2435" s="168" t="str">
        <x:v>Veritas Capital Management</x:v>
      </x:c>
      <x:c r="E2435" s="168" t="str">
        <x:f>IFERROR(INDEX('Classif Gestoras'!$H$6:$H$462,MATCH(D2435,'Classif Gestoras'!$A$6:$A$462,0)),"Não classificada")</x:f>
        <x:v>Independente</x:v>
      </x:c>
      <x:c r="F2435" s="168" t="str">
        <x:v>PLANNER CV</x:v>
      </x:c>
      <x:c r="G2435" s="168" t="str">
        <x:v>PLANNER CORRETORA DE VALORES S.A.</x:v>
      </x:c>
      <x:c r="H2435" s="168" t="str">
        <x:v>Outros</x:v>
      </x:c>
      <x:c r="I2435" s="168" t="str">
        <x:v>Multicarteira Outros</x:v>
      </x:c>
      <x:c r="J2435" s="168" t="str">
        <x:v>CI</x:v>
      </x:c>
      <x:c r="K2435" s="174" t="n">
        <x:v>1</x:v>
      </x:c>
      <x:c r="L2435" s="187" t="str">
        <x:v>Proxy multicedente/multissacado — revisar</x:v>
      </x:c>
    </x:row>
    <x:row r="2436">
      <x:c r="A2436" s="177" t="str">
        <x:v>46.929.994/0001-26</x:v>
      </x:c>
      <x:c r="B2436" s="168" t="str">
        <x:v>GRATIAM FLOW FUNDO DE INVESTIMENTO EM DIREITOS CREDITÓRIOS MULTISSETORIAL RESPONSABILIDADE LIMITADA</x:v>
      </x:c>
      <x:c r="C2436" s="190" t="n">
        <x:v>12596089.31</x:v>
      </x:c>
      <x:c r="D2436" s="168" t="str">
        <x:v>CONTEA CAPITAL</x:v>
      </x:c>
      <x:c r="E2436" s="168" t="str">
        <x:f>IFERROR(INDEX('Classif Gestoras'!$H$6:$H$462,MATCH(D2436,'Classif Gestoras'!$A$6:$A$462,0)),"Não classificada")</x:f>
        <x:v>Independente</x:v>
      </x:c>
      <x:c r="F2436" s="168" t="str">
        <x:v>ID Corretora de Títulos e Valores Mobiliários S.A.</x:v>
      </x:c>
      <x:c r="G2436" s="168" t="str">
        <x:v>ID CORRETORA DE TITULOS E VALORES MOBILIARIOS S.A.</x:v>
      </x:c>
      <x:c r="H2436" s="168" t="str">
        <x:v>Outros</x:v>
      </x:c>
      <x:c r="I2436" s="168" t="str">
        <x:v>Multicarteira Outros</x:v>
      </x:c>
      <x:c r="J2436" s="168" t="str">
        <x:v>CI</x:v>
      </x:c>
      <x:c r="K2436" s="174" t="n">
        <x:v>22</x:v>
      </x:c>
      <x:c r="L2436" s="187" t="str">
        <x:v>Proxy multicedente/multissacado — revisar</x:v>
      </x:c>
    </x:row>
    <x:row r="2437">
      <x:c r="A2437" s="177" t="str">
        <x:v>32.511.268/0001-84</x:v>
      </x:c>
      <x:c r="B2437" s="168" t="str">
        <x:v>PREMIER RP FUNDO DE INVESTIMENTO EM DIREITOS CREDITÓRIOS</x:v>
      </x:c>
      <x:c r="C2437" s="190" t="n">
        <x:v>12552450.98</x:v>
      </x:c>
      <x:c r="D2437" s="168" t="str">
        <x:v>TERCON ASSET MANAGEMENT</x:v>
      </x:c>
      <x:c r="E2437" s="168" t="str">
        <x:f>IFERROR(INDEX('Classif Gestoras'!$H$6:$H$462,MATCH(D2437,'Classif Gestoras'!$A$6:$A$462,0)),"Não classificada")</x:f>
        <x:v>Independente</x:v>
      </x:c>
      <x:c r="F2437" s="168" t="str">
        <x:v>Singulare</x:v>
      </x:c>
      <x:c r="G2437" s="168" t="str">
        <x:v>QI CORRETORA DE TÍTULOS E VALORES MOBILIÁRIOS S.A.</x:v>
      </x:c>
      <x:c r="H2437" s="168" t="str">
        <x:v>Fomento Mercantil</x:v>
      </x:c>
      <x:c r="I2437" s="168" t="str">
        <x:v>Fomento Mercantil</x:v>
      </x:c>
      <x:c r="J2437" s="168" t="str">
        <x:v>CI</x:v>
      </x:c>
      <x:c r="K2437" s="174" t="n">
        <x:v>18</x:v>
      </x:c>
      <x:c r="L2437" s="187" t="str">
        <x:v>Não classificado</x:v>
      </x:c>
    </x:row>
    <x:row r="2438">
      <x:c r="A2438" s="177" t="str">
        <x:v>61.561.993/0001-65</x:v>
      </x:c>
      <x:c r="B2438" s="168" t="str">
        <x:v>ICRC FUNDO DE INVESTIMENTO EM DIREITOS CREDITÓRIOS FINANCEIROS</x:v>
      </x:c>
      <x:c r="C2438" s="190" t="n">
        <x:v>12545142.17</x:v>
      </x:c>
      <x:c r="D2438" s="168" t="str">
        <x:v>BLUEWAVE ASSET LTDA</x:v>
      </x:c>
      <x:c r="E2438" s="168" t="str">
        <x:f>IFERROR(INDEX('Classif Gestoras'!$H$6:$H$462,MATCH(D2438,'Classif Gestoras'!$A$6:$A$462,0)),"Não classificada")</x:f>
        <x:v>Independente</x:v>
      </x:c>
      <x:c r="F2438" s="168" t="str">
        <x:v>Merito DTVM</x:v>
      </x:c>
      <x:c r="G2438" s="168" t="str">
        <x:v>MERITO DISTRIBUIDORA DE TITULOS E VALORES MOBILIARIOS LTDA.</x:v>
      </x:c>
      <x:c r="H2438" s="168" t="str">
        <x:v>Financeiro</x:v>
      </x:c>
      <x:c r="I2438" s="168" t="str">
        <x:v>Multicarteira Financeiro</x:v>
      </x:c>
      <x:c r="J2438" s="168" t="str">
        <x:v>CI</x:v>
      </x:c>
      <x:c r="K2438" s="174" t="n">
        <x:v>10</x:v>
      </x:c>
      <x:c r="L2438" s="187" t="str">
        <x:v>Proxy multicedente/multissacado — revisar</x:v>
      </x:c>
    </x:row>
    <x:row r="2439">
      <x:c r="A2439" s="177" t="str">
        <x:v>42.867.154/0001-25</x:v>
      </x:c>
      <x:c r="B2439" s="168" t="str">
        <x:v>NO STRESS FUNDO DE INVESTIMENTO EM DIREITOS CREDITÓRIOS</x:v>
      </x:c>
      <x:c r="C2439" s="190" t="n">
        <x:v>12538609.329999998</x:v>
      </x:c>
      <x:c r="D2439" s="168" t="str">
        <x:v>Number Asset Brasil Ltda.</x:v>
      </x:c>
      <x:c r="E2439" s="168" t="str">
        <x:f>IFERROR(INDEX('Classif Gestoras'!$H$6:$H$462,MATCH(D2439,'Classif Gestoras'!$A$6:$A$462,0)),"Não classificada")</x:f>
        <x:v>Independente</x:v>
      </x:c>
      <x:c r="F2439" s="168" t="str">
        <x:v>ID Corretora de Títulos e Valores Mobiliários S.A.</x:v>
      </x:c>
      <x:c r="G2439" s="168" t="str">
        <x:v>ID CORRETORA DE TITULOS E VALORES MOBILIARIOS S.A.</x:v>
      </x:c>
      <x:c r="H2439" s="168" t="str">
        <x:v>Outros</x:v>
      </x:c>
      <x:c r="I2439" s="168" t="str">
        <x:v>Multicarteira Outros</x:v>
      </x:c>
      <x:c r="J2439" s="168" t="str">
        <x:v>CI</x:v>
      </x:c>
      <x:c r="K2439" s="174" t="n">
        <x:v>14</x:v>
      </x:c>
      <x:c r="L2439" s="187" t="str">
        <x:v>Proxy multicedente/multissacado — revisar</x:v>
      </x:c>
    </x:row>
    <x:row r="2440">
      <x:c r="A2440" s="177" t="str">
        <x:v>61.199.031/0001-08</x:v>
      </x:c>
      <x:c r="B2440" s="168" t="str">
        <x:v>SOLUTION FUNDO DE INVESTIMENTO EM DIREITOS CREDITÓRIOS - RESPONSABILIDADE LIMITADA</x:v>
      </x:c>
      <x:c r="C2440" s="190" t="n">
        <x:v>12491785.08</x:v>
      </x:c>
      <x:c r="D2440" s="168" t="str">
        <x:v>Iggy Investimentos</x:v>
      </x:c>
      <x:c r="E2440" s="168" t="str">
        <x:f>IFERROR(INDEX('Classif Gestoras'!$H$6:$H$462,MATCH(D2440,'Classif Gestoras'!$A$6:$A$462,0)),"Não classificada")</x:f>
        <x:v>Independente</x:v>
      </x:c>
      <x:c r="F2440" s="168" t="str">
        <x:v>Banvox DTVM</x:v>
      </x:c>
      <x:c r="G2440" s="168" t="str">
        <x:v>BANVOX DISTRIBUIDORA DE TITULOS E VALORES MOBILIARIOS LTDA</x:v>
      </x:c>
      <x:c r="H2440" s="168" t="str">
        <x:v>Outros</x:v>
      </x:c>
      <x:c r="I2440" s="168" t="str">
        <x:v>Poder Público</x:v>
      </x:c>
      <x:c r="J2440" s="168" t="str">
        <x:v>CI</x:v>
      </x:c>
      <x:c r="K2440" s="174" t="n">
        <x:v>4</x:v>
      </x:c>
      <x:c r="L2440" s="187" t="str">
        <x:v>Não classificado</x:v>
      </x:c>
    </x:row>
    <x:row r="2441">
      <x:c r="A2441" s="177" t="str">
        <x:v>64.669.281/0001-52</x:v>
      </x:c>
      <x:c r="B2441" s="168" t="str">
        <x:v>DIGITAL SAT FUNDO DE INVESTIMENTO EM DIREITOS CREDITÓRIOS</x:v>
      </x:c>
      <x:c r="C2441" s="190" t="n">
        <x:v>12486042.66</x:v>
      </x:c>
      <x:c r="D2441" s="168" t="str">
        <x:v>FIDD Administração de Recursos Ltda.</x:v>
      </x:c>
      <x:c r="E2441" s="168" t="str">
        <x:f>IFERROR(INDEX('Classif Gestoras'!$H$6:$H$462,MATCH(D2441,'Classif Gestoras'!$A$6:$A$462,0)),"Não classificada")</x:f>
        <x:v>Independente</x:v>
      </x:c>
      <x:c r="F2441" s="168" t="str">
        <x:v>FIDD DISTRIBUIDORA DE TITULOS E VALORES MOBILIARIOS LTD</x:v>
      </x:c>
      <x:c r="G2441" s="168" t="str">
        <x:v>FIDD DISTRIBUIDORA DE TITULOS E VALORES MOBILIARIOS LTDA.</x:v>
      </x:c>
      <x:c r="H2441" s="168" t="str">
        <x:v>Outros</x:v>
      </x:c>
      <x:c r="I2441" s="168" t="str">
        <x:v>Multicarteira Outros</x:v>
      </x:c>
      <x:c r="J2441" s="168" t="str">
        <x:v>CI</x:v>
      </x:c>
      <x:c r="K2441" s="174" t="n">
        <x:v>1</x:v>
      </x:c>
      <x:c r="L2441" s="187" t="str">
        <x:v>Proxy multicedente/multissacado — revisar</x:v>
      </x:c>
    </x:row>
    <x:row r="2442">
      <x:c r="A2442" s="177" t="str">
        <x:v>51.410.150/0001-04</x:v>
      </x:c>
      <x:c r="B2442" s="168" t="str">
        <x:v>ALPS BANK FUNDO DE INVESTIMENTO EM DIREITOS CREDITÓRIOS MULTISSETORIAL</x:v>
      </x:c>
      <x:c r="C2442" s="190" t="n">
        <x:v>12480484.91</x:v>
      </x:c>
      <x:c r="D2442" s="168" t="str">
        <x:v>OURO PRETO INVESTIMENTOS</x:v>
      </x:c>
      <x:c r="E2442" s="168" t="str">
        <x:f>IFERROR(INDEX('Classif Gestoras'!$H$6:$H$462,MATCH(D2442,'Classif Gestoras'!$A$6:$A$462,0)),"Não classificada")</x:f>
        <x:v>Independente</x:v>
      </x:c>
      <x:c r="F2442" s="168" t="str">
        <x:v>Limine Trust Distribuidora de Titulos e Valores Mobiliá</x:v>
      </x:c>
      <x:c r="G2442" s="168" t="str">
        <x:v>LIMINE TRUST DISTRIBUIDORA DE TITULOS E VALORES MOBILIARIOS LTDA.</x:v>
      </x:c>
      <x:c r="H2442" s="168" t="str">
        <x:v>Outros</x:v>
      </x:c>
      <x:c r="I2442" s="168" t="str">
        <x:v>Multicarteira Outros</x:v>
      </x:c>
      <x:c r="J2442" s="168" t="str">
        <x:v>CI</x:v>
      </x:c>
      <x:c r="K2442" s="174" t="n">
        <x:v>9</x:v>
      </x:c>
      <x:c r="L2442" s="187" t="str">
        <x:v>Proxy multicedente/multissacado — revisar</x:v>
      </x:c>
    </x:row>
    <x:row r="2443">
      <x:c r="A2443" s="177" t="str">
        <x:v>56.912.548/0001-62</x:v>
      </x:c>
      <x:c r="B2443" s="168" t="str">
        <x:v>W INVEST FUNDO DE INVESTIMENTO EM DIREITOS CREDITÓRIOS</x:v>
      </x:c>
      <x:c r="C2443" s="190" t="n">
        <x:v>12409190.81</x:v>
      </x:c>
      <x:c r="D2443" s="168" t="str">
        <x:v>Harbour Capital</x:v>
      </x:c>
      <x:c r="E2443" s="168" t="str">
        <x:f>IFERROR(INDEX('Classif Gestoras'!$H$6:$H$462,MATCH(D2443,'Classif Gestoras'!$A$6:$A$462,0)),"Não classificada")</x:f>
        <x:v>Independente</x:v>
      </x:c>
      <x:c r="F2443" s="168" t="str">
        <x:v>Singulare</x:v>
      </x:c>
      <x:c r="G2443" s="168" t="str">
        <x:v>AZUMI DISTRIBUIDORA DE TÍTULOS E VALORES MOBILIÁRIOS LTDA.</x:v>
      </x:c>
      <x:c r="H2443" s="168" t="str">
        <x:v>Fomento Mercantil</x:v>
      </x:c>
      <x:c r="I2443" s="168" t="str">
        <x:v>Fomento Mercantil</x:v>
      </x:c>
      <x:c r="J2443" s="168" t="str">
        <x:v>CI</x:v>
      </x:c>
      <x:c r="K2443" s="174" t="n">
        <x:v>4</x:v>
      </x:c>
      <x:c r="L2443" s="187" t="str">
        <x:v>Não classificado</x:v>
      </x:c>
    </x:row>
    <x:row r="2444">
      <x:c r="A2444" s="177" t="str">
        <x:v>35.868.733/0001-27</x:v>
      </x:c>
      <x:c r="B2444" s="168" t="str">
        <x:v>CNPJ 35868733000127</x:v>
      </x:c>
      <x:c r="C2444" s="190" t="n">
        <x:v>12289903.49</x:v>
      </x:c>
      <x:c r="D2444" s="168" t="str">
        <x:v>Éxes</x:v>
      </x:c>
      <x:c r="E2444" s="168" t="str">
        <x:f>IFERROR(INDEX('Classif Gestoras'!$H$6:$H$462,MATCH(D2444,'Classif Gestoras'!$A$6:$A$462,0)),"Não classificada")</x:f>
        <x:v>Independente</x:v>
      </x:c>
      <x:c r="F2444" s="168" t="str">
        <x:v>Banco Genial S.A.</x:v>
      </x:c>
      <x:c r="G2444" s="168" t="str">
        <x:v>Não identificado</x:v>
      </x:c>
      <x:c r="H2444" s="168" t="str">
        <x:v>Agro, Indústria e Comércio</x:v>
      </x:c>
      <x:c r="I2444" s="168" t="str">
        <x:v>Agronegócio</x:v>
      </x:c>
      <x:c r="J2444" s="168" t="str">
        <x:v>CI</x:v>
      </x:c>
      <x:c r="K2444" s="174"/>
      <x:c r="L2444" s="187" t="str">
        <x:v>Não classificado</x:v>
      </x:c>
    </x:row>
    <x:row r="2445">
      <x:c r="A2445" s="177" t="str">
        <x:v>60.401.316/0001-17</x:v>
      </x:c>
      <x:c r="B2445" s="168" t="str">
        <x:v>NAPOLI FUNDO DE INVESTIMENTO EM DIREITOS CREDITÓRIOS</x:v>
      </x:c>
      <x:c r="C2445" s="190" t="n">
        <x:v>12185882.44</x:v>
      </x:c>
      <x:c r="D2445" s="168" t="str">
        <x:v>BS2 ASSET MANAGEMENT – ADMINISTRADORA DE RECURSOS LTDA.</x:v>
      </x:c>
      <x:c r="E2445" s="168" t="str">
        <x:f>IFERROR(INDEX('Classif Gestoras'!$H$6:$H$462,MATCH(D2445,'Classif Gestoras'!$A$6:$A$462,0)),"Não classificada")</x:f>
        <x:v>Independente</x:v>
      </x:c>
      <x:c r="F2445" s="168" t="str">
        <x:v>Singulare</x:v>
      </x:c>
      <x:c r="G2445" s="168" t="str">
        <x:v>QI CORRETORA DE TÍTULOS E VALORES MOBILIÁRIOS S.A.</x:v>
      </x:c>
      <x:c r="H2445" s="168" t="str">
        <x:v>Fomento Mercantil</x:v>
      </x:c>
      <x:c r="I2445" s="168" t="str">
        <x:v>Fomento Mercantil</x:v>
      </x:c>
      <x:c r="J2445" s="168" t="str">
        <x:v>CI</x:v>
      </x:c>
      <x:c r="K2445" s="174" t="n">
        <x:v>4</x:v>
      </x:c>
      <x:c r="L2445" s="187" t="str">
        <x:v>Não classificado</x:v>
      </x:c>
    </x:row>
    <x:row r="2446">
      <x:c r="A2446" s="177" t="str">
        <x:v>29.492.579/0001-39</x:v>
      </x:c>
      <x:c r="B2446" s="168" t="str">
        <x:v>REAL TIME FUNDO DE INVESTIMENTO EM DIREITOS CREDITÓRIOS MULTISEGMENTOS</x:v>
      </x:c>
      <x:c r="C2446" s="190" t="n">
        <x:v>12170204.53</x:v>
      </x:c>
      <x:c r="D2446" s="168" t="str">
        <x:v>M8 Partners</x:v>
      </x:c>
      <x:c r="E2446" s="168" t="str">
        <x:f>IFERROR(INDEX('Classif Gestoras'!$H$6:$H$462,MATCH(D2446,'Classif Gestoras'!$A$6:$A$462,0)),"Não classificada")</x:f>
        <x:v>Independente</x:v>
      </x:c>
      <x:c r="F2446" s="168" t="str">
        <x:v>Finaxis Corretora de Títulos e Valores Mobiliários S.A.</x:v>
      </x:c>
      <x:c r="G2446" s="168" t="str">
        <x:v>BANCO FINAXIS S.A.</x:v>
      </x:c>
      <x:c r="H2446" s="168" t="str">
        <x:v>Fomento Mercantil</x:v>
      </x:c>
      <x:c r="I2446" s="168" t="str">
        <x:v>Fomento Mercantil</x:v>
      </x:c>
      <x:c r="J2446" s="168" t="str">
        <x:v>CI</x:v>
      </x:c>
      <x:c r="K2446" s="174" t="n">
        <x:v>1</x:v>
      </x:c>
      <x:c r="L2446" s="187" t="str">
        <x:v>Não classificado</x:v>
      </x:c>
    </x:row>
    <x:row r="2447">
      <x:c r="A2447" s="177" t="str">
        <x:v>10.772.734/0001-42</x:v>
      </x:c>
      <x:c r="B2447" s="168" t="str">
        <x:v>GRANCRED SP FUNDO DE INVESTIMENTO EM DIREITOS CREDITÓRIOS MULTISSETORIAL</x:v>
      </x:c>
      <x:c r="C2447" s="190" t="n">
        <x:v>12134333.5</x:v>
      </x:c>
      <x:c r="D2447" s="168" t="str">
        <x:v>TERCON ASSET MANAGEMENT</x:v>
      </x:c>
      <x:c r="E2447" s="168" t="str">
        <x:f>IFERROR(INDEX('Classif Gestoras'!$H$6:$H$462,MATCH(D2447,'Classif Gestoras'!$A$6:$A$462,0)),"Não classificada")</x:f>
        <x:v>Independente</x:v>
      </x:c>
      <x:c r="F2447" s="168" t="str">
        <x:v>Singulare</x:v>
      </x:c>
      <x:c r="G2447" s="168" t="str">
        <x:v>QI CORRETORA DE TÍTULOS E VALORES MOBILIÁRIOS S.A.</x:v>
      </x:c>
      <x:c r="H2447" s="168" t="str">
        <x:v>Fomento Mercantil</x:v>
      </x:c>
      <x:c r="I2447" s="168" t="str">
        <x:v>Fomento Mercantil</x:v>
      </x:c>
      <x:c r="J2447" s="168" t="str">
        <x:v>CI</x:v>
      </x:c>
      <x:c r="K2447" s="174" t="n">
        <x:v>6</x:v>
      </x:c>
      <x:c r="L2447" s="187" t="str">
        <x:v>Não classificado</x:v>
      </x:c>
    </x:row>
    <x:row r="2448">
      <x:c r="A2448" s="177" t="str">
        <x:v>54.020.246/0001-54</x:v>
      </x:c>
      <x:c r="B2448" s="168" t="str">
        <x:v>ROYAL CAPITAL FUNDO DE INVESTIMENTO EM DIREITOS CREDITÓRIOS</x:v>
      </x:c>
      <x:c r="C2448" s="190" t="n">
        <x:v>12045602.7</x:v>
      </x:c>
      <x:c r="D2448" s="168" t="str">
        <x:v>Acura Gestora de Recursos LTDA.</x:v>
      </x:c>
      <x:c r="E2448" s="168" t="str">
        <x:f>IFERROR(INDEX('Classif Gestoras'!$H$6:$H$462,MATCH(D2448,'Classif Gestoras'!$A$6:$A$462,0)),"Não classificada")</x:f>
        <x:v>Independente</x:v>
      </x:c>
      <x:c r="F2448" s="168" t="str">
        <x:v>Qore DTVM</x:v>
      </x:c>
      <x:c r="G2448" s="168" t="str">
        <x:v>QORE DISTRIBUIDORA DE TÍTULOS E VALORES MOBILIÁRIOS LTDA.</x:v>
      </x:c>
      <x:c r="H2448" s="168" t="str">
        <x:v>Outros</x:v>
      </x:c>
      <x:c r="I2448" s="168" t="str">
        <x:v>Poder Público</x:v>
      </x:c>
      <x:c r="J2448" s="168" t="str">
        <x:v>CI</x:v>
      </x:c>
      <x:c r="K2448" s="174" t="n">
        <x:v>1</x:v>
      </x:c>
      <x:c r="L2448" s="187" t="str">
        <x:v>Não classificado</x:v>
      </x:c>
    </x:row>
    <x:row r="2449">
      <x:c r="A2449" s="177" t="str">
        <x:v>60.490.269/0001-25</x:v>
      </x:c>
      <x:c r="B2449" s="168" t="str">
        <x:v>L3R1 FUNDO DE INVESTIMENTO EM DIREITOS CREDITÓRIOS MULTISSEGMENTOS</x:v>
      </x:c>
      <x:c r="C2449" s="190" t="n">
        <x:v>12019781.28</x:v>
      </x:c>
      <x:c r="D2449" s="168" t="str">
        <x:v>Petra Capital</x:v>
      </x:c>
      <x:c r="E2449" s="168" t="str">
        <x:f>IFERROR(INDEX('Classif Gestoras'!$H$6:$H$462,MATCH(D2449,'Classif Gestoras'!$A$6:$A$462,0)),"Não classificada")</x:f>
        <x:v>Independente</x:v>
      </x:c>
      <x:c r="F2449" s="168" t="str">
        <x:v>Finaxis Corretora de Títulos e Valores Mobiliários S.A.</x:v>
      </x:c>
      <x:c r="G2449" s="168" t="str">
        <x:v>BANCO FINAXIS S.A.</x:v>
      </x:c>
      <x:c r="H2449" s="168" t="str">
        <x:v>Outros</x:v>
      </x:c>
      <x:c r="I2449" s="168" t="str">
        <x:v>Multicarteira Outros</x:v>
      </x:c>
      <x:c r="J2449" s="168" t="str">
        <x:v>CI</x:v>
      </x:c>
      <x:c r="K2449" s="174" t="n">
        <x:v>2</x:v>
      </x:c>
      <x:c r="L2449" s="187" t="str">
        <x:v>Proxy multicedente/multissacado — revisar</x:v>
      </x:c>
    </x:row>
    <x:row r="2450">
      <x:c r="A2450" s="177" t="str">
        <x:v>58.594.079/0001-06</x:v>
      </x:c>
      <x:c r="B2450" s="168" t="str">
        <x:v>EXT II FUNDO DE INVESTIMENTO EM DIREITOS CREDITÓRIOS - RESPONSABILIDADE LIMITADA</x:v>
      </x:c>
      <x:c r="C2450" s="190" t="n">
        <x:v>12006442.04</x:v>
      </x:c>
      <x:c r="D2450" s="168" t="str">
        <x:v>Ext Capital</x:v>
      </x:c>
      <x:c r="E2450" s="168" t="str">
        <x:f>IFERROR(INDEX('Classif Gestoras'!$H$6:$H$462,MATCH(D2450,'Classif Gestoras'!$A$6:$A$462,0)),"Não classificada")</x:f>
        <x:v>Independente</x:v>
      </x:c>
      <x:c r="F2450" s="168" t="str">
        <x:v>BANCO DAYCOVAL S/A</x:v>
      </x:c>
      <x:c r="G2450" s="168" t="str">
        <x:v>BANCO DAYCOVAL S.A.</x:v>
      </x:c>
      <x:c r="H2450" s="168" t="str">
        <x:v>Outros</x:v>
      </x:c>
      <x:c r="I2450" s="168" t="str">
        <x:v>Multicarteira Outros</x:v>
      </x:c>
      <x:c r="J2450" s="168" t="str">
        <x:v>CI</x:v>
      </x:c>
      <x:c r="K2450" s="174" t="n">
        <x:v>6</x:v>
      </x:c>
      <x:c r="L2450" s="187" t="str">
        <x:v>Proxy multicedente/multissacado — revisar</x:v>
      </x:c>
    </x:row>
    <x:row r="2451">
      <x:c r="A2451" s="177" t="str">
        <x:v>49.617.028/0001-61</x:v>
      </x:c>
      <x:c r="B2451" s="168" t="str">
        <x:v>CREDITCORP BIOLAB FUNDO DE INVESTIMENTO EM DIREITOS CREDITÓRIOS</x:v>
      </x:c>
      <x:c r="C2451" s="190" t="n">
        <x:v>11982393.84</x:v>
      </x:c>
      <x:c r="D2451" s="168" t="str">
        <x:v>BURITI INVESTIMENTOS</x:v>
      </x:c>
      <x:c r="E2451" s="168" t="str">
        <x:f>IFERROR(INDEX('Classif Gestoras'!$H$6:$H$462,MATCH(D2451,'Classif Gestoras'!$A$6:$A$462,0)),"Não classificada")</x:f>
        <x:v>Independente</x:v>
      </x:c>
      <x:c r="F2451" s="168" t="str">
        <x:v>Singulare</x:v>
      </x:c>
      <x:c r="G2451" s="168" t="str">
        <x:v>QI CORRETORA DE TÍTULOS E VALORES MOBILIÁRIOS S.A.</x:v>
      </x:c>
      <x:c r="H2451" s="168" t="str">
        <x:v>Fomento Mercantil</x:v>
      </x:c>
      <x:c r="I2451" s="168" t="str">
        <x:v>Fomento Mercantil</x:v>
      </x:c>
      <x:c r="J2451" s="168" t="str">
        <x:v>CI</x:v>
      </x:c>
      <x:c r="K2451" s="174" t="n">
        <x:v>3</x:v>
      </x:c>
      <x:c r="L2451" s="187" t="str">
        <x:v>Não classificado</x:v>
      </x:c>
    </x:row>
    <x:row r="2452">
      <x:c r="A2452" s="177" t="str">
        <x:v>51.294.885/0001-10</x:v>
      </x:c>
      <x:c r="B2452" s="168" t="str">
        <x:v>HEALTH MERCANTIL FUNDO DE INVESTIMENTO EM DIREITOS CREDITÓRIOS</x:v>
      </x:c>
      <x:c r="C2452" s="190" t="n">
        <x:v>11973165.070000002</x:v>
      </x:c>
      <x:c r="D2452" s="168" t="str">
        <x:v>OURO PRETO INVESTIMENTOS</x:v>
      </x:c>
      <x:c r="E2452" s="168" t="str">
        <x:f>IFERROR(INDEX('Classif Gestoras'!$H$6:$H$462,MATCH(D2452,'Classif Gestoras'!$A$6:$A$462,0)),"Não classificada")</x:f>
        <x:v>Independente</x:v>
      </x:c>
      <x:c r="F2452" s="168" t="str">
        <x:v>Limine Trust Distribuidora de Titulos e Valores Mobiliá</x:v>
      </x:c>
      <x:c r="G2452" s="168" t="str">
        <x:v>LIMINE TRUST DISTRIBUIDORA DE TITULOS E VALORES MOBILIARIOS LTDA.</x:v>
      </x:c>
      <x:c r="H2452" s="168" t="str">
        <x:v>Outros</x:v>
      </x:c>
      <x:c r="I2452" s="168" t="str">
        <x:v>Multicarteira Outros</x:v>
      </x:c>
      <x:c r="J2452" s="168" t="str">
        <x:v>CI</x:v>
      </x:c>
      <x:c r="K2452" s="174" t="n">
        <x:v>8</x:v>
      </x:c>
      <x:c r="L2452" s="187" t="str">
        <x:v>Proxy multicedente/multissacado — revisar</x:v>
      </x:c>
    </x:row>
    <x:row r="2453">
      <x:c r="A2453" s="177" t="str">
        <x:v>35.581.308/0001-52</x:v>
      </x:c>
      <x:c r="B2453" s="168" t="str">
        <x:v>MARILIA FUNDO DE INVESTIMENTO EM DIREITOS CREDITORIOS</x:v>
      </x:c>
      <x:c r="C2453" s="190" t="n">
        <x:v>11960379.98</x:v>
      </x:c>
      <x:c r="D2453" s="168" t="str">
        <x:v>TERCON ASSET MANAGEMENT</x:v>
      </x:c>
      <x:c r="E2453" s="168" t="str">
        <x:f>IFERROR(INDEX('Classif Gestoras'!$H$6:$H$462,MATCH(D2453,'Classif Gestoras'!$A$6:$A$462,0)),"Não classificada")</x:f>
        <x:v>Independente</x:v>
      </x:c>
      <x:c r="F2453" s="168" t="str">
        <x:v>Singulare</x:v>
      </x:c>
      <x:c r="G2453" s="168" t="str">
        <x:v>QI CORRETORA DE TÍTULOS E VALORES MOBILIÁRIOS S.A.</x:v>
      </x:c>
      <x:c r="H2453" s="168" t="str">
        <x:v>Fomento Mercantil</x:v>
      </x:c>
      <x:c r="I2453" s="168" t="str">
        <x:v>Fomento Mercantil</x:v>
      </x:c>
      <x:c r="J2453" s="168" t="str">
        <x:v>CI</x:v>
      </x:c>
      <x:c r="K2453" s="174" t="n">
        <x:v>15</x:v>
      </x:c>
      <x:c r="L2453" s="187" t="str">
        <x:v>Não classificado</x:v>
      </x:c>
    </x:row>
    <x:row r="2454">
      <x:c r="A2454" s="177" t="str">
        <x:v>61.746.700/0001-14</x:v>
      </x:c>
      <x:c r="B2454" s="168" t="str">
        <x:v>VERSÁTIL GESTÃO DE CAPITAL FUNDO DE INVESTIMENTO EM DIREITOS CREDITÓRIOS</x:v>
      </x:c>
      <x:c r="C2454" s="190" t="n">
        <x:v>11959792.329999998</x:v>
      </x:c>
      <x:c r="D2454" s="168" t="str">
        <x:v>Redwood Asset Management</x:v>
      </x:c>
      <x:c r="E2454" s="168" t="str">
        <x:f>IFERROR(INDEX('Classif Gestoras'!$H$6:$H$462,MATCH(D2454,'Classif Gestoras'!$A$6:$A$462,0)),"Não classificada")</x:f>
        <x:v>Independente</x:v>
      </x:c>
      <x:c r="F2454" s="168" t="str">
        <x:v>PLANNER CV</x:v>
      </x:c>
      <x:c r="G2454" s="168" t="str">
        <x:v>PLANNER CORRETORA DE VALORES S.A.</x:v>
      </x:c>
      <x:c r="H2454" s="168" t="str">
        <x:v>Outros</x:v>
      </x:c>
      <x:c r="I2454" s="168" t="str">
        <x:v>Multicarteira Outros</x:v>
      </x:c>
      <x:c r="J2454" s="168" t="str">
        <x:v>CI</x:v>
      </x:c>
      <x:c r="K2454" s="174" t="n">
        <x:v>3</x:v>
      </x:c>
      <x:c r="L2454" s="187" t="str">
        <x:v>Proxy multicedente/multissacado — revisar</x:v>
      </x:c>
    </x:row>
    <x:row r="2455">
      <x:c r="A2455" s="177" t="str">
        <x:v>61.601.122/0001-28</x:v>
      </x:c>
      <x:c r="B2455" s="168" t="str">
        <x:v>FKP FUNDO DE INVESTIMENTO EM DIREITOS CREDITÓRIOS</x:v>
      </x:c>
      <x:c r="C2455" s="190" t="n">
        <x:v>11942098.88</x:v>
      </x:c>
      <x:c r="D2455" s="168" t="str">
        <x:v>Redwood Asset Management</x:v>
      </x:c>
      <x:c r="E2455" s="168" t="str">
        <x:f>IFERROR(INDEX('Classif Gestoras'!$H$6:$H$462,MATCH(D2455,'Classif Gestoras'!$A$6:$A$462,0)),"Não classificada")</x:f>
        <x:v>Independente</x:v>
      </x:c>
      <x:c r="F2455" s="168" t="str">
        <x:v>PLANNER CV</x:v>
      </x:c>
      <x:c r="G2455" s="168" t="str">
        <x:v>PLANNER CORRETORA DE VALORES S.A.</x:v>
      </x:c>
      <x:c r="H2455" s="168" t="str">
        <x:v>Outros</x:v>
      </x:c>
      <x:c r="I2455" s="168" t="str">
        <x:v>Multicarteira Outros</x:v>
      </x:c>
      <x:c r="J2455" s="168" t="str">
        <x:v>CI</x:v>
      </x:c>
      <x:c r="K2455" s="174" t="n">
        <x:v>1</x:v>
      </x:c>
      <x:c r="L2455" s="187" t="str">
        <x:v>Proxy multicedente/multissacado — revisar</x:v>
      </x:c>
    </x:row>
    <x:row r="2456">
      <x:c r="A2456" s="177" t="str">
        <x:v>51.539.073/0001-97</x:v>
      </x:c>
      <x:c r="B2456" s="168" t="str">
        <x:v>GERIZIM FUNDO DE INVESTIMENTO EM DIREITOS CREDITÓRIOS RESPONSABILIDADE LIMITADA</x:v>
      </x:c>
      <x:c r="C2456" s="190" t="n">
        <x:v>11936935.93</x:v>
      </x:c>
      <x:c r="D2456" s="168" t="str">
        <x:v>IDGR</x:v>
      </x:c>
      <x:c r="E2456" s="168" t="str">
        <x:f>IFERROR(INDEX('Classif Gestoras'!$H$6:$H$462,MATCH(D2456,'Classif Gestoras'!$A$6:$A$462,0)),"Não classificada")</x:f>
        <x:v>Independente</x:v>
      </x:c>
      <x:c r="F2456" s="168" t="str">
        <x:v>ID Corretora de Títulos e Valores Mobiliários S.A.</x:v>
      </x:c>
      <x:c r="G2456" s="168" t="str">
        <x:v>ID CORRETORA DE TITULOS E VALORES MOBILIARIOS S.A.</x:v>
      </x:c>
      <x:c r="H2456" s="168" t="str">
        <x:v>Financeiro</x:v>
      </x:c>
      <x:c r="I2456" s="168" t="str">
        <x:v>Multicarteira Financeiro</x:v>
      </x:c>
      <x:c r="J2456" s="168" t="str">
        <x:v>CI</x:v>
      </x:c>
      <x:c r="K2456" s="174" t="n">
        <x:v>1</x:v>
      </x:c>
      <x:c r="L2456" s="187" t="str">
        <x:v>Proxy multicedente/multissacado — revisar</x:v>
      </x:c>
    </x:row>
    <x:row r="2457">
      <x:c r="A2457" s="177" t="str">
        <x:v>38.181.581/0001-88</x:v>
      </x:c>
      <x:c r="B2457" s="168" t="str">
        <x:v>CO-INVEST I BLACK BELT FUNDO DE INVESTIMENTO EM DIREITOS CREDITÓRIOS</x:v>
      </x:c>
      <x:c r="C2457" s="190" t="n">
        <x:v>11920010.45</x:v>
      </x:c>
      <x:c r="D2457" s="168" t="str">
        <x:v>Cupertino Capital</x:v>
      </x:c>
      <x:c r="E2457" s="168" t="str">
        <x:f>IFERROR(INDEX('Classif Gestoras'!$H$6:$H$462,MATCH(D2457,'Classif Gestoras'!$A$6:$A$462,0)),"Não classificada")</x:f>
        <x:v>Independente</x:v>
      </x:c>
      <x:c r="F2457" s="168" t="str">
        <x:v>Banco Genial S.A.</x:v>
      </x:c>
      <x:c r="G2457" s="168" t="str">
        <x:v>BANCO GENIAL S.A.</x:v>
      </x:c>
      <x:c r="H2457" s="168" t="str">
        <x:v>Outros</x:v>
      </x:c>
      <x:c r="I2457" s="168" t="str">
        <x:v>Multicarteira Outros</x:v>
      </x:c>
      <x:c r="J2457" s="168" t="str">
        <x:v>CI</x:v>
      </x:c>
      <x:c r="K2457" s="174" t="n">
        <x:v>6</x:v>
      </x:c>
      <x:c r="L2457" s="187" t="str">
        <x:v>Proxy multicedente/multissacado — revisar</x:v>
      </x:c>
    </x:row>
    <x:row r="2458">
      <x:c r="A2458" s="177" t="str">
        <x:v>57.883.732/0001-94</x:v>
      </x:c>
      <x:c r="B2458" s="168" t="str">
        <x:v>IC LESTE PROSOLUTTI CRÉDITOS TRABALHISTAS FUNDO DE INVESTIMENTO EM DIREITOS CREDITÓRIOS</x:v>
      </x:c>
      <x:c r="C2458" s="190" t="n">
        <x:v>11894160.32</x:v>
      </x:c>
      <x:c r="D2458" s="168" t="str">
        <x:v>Leste Credit Gestão de Recursos LTDA.</x:v>
      </x:c>
      <x:c r="E2458" s="168" t="str">
        <x:f>IFERROR(INDEX('Classif Gestoras'!$H$6:$H$462,MATCH(D2458,'Classif Gestoras'!$A$6:$A$462,0)),"Não classificada")</x:f>
        <x:v>Independente</x:v>
      </x:c>
      <x:c r="F2458" s="168" t="str">
        <x:v>VÓRTX DTVM</x:v>
      </x:c>
      <x:c r="G2458" s="168" t="str">
        <x:v>Não identificado</x:v>
      </x:c>
      <x:c r="H2458" s="168" t="str">
        <x:v>Outros</x:v>
      </x:c>
      <x:c r="I2458" s="168" t="str">
        <x:v>Poder Público</x:v>
      </x:c>
      <x:c r="J2458" s="168" t="str">
        <x:v>CI</x:v>
      </x:c>
      <x:c r="K2458" s="174" t="n">
        <x:v>2</x:v>
      </x:c>
      <x:c r="L2458" s="187" t="str">
        <x:v>Não classificado</x:v>
      </x:c>
    </x:row>
    <x:row r="2459">
      <x:c r="A2459" s="177" t="str">
        <x:v>62.527.939/0001-66</x:v>
      </x:c>
      <x:c r="B2459" s="168" t="str">
        <x:v>TITANO FUNDO DE INVESTIMENTO EM DIREITOS CREDITÓRIOS</x:v>
      </x:c>
      <x:c r="C2459" s="190" t="n">
        <x:v>11880071.67</x:v>
      </x:c>
      <x:c r="D2459" s="168" t="str">
        <x:v>Moka Gestora de Recursos de Terceiros LTDA.</x:v>
      </x:c>
      <x:c r="E2459" s="168" t="str">
        <x:f>IFERROR(INDEX('Classif Gestoras'!$H$6:$H$462,MATCH(D2459,'Classif Gestoras'!$A$6:$A$462,0)),"Não classificada")</x:f>
        <x:v>Independente</x:v>
      </x:c>
      <x:c r="F2459" s="168" t="str">
        <x:v>FIDD DISTRIBUIDORA DE TITULOS E VALORES MOBILIARIOS LTD</x:v>
      </x:c>
      <x:c r="G2459" s="168" t="str">
        <x:v>FIDD DISTRIBUIDORA DE TITULOS E VALORES MOBILIARIOS LTDA.</x:v>
      </x:c>
      <x:c r="H2459" s="168" t="str">
        <x:v>Agro, Indústria e Comércio</x:v>
      </x:c>
      <x:c r="I2459" s="168" t="str">
        <x:v>Multicarteira Agro, Indústria e Comércio</x:v>
      </x:c>
      <x:c r="J2459" s="168" t="str">
        <x:v>CI</x:v>
      </x:c>
      <x:c r="K2459" s="174" t="n">
        <x:v>5</x:v>
      </x:c>
      <x:c r="L2459" s="187" t="str">
        <x:v>Proxy multicedente/multissacado — revisar</x:v>
      </x:c>
    </x:row>
    <x:row r="2460">
      <x:c r="A2460" s="177" t="str">
        <x:v>43.122.353/0001-77</x:v>
      </x:c>
      <x:c r="B2460" s="168" t="str">
        <x:v>FATURE FUNDO DE INVESTIMENTO EM DIREITOS CREDITÓRIOS MULTISSETORIAL</x:v>
      </x:c>
      <x:c r="C2460" s="190" t="n">
        <x:v>11865826.96</x:v>
      </x:c>
      <x:c r="D2460" s="168" t="str">
        <x:v>OURO PRETO INVESTIMENTOS</x:v>
      </x:c>
      <x:c r="E2460" s="168" t="str">
        <x:f>IFERROR(INDEX('Classif Gestoras'!$H$6:$H$462,MATCH(D2460,'Classif Gestoras'!$A$6:$A$462,0)),"Não classificada")</x:f>
        <x:v>Independente</x:v>
      </x:c>
      <x:c r="F2460" s="168" t="str">
        <x:v>Limine Trust Distribuidora de Titulos e Valores Mobiliá</x:v>
      </x:c>
      <x:c r="G2460" s="168" t="str">
        <x:v>LIMINE TRUST DISTRIBUIDORA DE TITULOS E VALORES MOBILIARIOS LTDA.</x:v>
      </x:c>
      <x:c r="H2460" s="168" t="str">
        <x:v>Outros</x:v>
      </x:c>
      <x:c r="I2460" s="168" t="str">
        <x:v>Multicarteira Outros</x:v>
      </x:c>
      <x:c r="J2460" s="168" t="str">
        <x:v>CI</x:v>
      </x:c>
      <x:c r="K2460" s="174" t="n">
        <x:v>4</x:v>
      </x:c>
      <x:c r="L2460" s="187" t="str">
        <x:v>Proxy multicedente/multissacado — revisar</x:v>
      </x:c>
    </x:row>
    <x:row r="2461">
      <x:c r="A2461" s="177" t="str">
        <x:v>43.806.680/0001-48</x:v>
      </x:c>
      <x:c r="B2461" s="168" t="str">
        <x:v>TULIPA FUNDO DE INVESTIMENTO EM DIREITOS CREDITÓRIOS</x:v>
      </x:c>
      <x:c r="C2461" s="190" t="n">
        <x:v>11811064.33</x:v>
      </x:c>
      <x:c r="D2461" s="168" t="str">
        <x:v>Acura Gestora de Recursos LTDA.</x:v>
      </x:c>
      <x:c r="E2461" s="168" t="str">
        <x:f>IFERROR(INDEX('Classif Gestoras'!$H$6:$H$462,MATCH(D2461,'Classif Gestoras'!$A$6:$A$462,0)),"Não classificada")</x:f>
        <x:v>Independente</x:v>
      </x:c>
      <x:c r="F2461" s="168" t="str">
        <x:v>SEFER DTVM</x:v>
      </x:c>
      <x:c r="G2461" s="168" t="str">
        <x:v>SEFER INVESTIMENTOS DISTRIBUIDORA DE TÍTULOS E VALORES MOBILIÁRIOS LTDA.</x:v>
      </x:c>
      <x:c r="H2461" s="168" t="str">
        <x:v>Outros</x:v>
      </x:c>
      <x:c r="I2461" s="168" t="str">
        <x:v>Multicarteira Outros</x:v>
      </x:c>
      <x:c r="J2461" s="168" t="str">
        <x:v>CI</x:v>
      </x:c>
      <x:c r="K2461" s="174" t="n">
        <x:v>1</x:v>
      </x:c>
      <x:c r="L2461" s="187" t="str">
        <x:v>Proxy multicedente/multissacado — revisar</x:v>
      </x:c>
    </x:row>
    <x:row r="2462">
      <x:c r="A2462" s="177" t="str">
        <x:v>57.088.482/0001-09</x:v>
      </x:c>
      <x:c r="B2462" s="168" t="str">
        <x:v>VCA FUNDO DE INVESTIMENTO EM DIREITOS CREDITÓRIOS DE RESPONSABILIDADE LIMITADA</x:v>
      </x:c>
      <x:c r="C2462" s="190" t="n">
        <x:v>11801116.47</x:v>
      </x:c>
      <x:c r="D2462" s="168" t="str">
        <x:v>VALORA RENDA FIXA LTDA.</x:v>
      </x:c>
      <x:c r="E2462" s="168" t="str">
        <x:f>IFERROR(INDEX('Classif Gestoras'!$H$6:$H$462,MATCH(D2462,'Classif Gestoras'!$A$6:$A$462,0)),"Não classificada")</x:f>
        <x:v>Independente</x:v>
      </x:c>
      <x:c r="F2462" s="168" t="str">
        <x:v>BANCO DAYCOVAL S/A</x:v>
      </x:c>
      <x:c r="G2462" s="168" t="str">
        <x:v>BANCO DAYCOVAL S.A.</x:v>
      </x:c>
      <x:c r="H2462" s="168" t="str">
        <x:v>Outros</x:v>
      </x:c>
      <x:c r="I2462" s="168" t="str">
        <x:v>Multicarteira Outros</x:v>
      </x:c>
      <x:c r="J2462" s="168" t="str">
        <x:v>CI</x:v>
      </x:c>
      <x:c r="K2462" s="174" t="n">
        <x:v>5</x:v>
      </x:c>
      <x:c r="L2462" s="187" t="str">
        <x:v>Proxy multicedente/multissacado — revisar</x:v>
      </x:c>
    </x:row>
    <x:row r="2463">
      <x:c r="A2463" s="177" t="str">
        <x:v>59.710.430/0001-40</x:v>
      </x:c>
      <x:c r="B2463" s="168" t="str">
        <x:v>HAVANTI FUNDO DE INVESTIMENTO EM DIREITOS CREDITÓRIOS</x:v>
      </x:c>
      <x:c r="C2463" s="190" t="n">
        <x:v>11751624.05</x:v>
      </x:c>
      <x:c r="D2463" s="168" t="str">
        <x:v>ASSET MANAGEMENT</x:v>
      </x:c>
      <x:c r="E2463" s="168" t="str">
        <x:f>IFERROR(INDEX('Classif Gestoras'!$H$6:$H$462,MATCH(D2463,'Classif Gestoras'!$A$6:$A$462,0)),"Não classificada")</x:f>
        <x:v>Independente</x:v>
      </x:c>
      <x:c r="F2463" s="168" t="str">
        <x:v>AZUMI DISTRIBUIDORA DE TÍTULOS E VALORES MOBILIÁRIOS LT</x:v>
      </x:c>
      <x:c r="G2463" s="168" t="str">
        <x:v>AZUMI DISTRIBUIDORA DE TÍTULOS E VALORES MOBILIÁRIOS LTDA.</x:v>
      </x:c>
      <x:c r="H2463" s="168" t="str">
        <x:v>Outros</x:v>
      </x:c>
      <x:c r="I2463" s="168" t="str">
        <x:v>Multicarteira Outros</x:v>
      </x:c>
      <x:c r="J2463" s="168" t="str">
        <x:v>CI</x:v>
      </x:c>
      <x:c r="K2463" s="174" t="n">
        <x:v>9</x:v>
      </x:c>
      <x:c r="L2463" s="187" t="str">
        <x:v>Proxy multicedente/multissacado — revisar</x:v>
      </x:c>
    </x:row>
    <x:row r="2464">
      <x:c r="A2464" s="177" t="str">
        <x:v>61.226.894/0001-27</x:v>
      </x:c>
      <x:c r="B2464" s="168" t="str">
        <x:v>ARC LC FUNDO DE INVESTIMENTO EM DIREITOS CREDITÓRIOS</x:v>
      </x:c>
      <x:c r="C2464" s="190" t="n">
        <x:v>11692690</x:v>
      </x:c>
      <x:c r="D2464" s="168" t="str">
        <x:v>ARC Capital</x:v>
      </x:c>
      <x:c r="E2464" s="168" t="str">
        <x:f>IFERROR(INDEX('Classif Gestoras'!$H$6:$H$462,MATCH(D2464,'Classif Gestoras'!$A$6:$A$462,0)),"Não classificada")</x:f>
        <x:v>Independente</x:v>
      </x:c>
      <x:c r="F2464" s="168" t="str">
        <x:v>Oliveira Trust DTVM</x:v>
      </x:c>
      <x:c r="G2464" s="168" t="str">
        <x:v>OLIVEIRA TRUST DTVM S.A.</x:v>
      </x:c>
      <x:c r="H2464" s="168" t="str">
        <x:v>Outros</x:v>
      </x:c>
      <x:c r="I2464" s="168" t="str">
        <x:v>Multicarteira Outros</x:v>
      </x:c>
      <x:c r="J2464" s="168" t="str">
        <x:v>CI</x:v>
      </x:c>
      <x:c r="K2464" s="174" t="n">
        <x:v>2</x:v>
      </x:c>
      <x:c r="L2464" s="187" t="str">
        <x:v>Proxy multicedente/multissacado — revisar</x:v>
      </x:c>
    </x:row>
    <x:row r="2465">
      <x:c r="A2465" s="177" t="str">
        <x:v>14.038.410/0001-36</x:v>
      </x:c>
      <x:c r="B2465" s="168" t="str">
        <x:v>G5 MIX FUNDO DE INVESTIMENTO EM DIREITOS CREDITÓRIOS NÃO PADRONIZADOS</x:v>
      </x:c>
      <x:c r="C2465" s="190" t="n">
        <x:v>11688732.57</x:v>
      </x:c>
      <x:c r="D2465" s="168" t="str">
        <x:v>G5 Adm. de Recursos</x:v>
      </x:c>
      <x:c r="E2465" s="168" t="str">
        <x:f>IFERROR(INDEX('Classif Gestoras'!$H$6:$H$462,MATCH(D2465,'Classif Gestoras'!$A$6:$A$462,0)),"Não classificada")</x:f>
        <x:v>Independente</x:v>
      </x:c>
      <x:c r="F2465" s="168" t="str">
        <x:v>Singulare</x:v>
      </x:c>
      <x:c r="G2465" s="168" t="str">
        <x:v>QI CORRETORA DE TÍTULOS E VALORES MOBILIÁRIOS S.A.</x:v>
      </x:c>
      <x:c r="H2465" s="168" t="str">
        <x:v>Outros</x:v>
      </x:c>
      <x:c r="I2465" s="168" t="str">
        <x:v>Multicarteira Outros</x:v>
      </x:c>
      <x:c r="J2465" s="168" t="str">
        <x:v>CI</x:v>
      </x:c>
      <x:c r="K2465" s="174" t="n">
        <x:v>1</x:v>
      </x:c>
      <x:c r="L2465" s="187" t="str">
        <x:v>Proxy multicedente/multissacado — revisar</x:v>
      </x:c>
    </x:row>
    <x:row r="2466">
      <x:c r="A2466" s="177" t="str">
        <x:v>65.424.072/0001-01</x:v>
      </x:c>
      <x:c r="B2466" s="168" t="str">
        <x:v>BNVT IMOB PLUS FUNDO DE INVESTIMENTO EM DIREITOS CREDITÓRIOS</x:v>
      </x:c>
      <x:c r="C2466" s="190" t="n">
        <x:v>11665237.49</x:v>
      </x:c>
      <x:c r="D2466" s="168" t="str">
        <x:v>BENAVENT ASSET LTDA</x:v>
      </x:c>
      <x:c r="E2466" s="168" t="str">
        <x:f>IFERROR(INDEX('Classif Gestoras'!$H$6:$H$462,MATCH(D2466,'Classif Gestoras'!$A$6:$A$462,0)),"Não classificada")</x:f>
        <x:v>Independente</x:v>
      </x:c>
      <x:c r="F2466" s="168" t="str">
        <x:v>PLANNER CV</x:v>
      </x:c>
      <x:c r="G2466" s="168" t="str">
        <x:v>PLANNER CORRETORA DE VALORES S.A.</x:v>
      </x:c>
      <x:c r="H2466" s="168" t="str">
        <x:v>Outros</x:v>
      </x:c>
      <x:c r="I2466" s="168" t="str">
        <x:v>Multicarteira Outros</x:v>
      </x:c>
      <x:c r="J2466" s="168" t="str">
        <x:v>CI</x:v>
      </x:c>
      <x:c r="K2466" s="174" t="n">
        <x:v>5</x:v>
      </x:c>
      <x:c r="L2466" s="187" t="str">
        <x:v>Proxy multicedente/multissacado — revisar</x:v>
      </x:c>
    </x:row>
    <x:row r="2467">
      <x:c r="A2467" s="177" t="str">
        <x:v>53.077.542/0001-29</x:v>
      </x:c>
      <x:c r="B2467" s="168" t="str">
        <x:v>FUNDO DE INVESTIMENTO EM DIREITOS CREDITÓRIOS GOFLUX FRETES RESPONSABILIDADE LIMITADA</x:v>
      </x:c>
      <x:c r="C2467" s="190" t="n">
        <x:v>11663960.14</x:v>
      </x:c>
      <x:c r="D2467" s="168" t="str">
        <x:v>OPEA GESTORA DE RECURSOS</x:v>
      </x:c>
      <x:c r="E2467" s="168" t="str">
        <x:f>IFERROR(INDEX('Classif Gestoras'!$H$6:$H$462,MATCH(D2467,'Classif Gestoras'!$A$6:$A$462,0)),"Não classificada")</x:f>
        <x:v>Independente</x:v>
      </x:c>
      <x:c r="F2467" s="168" t="str">
        <x:v>VÓRTX DTVM</x:v>
      </x:c>
      <x:c r="G2467" s="168" t="str">
        <x:v>VORTX DISTRIBUIDORA DE TITULOS E VALORES MOBILIARIOS LTDA.</x:v>
      </x:c>
      <x:c r="H2467" s="168" t="str">
        <x:v>Agro, Indústria e Comércio</x:v>
      </x:c>
      <x:c r="I2467" s="168" t="str">
        <x:v>Infraestrutura</x:v>
      </x:c>
      <x:c r="J2467" s="168" t="str">
        <x:v>CI</x:v>
      </x:c>
      <x:c r="K2467" s="174" t="n">
        <x:v>20</x:v>
      </x:c>
      <x:c r="L2467" s="187" t="str">
        <x:v>Não classificado</x:v>
      </x:c>
    </x:row>
    <x:row r="2468">
      <x:c r="A2468" s="177" t="str">
        <x:v>26.677.268/0001-56</x:v>
      </x:c>
      <x:c r="B2468" s="168" t="str">
        <x:v>GRIFO FUNDO DE INVESTIMENTO EM DIREITOS CREDITÓRIOS PADRONIZADOS MULTISSETORIAL - RESP LIMITADA</x:v>
      </x:c>
      <x:c r="C2468" s="190" t="n">
        <x:v>11617030.27</x:v>
      </x:c>
      <x:c r="D2468" s="168" t="str">
        <x:v>Solis</x:v>
      </x:c>
      <x:c r="E2468" s="168" t="str">
        <x:f>IFERROR(INDEX('Classif Gestoras'!$H$6:$H$462,MATCH(D2468,'Classif Gestoras'!$A$6:$A$462,0)),"Não classificada")</x:f>
        <x:v>Independente</x:v>
      </x:c>
      <x:c r="F2468" s="168" t="str">
        <x:v>HEMERA DTVM</x:v>
      </x:c>
      <x:c r="G2468" s="168" t="str">
        <x:v>HEMERA DISTRIBUIDORA DE TITULOS E VALORES MOBILIARIOS LTDA</x:v>
      </x:c>
      <x:c r="H2468" s="168" t="str">
        <x:v>Outros</x:v>
      </x:c>
      <x:c r="I2468" s="168" t="str">
        <x:v>Multicarteira Outros</x:v>
      </x:c>
      <x:c r="J2468" s="168" t="str">
        <x:v>CI</x:v>
      </x:c>
      <x:c r="K2468" s="174" t="n">
        <x:v>16</x:v>
      </x:c>
      <x:c r="L2468" s="187" t="str">
        <x:v>Proxy multicedente/multissacado — revisar</x:v>
      </x:c>
    </x:row>
    <x:row r="2469">
      <x:c r="A2469" s="177" t="str">
        <x:v>62.083.078/0001-74</x:v>
      </x:c>
      <x:c r="B2469" s="168" t="str">
        <x:v>PORTFOLIO 22 FUNDO DE INVESTIMENTO EM DIREITOS CREDITÓRIOS</x:v>
      </x:c>
      <x:c r="C2469" s="190" t="n">
        <x:v>11528021.74</x:v>
      </x:c>
      <x:c r="D2469" s="168" t="str">
        <x:v>PACTUAL CAPITAL PART</x:v>
      </x:c>
      <x:c r="E2469" s="168" t="str">
        <x:f>IFERROR(INDEX('Classif Gestoras'!$H$6:$H$462,MATCH(D2469,'Classif Gestoras'!$A$6:$A$462,0)),"Não classificada")</x:f>
        <x:v>Independente</x:v>
      </x:c>
      <x:c r="F2469" s="168" t="str">
        <x:v>BTG Pactual Servicos Financeiros S/A DTVM</x:v>
      </x:c>
      <x:c r="G2469" s="168" t="str">
        <x:v>BANCO BTG PACTUAL S/A</x:v>
      </x:c>
      <x:c r="H2469" s="168" t="str">
        <x:v>Outros</x:v>
      </x:c>
      <x:c r="I2469" s="168" t="str">
        <x:v>Multicarteira Outros</x:v>
      </x:c>
      <x:c r="J2469" s="168" t="str">
        <x:v>CI</x:v>
      </x:c>
      <x:c r="K2469" s="174" t="n">
        <x:v>1</x:v>
      </x:c>
      <x:c r="L2469" s="187" t="str">
        <x:v>Proxy multicedente/multissacado — revisar</x:v>
      </x:c>
    </x:row>
    <x:row r="2470">
      <x:c r="A2470" s="177" t="str">
        <x:v>55.651.473/0001-40</x:v>
      </x:c>
      <x:c r="B2470" s="168" t="str">
        <x:v>VEXO FUNDO DE INVESTIMENTO EM DIREITOS CREDITÓRIOS RESPONSABILIDADE LIMITADA</x:v>
      </x:c>
      <x:c r="C2470" s="190" t="n">
        <x:v>11496994.44</x:v>
      </x:c>
      <x:c r="D2470" s="168" t="str">
        <x:v>Kuará Capital</x:v>
      </x:c>
      <x:c r="E2470" s="168" t="str">
        <x:f>IFERROR(INDEX('Classif Gestoras'!$H$6:$H$462,MATCH(D2470,'Classif Gestoras'!$A$6:$A$462,0)),"Não classificada")</x:f>
        <x:v>Independente</x:v>
      </x:c>
      <x:c r="F2470" s="168" t="str">
        <x:v>MONETAR DISTRIBUIDORA DE TITUL</x:v>
      </x:c>
      <x:c r="G2470" s="168" t="str">
        <x:v>TERRA INVESTIMENTOS DISTRIBUIDORA DE TITULOS E VALORES MOBILIARIOS LTDA</x:v>
      </x:c>
      <x:c r="H2470" s="168" t="str">
        <x:v>Outros</x:v>
      </x:c>
      <x:c r="I2470" s="168" t="str">
        <x:v>Multicarteira Outros</x:v>
      </x:c>
      <x:c r="J2470" s="168" t="str">
        <x:v>CI</x:v>
      </x:c>
      <x:c r="K2470" s="174" t="n">
        <x:v>10</x:v>
      </x:c>
      <x:c r="L2470" s="187" t="str">
        <x:v>Proxy multicedente/multissacado — revisar</x:v>
      </x:c>
    </x:row>
    <x:row r="2471">
      <x:c r="A2471" s="177" t="str">
        <x:v>29.242.908/0001-93</x:v>
      </x:c>
      <x:c r="B2471" s="168" t="str">
        <x:v>FUNDO DE INVESTIMENTO EM DIREITOS CREDITÓRIOS AGORA TELECOM</x:v>
      </x:c>
      <x:c r="C2471" s="190" t="n">
        <x:v>11495278.339999998</x:v>
      </x:c>
      <x:c r="D2471" s="168" t="str">
        <x:v>VALORA RENDA FIXA ESTRUTURADOS LTDA.</x:v>
      </x:c>
      <x:c r="E2471" s="168" t="str">
        <x:f>IFERROR(INDEX('Classif Gestoras'!$H$6:$H$462,MATCH(D2471,'Classif Gestoras'!$A$6:$A$462,0)),"Não classificada")</x:f>
        <x:v>Independente</x:v>
      </x:c>
      <x:c r="F2471" s="168" t="str">
        <x:v>Singulare</x:v>
      </x:c>
      <x:c r="G2471" s="168" t="str">
        <x:v>QI CORRETORA DE TÍTULOS E VALORES MOBILIÁRIOS S.A.</x:v>
      </x:c>
      <x:c r="H2471" s="168" t="str">
        <x:v>Outros</x:v>
      </x:c>
      <x:c r="I2471" s="168" t="str">
        <x:v>Multicarteira Outros</x:v>
      </x:c>
      <x:c r="J2471" s="168" t="str">
        <x:v>CI</x:v>
      </x:c>
      <x:c r="K2471" s="174" t="n">
        <x:v>8</x:v>
      </x:c>
      <x:c r="L2471" s="187" t="str">
        <x:v>Proxy multicedente/multissacado — revisar</x:v>
      </x:c>
    </x:row>
    <x:row r="2472">
      <x:c r="A2472" s="177" t="str">
        <x:v>37.720.148/0001-00</x:v>
      </x:c>
      <x:c r="B2472" s="168" t="str">
        <x:v>VIOLIN 8432 (2) CRÉDITOS JUDICIAIS FUNDO DE INVESTIMENTO EM DIREITOS CREDITÓRIOS</x:v>
      </x:c>
      <x:c r="C2472" s="190" t="n">
        <x:v>11464009.009999998</x:v>
      </x:c>
      <x:c r="D2472" s="168" t="str">
        <x:v>LASS CAPITAL</x:v>
      </x:c>
      <x:c r="E2472" s="168" t="str">
        <x:f>IFERROR(INDEX('Classif Gestoras'!$H$6:$H$462,MATCH(D2472,'Classif Gestoras'!$A$6:$A$462,0)),"Não classificada")</x:f>
        <x:v>Independente</x:v>
      </x:c>
      <x:c r="F2472" s="168" t="str">
        <x:v>BTG Pactual Servicos Financeiros S/A DTVM</x:v>
      </x:c>
      <x:c r="G2472" s="168" t="str">
        <x:v>BANCO BTG PACTUAL S/A</x:v>
      </x:c>
      <x:c r="H2472" s="168" t="str">
        <x:v>Outros</x:v>
      </x:c>
      <x:c r="I2472" s="168" t="str">
        <x:v>Poder Público</x:v>
      </x:c>
      <x:c r="J2472" s="168" t="str">
        <x:v>CI</x:v>
      </x:c>
      <x:c r="K2472" s="174" t="n">
        <x:v>5</x:v>
      </x:c>
      <x:c r="L2472" s="187" t="str">
        <x:v>Não classificado</x:v>
      </x:c>
    </x:row>
    <x:row r="2473">
      <x:c r="A2473" s="177" t="str">
        <x:v>63.975.281/0001-18</x:v>
      </x:c>
      <x:c r="B2473" s="168" t="str">
        <x:v>ITAIM SUB FUNDO DE INVESTIMENTO EM DIREITOS CREDITÓRIOS - RESPONSABILIDADE LIMITADA</x:v>
      </x:c>
      <x:c r="C2473" s="190" t="n">
        <x:v>11454756.86</x:v>
      </x:c>
      <x:c r="D2473" s="168" t="str">
        <x:v>QUAESTUS GESTÃO DE INVESTIMENTOS LTDA.</x:v>
      </x:c>
      <x:c r="E2473" s="168" t="str">
        <x:f>IFERROR(INDEX('Classif Gestoras'!$H$6:$H$462,MATCH(D2473,'Classif Gestoras'!$A$6:$A$462,0)),"Não classificada")</x:f>
        <x:v>Independente</x:v>
      </x:c>
      <x:c r="F2473" s="168" t="str">
        <x:v>MONETAR DISTRIBUIDORA DE TITUL</x:v>
      </x:c>
      <x:c r="G2473" s="168" t="str">
        <x:v>TERRA INVESTIMENTOS DISTRIBUIDORA DE TITULOS E VALORES MOBILIARIOS LTDA</x:v>
      </x:c>
      <x:c r="H2473" s="168" t="str">
        <x:v>Outros</x:v>
      </x:c>
      <x:c r="I2473" s="168" t="str">
        <x:v>Multicarteira Outros</x:v>
      </x:c>
      <x:c r="J2473" s="168" t="str">
        <x:v>CI</x:v>
      </x:c>
      <x:c r="K2473" s="174" t="n">
        <x:v>25</x:v>
      </x:c>
      <x:c r="L2473" s="187" t="str">
        <x:v>Proxy multicedente/multissacado — revisar</x:v>
      </x:c>
    </x:row>
    <x:row r="2474">
      <x:c r="A2474" s="177" t="str">
        <x:v>08.987.105/0001-98</x:v>
      </x:c>
      <x:c r="B2474" s="168" t="str">
        <x:v>FUNDO DE INVESTIMENTO EM DIREITOS CREDITÓRIOS - FORNECEDORES I DE RESPONSABILIDADE LIMITADA</x:v>
      </x:c>
      <x:c r="C2474" s="190" t="n">
        <x:v>11451770</x:v>
      </x:c>
      <x:c r="D2474" s="168" t="str">
        <x:v>DAYCOVAL ASSET MANAG</x:v>
      </x:c>
      <x:c r="E2474" s="168" t="str">
        <x:f>IFERROR(INDEX('Classif Gestoras'!$H$6:$H$462,MATCH(D2474,'Classif Gestoras'!$A$6:$A$462,0)),"Não classificada")</x:f>
        <x:v>Ligada a banco</x:v>
      </x:c>
      <x:c r="F2474" s="168" t="str">
        <x:v>BANCO DAYCOVAL S/A</x:v>
      </x:c>
      <x:c r="G2474" s="168" t="str">
        <x:v>BANCO BRADESCO S.A.</x:v>
      </x:c>
      <x:c r="H2474" s="168" t="str">
        <x:v>Agro, Indústria e Comércio</x:v>
      </x:c>
      <x:c r="I2474" s="168" t="str">
        <x:v>Crédito Corporativo</x:v>
      </x:c>
      <x:c r="J2474" s="168" t="str">
        <x:v>CI</x:v>
      </x:c>
      <x:c r="K2474" s="174" t="n">
        <x:v>1</x:v>
      </x:c>
      <x:c r="L2474" s="187" t="str">
        <x:v>Não classificado</x:v>
      </x:c>
    </x:row>
    <x:row r="2475">
      <x:c r="A2475" s="177" t="str">
        <x:v>52.349.539/0001-54</x:v>
      </x:c>
      <x:c r="B2475" s="168" t="str">
        <x:v>Z5 FUNDO DE INVESTIMENTO EM DIREITOS CREDITÓRIOS MULTISSETORIAL - RESPONSABILIDADE LIMITADA</x:v>
      </x:c>
      <x:c r="C2475" s="190" t="n">
        <x:v>11437603.08</x:v>
      </x:c>
      <x:c r="D2475" s="168" t="str">
        <x:v>OURO PRETO INVESTIMENTOS</x:v>
      </x:c>
      <x:c r="E2475" s="168" t="str">
        <x:f>IFERROR(INDEX('Classif Gestoras'!$H$6:$H$462,MATCH(D2475,'Classif Gestoras'!$A$6:$A$462,0)),"Não classificada")</x:f>
        <x:v>Independente</x:v>
      </x:c>
      <x:c r="F2475" s="168" t="str">
        <x:v>ID Corretora de Títulos e Valores Mobiliários S.A.</x:v>
      </x:c>
      <x:c r="G2475" s="168" t="str">
        <x:v>ID CORRETORA DE TITULOS E VALORES MOBILIARIOS S.A.</x:v>
      </x:c>
      <x:c r="H2475" s="168" t="str">
        <x:v>Fomento Mercantil</x:v>
      </x:c>
      <x:c r="I2475" s="168" t="str">
        <x:v>Fomento Mercantil</x:v>
      </x:c>
      <x:c r="J2475" s="168" t="str">
        <x:v>CI</x:v>
      </x:c>
      <x:c r="K2475" s="174" t="n">
        <x:v>18</x:v>
      </x:c>
      <x:c r="L2475" s="187" t="str">
        <x:v>Não classificado</x:v>
      </x:c>
    </x:row>
    <x:row r="2476">
      <x:c r="A2476" s="177" t="str">
        <x:v>61.734.134/0001-20</x:v>
      </x:c>
      <x:c r="B2476" s="168" t="str">
        <x:v>BERM FUNDO DE INVESTIMENTO EM DIREITOS CREDITÓRIOS</x:v>
      </x:c>
      <x:c r="C2476" s="190" t="n">
        <x:v>11303265.26</x:v>
      </x:c>
      <x:c r="D2476" s="168" t="str">
        <x:v>CARMEL GESTORA DE ATIVOS LTDA</x:v>
      </x:c>
      <x:c r="E2476" s="168" t="str">
        <x:f>IFERROR(INDEX('Classif Gestoras'!$H$6:$H$462,MATCH(D2476,'Classif Gestoras'!$A$6:$A$462,0)),"Não classificada")</x:f>
        <x:v>Independente</x:v>
      </x:c>
      <x:c r="F2476" s="168" t="str">
        <x:v>MONETAR DISTRIBUIDORA DE TITUL</x:v>
      </x:c>
      <x:c r="G2476" s="168" t="str">
        <x:v>TERRA INVESTIMENTOS DISTRIBUIDORA DE TITULOS E VALORES MOBILIARIOS LTDA</x:v>
      </x:c>
      <x:c r="H2476" s="168" t="str">
        <x:v>Outros</x:v>
      </x:c>
      <x:c r="I2476" s="168" t="str">
        <x:v>Recuperação</x:v>
      </x:c>
      <x:c r="J2476" s="168" t="str">
        <x:v>CI</x:v>
      </x:c>
      <x:c r="K2476" s="174" t="n">
        <x:v>16</x:v>
      </x:c>
      <x:c r="L2476" s="187" t="str">
        <x:v>Não classificado</x:v>
      </x:c>
    </x:row>
    <x:row r="2477">
      <x:c r="A2477" s="177" t="str">
        <x:v>45.810.162/0001-23</x:v>
      </x:c>
      <x:c r="B2477" s="168" t="str">
        <x:v>LANCE REAL FUNDO DE INVESTIMENTO EM DIREITOS CREDITORIOS</x:v>
      </x:c>
      <x:c r="C2477" s="190" t="n">
        <x:v>11290848.930000002</x:v>
      </x:c>
      <x:c r="D2477" s="168" t="str">
        <x:v>AF Invest</x:v>
      </x:c>
      <x:c r="E2477" s="168" t="str">
        <x:f>IFERROR(INDEX('Classif Gestoras'!$H$6:$H$462,MATCH(D2477,'Classif Gestoras'!$A$6:$A$462,0)),"Não classificada")</x:f>
        <x:v>Independente</x:v>
      </x:c>
      <x:c r="F2477" s="168" t="str">
        <x:v>ACTUAL DTVM</x:v>
      </x:c>
      <x:c r="G2477" s="168" t="str">
        <x:v>TRUSTEE DISTRIBUIDORA DE TITULOS E VALORES MOBILIARIOS LTDA.</x:v>
      </x:c>
      <x:c r="H2477" s="168" t="str">
        <x:v>Fomento Mercantil</x:v>
      </x:c>
      <x:c r="I2477" s="168" t="str">
        <x:v>Fomento Mercantil</x:v>
      </x:c>
      <x:c r="J2477" s="168" t="str">
        <x:v>CI</x:v>
      </x:c>
      <x:c r="K2477" s="174" t="n">
        <x:v>1</x:v>
      </x:c>
      <x:c r="L2477" s="187" t="str">
        <x:v>Não classificado</x:v>
      </x:c>
    </x:row>
    <x:row r="2478">
      <x:c r="A2478" s="177" t="str">
        <x:v>60.397.788/0001-43</x:v>
      </x:c>
      <x:c r="B2478" s="168" t="str">
        <x:v>SNOW FUNDO DE INVESTIMENTO EM DIREITOS CREDITÓRIOS RESPONSABILIDADE LIMITADA</x:v>
      </x:c>
      <x:c r="C2478" s="190" t="n">
        <x:v>11272945.83</x:v>
      </x:c>
      <x:c r="D2478" s="168" t="str">
        <x:v>PIER GESTAO DE RECURSOS FINANCEIROS LTDA</x:v>
      </x:c>
      <x:c r="E2478" s="168" t="str">
        <x:f>IFERROR(INDEX('Classif Gestoras'!$H$6:$H$462,MATCH(D2478,'Classif Gestoras'!$A$6:$A$462,0)),"Não classificada")</x:f>
        <x:v>Independente</x:v>
      </x:c>
      <x:c r="F2478" s="168" t="str">
        <x:v>FIDD DISTRIBUIDORA DE TITULOS E VALORES MOBILIARIOS LTD</x:v>
      </x:c>
      <x:c r="G2478" s="168" t="str">
        <x:v>FIDD DISTRIBUIDORA DE TITULOS E VALORES MOBILIARIOS LTDA.</x:v>
      </x:c>
      <x:c r="H2478" s="168" t="str">
        <x:v>Outros</x:v>
      </x:c>
      <x:c r="I2478" s="168" t="str">
        <x:v>Multicarteira Outros</x:v>
      </x:c>
      <x:c r="J2478" s="168" t="str">
        <x:v>CI</x:v>
      </x:c>
      <x:c r="K2478" s="174" t="n">
        <x:v>2</x:v>
      </x:c>
      <x:c r="L2478" s="187" t="str">
        <x:v>Proxy multicedente/multissacado — revisar</x:v>
      </x:c>
    </x:row>
    <x:row r="2479">
      <x:c r="A2479" s="177" t="str">
        <x:v>36.412.972/0001-30</x:v>
      </x:c>
      <x:c r="B2479" s="168" t="str">
        <x:v>VKR FUNDO DE INVESTIMENTO EM DIREITOS CREDITÓRIOS RESPONSABILIDADE LIMITADA</x:v>
      </x:c>
      <x:c r="C2479" s="190" t="n">
        <x:v>11270199.11</x:v>
      </x:c>
      <x:c r="D2479" s="168" t="str">
        <x:v>Iggy Investimentos</x:v>
      </x:c>
      <x:c r="E2479" s="168" t="str">
        <x:f>IFERROR(INDEX('Classif Gestoras'!$H$6:$H$462,MATCH(D2479,'Classif Gestoras'!$A$6:$A$462,0)),"Não classificada")</x:f>
        <x:v>Independente</x:v>
      </x:c>
      <x:c r="F2479" s="168" t="str">
        <x:v>FIDD DISTRIBUIDORA DE TITULOS E VALORES MOBILIARIOS LTD</x:v>
      </x:c>
      <x:c r="G2479" s="168" t="str">
        <x:v>BRL TRUST DISTRIBUIDORA DE TITULOS E VALORES MOBILIARIOS S.A.</x:v>
      </x:c>
      <x:c r="H2479" s="168" t="str">
        <x:v>Outros</x:v>
      </x:c>
      <x:c r="I2479" s="168" t="str">
        <x:v>Recuperação</x:v>
      </x:c>
      <x:c r="J2479" s="168" t="str">
        <x:v>CI</x:v>
      </x:c>
      <x:c r="K2479" s="174" t="n">
        <x:v>1</x:v>
      </x:c>
      <x:c r="L2479" s="187" t="str">
        <x:v>Não classificado</x:v>
      </x:c>
    </x:row>
    <x:row r="2480">
      <x:c r="A2480" s="177" t="str">
        <x:v>56.822.599/0001-01</x:v>
      </x:c>
      <x:c r="B2480" s="168" t="str">
        <x:v>DAY MAXX 4 FIDC DE RESPONSABILIDADE LIMITADA</x:v>
      </x:c>
      <x:c r="C2480" s="190" t="n">
        <x:v>11256977.32</x:v>
      </x:c>
      <x:c r="D2480" s="168" t="str">
        <x:v>DAYCOVAL ASSET MANAG</x:v>
      </x:c>
      <x:c r="E2480" s="168" t="str">
        <x:f>IFERROR(INDEX('Classif Gestoras'!$H$6:$H$462,MATCH(D2480,'Classif Gestoras'!$A$6:$A$462,0)),"Não classificada")</x:f>
        <x:v>Ligada a banco</x:v>
      </x:c>
      <x:c r="F2480" s="168" t="str">
        <x:v>BANCO DAYCOVAL S/A</x:v>
      </x:c>
      <x:c r="G2480" s="168" t="str">
        <x:v>BANCO DAYCOVAL S.A.</x:v>
      </x:c>
      <x:c r="H2480" s="168" t="str">
        <x:v>Fomento Mercantil</x:v>
      </x:c>
      <x:c r="I2480" s="168" t="str">
        <x:v>Fomento Mercantil</x:v>
      </x:c>
      <x:c r="J2480" s="168" t="str">
        <x:v>CI</x:v>
      </x:c>
      <x:c r="K2480" s="174" t="n">
        <x:v>1</x:v>
      </x:c>
      <x:c r="L2480" s="187" t="str">
        <x:v>Não classificado</x:v>
      </x:c>
    </x:row>
    <x:row r="2481">
      <x:c r="A2481" s="177" t="str">
        <x:v>46.494.768/0001-60</x:v>
      </x:c>
      <x:c r="B2481" s="168" t="str">
        <x:v>UNI PAY FUNDO DE INVESTIMENTO EM DIREITOS CREDITÓRIOS RESPONSABILIDADE LIMITADA</x:v>
      </x:c>
      <x:c r="C2481" s="190" t="n">
        <x:v>11242074.67</x:v>
      </x:c>
      <x:c r="D2481" s="168" t="str">
        <x:v>CONTEA CAPITAL</x:v>
      </x:c>
      <x:c r="E2481" s="168" t="str">
        <x:f>IFERROR(INDEX('Classif Gestoras'!$H$6:$H$462,MATCH(D2481,'Classif Gestoras'!$A$6:$A$462,0)),"Não classificada")</x:f>
        <x:v>Independente</x:v>
      </x:c>
      <x:c r="F2481" s="168" t="str">
        <x:v>VÓRTX DTVM</x:v>
      </x:c>
      <x:c r="G2481" s="168" t="str">
        <x:v>VORTX DISTRIBUIDORA DE TITULOS E VALORES MOBILIARIOS LTDA.</x:v>
      </x:c>
      <x:c r="H2481" s="168" t="str">
        <x:v>Outros</x:v>
      </x:c>
      <x:c r="I2481" s="168" t="str">
        <x:v>Multicarteira Outros</x:v>
      </x:c>
      <x:c r="J2481" s="168" t="str">
        <x:v>CI</x:v>
      </x:c>
      <x:c r="K2481" s="174" t="n">
        <x:v>1</x:v>
      </x:c>
      <x:c r="L2481" s="187" t="str">
        <x:v>Proxy multicedente/multissacado — revisar</x:v>
      </x:c>
    </x:row>
    <x:row r="2482">
      <x:c r="A2482" s="177" t="str">
        <x:v>21.605.486/0001-61</x:v>
      </x:c>
      <x:c r="B2482" s="168" t="str">
        <x:v>VALORTEC FUNDO DE INVESTIMENTOS EM DIREITOS CREDITÓRIOS</x:v>
      </x:c>
      <x:c r="C2482" s="190" t="n">
        <x:v>11228161.12</x:v>
      </x:c>
      <x:c r="D2482" s="168" t="str">
        <x:v>TERCON ASSET MANAGEMENT</x:v>
      </x:c>
      <x:c r="E2482" s="168" t="str">
        <x:f>IFERROR(INDEX('Classif Gestoras'!$H$6:$H$462,MATCH(D2482,'Classif Gestoras'!$A$6:$A$462,0)),"Não classificada")</x:f>
        <x:v>Independente</x:v>
      </x:c>
      <x:c r="F2482" s="168" t="str">
        <x:v>Singulare</x:v>
      </x:c>
      <x:c r="G2482" s="168" t="str">
        <x:v>QI CORRETORA DE TÍTULOS E VALORES MOBILIÁRIOS S.A.</x:v>
      </x:c>
      <x:c r="H2482" s="168" t="str">
        <x:v>Fomento Mercantil</x:v>
      </x:c>
      <x:c r="I2482" s="168" t="str">
        <x:v>Fomento Mercantil</x:v>
      </x:c>
      <x:c r="J2482" s="168" t="str">
        <x:v>CI</x:v>
      </x:c>
      <x:c r="K2482" s="174" t="n">
        <x:v>9</x:v>
      </x:c>
      <x:c r="L2482" s="187" t="str">
        <x:v>Não classificado</x:v>
      </x:c>
    </x:row>
    <x:row r="2483">
      <x:c r="A2483" s="177" t="str">
        <x:v>54.519.663/0001-46</x:v>
      </x:c>
      <x:c r="B2483" s="168" t="str">
        <x:v>MOSAICO ELITE FUNDO DE INVESTIMENTO EM DIREITOS CREDITÓRIOS</x:v>
      </x:c>
      <x:c r="C2483" s="190" t="n">
        <x:v>11225178.1</x:v>
      </x:c>
      <x:c r="D2483" s="168" t="str">
        <x:v>PESSOAS FISICAS</x:v>
      </x:c>
      <x:c r="E2483" s="168" t="str">
        <x:f>IFERROR(INDEX('Classif Gestoras'!$H$6:$H$462,MATCH(D2483,'Classif Gestoras'!$A$6:$A$462,0)),"Não classificada")</x:f>
        <x:v>Independente</x:v>
      </x:c>
      <x:c r="F2483" s="168" t="str">
        <x:v>OSLO DTVM S. A.</x:v>
      </x:c>
      <x:c r="G2483" s="168" t="str">
        <x:v>OSLO CAPITAL DISTRIBUIDORA DE TITULOS E VALORES MOBILIARIOS S.A.</x:v>
      </x:c>
      <x:c r="H2483" s="168" t="str">
        <x:v>Outros</x:v>
      </x:c>
      <x:c r="I2483" s="168" t="str">
        <x:v>Multicarteira Outros</x:v>
      </x:c>
      <x:c r="J2483" s="168" t="str">
        <x:v>CI</x:v>
      </x:c>
      <x:c r="K2483" s="174" t="n">
        <x:v>14</x:v>
      </x:c>
      <x:c r="L2483" s="187" t="str">
        <x:v>Proxy multicedente/multissacado — revisar</x:v>
      </x:c>
    </x:row>
    <x:row r="2484">
      <x:c r="A2484" s="177" t="str">
        <x:v>60.693.131/0001-23</x:v>
      </x:c>
      <x:c r="B2484" s="168" t="str">
        <x:v>Z8 FUNDO DE INVESTIMENTO EM DIREITOS CREDITÓRIOS</x:v>
      </x:c>
      <x:c r="C2484" s="190" t="n">
        <x:v>11204724.14</x:v>
      </x:c>
      <x:c r="D2484" s="168" t="str">
        <x:v>Redwood Asset Management</x:v>
      </x:c>
      <x:c r="E2484" s="168" t="str">
        <x:f>IFERROR(INDEX('Classif Gestoras'!$H$6:$H$462,MATCH(D2484,'Classif Gestoras'!$A$6:$A$462,0)),"Não classificada")</x:f>
        <x:v>Independente</x:v>
      </x:c>
      <x:c r="F2484" s="168" t="str">
        <x:v>PLANNER CV</x:v>
      </x:c>
      <x:c r="G2484" s="168" t="str">
        <x:v>PLANNER CORRETORA DE VALORES S.A.</x:v>
      </x:c>
      <x:c r="H2484" s="168" t="str">
        <x:v>Outros</x:v>
      </x:c>
      <x:c r="I2484" s="168" t="str">
        <x:v>Multicarteira Outros</x:v>
      </x:c>
      <x:c r="J2484" s="168" t="str">
        <x:v>CI</x:v>
      </x:c>
      <x:c r="K2484" s="174" t="n">
        <x:v>4</x:v>
      </x:c>
      <x:c r="L2484" s="187" t="str">
        <x:v>Proxy multicedente/multissacado — revisar</x:v>
      </x:c>
    </x:row>
    <x:row r="2485">
      <x:c r="A2485" s="177" t="str">
        <x:v>57.620.020/0001-82</x:v>
      </x:c>
      <x:c r="B2485" s="168" t="str">
        <x:v>REAL ESTATE RELATED FUNDO DE INVESTIMENTO EM DIREITOS CREDITÓRIOS</x:v>
      </x:c>
      <x:c r="C2485" s="190" t="n">
        <x:v>11190799.21</x:v>
      </x:c>
      <x:c r="D2485" s="168" t="str">
        <x:v>HGI Capital</x:v>
      </x:c>
      <x:c r="E2485" s="168" t="str">
        <x:f>IFERROR(INDEX('Classif Gestoras'!$H$6:$H$462,MATCH(D2485,'Classif Gestoras'!$A$6:$A$462,0)),"Não classificada")</x:f>
        <x:v>Independente</x:v>
      </x:c>
      <x:c r="F2485" s="168" t="str">
        <x:v>VÓRTX DTVM</x:v>
      </x:c>
      <x:c r="G2485" s="168" t="str">
        <x:v>VORTX DISTRIBUIDORA DE TITULOS E VALORES MOBILIARIOS LTDA.</x:v>
      </x:c>
      <x:c r="H2485" s="168" t="str">
        <x:v>Financeiro</x:v>
      </x:c>
      <x:c r="I2485" s="168" t="str">
        <x:v>Crédito Imobiliário</x:v>
      </x:c>
      <x:c r="J2485" s="168" t="str">
        <x:v>CI</x:v>
      </x:c>
      <x:c r="K2485" s="174" t="n">
        <x:v>1</x:v>
      </x:c>
      <x:c r="L2485" s="187" t="str">
        <x:v>Não classificado</x:v>
      </x:c>
    </x:row>
    <x:row r="2486">
      <x:c r="A2486" s="177" t="str">
        <x:v>62.682.937/0001-41</x:v>
      </x:c>
      <x:c r="B2486" s="168" t="str">
        <x:v>GIRO CRÉDITO FUNDO DE INVESTIMENTO EM DIREITOS CREDITÓRIOS</x:v>
      </x:c>
      <x:c r="C2486" s="190" t="n">
        <x:v>11091852.91</x:v>
      </x:c>
      <x:c r="D2486" s="168" t="str">
        <x:v>BTG Pactual Asset</x:v>
      </x:c>
      <x:c r="E2486" s="168" t="str">
        <x:f>IFERROR(INDEX('Classif Gestoras'!$H$6:$H$462,MATCH(D2486,'Classif Gestoras'!$A$6:$A$462,0)),"Não classificada")</x:f>
        <x:v>Ligada a banco</x:v>
      </x:c>
      <x:c r="F2486" s="168" t="str">
        <x:v>BTG Pactual Servicos Financeiros S/A DTVM</x:v>
      </x:c>
      <x:c r="G2486" s="168" t="str">
        <x:v>BANCO BTG PACTUAL S/A</x:v>
      </x:c>
      <x:c r="H2486" s="168" t="str">
        <x:v>Agro, Indústria e Comércio</x:v>
      </x:c>
      <x:c r="I2486" s="168" t="str">
        <x:v>Multicarteira Agro, Indústria e Comércio</x:v>
      </x:c>
      <x:c r="J2486" s="168" t="str">
        <x:v>CI</x:v>
      </x:c>
      <x:c r="K2486" s="174" t="n">
        <x:v>2</x:v>
      </x:c>
      <x:c r="L2486" s="187" t="str">
        <x:v>Proxy multicedente/multissacado — revisar</x:v>
      </x:c>
    </x:row>
    <x:row r="2487">
      <x:c r="A2487" s="177" t="str">
        <x:v>52.531.368/0001-80</x:v>
      </x:c>
      <x:c r="B2487" s="168" t="str">
        <x:v>VALENTE FUNDO DE INVESTIMENTO EM DIREITOS CREDITÓRIOS</x:v>
      </x:c>
      <x:c r="C2487" s="190" t="n">
        <x:v>11074394.93</x:v>
      </x:c>
      <x:c r="D2487" s="168" t="str">
        <x:v>Catálise Investimentos</x:v>
      </x:c>
      <x:c r="E2487" s="168" t="str">
        <x:f>IFERROR(INDEX('Classif Gestoras'!$H$6:$H$462,MATCH(D2487,'Classif Gestoras'!$A$6:$A$462,0)),"Não classificada")</x:f>
        <x:v>Independente</x:v>
      </x:c>
      <x:c r="F2487" s="168" t="str">
        <x:v>CATÁLISE DTVM</x:v>
      </x:c>
      <x:c r="G2487" s="168" t="str">
        <x:v>BANCO DAYCOVAL S.A.</x:v>
      </x:c>
      <x:c r="H2487" s="168" t="str">
        <x:v>Agro, Indústria e Comércio</x:v>
      </x:c>
      <x:c r="I2487" s="168" t="str">
        <x:v>Recebíveis Comerciais</x:v>
      </x:c>
      <x:c r="J2487" s="168" t="str">
        <x:v>CI</x:v>
      </x:c>
      <x:c r="K2487" s="174" t="n">
        <x:v>1</x:v>
      </x:c>
      <x:c r="L2487" s="187" t="str">
        <x:v>Não classificado</x:v>
      </x:c>
    </x:row>
    <x:row r="2488">
      <x:c r="A2488" s="177" t="str">
        <x:v>37.484.372/0001-40</x:v>
      </x:c>
      <x:c r="B2488" s="168" t="str">
        <x:v>FUNDO DE INVESTIMENTO EM DIREITOS CREDITÓRIOS ATIVOS JUDICIAIS II</x:v>
      </x:c>
      <x:c r="C2488" s="190" t="n">
        <x:v>11065877.42</x:v>
      </x:c>
      <x:c r="D2488" s="168" t="str">
        <x:v>Vista Real Estate</x:v>
      </x:c>
      <x:c r="E2488" s="168" t="str">
        <x:f>IFERROR(INDEX('Classif Gestoras'!$H$6:$H$462,MATCH(D2488,'Classif Gestoras'!$A$6:$A$462,0)),"Não classificada")</x:f>
        <x:v>Independente</x:v>
      </x:c>
      <x:c r="F2488" s="168" t="str">
        <x:v>BRL TRUST DTVM</x:v>
      </x:c>
      <x:c r="G2488" s="168" t="str">
        <x:v>BRL TRUST DISTRIBUIDORA DE TITULOS E VALORES MOBILIARIOS S.A.</x:v>
      </x:c>
      <x:c r="H2488" s="168" t="str">
        <x:v>Outros</x:v>
      </x:c>
      <x:c r="I2488" s="168" t="str">
        <x:v>Poder Público</x:v>
      </x:c>
      <x:c r="J2488" s="168" t="str">
        <x:v>CI</x:v>
      </x:c>
      <x:c r="K2488" s="174" t="n">
        <x:v>2</x:v>
      </x:c>
      <x:c r="L2488" s="187" t="str">
        <x:v>Não classificado</x:v>
      </x:c>
    </x:row>
    <x:row r="2489">
      <x:c r="A2489" s="177" t="str">
        <x:v>47.240.716/0001-20</x:v>
      </x:c>
      <x:c r="B2489" s="168" t="str">
        <x:v>PORTOSEG FUNDO DE INVESTIMENTO EM DIREITOS CREDITÓRIOS DE RESPONSABILIDADE ILIMITADA</x:v>
      </x:c>
      <x:c r="C2489" s="190" t="n">
        <x:v>10988502.92</x:v>
      </x:c>
      <x:c r="D2489" s="168" t="str">
        <x:v>TERCON ASSET MANAGEMENT</x:v>
      </x:c>
      <x:c r="E2489" s="168" t="str">
        <x:f>IFERROR(INDEX('Classif Gestoras'!$H$6:$H$462,MATCH(D2489,'Classif Gestoras'!$A$6:$A$462,0)),"Não classificada")</x:f>
        <x:v>Independente</x:v>
      </x:c>
      <x:c r="F2489" s="168" t="str">
        <x:v>BANCO DAYCOVAL S/A</x:v>
      </x:c>
      <x:c r="G2489" s="168" t="str">
        <x:v>BANCO DAYCOVAL S.A.</x:v>
      </x:c>
      <x:c r="H2489" s="168" t="str">
        <x:v>Outros</x:v>
      </x:c>
      <x:c r="I2489" s="168" t="str">
        <x:v>Multicarteira Outros</x:v>
      </x:c>
      <x:c r="J2489" s="168" t="str">
        <x:v>CI</x:v>
      </x:c>
      <x:c r="K2489" s="174" t="n">
        <x:v>1</x:v>
      </x:c>
      <x:c r="L2489" s="187" t="str">
        <x:v>Proxy multicedente/multissacado — revisar</x:v>
      </x:c>
    </x:row>
    <x:row r="2490">
      <x:c r="A2490" s="177" t="str">
        <x:v>59.388.724/0001-05</x:v>
      </x:c>
      <x:c r="B2490" s="168" t="str">
        <x:v>FUNDO DE INVESTIMENTO EM DIREITOS CREDITÓRIOS KREDITKARTE</x:v>
      </x:c>
      <x:c r="C2490" s="190" t="n">
        <x:v>10982046.86</x:v>
      </x:c>
      <x:c r="D2490" s="168" t="str">
        <x:v>REAG LEGAL CLAIMS GESTÃO DE ATIVOS</x:v>
      </x:c>
      <x:c r="E2490" s="168" t="str">
        <x:f>IFERROR(INDEX('Classif Gestoras'!$H$6:$H$462,MATCH(D2490,'Classif Gestoras'!$A$6:$A$462,0)),"Não classificada")</x:f>
        <x:v>Independente</x:v>
      </x:c>
      <x:c r="F2490" s="168" t="str">
        <x:v>PLANNER CV</x:v>
      </x:c>
      <x:c r="G2490" s="168" t="str">
        <x:v>PLANNER CORRETORA DE VALORES S.A.</x:v>
      </x:c>
      <x:c r="H2490" s="168" t="str">
        <x:v>Financeiro</x:v>
      </x:c>
      <x:c r="I2490" s="168" t="str">
        <x:v>Multicarteira Financeiro</x:v>
      </x:c>
      <x:c r="J2490" s="168" t="str">
        <x:v>CI</x:v>
      </x:c>
      <x:c r="K2490" s="174" t="n">
        <x:v>1</x:v>
      </x:c>
      <x:c r="L2490" s="187" t="str">
        <x:v>Proxy multicedente/multissacado — revisar</x:v>
      </x:c>
    </x:row>
    <x:row r="2491">
      <x:c r="A2491" s="177" t="str">
        <x:v>60.866.189/0001-21</x:v>
      </x:c>
      <x:c r="B2491" s="168" t="str">
        <x:v>ASHER FUNDO DE INVESTIMENTO EM DIREITOS CREDITÓRIOS</x:v>
      </x:c>
      <x:c r="C2491" s="190" t="n">
        <x:v>10970567.84</x:v>
      </x:c>
      <x:c r="D2491" s="168" t="str">
        <x:v>TERCON ASSET MANAGEMENT</x:v>
      </x:c>
      <x:c r="E2491" s="168" t="str">
        <x:f>IFERROR(INDEX('Classif Gestoras'!$H$6:$H$462,MATCH(D2491,'Classif Gestoras'!$A$6:$A$462,0)),"Não classificada")</x:f>
        <x:v>Independente</x:v>
      </x:c>
      <x:c r="F2491" s="168" t="str">
        <x:v>Singulare</x:v>
      </x:c>
      <x:c r="G2491" s="168" t="str">
        <x:v>QI CORRETORA DE TÍTULOS E VALORES MOBILIÁRIOS S.A.</x:v>
      </x:c>
      <x:c r="H2491" s="168" t="str">
        <x:v>Fomento Mercantil</x:v>
      </x:c>
      <x:c r="I2491" s="168" t="str">
        <x:v>Fomento Mercantil</x:v>
      </x:c>
      <x:c r="J2491" s="168" t="str">
        <x:v>CI</x:v>
      </x:c>
      <x:c r="K2491" s="174" t="n">
        <x:v>7</x:v>
      </x:c>
      <x:c r="L2491" s="187" t="str">
        <x:v>Não classificado</x:v>
      </x:c>
    </x:row>
    <x:row r="2492">
      <x:c r="A2492" s="177" t="str">
        <x:v>42.518.113/0001-23</x:v>
      </x:c>
      <x:c r="B2492" s="168" t="str">
        <x:v>SÃO CARLOS FUNDO DE INVESTIMENTO EM DIREITOS CREDITÓRIOS</x:v>
      </x:c>
      <x:c r="C2492" s="190" t="n">
        <x:v>10963188.12</x:v>
      </x:c>
      <x:c r="D2492" s="168" t="str">
        <x:v>PLANNER CV</x:v>
      </x:c>
      <x:c r="E2492" s="168" t="str">
        <x:f>IFERROR(INDEX('Classif Gestoras'!$H$6:$H$462,MATCH(D2492,'Classif Gestoras'!$A$6:$A$462,0)),"Não classificada")</x:f>
        <x:v>Independente</x:v>
      </x:c>
      <x:c r="F2492" s="168" t="str">
        <x:v>PLANNER CV</x:v>
      </x:c>
      <x:c r="G2492" s="168" t="str">
        <x:v>PLANNER CORRETORA DE VALORES S.A.</x:v>
      </x:c>
      <x:c r="H2492" s="168" t="str">
        <x:v>Outros</x:v>
      </x:c>
      <x:c r="I2492" s="168" t="str">
        <x:v>Multicarteira Outros</x:v>
      </x:c>
      <x:c r="J2492" s="168" t="str">
        <x:v>CI</x:v>
      </x:c>
      <x:c r="K2492" s="174" t="n">
        <x:v>1</x:v>
      </x:c>
      <x:c r="L2492" s="187" t="str">
        <x:v>Proxy multicedente/multissacado — revisar</x:v>
      </x:c>
    </x:row>
    <x:row r="2493">
      <x:c r="A2493" s="177" t="str">
        <x:v>62.075.485/0001-30</x:v>
      </x:c>
      <x:c r="B2493" s="168" t="str">
        <x:v>PB77 ACADEMIAS FUNDO DE INVESTIMENTO EM DIREITOS CREDITÓRIOS RESP LIMITADA</x:v>
      </x:c>
      <x:c r="C2493" s="190" t="n">
        <x:v>10955029.22</x:v>
      </x:c>
      <x:c r="D2493" s="168" t="str">
        <x:v>VERT Gestora de Recursos Financeiros Ltda.</x:v>
      </x:c>
      <x:c r="E2493" s="168" t="str">
        <x:f>IFERROR(INDEX('Classif Gestoras'!$H$6:$H$462,MATCH(D2493,'Classif Gestoras'!$A$6:$A$462,0)),"Não classificada")</x:f>
        <x:v>Independente</x:v>
      </x:c>
      <x:c r="F2493" s="168" t="str">
        <x:v>VERT Distribuidora de Títulos e Valores Mobiliários Ltd</x:v>
      </x:c>
      <x:c r="G2493" s="168" t="str">
        <x:v>VERT DISTRIBUIDORA DE TÍTULOS E VALORES MOBILIÁRIOS LTDA.</x:v>
      </x:c>
      <x:c r="H2493" s="168" t="str">
        <x:v>Agro, Indústria e Comércio</x:v>
      </x:c>
      <x:c r="I2493" s="168" t="str">
        <x:v>Crédito Corporativo</x:v>
      </x:c>
      <x:c r="J2493" s="168" t="str">
        <x:v>CI</x:v>
      </x:c>
      <x:c r="K2493" s="174" t="n">
        <x:v>2</x:v>
      </x:c>
      <x:c r="L2493" s="187" t="str">
        <x:v>Não classificado</x:v>
      </x:c>
    </x:row>
    <x:row r="2494">
      <x:c r="A2494" s="177" t="str">
        <x:v>52.259.737/0001-27</x:v>
      </x:c>
      <x:c r="B2494" s="168" t="str">
        <x:v>ISIDORO FUNDO DE INVESTIMENTO EM DIREITOS CREDITÓRIOS</x:v>
      </x:c>
      <x:c r="C2494" s="190" t="n">
        <x:v>10948777.56</x:v>
      </x:c>
      <x:c r="D2494" s="168" t="str">
        <x:v>Harbour Capital</x:v>
      </x:c>
      <x:c r="E2494" s="168" t="str">
        <x:f>IFERROR(INDEX('Classif Gestoras'!$H$6:$H$462,MATCH(D2494,'Classif Gestoras'!$A$6:$A$462,0)),"Não classificada")</x:f>
        <x:v>Independente</x:v>
      </x:c>
      <x:c r="F2494" s="168" t="str">
        <x:v>Singulare</x:v>
      </x:c>
      <x:c r="G2494" s="168" t="str">
        <x:v>QI CORRETORA DE TÍTULOS E VALORES MOBILIÁRIOS S.A.</x:v>
      </x:c>
      <x:c r="H2494" s="168" t="str">
        <x:v>Fomento Mercantil</x:v>
      </x:c>
      <x:c r="I2494" s="168" t="str">
        <x:v>Fomento Mercantil</x:v>
      </x:c>
      <x:c r="J2494" s="168" t="str">
        <x:v>CI</x:v>
      </x:c>
      <x:c r="K2494" s="174" t="n">
        <x:v>4</x:v>
      </x:c>
      <x:c r="L2494" s="187" t="str">
        <x:v>Não classificado</x:v>
      </x:c>
    </x:row>
    <x:row r="2495">
      <x:c r="A2495" s="177" t="str">
        <x:v>64.157.229/0001-17</x:v>
      </x:c>
      <x:c r="B2495" s="168" t="str">
        <x:v>RUMO NPL I FUNDO DE INVESTIMENTO EM DIREITOS CREDITÓRIOS NÃO-PADRONIZADOS</x:v>
      </x:c>
      <x:c r="C2495" s="190" t="n">
        <x:v>10925089.43</x:v>
      </x:c>
      <x:c r="D2495" s="168" t="str">
        <x:v>GV ATACAMA CAPITAL LTDA.</x:v>
      </x:c>
      <x:c r="E2495" s="168" t="str">
        <x:f>IFERROR(INDEX('Classif Gestoras'!$H$6:$H$462,MATCH(D2495,'Classif Gestoras'!$A$6:$A$462,0)),"Não classificada")</x:f>
        <x:v>Independente</x:v>
      </x:c>
      <x:c r="F2495" s="168" t="str">
        <x:v>Singulare</x:v>
      </x:c>
      <x:c r="G2495" s="168" t="str">
        <x:v>QI CORRETORA DE TÍTULOS E VALORES MOBILIÁRIOS S.A.</x:v>
      </x:c>
      <x:c r="H2495" s="168" t="str">
        <x:v>Outros</x:v>
      </x:c>
      <x:c r="I2495" s="168" t="str">
        <x:v>Multicarteira Outros</x:v>
      </x:c>
      <x:c r="J2495" s="168" t="str">
        <x:v>CI</x:v>
      </x:c>
      <x:c r="K2495" s="174" t="n">
        <x:v>1</x:v>
      </x:c>
      <x:c r="L2495" s="187" t="str">
        <x:v>Proxy multicedente/multissacado — revisar</x:v>
      </x:c>
    </x:row>
    <x:row r="2496">
      <x:c r="A2496" s="177" t="str">
        <x:v>52.165.424/0001-00</x:v>
      </x:c>
      <x:c r="B2496" s="168" t="str">
        <x:v>VOLTZ SUPPLY I FUNDO DE INVESTIMENTO EM DIREITOS CREDITÓRIOS RESPONSABILIDADE LIMITADA</x:v>
      </x:c>
      <x:c r="C2496" s="190" t="n">
        <x:v>10922145.06</x:v>
      </x:c>
      <x:c r="D2496" s="168" t="str">
        <x:v>POLÍGONO CAPITAL LTDA.</x:v>
      </x:c>
      <x:c r="E2496" s="168" t="str">
        <x:f>IFERROR(INDEX('Classif Gestoras'!$H$6:$H$462,MATCH(D2496,'Classif Gestoras'!$A$6:$A$462,0)),"Não classificada")</x:f>
        <x:v>Independente</x:v>
      </x:c>
      <x:c r="F2496" s="168" t="str">
        <x:v>BTG Pactual Servicos Financeiros S/A DTVM</x:v>
      </x:c>
      <x:c r="G2496" s="168" t="str">
        <x:v>BANCO BTG PACTUAL S/A</x:v>
      </x:c>
      <x:c r="H2496" s="168" t="str">
        <x:v>Outros</x:v>
      </x:c>
      <x:c r="I2496" s="168" t="str">
        <x:v>Multicarteira Outros</x:v>
      </x:c>
      <x:c r="J2496" s="168" t="str">
        <x:v>CI</x:v>
      </x:c>
      <x:c r="K2496" s="174" t="n">
        <x:v>9</x:v>
      </x:c>
      <x:c r="L2496" s="187" t="str">
        <x:v>Proxy multicedente/multissacado — revisar</x:v>
      </x:c>
    </x:row>
    <x:row r="2497">
      <x:c r="A2497" s="177" t="str">
        <x:v>45.145.516/0001-62</x:v>
      </x:c>
      <x:c r="B2497" s="168" t="str">
        <x:v>NEW DISTRESSED - FUNDO DE INVESTIMENTO EM DIREITOS CREDITÓRIOS</x:v>
      </x:c>
      <x:c r="C2497" s="190" t="n">
        <x:v>10903205.77</x:v>
      </x:c>
      <x:c r="D2497" s="168" t="str">
        <x:v>PLANNER CV</x:v>
      </x:c>
      <x:c r="E2497" s="168" t="str">
        <x:f>IFERROR(INDEX('Classif Gestoras'!$H$6:$H$462,MATCH(D2497,'Classif Gestoras'!$A$6:$A$462,0)),"Não classificada")</x:f>
        <x:v>Independente</x:v>
      </x:c>
      <x:c r="F2497" s="168" t="str">
        <x:v>PLANNER CV</x:v>
      </x:c>
      <x:c r="G2497" s="168" t="str">
        <x:v>TRUSTEE DISTRIBUIDORA DE TITULOS E VALORES MOBILIARIOS LTDA.</x:v>
      </x:c>
      <x:c r="H2497" s="168" t="str">
        <x:v>Outros</x:v>
      </x:c>
      <x:c r="I2497" s="168" t="str">
        <x:v>Multicarteira Outros</x:v>
      </x:c>
      <x:c r="J2497" s="168" t="str">
        <x:v>CI</x:v>
      </x:c>
      <x:c r="K2497" s="174" t="n">
        <x:v>1</x:v>
      </x:c>
      <x:c r="L2497" s="187" t="str">
        <x:v>Proxy multicedente/multissacado — revisar</x:v>
      </x:c>
    </x:row>
    <x:row r="2498">
      <x:c r="A2498" s="177" t="str">
        <x:v>60.315.951/0001-81</x:v>
      </x:c>
      <x:c r="B2498" s="168" t="str">
        <x:v>AVGA CAPITAL ARAUCÁRIA HIGH GRADE 30 FIC DE FIDC RESPONSABILIDADE LIMITADA</x:v>
      </x:c>
      <x:c r="C2498" s="190" t="n">
        <x:v>10883543.57</x:v>
      </x:c>
      <x:c r="D2498" s="168" t="str">
        <x:v>Tyr Gestao de Recursos Ltda</x:v>
      </x:c>
      <x:c r="E2498" s="168" t="str">
        <x:f>IFERROR(INDEX('Classif Gestoras'!$H$6:$H$462,MATCH(D2498,'Classif Gestoras'!$A$6:$A$462,0)),"Não classificada")</x:f>
        <x:v>Independente</x:v>
      </x:c>
      <x:c r="F2498" s="168" t="str">
        <x:v>BANCO DAYCOVAL S/A</x:v>
      </x:c>
      <x:c r="G2498" s="168" t="str">
        <x:v>BANCO DAYCOVAL S.A.</x:v>
      </x:c>
      <x:c r="H2498" s="168" t="str">
        <x:v>Outros</x:v>
      </x:c>
      <x:c r="I2498" s="168" t="str">
        <x:v>Multicarteira Outros</x:v>
      </x:c>
      <x:c r="J2498" s="168" t="str">
        <x:v>CI</x:v>
      </x:c>
      <x:c r="K2498" s="174" t="n">
        <x:v>23</x:v>
      </x:c>
      <x:c r="L2498" s="187" t="str">
        <x:v>Proxy multicedente/multissacado — revisar</x:v>
      </x:c>
    </x:row>
    <x:row r="2499">
      <x:c r="A2499" s="177" t="str">
        <x:v>58.325.399/0001-60</x:v>
      </x:c>
      <x:c r="B2499" s="168" t="str">
        <x:v>SET FUNDO DE INVESTIMENTO EM DIREITOS CREDITÓRIOS</x:v>
      </x:c>
      <x:c r="C2499" s="190" t="n">
        <x:v>10872796.64</x:v>
      </x:c>
      <x:c r="D2499" s="168" t="str">
        <x:v>Reag WM Gestora de Patrimônio Ltda</x:v>
      </x:c>
      <x:c r="E2499" s="168" t="str">
        <x:f>IFERROR(INDEX('Classif Gestoras'!$H$6:$H$462,MATCH(D2499,'Classif Gestoras'!$A$6:$A$462,0)),"Não classificada")</x:f>
        <x:v>Independente</x:v>
      </x:c>
      <x:c r="F2499" s="168" t="str">
        <x:v>PLANNER CV</x:v>
      </x:c>
      <x:c r="G2499" s="168" t="str">
        <x:v>PLANNER CORRETORA DE VALORES S.A.</x:v>
      </x:c>
      <x:c r="H2499" s="168" t="str">
        <x:v>Outros</x:v>
      </x:c>
      <x:c r="I2499" s="168" t="str">
        <x:v>Multicarteira Outros</x:v>
      </x:c>
      <x:c r="J2499" s="168" t="str">
        <x:v>CI</x:v>
      </x:c>
      <x:c r="K2499" s="174" t="n">
        <x:v>2</x:v>
      </x:c>
      <x:c r="L2499" s="187" t="str">
        <x:v>Proxy multicedente/multissacado — revisar</x:v>
      </x:c>
    </x:row>
    <x:row r="2500">
      <x:c r="A2500" s="177" t="str">
        <x:v>59.682.659/0001-18</x:v>
      </x:c>
      <x:c r="B2500" s="168" t="str">
        <x:v>LUPUS FUNDO DE INVESTIMENTO EM DIREITOS CREDITÓRIOS DE RESPONSABILIDADE LIMITADA</x:v>
      </x:c>
      <x:c r="C2500" s="190" t="n">
        <x:v>10864451.07</x:v>
      </x:c>
      <x:c r="D2500" s="168" t="str">
        <x:v>Catálise Investimentos</x:v>
      </x:c>
      <x:c r="E2500" s="168" t="str">
        <x:f>IFERROR(INDEX('Classif Gestoras'!$H$6:$H$462,MATCH(D2500,'Classif Gestoras'!$A$6:$A$462,0)),"Não classificada")</x:f>
        <x:v>Independente</x:v>
      </x:c>
      <x:c r="F2500" s="168" t="str">
        <x:v>CATÁLISE DTVM</x:v>
      </x:c>
      <x:c r="G2500" s="168" t="str">
        <x:v>BANCO DAYCOVAL S.A.</x:v>
      </x:c>
      <x:c r="H2500" s="168" t="str">
        <x:v>Agro, Indústria e Comércio</x:v>
      </x:c>
      <x:c r="I2500" s="168" t="str">
        <x:v>Multicarteira Agro, Indústria e Comércio</x:v>
      </x:c>
      <x:c r="J2500" s="168" t="str">
        <x:v>CI</x:v>
      </x:c>
      <x:c r="K2500" s="174" t="n">
        <x:v>4</x:v>
      </x:c>
      <x:c r="L2500" s="187" t="str">
        <x:v>Proxy multicedente/multissacado — revisar</x:v>
      </x:c>
    </x:row>
    <x:row r="2501">
      <x:c r="A2501" s="177" t="str">
        <x:v>58.003.612/0001-18</x:v>
      </x:c>
      <x:c r="B2501" s="168" t="str">
        <x:v>ACARI FUNDO DE INVESTIMENTO EM DIREITOS CREDITÓRIOS</x:v>
      </x:c>
      <x:c r="C2501" s="190" t="n">
        <x:v>10862073.07</x:v>
      </x:c>
      <x:c r="D2501" s="168" t="str">
        <x:v>REAG LEGAL CLAIMS GESTÃO DE ATIVOS</x:v>
      </x:c>
      <x:c r="E2501" s="168" t="str">
        <x:f>IFERROR(INDEX('Classif Gestoras'!$H$6:$H$462,MATCH(D2501,'Classif Gestoras'!$A$6:$A$462,0)),"Não classificada")</x:f>
        <x:v>Independente</x:v>
      </x:c>
      <x:c r="F2501" s="168" t="str">
        <x:v>PLANNER CV</x:v>
      </x:c>
      <x:c r="G2501" s="168" t="str">
        <x:v>PLANNER CORRETORA DE VALORES S.A.</x:v>
      </x:c>
      <x:c r="H2501" s="168" t="str">
        <x:v>Outros</x:v>
      </x:c>
      <x:c r="I2501" s="168" t="str">
        <x:v>Multicarteira Outros</x:v>
      </x:c>
      <x:c r="J2501" s="168" t="str">
        <x:v>CI</x:v>
      </x:c>
      <x:c r="K2501" s="174" t="n">
        <x:v>1</x:v>
      </x:c>
      <x:c r="L2501" s="187" t="str">
        <x:v>Proxy multicedente/multissacado — revisar</x:v>
      </x:c>
    </x:row>
    <x:row r="2502">
      <x:c r="A2502" s="177" t="str">
        <x:v>35.178.750/0001-32</x:v>
      </x:c>
      <x:c r="B2502" s="168" t="str">
        <x:v>DIVICASH FUNDO DE INVESTIMENTO EM DIREITOS CREDITORIOS RESPONSABILIDADE LIMITADA</x:v>
      </x:c>
      <x:c r="C2502" s="190" t="n">
        <x:v>10842510.11</x:v>
      </x:c>
      <x:c r="D2502" s="168" t="str">
        <x:v>Libertas Asset</x:v>
      </x:c>
      <x:c r="E2502" s="168" t="str">
        <x:f>IFERROR(INDEX('Classif Gestoras'!$H$6:$H$462,MATCH(D2502,'Classif Gestoras'!$A$6:$A$462,0)),"Não classificada")</x:f>
        <x:v>Independente</x:v>
      </x:c>
      <x:c r="F2502" s="168" t="str">
        <x:v>ACTUAL DTVM</x:v>
      </x:c>
      <x:c r="G2502" s="168" t="str">
        <x:v>LASTRO RDV DTVM LTDA</x:v>
      </x:c>
      <x:c r="H2502" s="168" t="str">
        <x:v>Fomento Mercantil</x:v>
      </x:c>
      <x:c r="I2502" s="168" t="str">
        <x:v>Fomento Mercantil</x:v>
      </x:c>
      <x:c r="J2502" s="168" t="str">
        <x:v>CI</x:v>
      </x:c>
      <x:c r="K2502" s="174" t="n">
        <x:v>1</x:v>
      </x:c>
      <x:c r="L2502" s="187" t="str">
        <x:v>Não classificado</x:v>
      </x:c>
    </x:row>
    <x:row r="2503">
      <x:c r="A2503" s="177" t="str">
        <x:v>60.421.627/0001-48</x:v>
      </x:c>
      <x:c r="B2503" s="168" t="str">
        <x:v>PRIMO CAPITAL III FUNDO DE INVESTIMENTO EM DIREITOS CREDITÓRIOS RESPONSABILIDADE LIMITADA</x:v>
      </x:c>
      <x:c r="C2503" s="190" t="n">
        <x:v>10836824.9</x:v>
      </x:c>
      <x:c r="D2503" s="168" t="str">
        <x:v>Multinvest Capital</x:v>
      </x:c>
      <x:c r="E2503" s="168" t="str">
        <x:f>IFERROR(INDEX('Classif Gestoras'!$H$6:$H$462,MATCH(D2503,'Classif Gestoras'!$A$6:$A$462,0)),"Não classificada")</x:f>
        <x:v>Independente</x:v>
      </x:c>
      <x:c r="F2503" s="168" t="str">
        <x:v>VÓRTX DTVM</x:v>
      </x:c>
      <x:c r="G2503" s="168" t="str">
        <x:v>VORTX DISTRIBUIDORA DE TITULOS E VALORES MOBILIARIOS LTDA.</x:v>
      </x:c>
      <x:c r="H2503" s="168" t="str">
        <x:v>Outros</x:v>
      </x:c>
      <x:c r="I2503" s="168" t="str">
        <x:v>Poder Público</x:v>
      </x:c>
      <x:c r="J2503" s="168" t="str">
        <x:v>CI</x:v>
      </x:c>
      <x:c r="K2503" s="174" t="n">
        <x:v>25</x:v>
      </x:c>
      <x:c r="L2503" s="187" t="str">
        <x:v>Não classificado</x:v>
      </x:c>
    </x:row>
    <x:row r="2504">
      <x:c r="A2504" s="177" t="str">
        <x:v>57.570.843/0001-40</x:v>
      </x:c>
      <x:c r="B2504" s="168" t="str">
        <x:v>GENIAL HORUS FUNDO DE INVESTIMENTO EM DIREITOS CREDITÓRIOS DE RESPONSABILIDADE LIMITADA</x:v>
      </x:c>
      <x:c r="C2504" s="190" t="n">
        <x:v>10836566.829999998</x:v>
      </x:c>
      <x:c r="D2504" s="168" t="str">
        <x:v>GENIAL GESTÃO LTDA.</x:v>
      </x:c>
      <x:c r="E2504" s="168" t="str">
        <x:f>IFERROR(INDEX('Classif Gestoras'!$H$6:$H$462,MATCH(D2504,'Classif Gestoras'!$A$6:$A$462,0)),"Não classificada")</x:f>
        <x:v>Ligada a banco</x:v>
      </x:c>
      <x:c r="F2504" s="168" t="str">
        <x:v>Banco Genial S.A.</x:v>
      </x:c>
      <x:c r="G2504" s="168" t="str">
        <x:v>BANCO GENIAL S.A.</x:v>
      </x:c>
      <x:c r="H2504" s="168" t="str">
        <x:v>Outros</x:v>
      </x:c>
      <x:c r="I2504" s="168" t="str">
        <x:v>Multicarteira Outros</x:v>
      </x:c>
      <x:c r="J2504" s="168" t="str">
        <x:v>CI</x:v>
      </x:c>
      <x:c r="K2504" s="174" t="n">
        <x:v>2</x:v>
      </x:c>
      <x:c r="L2504" s="187" t="str">
        <x:v>Proxy multicedente/multissacado — revisar</x:v>
      </x:c>
    </x:row>
    <x:row r="2505">
      <x:c r="A2505" s="177" t="str">
        <x:v>63.385.567/0001-43</x:v>
      </x:c>
      <x:c r="B2505" s="168" t="str">
        <x:v>AURI OPEN FUNDO DE INVESTIMENTO EM DIREITOS CREDITÓRIOS RESPONSABILIDADE LIMITADA</x:v>
      </x:c>
      <x:c r="C2505" s="190" t="n">
        <x:v>10818038.94</x:v>
      </x:c>
      <x:c r="D2505" s="168" t="str">
        <x:v>Bless Capital Gestora de Recursos Ltda.</x:v>
      </x:c>
      <x:c r="E2505" s="168" t="str">
        <x:f>IFERROR(INDEX('Classif Gestoras'!$H$6:$H$462,MATCH(D2505,'Classif Gestoras'!$A$6:$A$462,0)),"Não classificada")</x:f>
        <x:v>Independente</x:v>
      </x:c>
      <x:c r="F2505" s="168" t="str">
        <x:v>ID Corretora de Títulos e Valores Mobiliários S.A.</x:v>
      </x:c>
      <x:c r="G2505" s="168" t="str">
        <x:v>ID CORRETORA DE TITULOS E VALORES MOBILIARIOS S.A.</x:v>
      </x:c>
      <x:c r="H2505" s="168" t="str">
        <x:v>Fomento Mercantil</x:v>
      </x:c>
      <x:c r="I2505" s="168" t="str">
        <x:v>Fomento Mercantil</x:v>
      </x:c>
      <x:c r="J2505" s="168" t="str">
        <x:v>CI</x:v>
      </x:c>
      <x:c r="K2505" s="174" t="n">
        <x:v>12</x:v>
      </x:c>
      <x:c r="L2505" s="187" t="str">
        <x:v>Não classificado</x:v>
      </x:c>
    </x:row>
    <x:row r="2506">
      <x:c r="A2506" s="177" t="str">
        <x:v>36.232.996/0001-08</x:v>
      </x:c>
      <x:c r="B2506" s="168" t="str">
        <x:v>OXYGEN FUNDO DE INVESTIMENTO EM DIREITOS CREDITÓRIOS MULTISSETORIAL</x:v>
      </x:c>
      <x:c r="C2506" s="190" t="n">
        <x:v>10775481.66</x:v>
      </x:c>
      <x:c r="D2506" s="168" t="str">
        <x:v>OURO PRETO INVESTIMENTOS</x:v>
      </x:c>
      <x:c r="E2506" s="168" t="str">
        <x:f>IFERROR(INDEX('Classif Gestoras'!$H$6:$H$462,MATCH(D2506,'Classif Gestoras'!$A$6:$A$462,0)),"Não classificada")</x:f>
        <x:v>Independente</x:v>
      </x:c>
      <x:c r="F2506" s="168" t="str">
        <x:v>Singulare</x:v>
      </x:c>
      <x:c r="G2506" s="168" t="str">
        <x:v>QI CORRETORA DE TÍTULOS E VALORES MOBILIÁRIOS S.A.</x:v>
      </x:c>
      <x:c r="H2506" s="168" t="str">
        <x:v>Fomento Mercantil</x:v>
      </x:c>
      <x:c r="I2506" s="168" t="str">
        <x:v>Fomento Mercantil</x:v>
      </x:c>
      <x:c r="J2506" s="168" t="str">
        <x:v>CI</x:v>
      </x:c>
      <x:c r="K2506" s="174" t="n">
        <x:v>1</x:v>
      </x:c>
      <x:c r="L2506" s="187" t="str">
        <x:v>Não classificado</x:v>
      </x:c>
    </x:row>
    <x:row r="2507">
      <x:c r="A2507" s="177" t="str">
        <x:v>59.891.249/0001-87</x:v>
      </x:c>
      <x:c r="B2507" s="168" t="str">
        <x:v>SYNTHÉO FUNDO DE INVESTIMENTO EM DIREITOS CREDITÓRIOS</x:v>
      </x:c>
      <x:c r="C2507" s="190" t="n">
        <x:v>10746307.44</x:v>
      </x:c>
      <x:c r="D2507" s="168" t="str">
        <x:v>TERCON ASSET MANAGEMENT</x:v>
      </x:c>
      <x:c r="E2507" s="168" t="str">
        <x:f>IFERROR(INDEX('Classif Gestoras'!$H$6:$H$462,MATCH(D2507,'Classif Gestoras'!$A$6:$A$462,0)),"Não classificada")</x:f>
        <x:v>Independente</x:v>
      </x:c>
      <x:c r="F2507" s="168" t="str">
        <x:v>Singulare</x:v>
      </x:c>
      <x:c r="G2507" s="168" t="str">
        <x:v>QI CORRETORA DE TÍTULOS E VALORES MOBILIÁRIOS S.A.</x:v>
      </x:c>
      <x:c r="H2507" s="168" t="str">
        <x:v>Fomento Mercantil</x:v>
      </x:c>
      <x:c r="I2507" s="168" t="str">
        <x:v>Fomento Mercantil</x:v>
      </x:c>
      <x:c r="J2507" s="168" t="str">
        <x:v>CI</x:v>
      </x:c>
      <x:c r="K2507" s="174" t="n">
        <x:v>11</x:v>
      </x:c>
      <x:c r="L2507" s="187" t="str">
        <x:v>Não classificado</x:v>
      </x:c>
    </x:row>
    <x:row r="2508">
      <x:c r="A2508" s="177" t="str">
        <x:v>62.917.185/0001-50</x:v>
      </x:c>
      <x:c r="B2508" s="168" t="str">
        <x:v>NEXT CAPITAL FUNDO DE INVESTIMENTO EM DIREITOS CREDITÓRIOS MULTICARTEIRA FINANCEIRO</x:v>
      </x:c>
      <x:c r="C2508" s="190" t="n">
        <x:v>10716374.39</x:v>
      </x:c>
      <x:c r="D2508" s="168" t="str">
        <x:v>Harbour Capital</x:v>
      </x:c>
      <x:c r="E2508" s="168" t="str">
        <x:f>IFERROR(INDEX('Classif Gestoras'!$H$6:$H$462,MATCH(D2508,'Classif Gestoras'!$A$6:$A$462,0)),"Não classificada")</x:f>
        <x:v>Independente</x:v>
      </x:c>
      <x:c r="F2508" s="168" t="str">
        <x:v>Singulare</x:v>
      </x:c>
      <x:c r="G2508" s="168" t="str">
        <x:v>QI CORRETORA DE TÍTULOS E VALORES MOBILIÁRIOS S.A.</x:v>
      </x:c>
      <x:c r="H2508" s="168" t="str">
        <x:v>Fomento Mercantil</x:v>
      </x:c>
      <x:c r="I2508" s="168" t="str">
        <x:v>Fomento Mercantil</x:v>
      </x:c>
      <x:c r="J2508" s="168" t="str">
        <x:v>CI</x:v>
      </x:c>
      <x:c r="K2508" s="174" t="n">
        <x:v>8</x:v>
      </x:c>
      <x:c r="L2508" s="187" t="str">
        <x:v>Não classificado</x:v>
      </x:c>
    </x:row>
    <x:row r="2509">
      <x:c r="A2509" s="177" t="str">
        <x:v>63.699.134/0001-62</x:v>
      </x:c>
      <x:c r="B2509" s="168" t="str">
        <x:v>GELMAR FUNDO DE INVESTIMENTO EM DIREITOS CREDITÓRIOS</x:v>
      </x:c>
      <x:c r="C2509" s="190" t="n">
        <x:v>10704175.3</x:v>
      </x:c>
      <x:c r="D2509" s="168" t="str">
        <x:v>TERCON ASSET MANAGEMENT</x:v>
      </x:c>
      <x:c r="E2509" s="168" t="str">
        <x:f>IFERROR(INDEX('Classif Gestoras'!$H$6:$H$462,MATCH(D2509,'Classif Gestoras'!$A$6:$A$462,0)),"Não classificada")</x:f>
        <x:v>Independente</x:v>
      </x:c>
      <x:c r="F2509" s="168" t="str">
        <x:v>Limine Trust Distribuidora de Titulos e Valores Mobiliá</x:v>
      </x:c>
      <x:c r="G2509" s="168" t="str">
        <x:v>LIMINE TRUST DISTRIBUIDORA DE TITULOS E VALORES MOBILIARIOS LTDA.</x:v>
      </x:c>
      <x:c r="H2509" s="168" t="str">
        <x:v>Fomento Mercantil</x:v>
      </x:c>
      <x:c r="I2509" s="168" t="str">
        <x:v>Fomento Mercantil</x:v>
      </x:c>
      <x:c r="J2509" s="168" t="str">
        <x:v>CI</x:v>
      </x:c>
      <x:c r="K2509" s="174" t="n">
        <x:v>2</x:v>
      </x:c>
      <x:c r="L2509" s="187" t="str">
        <x:v>Não classificado</x:v>
      </x:c>
    </x:row>
    <x:row r="2510">
      <x:c r="A2510" s="177" t="str">
        <x:v>61.872.284/0001-09</x:v>
      </x:c>
      <x:c r="B2510" s="168" t="str">
        <x:v>ORIGIN FUNDO DE INVESTIMENTO EM DIREITOS CREDITÓRIOS RESPONSABILIDADE LIMITADA</x:v>
      </x:c>
      <x:c r="C2510" s="190" t="n">
        <x:v>10637023.51</x:v>
      </x:c>
      <x:c r="D2510" s="168" t="str">
        <x:v>Bless Capital Gestora de Recursos Ltda.</x:v>
      </x:c>
      <x:c r="E2510" s="168" t="str">
        <x:f>IFERROR(INDEX('Classif Gestoras'!$H$6:$H$462,MATCH(D2510,'Classif Gestoras'!$A$6:$A$462,0)),"Não classificada")</x:f>
        <x:v>Independente</x:v>
      </x:c>
      <x:c r="F2510" s="168" t="str">
        <x:v>ID Corretora de Títulos e Valores Mobiliários S.A.</x:v>
      </x:c>
      <x:c r="G2510" s="168" t="str">
        <x:v>ID CORRETORA DE TITULOS E VALORES MOBILIARIOS S.A.</x:v>
      </x:c>
      <x:c r="H2510" s="168" t="str">
        <x:v>Outros</x:v>
      </x:c>
      <x:c r="I2510" s="168" t="str">
        <x:v>Multicarteira Outros</x:v>
      </x:c>
      <x:c r="J2510" s="168" t="str">
        <x:v>CI</x:v>
      </x:c>
      <x:c r="K2510" s="174" t="n">
        <x:v>14</x:v>
      </x:c>
      <x:c r="L2510" s="187" t="str">
        <x:v>Proxy multicedente/multissacado — revisar</x:v>
      </x:c>
    </x:row>
    <x:row r="2511">
      <x:c r="A2511" s="177" t="str">
        <x:v>61.386.784/0001-22</x:v>
      </x:c>
      <x:c r="B2511" s="168" t="str">
        <x:v>STRATEGI KOSMOS EVERGREEN FUNDO DE INVESTIMENTO EM DIREITOS CREDITÓRIOS DE RESP LIMITADA</x:v>
      </x:c>
      <x:c r="C2511" s="190" t="n">
        <x:v>10636095.4</x:v>
      </x:c>
      <x:c r="D2511" s="168" t="str">
        <x:v>STRATEGI CAPITAL ASSET MANAGEMENT</x:v>
      </x:c>
      <x:c r="E2511" s="168" t="str">
        <x:f>IFERROR(INDEX('Classif Gestoras'!$H$6:$H$462,MATCH(D2511,'Classif Gestoras'!$A$6:$A$462,0)),"Não classificada")</x:f>
        <x:v>Independente</x:v>
      </x:c>
      <x:c r="F2511" s="168" t="str">
        <x:v>BANCO DAYCOVAL S/A</x:v>
      </x:c>
      <x:c r="G2511" s="168" t="str">
        <x:v>BANCO DAYCOVAL S.A.</x:v>
      </x:c>
      <x:c r="H2511" s="168" t="str">
        <x:v>Outros</x:v>
      </x:c>
      <x:c r="I2511" s="168" t="str">
        <x:v>Multicarteira Outros</x:v>
      </x:c>
      <x:c r="J2511" s="168" t="str">
        <x:v>CI</x:v>
      </x:c>
      <x:c r="K2511" s="174" t="n">
        <x:v>17</x:v>
      </x:c>
      <x:c r="L2511" s="187" t="str">
        <x:v>Proxy multicedente/multissacado — revisar</x:v>
      </x:c>
    </x:row>
    <x:row r="2512">
      <x:c r="A2512" s="177" t="str">
        <x:v>47.968.593/0001-48</x:v>
      </x:c>
      <x:c r="B2512" s="168" t="str">
        <x:v>FUEL II FUNDO DE INVESTIMENTO EM DIREITOS CREDITÓRIOS - RESPONSABILIDADE LIMITADA</x:v>
      </x:c>
      <x:c r="C2512" s="190" t="n">
        <x:v>10631591.410000002</x:v>
      </x:c>
      <x:c r="D2512" s="168" t="str">
        <x:v>SOSU CAPITAL GESTÃO DE INVESTIMENTOS LTDA.</x:v>
      </x:c>
      <x:c r="E2512" s="168" t="str">
        <x:f>IFERROR(INDEX('Classif Gestoras'!$H$6:$H$462,MATCH(D2512,'Classif Gestoras'!$A$6:$A$462,0)),"Não classificada")</x:f>
        <x:v>Independente</x:v>
      </x:c>
      <x:c r="F2512" s="168" t="str">
        <x:v>BRL TRUST DTVM</x:v>
      </x:c>
      <x:c r="G2512" s="168" t="str">
        <x:v>BRL TRUST DISTRIBUIDORA DE TITULOS E VALORES MOBILIARIOS S.A.</x:v>
      </x:c>
      <x:c r="H2512" s="168" t="str">
        <x:v>Outros</x:v>
      </x:c>
      <x:c r="I2512" s="168" t="str">
        <x:v>Poder Público</x:v>
      </x:c>
      <x:c r="J2512" s="168" t="str">
        <x:v>CI</x:v>
      </x:c>
      <x:c r="K2512" s="174" t="n">
        <x:v>7</x:v>
      </x:c>
      <x:c r="L2512" s="187" t="str">
        <x:v>Não classificado</x:v>
      </x:c>
    </x:row>
    <x:row r="2513">
      <x:c r="A2513" s="177" t="str">
        <x:v>63.358.336/0001-40</x:v>
      </x:c>
      <x:c r="B2513" s="168" t="str">
        <x:v>IMPAR PGEO FUNDO DE INVESTIMENTO EM DIREITOS CREDITÓRIOS AÇÕES JUDICIAIS</x:v>
      </x:c>
      <x:c r="C2513" s="190" t="n">
        <x:v>10616542.39</x:v>
      </x:c>
      <x:c r="D2513" s="168" t="str">
        <x:v>Gustavo Henrique Fonseca de Oliveira</x:v>
      </x:c>
      <x:c r="E2513" s="168" t="str">
        <x:f>IFERROR(INDEX('Classif Gestoras'!$H$6:$H$462,MATCH(D2513,'Classif Gestoras'!$A$6:$A$462,0)),"Não classificada")</x:f>
        <x:v>Independente</x:v>
      </x:c>
      <x:c r="F2513" s="168" t="str">
        <x:v>LIONS DTVM</x:v>
      </x:c>
      <x:c r="G2513" s="168" t="str">
        <x:v>LIONS TRUST DISTRIBUIDORA DE TÍTULOS E VALORES MOBILIÁRIOS LTDA.</x:v>
      </x:c>
      <x:c r="H2513" s="168" t="str">
        <x:v>Outros</x:v>
      </x:c>
      <x:c r="I2513" s="168" t="str">
        <x:v>Poder Público</x:v>
      </x:c>
      <x:c r="J2513" s="168" t="str">
        <x:v>CI</x:v>
      </x:c>
      <x:c r="K2513" s="174" t="n">
        <x:v>1</x:v>
      </x:c>
      <x:c r="L2513" s="187" t="str">
        <x:v>Não classificado</x:v>
      </x:c>
    </x:row>
    <x:row r="2514">
      <x:c r="A2514" s="177" t="str">
        <x:v>63.834.653/0001-96</x:v>
      </x:c>
      <x:c r="B2514" s="168" t="str">
        <x:v>APOLLO CT FUNDO DE INVESTIMENTO EM DIREITOS CREDITÓRIOS CRÉDITO CONSIGNADO PRIVADO - RESP LIMITADA</x:v>
      </x:c>
      <x:c r="C2514" s="190" t="n">
        <x:v>10612413.98</x:v>
      </x:c>
      <x:c r="D2514" s="168" t="str">
        <x:v>Riza Securitização e Carteiras</x:v>
      </x:c>
      <x:c r="E2514" s="168" t="str">
        <x:f>IFERROR(INDEX('Classif Gestoras'!$H$6:$H$462,MATCH(D2514,'Classif Gestoras'!$A$6:$A$462,0)),"Não classificada")</x:f>
        <x:v>Independente</x:v>
      </x:c>
      <x:c r="F2514" s="168" t="str">
        <x:v>Oliveira Trust DTVM</x:v>
      </x:c>
      <x:c r="G2514" s="168" t="str">
        <x:v>OLIVEIRA TRUST DTVM S.A.</x:v>
      </x:c>
      <x:c r="H2514" s="168" t="str">
        <x:v>Financeiro</x:v>
      </x:c>
      <x:c r="I2514" s="168" t="str">
        <x:v>Crédito Consignado</x:v>
      </x:c>
      <x:c r="J2514" s="168" t="str">
        <x:v>CI</x:v>
      </x:c>
      <x:c r="K2514" s="174" t="n">
        <x:v>4</x:v>
      </x:c>
      <x:c r="L2514" s="187" t="str">
        <x:v>Não classificado</x:v>
      </x:c>
    </x:row>
    <x:row r="2515">
      <x:c r="A2515" s="177" t="str">
        <x:v>66.573.074/0001-25</x:v>
      </x:c>
      <x:c r="B2515" s="168" t="str">
        <x:v>SEVEN CRÉDITO ESTRUTURADO 90 FUNDO DE INVESTIMENTO EM DIREITOS CREDITÓRIOS RESPONSABILIDADE LIMITADA</x:v>
      </x:c>
      <x:c r="C2515" s="190" t="n">
        <x:v>10591315.46</x:v>
      </x:c>
      <x:c r="D2515" s="168" t="str">
        <x:v>SVN Gestora de Recursos Ltda.</x:v>
      </x:c>
      <x:c r="E2515" s="168" t="str">
        <x:f>IFERROR(INDEX('Classif Gestoras'!$H$6:$H$462,MATCH(D2515,'Classif Gestoras'!$A$6:$A$462,0)),"Não classificada")</x:f>
        <x:v>Independente</x:v>
      </x:c>
      <x:c r="F2515" s="168" t="str">
        <x:v>XPI CCTVM S/A</x:v>
      </x:c>
      <x:c r="G2515" s="168" t="str">
        <x:v>OLIVEIRA TRUST DTVM S.A.</x:v>
      </x:c>
      <x:c r="H2515" s="168" t="str">
        <x:v>Outros</x:v>
      </x:c>
      <x:c r="I2515" s="168" t="str">
        <x:v>Multicarteira Outros</x:v>
      </x:c>
      <x:c r="J2515" s="168" t="str">
        <x:v>CI</x:v>
      </x:c>
      <x:c r="K2515" s="174" t="n">
        <x:v>1</x:v>
      </x:c>
      <x:c r="L2515" s="187" t="str">
        <x:v>Proxy multicedente/multissacado — revisar</x:v>
      </x:c>
    </x:row>
    <x:row r="2516">
      <x:c r="A2516" s="177" t="str">
        <x:v>61.969.359/0001-66</x:v>
      </x:c>
      <x:c r="B2516" s="168" t="str">
        <x:v>NEW MERIDIAN FUNDO DE INVESTIMENTO EM DIREITOS CREDITÓRIOS MULTICARTEIRA OUTROS DE RESP LIMITADA</x:v>
      </x:c>
      <x:c r="C2516" s="190" t="n">
        <x:v>10589161.66</x:v>
      </x:c>
      <x:c r="D2516" s="168" t="str">
        <x:v>Genial Investimentos Corretora de Valores Mobiliários S.A.</x:v>
      </x:c>
      <x:c r="E2516" s="168" t="str">
        <x:f>IFERROR(INDEX('Classif Gestoras'!$H$6:$H$462,MATCH(D2516,'Classif Gestoras'!$A$6:$A$462,0)),"Não classificada")</x:f>
        <x:v>Ligada a banco</x:v>
      </x:c>
      <x:c r="F2516" s="168" t="str">
        <x:v>Genial Investimentos Corretora de Valores Mobiliários S.A.</x:v>
      </x:c>
      <x:c r="G2516" s="168" t="str">
        <x:v>BANCO GENIAL S.A.</x:v>
      </x:c>
      <x:c r="H2516" s="168" t="str">
        <x:v>Outros</x:v>
      </x:c>
      <x:c r="I2516" s="168" t="str">
        <x:v>Multicarteira Outros</x:v>
      </x:c>
      <x:c r="J2516" s="168" t="str">
        <x:v>CI</x:v>
      </x:c>
      <x:c r="K2516" s="174" t="n">
        <x:v>12</x:v>
      </x:c>
      <x:c r="L2516" s="187" t="str">
        <x:v>Proxy multicedente/multissacado — revisar</x:v>
      </x:c>
    </x:row>
    <x:row r="2517">
      <x:c r="A2517" s="177" t="str">
        <x:v>32.525.711/0001-76</x:v>
      </x:c>
      <x:c r="B2517" s="168" t="str">
        <x:v>UNIÃO FUNDO DE INVESTIMENTO EM DIREITOS CREDITÓRIOS</x:v>
      </x:c>
      <x:c r="C2517" s="190" t="n">
        <x:v>10574121.150000002</x:v>
      </x:c>
      <x:c r="D2517" s="168" t="str">
        <x:v>Multiplica Capital</x:v>
      </x:c>
      <x:c r="E2517" s="168" t="str">
        <x:f>IFERROR(INDEX('Classif Gestoras'!$H$6:$H$462,MATCH(D2517,'Classif Gestoras'!$A$6:$A$462,0)),"Não classificada")</x:f>
        <x:v>Independente</x:v>
      </x:c>
      <x:c r="F2517" s="168" t="str">
        <x:v>Singulare</x:v>
      </x:c>
      <x:c r="G2517" s="168" t="str">
        <x:v>QI CORRETORA DE TÍTULOS E VALORES MOBILIÁRIOS S.A.</x:v>
      </x:c>
      <x:c r="H2517" s="168" t="str">
        <x:v>Outros</x:v>
      </x:c>
      <x:c r="I2517" s="168" t="str">
        <x:v>Multicarteira Outros</x:v>
      </x:c>
      <x:c r="J2517" s="168" t="str">
        <x:v>CIC</x:v>
      </x:c>
      <x:c r="K2517" s="174" t="n">
        <x:v>7</x:v>
      </x:c>
      <x:c r="L2517" s="187" t="str">
        <x:v>Proxy multicedente/multissacado — revisar</x:v>
      </x:c>
    </x:row>
    <x:row r="2518">
      <x:c r="A2518" s="177" t="str">
        <x:v>63.393.491/0001-06</x:v>
      </x:c>
      <x:c r="B2518" s="168" t="str">
        <x:v>TECOL FUNDO DE INVESTIMENTO EM DIREITOS CREDITÓRIOS</x:v>
      </x:c>
      <x:c r="C2518" s="190" t="n">
        <x:v>10572080.21</x:v>
      </x:c>
      <x:c r="D2518" s="168" t="str">
        <x:v>UC Gestora de Recursos</x:v>
      </x:c>
      <x:c r="E2518" s="168" t="str">
        <x:f>IFERROR(INDEX('Classif Gestoras'!$H$6:$H$462,MATCH(D2518,'Classif Gestoras'!$A$6:$A$462,0)),"Não classificada")</x:f>
        <x:v>Independente</x:v>
      </x:c>
      <x:c r="F2518" s="168" t="str">
        <x:v>WNT DTVM</x:v>
      </x:c>
      <x:c r="G2518" s="168" t="str">
        <x:v>WNT CAPITAL DISTRIBUIDORA DE TITULOS E VALORES MOBILIARIOS S.A.</x:v>
      </x:c>
      <x:c r="H2518" s="168" t="str">
        <x:v>Fomento Mercantil</x:v>
      </x:c>
      <x:c r="I2518" s="168" t="str">
        <x:v>Fomento Mercantil</x:v>
      </x:c>
      <x:c r="J2518" s="168" t="str">
        <x:v>CI</x:v>
      </x:c>
      <x:c r="K2518" s="174" t="n">
        <x:v>2</x:v>
      </x:c>
      <x:c r="L2518" s="187" t="str">
        <x:v>Não classificado</x:v>
      </x:c>
    </x:row>
    <x:row r="2519">
      <x:c r="A2519" s="177" t="str">
        <x:v>64.510.628/0001-10</x:v>
      </x:c>
      <x:c r="B2519" s="168" t="str">
        <x:v>NOX FUNDO DE INVESTIMENTO EM DIREITOS CREDITÓRIOS</x:v>
      </x:c>
      <x:c r="C2519" s="190" t="n">
        <x:v>10455476.32</x:v>
      </x:c>
      <x:c r="D2519" s="168" t="str">
        <x:v>Redwood Asset Management</x:v>
      </x:c>
      <x:c r="E2519" s="168" t="str">
        <x:f>IFERROR(INDEX('Classif Gestoras'!$H$6:$H$462,MATCH(D2519,'Classif Gestoras'!$A$6:$A$462,0)),"Não classificada")</x:f>
        <x:v>Independente</x:v>
      </x:c>
      <x:c r="F2519" s="168" t="str">
        <x:v>PLANNER CV</x:v>
      </x:c>
      <x:c r="G2519" s="168" t="str">
        <x:v>PLANNER CORRETORA DE VALORES S.A.</x:v>
      </x:c>
      <x:c r="H2519" s="168" t="str">
        <x:v>Fomento Mercantil</x:v>
      </x:c>
      <x:c r="I2519" s="168" t="str">
        <x:v>Fomento Mercantil</x:v>
      </x:c>
      <x:c r="J2519" s="168" t="str">
        <x:v>CI</x:v>
      </x:c>
      <x:c r="K2519" s="174" t="n">
        <x:v>10</x:v>
      </x:c>
      <x:c r="L2519" s="187" t="str">
        <x:v>Não classificado</x:v>
      </x:c>
    </x:row>
    <x:row r="2520">
      <x:c r="A2520" s="177" t="str">
        <x:v>51.326.028/0001-54</x:v>
      </x:c>
      <x:c r="B2520" s="168" t="str">
        <x:v>LARCA CONSIGNADO FUNDO DE INVESTIMENTO EM DIREITOS CREDITÓRIOS RESPONSABILIDADE LIMITADA</x:v>
      </x:c>
      <x:c r="C2520" s="190" t="n">
        <x:v>10442764.89</x:v>
      </x:c>
      <x:c r="D2520" s="168" t="str">
        <x:v>KP GESTÃO DE RECURSOS LTDA.</x:v>
      </x:c>
      <x:c r="E2520" s="168" t="str">
        <x:f>IFERROR(INDEX('Classif Gestoras'!$H$6:$H$462,MATCH(D2520,'Classif Gestoras'!$A$6:$A$462,0)),"Não classificada")</x:f>
        <x:v>Independente</x:v>
      </x:c>
      <x:c r="F2520" s="168" t="str">
        <x:v>BANCO DAYCOVAL S/A</x:v>
      </x:c>
      <x:c r="G2520" s="168" t="str">
        <x:v>BANCO DAYCOVAL S.A.</x:v>
      </x:c>
      <x:c r="H2520" s="168" t="str">
        <x:v>Financeiro</x:v>
      </x:c>
      <x:c r="I2520" s="168" t="str">
        <x:v>Crédito Pessoal</x:v>
      </x:c>
      <x:c r="J2520" s="168" t="str">
        <x:v>CI</x:v>
      </x:c>
      <x:c r="K2520" s="174" t="n">
        <x:v>13</x:v>
      </x:c>
      <x:c r="L2520" s="187" t="str">
        <x:v>Não classificado</x:v>
      </x:c>
    </x:row>
    <x:row r="2521">
      <x:c r="A2521" s="177" t="str">
        <x:v>45.829.761/0001-99</x:v>
      </x:c>
      <x:c r="B2521" s="168" t="str">
        <x:v>FARMERS FIRST I FUNDO DE INVESTIMENTO EM DIREITOS CREDITÓRIOS</x:v>
      </x:c>
      <x:c r="C2521" s="190" t="n">
        <x:v>10437059.34</x:v>
      </x:c>
      <x:c r="D2521" s="168" t="str">
        <x:v>CAPSICUM ASSETS GESTÃO DE RECURSOS LTDA</x:v>
      </x:c>
      <x:c r="E2521" s="168" t="str">
        <x:f>IFERROR(INDEX('Classif Gestoras'!$H$6:$H$462,MATCH(D2521,'Classif Gestoras'!$A$6:$A$462,0)),"Não classificada")</x:f>
        <x:v>Independente</x:v>
      </x:c>
      <x:c r="F2521" s="168" t="str">
        <x:v>Banco Genial S.A.</x:v>
      </x:c>
      <x:c r="G2521" s="168" t="str">
        <x:v>BANCO GENIAL S.A.</x:v>
      </x:c>
      <x:c r="H2521" s="168" t="str">
        <x:v>Agro, Indústria e Comércio</x:v>
      </x:c>
      <x:c r="I2521" s="168" t="str">
        <x:v>Multicarteira Agro, Indústria e Comércio</x:v>
      </x:c>
      <x:c r="J2521" s="168" t="str">
        <x:v>CI</x:v>
      </x:c>
      <x:c r="K2521" s="174" t="n">
        <x:v>25</x:v>
      </x:c>
      <x:c r="L2521" s="187" t="str">
        <x:v>Proxy multicedente/multissacado — revisar</x:v>
      </x:c>
    </x:row>
    <x:row r="2522">
      <x:c r="A2522" s="177" t="str">
        <x:v>34.027.549/0001-91</x:v>
      </x:c>
      <x:c r="B2522" s="168" t="str">
        <x:v>SMARTCRED FUNDO DE INVESTIMENTO EM DIREITOS CREDITÓRIOS</x:v>
      </x:c>
      <x:c r="C2522" s="190" t="n">
        <x:v>10420945.48</x:v>
      </x:c>
      <x:c r="D2522" s="168" t="str">
        <x:v>TERCON ASSET MANAGEMENT</x:v>
      </x:c>
      <x:c r="E2522" s="168" t="str">
        <x:f>IFERROR(INDEX('Classif Gestoras'!$H$6:$H$462,MATCH(D2522,'Classif Gestoras'!$A$6:$A$462,0)),"Não classificada")</x:f>
        <x:v>Independente</x:v>
      </x:c>
      <x:c r="F2522" s="168" t="str">
        <x:v>Singulare</x:v>
      </x:c>
      <x:c r="G2522" s="168" t="str">
        <x:v>QI CORRETORA DE TÍTULOS E VALORES MOBILIÁRIOS S.A.</x:v>
      </x:c>
      <x:c r="H2522" s="168" t="str">
        <x:v>Fomento Mercantil</x:v>
      </x:c>
      <x:c r="I2522" s="168" t="str">
        <x:v>Fomento Mercantil</x:v>
      </x:c>
      <x:c r="J2522" s="168" t="str">
        <x:v>CI</x:v>
      </x:c>
      <x:c r="K2522" s="174" t="n">
        <x:v>14</x:v>
      </x:c>
      <x:c r="L2522" s="187" t="str">
        <x:v>Não classificado</x:v>
      </x:c>
    </x:row>
    <x:row r="2523">
      <x:c r="A2523" s="177" t="str">
        <x:v>39.338.006/0001-09</x:v>
      </x:c>
      <x:c r="B2523" s="168" t="str">
        <x:v>EQUIPMED FUNDO DE INVESTIMENTO EM DIREITOS CREDITÓRIOS DE RESPONSABILIDADE LIMITADA</x:v>
      </x:c>
      <x:c r="C2523" s="190" t="n">
        <x:v>10374857.2</x:v>
      </x:c>
      <x:c r="D2523" s="168" t="str">
        <x:v>POLÍGONO CAPITAL LTDA.</x:v>
      </x:c>
      <x:c r="E2523" s="168" t="str">
        <x:f>IFERROR(INDEX('Classif Gestoras'!$H$6:$H$462,MATCH(D2523,'Classif Gestoras'!$A$6:$A$462,0)),"Não classificada")</x:f>
        <x:v>Independente</x:v>
      </x:c>
      <x:c r="F2523" s="168" t="str">
        <x:v>BANCO DAYCOVAL S/A</x:v>
      </x:c>
      <x:c r="G2523" s="168" t="str">
        <x:v>BANCO DAYCOVAL S.A.</x:v>
      </x:c>
      <x:c r="H2523" s="168" t="str">
        <x:v>Agro, Indústria e Comércio</x:v>
      </x:c>
      <x:c r="I2523" s="168" t="str">
        <x:v>Multicarteira Agro, Indústria e Comércio</x:v>
      </x:c>
      <x:c r="J2523" s="168" t="str">
        <x:v>CI</x:v>
      </x:c>
      <x:c r="K2523" s="174" t="n">
        <x:v>25</x:v>
      </x:c>
      <x:c r="L2523" s="187" t="str">
        <x:v>Proxy multicedente/multissacado — revisar</x:v>
      </x:c>
    </x:row>
    <x:row r="2524">
      <x:c r="A2524" s="177" t="str">
        <x:v>59.677.032/0001-79</x:v>
      </x:c>
      <x:c r="B2524" s="168" t="str">
        <x:v>BOS FUNDO DE INVESTIMENTO EM DIREITOS CREDITÓRIOS</x:v>
      </x:c>
      <x:c r="C2524" s="190" t="n">
        <x:v>10358776.18</x:v>
      </x:c>
      <x:c r="D2524" s="168" t="str">
        <x:v>TERCON ASSET MANAGEMENT</x:v>
      </x:c>
      <x:c r="E2524" s="168" t="str">
        <x:f>IFERROR(INDEX('Classif Gestoras'!$H$6:$H$462,MATCH(D2524,'Classif Gestoras'!$A$6:$A$462,0)),"Não classificada")</x:f>
        <x:v>Independente</x:v>
      </x:c>
      <x:c r="F2524" s="168" t="str">
        <x:v>Singulare</x:v>
      </x:c>
      <x:c r="G2524" s="168" t="str">
        <x:v>QI CORRETORA DE TÍTULOS E VALORES MOBILIÁRIOS S.A.</x:v>
      </x:c>
      <x:c r="H2524" s="168" t="str">
        <x:v>Fomento Mercantil</x:v>
      </x:c>
      <x:c r="I2524" s="168" t="str">
        <x:v>Fomento Mercantil</x:v>
      </x:c>
      <x:c r="J2524" s="168" t="str">
        <x:v>CI</x:v>
      </x:c>
      <x:c r="K2524" s="174" t="n">
        <x:v>2</x:v>
      </x:c>
      <x:c r="L2524" s="187" t="str">
        <x:v>Não classificado</x:v>
      </x:c>
    </x:row>
    <x:row r="2525">
      <x:c r="A2525" s="177" t="str">
        <x:v>59.827.367/0001-26</x:v>
      </x:c>
      <x:c r="B2525" s="168" t="str">
        <x:v>DOTZFIN FUNDO DE INVESTIMENTO EM DIREITOS CREDITÓRIOS - RESPONSABILIDADE LIMITADA</x:v>
      </x:c>
      <x:c r="C2525" s="190" t="n">
        <x:v>10315827.45</x:v>
      </x:c>
      <x:c r="D2525" s="168" t="str">
        <x:v>REAG GESTÃO DE CRÉDITO</x:v>
      </x:c>
      <x:c r="E2525" s="168" t="str">
        <x:f>IFERROR(INDEX('Classif Gestoras'!$H$6:$H$462,MATCH(D2525,'Classif Gestoras'!$A$6:$A$462,0)),"Não classificada")</x:f>
        <x:v>Independente</x:v>
      </x:c>
      <x:c r="F2525" s="168" t="str">
        <x:v>Banvox DTVM</x:v>
      </x:c>
      <x:c r="G2525" s="168" t="str">
        <x:v>BANVOX DISTRIBUIDORA DE TITULOS E VALORES MOBILIARIOS LTDA</x:v>
      </x:c>
      <x:c r="H2525" s="168" t="str">
        <x:v>Financeiro</x:v>
      </x:c>
      <x:c r="I2525" s="168" t="str">
        <x:v>Crédito Pessoal</x:v>
      </x:c>
      <x:c r="J2525" s="168" t="str">
        <x:v>CI</x:v>
      </x:c>
      <x:c r="K2525" s="174" t="n">
        <x:v>1</x:v>
      </x:c>
      <x:c r="L2525" s="187" t="str">
        <x:v>Não classificado</x:v>
      </x:c>
    </x:row>
    <x:row r="2526">
      <x:c r="A2526" s="177" t="str">
        <x:v>64.310.285/0001-40</x:v>
      </x:c>
      <x:c r="B2526" s="168" t="str">
        <x:v>INFRA CAPITAL FUNDO DE INVESTIMENTO EM DIREITOS CREDITÓRIOS</x:v>
      </x:c>
      <x:c r="C2526" s="190" t="n">
        <x:v>10312542.5</x:v>
      </x:c>
      <x:c r="D2526" s="168" t="str">
        <x:v>ASSET MANAGEMENT</x:v>
      </x:c>
      <x:c r="E2526" s="168" t="str">
        <x:f>IFERROR(INDEX('Classif Gestoras'!$H$6:$H$462,MATCH(D2526,'Classif Gestoras'!$A$6:$A$462,0)),"Não classificada")</x:f>
        <x:v>Independente</x:v>
      </x:c>
      <x:c r="F2526" s="168" t="str">
        <x:v>AZUMI DISTRIBUIDORA DE TÍTULOS E VALORES MOBILIÁRIOS LT</x:v>
      </x:c>
      <x:c r="G2526" s="168" t="str">
        <x:v>AZUMI DISTRIBUIDORA DE TÍTULOS E VALORES MOBILIÁRIOS LTDA.</x:v>
      </x:c>
      <x:c r="H2526" s="168" t="str">
        <x:v>Fomento Mercantil</x:v>
      </x:c>
      <x:c r="I2526" s="168" t="str">
        <x:v>Fomento Mercantil</x:v>
      </x:c>
      <x:c r="J2526" s="168" t="str">
        <x:v>CI</x:v>
      </x:c>
      <x:c r="K2526" s="174" t="n">
        <x:v>2</x:v>
      </x:c>
      <x:c r="L2526" s="187" t="str">
        <x:v>Não classificado</x:v>
      </x:c>
    </x:row>
    <x:row r="2527">
      <x:c r="A2527" s="177" t="str">
        <x:v>63.670.894/0001-47</x:v>
      </x:c>
      <x:c r="B2527" s="168" t="str">
        <x:v>CATÁLISE ARAUCÁRIA FUNDO DE INVESTIMENTO EM DIREITOS CREDITÓRIOS DE RESPONSABILIDADE LIMITADA</x:v>
      </x:c>
      <x:c r="C2527" s="190" t="n">
        <x:v>10303570.12</x:v>
      </x:c>
      <x:c r="D2527" s="168" t="str">
        <x:v>Catálise Investimentos</x:v>
      </x:c>
      <x:c r="E2527" s="168" t="str">
        <x:f>IFERROR(INDEX('Classif Gestoras'!$H$6:$H$462,MATCH(D2527,'Classif Gestoras'!$A$6:$A$462,0)),"Não classificada")</x:f>
        <x:v>Independente</x:v>
      </x:c>
      <x:c r="F2527" s="168" t="str">
        <x:v>CATÁLISE DTVM</x:v>
      </x:c>
      <x:c r="G2527" s="168" t="str">
        <x:v>BANCO DAYCOVAL S.A.</x:v>
      </x:c>
      <x:c r="H2527" s="168" t="str">
        <x:v>Agro, Indústria e Comércio</x:v>
      </x:c>
      <x:c r="I2527" s="168" t="str">
        <x:v>Multicarteira Agro, Indústria e Comércio</x:v>
      </x:c>
      <x:c r="J2527" s="168" t="str">
        <x:v>CI</x:v>
      </x:c>
      <x:c r="K2527" s="174" t="n">
        <x:v>5</x:v>
      </x:c>
      <x:c r="L2527" s="187" t="str">
        <x:v>Proxy multicedente/multissacado — revisar</x:v>
      </x:c>
    </x:row>
    <x:row r="2528">
      <x:c r="A2528" s="177" t="str">
        <x:v>51.226.491/0001-24</x:v>
      </x:c>
      <x:c r="B2528" s="168" t="str">
        <x:v>WL3 FUNDO DE INVESTIMENTO EM DIREITOS CREDITÓRIOS</x:v>
      </x:c>
      <x:c r="C2528" s="190" t="n">
        <x:v>10283291.48</x:v>
      </x:c>
      <x:c r="D2528" s="168" t="str">
        <x:v>PLANNER CV</x:v>
      </x:c>
      <x:c r="E2528" s="168" t="str">
        <x:f>IFERROR(INDEX('Classif Gestoras'!$H$6:$H$462,MATCH(D2528,'Classif Gestoras'!$A$6:$A$462,0)),"Não classificada")</x:f>
        <x:v>Independente</x:v>
      </x:c>
      <x:c r="F2528" s="168" t="str">
        <x:v>PLANNER CV</x:v>
      </x:c>
      <x:c r="G2528" s="168" t="str">
        <x:v>PLANNER CORRETORA DE VALORES S.A.</x:v>
      </x:c>
      <x:c r="H2528" s="168" t="str">
        <x:v>Outros</x:v>
      </x:c>
      <x:c r="I2528" s="168" t="str">
        <x:v>Multicarteira Outros</x:v>
      </x:c>
      <x:c r="J2528" s="168" t="str">
        <x:v>CI</x:v>
      </x:c>
      <x:c r="K2528" s="174" t="n">
        <x:v>1</x:v>
      </x:c>
      <x:c r="L2528" s="187" t="str">
        <x:v>Proxy multicedente/multissacado — revisar</x:v>
      </x:c>
    </x:row>
    <x:row r="2529">
      <x:c r="A2529" s="177" t="str">
        <x:v>59.151.364/0001-15</x:v>
      </x:c>
      <x:c r="B2529" s="168" t="str">
        <x:v>POSITIVO TEC FUNDO DE INVESTIMENTO EM DIREITOS CREDITORIOS - RECEBIVEIS COMERCIAIS DE RESP LTDA</x:v>
      </x:c>
      <x:c r="C2529" s="190" t="n">
        <x:v>10264425.63</x:v>
      </x:c>
      <x:c r="D2529" s="168" t="str">
        <x:v>VALORA RENDA FIXA ESTRUTURADOS LTDA.</x:v>
      </x:c>
      <x:c r="E2529" s="168" t="str">
        <x:f>IFERROR(INDEX('Classif Gestoras'!$H$6:$H$462,MATCH(D2529,'Classif Gestoras'!$A$6:$A$462,0)),"Não classificada")</x:f>
        <x:v>Independente</x:v>
      </x:c>
      <x:c r="F2529" s="168" t="str">
        <x:v>Oliveira Trust DTVM</x:v>
      </x:c>
      <x:c r="G2529" s="168" t="str">
        <x:v>OLIVEIRA TRUST DTVM S.A.</x:v>
      </x:c>
      <x:c r="H2529" s="168" t="str">
        <x:v>Agro, Indústria e Comércio</x:v>
      </x:c>
      <x:c r="I2529" s="168" t="str">
        <x:v>Recebíveis Comerciais</x:v>
      </x:c>
      <x:c r="J2529" s="168" t="str">
        <x:v>CI</x:v>
      </x:c>
      <x:c r="K2529" s="174" t="n">
        <x:v>8</x:v>
      </x:c>
      <x:c r="L2529" s="187" t="str">
        <x:v>Não classificado</x:v>
      </x:c>
    </x:row>
    <x:row r="2530">
      <x:c r="A2530" s="177" t="str">
        <x:v>64.171.337/0001-44</x:v>
      </x:c>
      <x:c r="B2530" s="168" t="str">
        <x:v>MELL.RO &amp; MANCHESTER FUNDO DE INVESTIMENTO EM DIREITOS CREDITÓRIOS</x:v>
      </x:c>
      <x:c r="C2530" s="190" t="n">
        <x:v>10258541.03</x:v>
      </x:c>
      <x:c r="D2530" s="168" t="str">
        <x:v>TERCON ASSET MANAGEMENT</x:v>
      </x:c>
      <x:c r="E2530" s="168" t="str">
        <x:f>IFERROR(INDEX('Classif Gestoras'!$H$6:$H$462,MATCH(D2530,'Classif Gestoras'!$A$6:$A$462,0)),"Não classificada")</x:f>
        <x:v>Independente</x:v>
      </x:c>
      <x:c r="F2530" s="168" t="str">
        <x:v>Limine Trust Distribuidora de Titulos e Valores Mobiliá</x:v>
      </x:c>
      <x:c r="G2530" s="168" t="str">
        <x:v>LIMINE TRUST DISTRIBUIDORA DE TITULOS E VALORES MOBILIARIOS LTDA.</x:v>
      </x:c>
      <x:c r="H2530" s="168" t="str">
        <x:v>Agro, Indústria e Comércio</x:v>
      </x:c>
      <x:c r="I2530" s="168" t="str">
        <x:v>Multicarteira Agro, Indústria e Comércio</x:v>
      </x:c>
      <x:c r="J2530" s="168" t="str">
        <x:v>CI</x:v>
      </x:c>
      <x:c r="K2530" s="174" t="n">
        <x:v>4</x:v>
      </x:c>
      <x:c r="L2530" s="187" t="str">
        <x:v>Proxy multicedente/multissacado — revisar</x:v>
      </x:c>
    </x:row>
    <x:row r="2531">
      <x:c r="A2531" s="177" t="str">
        <x:v>51.768.553/0001-20</x:v>
      </x:c>
      <x:c r="B2531" s="168" t="str">
        <x:v>PASQUINI FUNDO DE INVESTIMENTO EM DIREITOS CREDITÓRIOS MULTISEGMENTOS DE RESPONSABILIDADE LIMITADA</x:v>
      </x:c>
      <x:c r="C2531" s="190" t="n">
        <x:v>10238965.079999998</x:v>
      </x:c>
      <x:c r="D2531" s="168" t="str">
        <x:v>Petra Capital</x:v>
      </x:c>
      <x:c r="E2531" s="168" t="str">
        <x:f>IFERROR(INDEX('Classif Gestoras'!$H$6:$H$462,MATCH(D2531,'Classif Gestoras'!$A$6:$A$462,0)),"Não classificada")</x:f>
        <x:v>Independente</x:v>
      </x:c>
      <x:c r="F2531" s="168" t="str">
        <x:v>Finaxis Corretora de Títulos e Valores Mobiliários S.A.</x:v>
      </x:c>
      <x:c r="G2531" s="168" t="str">
        <x:v>BANCO FINAXIS S.A.</x:v>
      </x:c>
      <x:c r="H2531" s="168" t="str">
        <x:v>Outros</x:v>
      </x:c>
      <x:c r="I2531" s="168" t="str">
        <x:v>Multicarteira Outros</x:v>
      </x:c>
      <x:c r="J2531" s="168" t="str">
        <x:v>CI</x:v>
      </x:c>
      <x:c r="K2531" s="174" t="n">
        <x:v>1</x:v>
      </x:c>
      <x:c r="L2531" s="187" t="str">
        <x:v>Proxy multicedente/multissacado — revisar</x:v>
      </x:c>
    </x:row>
    <x:row r="2532">
      <x:c r="A2532" s="177" t="str">
        <x:v>51.388.032/0001-47</x:v>
      </x:c>
      <x:c r="B2532" s="168" t="str">
        <x:v>ACTUAL FUNDO DE INVESTIMENTO EM DIREITOS CREDITÓRIOS MULTISSETORIAL</x:v>
      </x:c>
      <x:c r="C2532" s="190" t="n">
        <x:v>10236615.400000002</x:v>
      </x:c>
      <x:c r="D2532" s="168" t="str">
        <x:v>ASSET MANAGEMENT</x:v>
      </x:c>
      <x:c r="E2532" s="168" t="str">
        <x:f>IFERROR(INDEX('Classif Gestoras'!$H$6:$H$462,MATCH(D2532,'Classif Gestoras'!$A$6:$A$462,0)),"Não classificada")</x:f>
        <x:v>Independente</x:v>
      </x:c>
      <x:c r="F2532" s="168" t="str">
        <x:v>AZUMI DISTRIBUIDORA DE TÍTULOS E VALORES MOBILIÁRIOS LT</x:v>
      </x:c>
      <x:c r="G2532" s="168" t="str">
        <x:v>AZUMI DISTRIBUIDORA DE TÍTULOS E VALORES MOBILIÁRIOS LTDA.</x:v>
      </x:c>
      <x:c r="H2532" s="168" t="str">
        <x:v>Outros</x:v>
      </x:c>
      <x:c r="I2532" s="168" t="str">
        <x:v>Multicarteira Outros</x:v>
      </x:c>
      <x:c r="J2532" s="168" t="str">
        <x:v>CI</x:v>
      </x:c>
      <x:c r="K2532" s="174" t="n">
        <x:v>11</x:v>
      </x:c>
      <x:c r="L2532" s="187" t="str">
        <x:v>Proxy multicedente/multissacado — revisar</x:v>
      </x:c>
    </x:row>
    <x:row r="2533">
      <x:c r="A2533" s="177" t="str">
        <x:v>26.704.185/0001-09</x:v>
      </x:c>
      <x:c r="B2533" s="168" t="str">
        <x:v>MTR 1 FUNDO DE INVESTIMENTO EM DIREITOS CREDITÓRIOS NÃO PADRONIZADOS</x:v>
      </x:c>
      <x:c r="C2533" s="190" t="n">
        <x:v>10206477.28</x:v>
      </x:c>
      <x:c r="D2533" s="168" t="str">
        <x:v>BURITI INVESTIMENTOS</x:v>
      </x:c>
      <x:c r="E2533" s="168" t="str">
        <x:f>IFERROR(INDEX('Classif Gestoras'!$H$6:$H$462,MATCH(D2533,'Classif Gestoras'!$A$6:$A$462,0)),"Não classificada")</x:f>
        <x:v>Independente</x:v>
      </x:c>
      <x:c r="F2533" s="168" t="str">
        <x:v>Singulare</x:v>
      </x:c>
      <x:c r="G2533" s="168" t="str">
        <x:v>QI CORRETORA DE TÍTULOS E VALORES MOBILIÁRIOS S.A.</x:v>
      </x:c>
      <x:c r="H2533" s="168" t="str">
        <x:v>Fomento Mercantil</x:v>
      </x:c>
      <x:c r="I2533" s="168" t="str">
        <x:v>Fomento Mercantil</x:v>
      </x:c>
      <x:c r="J2533" s="168" t="str">
        <x:v>CI</x:v>
      </x:c>
      <x:c r="K2533" s="174" t="n">
        <x:v>10</x:v>
      </x:c>
      <x:c r="L2533" s="187" t="str">
        <x:v>Não classificado</x:v>
      </x:c>
    </x:row>
    <x:row r="2534">
      <x:c r="A2534" s="177" t="str">
        <x:v>62.881.088/0001-55</x:v>
      </x:c>
      <x:c r="B2534" s="168" t="str">
        <x:v>FAKINI FUNDO DE INVESTIMENTO EM DIREITOS CREDITÓRIOS</x:v>
      </x:c>
      <x:c r="C2534" s="190" t="n">
        <x:v>10195482.45</x:v>
      </x:c>
      <x:c r="D2534" s="168" t="str">
        <x:v>SOMMA Investimentos</x:v>
      </x:c>
      <x:c r="E2534" s="168" t="str">
        <x:f>IFERROR(INDEX('Classif Gestoras'!$H$6:$H$462,MATCH(D2534,'Classif Gestoras'!$A$6:$A$462,0)),"Não classificada")</x:f>
        <x:v>Independente</x:v>
      </x:c>
      <x:c r="F2534" s="168" t="str">
        <x:v>Singulare</x:v>
      </x:c>
      <x:c r="G2534" s="168" t="str">
        <x:v>QI CORRETORA DE TÍTULOS E VALORES MOBILIÁRIOS S.A.</x:v>
      </x:c>
      <x:c r="H2534" s="168" t="str">
        <x:v>Fomento Mercantil</x:v>
      </x:c>
      <x:c r="I2534" s="168" t="str">
        <x:v>Fomento Mercantil</x:v>
      </x:c>
      <x:c r="J2534" s="168" t="str">
        <x:v>CI</x:v>
      </x:c>
      <x:c r="K2534" s="174" t="n">
        <x:v>5</x:v>
      </x:c>
      <x:c r="L2534" s="187" t="str">
        <x:v>Não classificado</x:v>
      </x:c>
    </x:row>
    <x:row r="2535">
      <x:c r="A2535" s="177" t="str">
        <x:v>43.164.614/0001-11</x:v>
      </x:c>
      <x:c r="B2535" s="168" t="str">
        <x:v>FUNDO DE RECUPERAÇÃO DE CRÉDITOS E ATIVOS FIDC RESP LIMITADA</x:v>
      </x:c>
      <x:c r="C2535" s="190" t="n">
        <x:v>10193571.89</x:v>
      </x:c>
      <x:c r="D2535" s="168" t="str">
        <x:v>JIVE INVESTMENTS</x:v>
      </x:c>
      <x:c r="E2535" s="168" t="str">
        <x:f>IFERROR(INDEX('Classif Gestoras'!$H$6:$H$462,MATCH(D2535,'Classif Gestoras'!$A$6:$A$462,0)),"Não classificada")</x:f>
        <x:v>Independente</x:v>
      </x:c>
      <x:c r="F2535" s="168" t="str">
        <x:v>MAF Distribuidora de Títulos e Valores Mobiliários S.A.</x:v>
      </x:c>
      <x:c r="G2535" s="168" t="str">
        <x:v>MAF DISTRIBUIDORA DE TITULOS E VALORES MOBILIARIOS S.A.</x:v>
      </x:c>
      <x:c r="H2535" s="168" t="str">
        <x:v>Outros</x:v>
      </x:c>
      <x:c r="I2535" s="168" t="str">
        <x:v>Recuperação</x:v>
      </x:c>
      <x:c r="J2535" s="168" t="str">
        <x:v>CI</x:v>
      </x:c>
      <x:c r="K2535" s="174" t="n">
        <x:v>1</x:v>
      </x:c>
      <x:c r="L2535" s="187" t="str">
        <x:v>Não classificado</x:v>
      </x:c>
    </x:row>
    <x:row r="2536">
      <x:c r="A2536" s="177" t="str">
        <x:v>60.707.702/0001-31</x:v>
      </x:c>
      <x:c r="B2536" s="168" t="str">
        <x:v>GHIA PRECATÓRIOS I FUNDO DE INVESTIMENTO EM DIREITOS CREDITÓRIOS</x:v>
      </x:c>
      <x:c r="C2536" s="190" t="n">
        <x:v>10162955.43</x:v>
      </x:c>
      <x:c r="D2536" s="168" t="str">
        <x:v>Ghia Asset Management</x:v>
      </x:c>
      <x:c r="E2536" s="168" t="str">
        <x:f>IFERROR(INDEX('Classif Gestoras'!$H$6:$H$462,MATCH(D2536,'Classif Gestoras'!$A$6:$A$462,0)),"Não classificada")</x:f>
        <x:v>Independente</x:v>
      </x:c>
      <x:c r="F2536" s="168" t="str">
        <x:v>BTG Pactual Servicos Financeiros S/A DTVM</x:v>
      </x:c>
      <x:c r="G2536" s="168" t="str">
        <x:v>BANCO BTG PACTUAL S/A</x:v>
      </x:c>
      <x:c r="H2536" s="168" t="str">
        <x:v>Outros</x:v>
      </x:c>
      <x:c r="I2536" s="168" t="str">
        <x:v>Poder Público</x:v>
      </x:c>
      <x:c r="J2536" s="168" t="str">
        <x:v>CI</x:v>
      </x:c>
      <x:c r="K2536" s="174" t="n">
        <x:v>1</x:v>
      </x:c>
      <x:c r="L2536" s="187" t="str">
        <x:v>Não classificado</x:v>
      </x:c>
    </x:row>
    <x:row r="2537">
      <x:c r="A2537" s="177" t="str">
        <x:v>61.374.410/0001-97</x:v>
      </x:c>
      <x:c r="B2537" s="168" t="str">
        <x:v>NEO CRÉDITO SPECIAL SITUATIONS FUNDO DE INVESTIMENTO EM DIREITOS CREDITÓRIOS RESP LIMITADA</x:v>
      </x:c>
      <x:c r="C2537" s="190" t="n">
        <x:v>10143844.170000002</x:v>
      </x:c>
      <x:c r="D2537" s="168" t="str">
        <x:v>SPECIAL SITUATIONS NEO GESTAO DE RECURSOS LTDA</x:v>
      </x:c>
      <x:c r="E2537" s="168" t="str">
        <x:f>IFERROR(INDEX('Classif Gestoras'!$H$6:$H$462,MATCH(D2537,'Classif Gestoras'!$A$6:$A$462,0)),"Não classificada")</x:f>
        <x:v>Independente</x:v>
      </x:c>
      <x:c r="F2537" s="168" t="str">
        <x:v>VÓRTX DTVM</x:v>
      </x:c>
      <x:c r="G2537" s="168" t="str">
        <x:v>VORTX DISTRIBUIDORA DE TITULOS E VALORES MOBILIARIOS LTDA.</x:v>
      </x:c>
      <x:c r="H2537" s="168" t="str">
        <x:v>Outros</x:v>
      </x:c>
      <x:c r="I2537" s="168" t="str">
        <x:v>Multicarteira Outros</x:v>
      </x:c>
      <x:c r="J2537" s="168" t="str">
        <x:v>CI</x:v>
      </x:c>
      <x:c r="K2537" s="174" t="n">
        <x:v>28</x:v>
      </x:c>
      <x:c r="L2537" s="187" t="str">
        <x:v>Proxy multicedente/multissacado — revisar</x:v>
      </x:c>
    </x:row>
    <x:row r="2538">
      <x:c r="A2538" s="177" t="str">
        <x:v>61.432.659/0001-01</x:v>
      </x:c>
      <x:c r="B2538" s="168" t="str">
        <x:v>KADESH FUNDO DE INVESTIMENTO EM DIREITOS CREDITÓRIOS</x:v>
      </x:c>
      <x:c r="C2538" s="190" t="n">
        <x:v>10117957.56</x:v>
      </x:c>
      <x:c r="D2538" s="168" t="str">
        <x:v>NORTH SEA CAPITAL</x:v>
      </x:c>
      <x:c r="E2538" s="168" t="str">
        <x:f>IFERROR(INDEX('Classif Gestoras'!$H$6:$H$462,MATCH(D2538,'Classif Gestoras'!$A$6:$A$462,0)),"Não classificada")</x:f>
        <x:v>Independente</x:v>
      </x:c>
      <x:c r="F2538" s="168" t="str">
        <x:v>Qore DTVM</x:v>
      </x:c>
      <x:c r="G2538" s="168" t="str">
        <x:v>QORE DISTRIBUIDORA DE TÍTULOS E VALORES MOBILIÁRIOS LTDA.</x:v>
      </x:c>
      <x:c r="H2538" s="168" t="str">
        <x:v>Outros</x:v>
      </x:c>
      <x:c r="I2538" s="168" t="str">
        <x:v>Multicarteira Outros</x:v>
      </x:c>
      <x:c r="J2538" s="168" t="str">
        <x:v>CI</x:v>
      </x:c>
      <x:c r="K2538" s="174" t="n">
        <x:v>1</x:v>
      </x:c>
      <x:c r="L2538" s="187" t="str">
        <x:v>Proxy multicedente/multissacado — revisar</x:v>
      </x:c>
    </x:row>
    <x:row r="2539">
      <x:c r="A2539" s="177" t="str">
        <x:v>64.656.842/0001-89</x:v>
      </x:c>
      <x:c r="B2539" s="168" t="str">
        <x:v>FUNDO DE INVESTIMENTO EM DIREITOS CREDITÓRIOS CONSIGNADO EXT SETHI - RESPONSABILIDADE LIMITADA</x:v>
      </x:c>
      <x:c r="C2539" s="190" t="n">
        <x:v>10111611.97</x:v>
      </x:c>
      <x:c r="D2539" s="168" t="str">
        <x:v>Ext Capital</x:v>
      </x:c>
      <x:c r="E2539" s="168" t="str">
        <x:f>IFERROR(INDEX('Classif Gestoras'!$H$6:$H$462,MATCH(D2539,'Classif Gestoras'!$A$6:$A$462,0)),"Não classificada")</x:f>
        <x:v>Independente</x:v>
      </x:c>
      <x:c r="F2539" s="168" t="str">
        <x:v>BANCO DAYCOVAL S/A</x:v>
      </x:c>
      <x:c r="G2539" s="168" t="str">
        <x:v>BANCO DAYCOVAL S.A.</x:v>
      </x:c>
      <x:c r="H2539" s="168" t="str">
        <x:v>Financeiro</x:v>
      </x:c>
      <x:c r="I2539" s="168" t="str">
        <x:v>Crédito Consignado</x:v>
      </x:c>
      <x:c r="J2539" s="168" t="str">
        <x:v>CI</x:v>
      </x:c>
      <x:c r="K2539" s="174" t="n">
        <x:v>3</x:v>
      </x:c>
      <x:c r="L2539" s="187" t="str">
        <x:v>Não classificado</x:v>
      </x:c>
    </x:row>
    <x:row r="2540">
      <x:c r="A2540" s="177" t="str">
        <x:v>63.823.888/0001-82</x:v>
      </x:c>
      <x:c r="B2540" s="168" t="str">
        <x:v>VETBANK FUNDO DE INVESTIMENTO EM DIREITOS CREDITÓRIOS RESPONSABILIDADE LIMITADA</x:v>
      </x:c>
      <x:c r="C2540" s="190" t="n">
        <x:v>10110864.590000002</x:v>
      </x:c>
      <x:c r="D2540" s="168" t="str">
        <x:v>Renova Gestora</x:v>
      </x:c>
      <x:c r="E2540" s="168" t="str">
        <x:f>IFERROR(INDEX('Classif Gestoras'!$H$6:$H$462,MATCH(D2540,'Classif Gestoras'!$A$6:$A$462,0)),"Não classificada")</x:f>
        <x:v>Independente</x:v>
      </x:c>
      <x:c r="F2540" s="168" t="str">
        <x:v>MONETAR DISTRIBUIDORA DE TITUL</x:v>
      </x:c>
      <x:c r="G2540" s="168" t="str">
        <x:v>TERRA INVESTIMENTOS DISTRIBUIDORA DE TITULOS E VALORES MOBILIARIOS LTDA</x:v>
      </x:c>
      <x:c r="H2540" s="168" t="str">
        <x:v>Outros</x:v>
      </x:c>
      <x:c r="I2540" s="168" t="str">
        <x:v>Multicarteira Outros</x:v>
      </x:c>
      <x:c r="J2540" s="168" t="str">
        <x:v>CI</x:v>
      </x:c>
      <x:c r="K2540" s="174" t="n">
        <x:v>1</x:v>
      </x:c>
      <x:c r="L2540" s="187" t="str">
        <x:v>Proxy multicedente/multissacado — revisar</x:v>
      </x:c>
    </x:row>
    <x:row r="2541">
      <x:c r="A2541" s="177" t="str">
        <x:v>32.969.493/0001-69</x:v>
      </x:c>
      <x:c r="B2541" s="168" t="str">
        <x:v>LIBER FUNDO DE INVESTIMENTO EM DIREITOS CREDITÓRIOS NÃO PADRONIZADO</x:v>
      </x:c>
      <x:c r="C2541" s="190" t="n">
        <x:v>10057664.33</x:v>
      </x:c>
      <x:c r="D2541" s="168" t="str">
        <x:v>GV ATACAMA CAPITAL LTDA.</x:v>
      </x:c>
      <x:c r="E2541" s="168" t="str">
        <x:f>IFERROR(INDEX('Classif Gestoras'!$H$6:$H$462,MATCH(D2541,'Classif Gestoras'!$A$6:$A$462,0)),"Não classificada")</x:f>
        <x:v>Independente</x:v>
      </x:c>
      <x:c r="F2541" s="168" t="str">
        <x:v>Singulare</x:v>
      </x:c>
      <x:c r="G2541" s="168" t="str">
        <x:v>QI CORRETORA DE TÍTULOS E VALORES MOBILIÁRIOS S.A.</x:v>
      </x:c>
      <x:c r="H2541" s="168" t="str">
        <x:v>Fomento Mercantil</x:v>
      </x:c>
      <x:c r="I2541" s="168" t="str">
        <x:v>Fomento Mercantil</x:v>
      </x:c>
      <x:c r="J2541" s="168" t="str">
        <x:v>CI</x:v>
      </x:c>
      <x:c r="K2541" s="174" t="n">
        <x:v>2</x:v>
      </x:c>
      <x:c r="L2541" s="187" t="str">
        <x:v>Não classificado</x:v>
      </x:c>
    </x:row>
    <x:row r="2542">
      <x:c r="A2542" s="177" t="str">
        <x:v>37.654.045/0001-90</x:v>
      </x:c>
      <x:c r="B2542" s="168" t="str">
        <x:v>QUATÁ NX FUNDO DE INVESTIMENTO EM DIREITOS CREDITÓRIOS - RESPONSABILIDADE LIMITADA</x:v>
      </x:c>
      <x:c r="C2542" s="190" t="n">
        <x:v>10056896.45</x:v>
      </x:c>
      <x:c r="D2542" s="168" t="str">
        <x:v>Quatá Investimentos</x:v>
      </x:c>
      <x:c r="E2542" s="168" t="str">
        <x:f>IFERROR(INDEX('Classif Gestoras'!$H$6:$H$462,MATCH(D2542,'Classif Gestoras'!$A$6:$A$462,0)),"Não classificada")</x:f>
        <x:v>Independente</x:v>
      </x:c>
      <x:c r="F2542" s="168" t="str">
        <x:v>BRL TRUST DTVM</x:v>
      </x:c>
      <x:c r="G2542" s="168" t="str">
        <x:v>BRL TRUST DISTRIBUIDORA DE TITULOS E VALORES MOBILIARIOS S.A.</x:v>
      </x:c>
      <x:c r="H2542" s="168" t="str">
        <x:v>Agro, Indústria e Comércio</x:v>
      </x:c>
      <x:c r="I2542" s="168" t="str">
        <x:v>Multicarteira Agro, Indústria e Comércio</x:v>
      </x:c>
      <x:c r="J2542" s="168" t="str">
        <x:v>CI</x:v>
      </x:c>
      <x:c r="K2542" s="174" t="n">
        <x:v>4</x:v>
      </x:c>
      <x:c r="L2542" s="187" t="str">
        <x:v>Proxy multicedente/multissacado — revisar</x:v>
      </x:c>
    </x:row>
    <x:row r="2543">
      <x:c r="A2543" s="177" t="str">
        <x:v>61.386.705/0001-83</x:v>
      </x:c>
      <x:c r="B2543" s="168" t="str">
        <x:v>PRANA CAPITAL PRIVATE CREDIT FIDC MULTICARTEIRA FINANCEIRO DE RESPLIMITADA</x:v>
      </x:c>
      <x:c r="C2543" s="190" t="n">
        <x:v>10003362.11</x:v>
      </x:c>
      <x:c r="D2543" s="168" t="str">
        <x:v>Harbour Capital</x:v>
      </x:c>
      <x:c r="E2543" s="168" t="str">
        <x:f>IFERROR(INDEX('Classif Gestoras'!$H$6:$H$462,MATCH(D2543,'Classif Gestoras'!$A$6:$A$462,0)),"Não classificada")</x:f>
        <x:v>Independente</x:v>
      </x:c>
      <x:c r="F2543" s="168" t="str">
        <x:v>BANCO DAYCOVAL S/A</x:v>
      </x:c>
      <x:c r="G2543" s="168" t="str">
        <x:v>BANCO DAYCOVAL S.A.</x:v>
      </x:c>
      <x:c r="H2543" s="168" t="str">
        <x:v>Outros</x:v>
      </x:c>
      <x:c r="I2543" s="168" t="str">
        <x:v>Multicarteira Outros</x:v>
      </x:c>
      <x:c r="J2543" s="168" t="str">
        <x:v>CI</x:v>
      </x:c>
      <x:c r="K2543" s="174" t="n">
        <x:v>42</x:v>
      </x:c>
      <x:c r="L2543" s="187" t="str">
        <x:v>Proxy multicedente/multissacado — revisar</x:v>
      </x:c>
    </x:row>
    <x:row r="2544">
      <x:c r="A2544" s="177" t="str">
        <x:v>64.145.940/0001-51</x:v>
      </x:c>
      <x:c r="B2544" s="168" t="str">
        <x:v>AZURE CONSIGNADOS III FUNDO DE INVESTIMENTO EM DIREITOS CREDITÓRIOS</x:v>
      </x:c>
      <x:c r="C2544" s="190" t="n">
        <x:v>9992622.77</x:v>
      </x:c>
      <x:c r="D2544" s="168" t="str">
        <x:v>Apuama Capital</x:v>
      </x:c>
      <x:c r="E2544" s="168" t="str">
        <x:f>IFERROR(INDEX('Classif Gestoras'!$H$6:$H$462,MATCH(D2544,'Classif Gestoras'!$A$6:$A$462,0)),"Não classificada")</x:f>
        <x:v>Independente</x:v>
      </x:c>
      <x:c r="F2544" s="168" t="str">
        <x:v>PLANNER CV</x:v>
      </x:c>
      <x:c r="G2544" s="168" t="str">
        <x:v>BANCO DAYCOVAL S.A.</x:v>
      </x:c>
      <x:c r="H2544" s="168" t="str">
        <x:v>Outros</x:v>
      </x:c>
      <x:c r="I2544" s="168" t="str">
        <x:v>Multicarteira Outros</x:v>
      </x:c>
      <x:c r="J2544" s="168" t="str">
        <x:v>CI</x:v>
      </x:c>
      <x:c r="K2544" s="174" t="n">
        <x:v>5</x:v>
      </x:c>
      <x:c r="L2544" s="187" t="str">
        <x:v>Proxy multicedente/multissacado — revisar</x:v>
      </x:c>
    </x:row>
    <x:row r="2545">
      <x:c r="A2545" s="177" t="str">
        <x:v>61.350.212/0001-93</x:v>
      </x:c>
      <x:c r="B2545" s="168" t="str">
        <x:v>HS FUNDO DE INVESTIMENTO EM DIREITOS CREDITÓRIOS NÃO-PADRONIZADOS RESPONSABILIDADE LIMITADA</x:v>
      </x:c>
      <x:c r="C2545" s="190" t="n">
        <x:v>9949169.87</x:v>
      </x:c>
      <x:c r="D2545" s="168" t="str">
        <x:v>GESTORA DE RECURSOS ID - GRID LTDA.</x:v>
      </x:c>
      <x:c r="E2545" s="168" t="str">
        <x:f>IFERROR(INDEX('Classif Gestoras'!$H$6:$H$462,MATCH(D2545,'Classif Gestoras'!$A$6:$A$462,0)),"Não classificada")</x:f>
        <x:v>Independente</x:v>
      </x:c>
      <x:c r="F2545" s="168" t="str">
        <x:v>ID Corretora de Títulos e Valores Mobiliários S.A.</x:v>
      </x:c>
      <x:c r="G2545" s="168" t="str">
        <x:v>ID CORRETORA DE TITULOS E VALORES MOBILIARIOS S.A.</x:v>
      </x:c>
      <x:c r="H2545" s="168" t="str">
        <x:v>Outros</x:v>
      </x:c>
      <x:c r="I2545" s="168" t="str">
        <x:v>Multicarteira Outros</x:v>
      </x:c>
      <x:c r="J2545" s="168" t="str">
        <x:v>CI</x:v>
      </x:c>
      <x:c r="K2545" s="174" t="n">
        <x:v>2</x:v>
      </x:c>
      <x:c r="L2545" s="187" t="str">
        <x:v>Proxy multicedente/multissacado — revisar</x:v>
      </x:c>
    </x:row>
    <x:row r="2546">
      <x:c r="A2546" s="177" t="str">
        <x:v>41.755.724/0001-22</x:v>
      </x:c>
      <x:c r="B2546" s="168" t="str">
        <x:v>LESTE CREDIT PRECATÓRIOS I FUNDO DE INVESTIMENTO EM DIREITOS CREDITÓRIOS RESPONSABILIDADE LIMITADA</x:v>
      </x:c>
      <x:c r="C2546" s="190" t="n">
        <x:v>9938235.63</x:v>
      </x:c>
      <x:c r="D2546" s="168" t="str">
        <x:v>Leste Credit Gestão de Recursos LTDA.</x:v>
      </x:c>
      <x:c r="E2546" s="168" t="str">
        <x:f>IFERROR(INDEX('Classif Gestoras'!$H$6:$H$462,MATCH(D2546,'Classif Gestoras'!$A$6:$A$462,0)),"Não classificada")</x:f>
        <x:v>Independente</x:v>
      </x:c>
      <x:c r="F2546" s="168" t="str">
        <x:v>PLANNER CV</x:v>
      </x:c>
      <x:c r="G2546" s="168" t="str">
        <x:v>PLANNER CORRETORA DE VALORES S.A.</x:v>
      </x:c>
      <x:c r="H2546" s="168" t="str">
        <x:v>Outros</x:v>
      </x:c>
      <x:c r="I2546" s="168" t="str">
        <x:v>Poder Público</x:v>
      </x:c>
      <x:c r="J2546" s="168" t="str">
        <x:v>CI</x:v>
      </x:c>
      <x:c r="K2546" s="174" t="n">
        <x:v>17</x:v>
      </x:c>
      <x:c r="L2546" s="187" t="str">
        <x:v>Não classificado</x:v>
      </x:c>
    </x:row>
    <x:row r="2547">
      <x:c r="A2547" s="177" t="str">
        <x:v>52.997.521/0001-69</x:v>
      </x:c>
      <x:c r="B2547" s="168" t="str">
        <x:v>UKF FUNDO DE INVESTIMENTO EM DIREITOS CREDITÓRIOS</x:v>
      </x:c>
      <x:c r="C2547" s="190" t="n">
        <x:v>9934167.93</x:v>
      </x:c>
      <x:c r="D2547" s="168" t="str">
        <x:v>Catálise Investimentos</x:v>
      </x:c>
      <x:c r="E2547" s="168" t="str">
        <x:f>IFERROR(INDEX('Classif Gestoras'!$H$6:$H$462,MATCH(D2547,'Classif Gestoras'!$A$6:$A$462,0)),"Não classificada")</x:f>
        <x:v>Independente</x:v>
      </x:c>
      <x:c r="F2547" s="168" t="str">
        <x:v>CATÁLISE DTVM</x:v>
      </x:c>
      <x:c r="G2547" s="168" t="str">
        <x:v>BANCO DAYCOVAL S.A.</x:v>
      </x:c>
      <x:c r="H2547" s="168" t="str">
        <x:v>Agro, Indústria e Comércio</x:v>
      </x:c>
      <x:c r="I2547" s="168" t="str">
        <x:v>Recebíveis Comerciais</x:v>
      </x:c>
      <x:c r="J2547" s="168" t="str">
        <x:v>CI</x:v>
      </x:c>
      <x:c r="K2547" s="174" t="n">
        <x:v>2</x:v>
      </x:c>
      <x:c r="L2547" s="187" t="str">
        <x:v>Não classificado</x:v>
      </x:c>
    </x:row>
    <x:row r="2548">
      <x:c r="A2548" s="177" t="str">
        <x:v>50.013.376/0001-09</x:v>
      </x:c>
      <x:c r="B2548" s="168" t="str">
        <x:v>GERAR CAPITAL FUNDO DE INVESTIMENTO EM DIREITOS CREDITÓRIOS DE CLASSE ÚNICA ABERTA</x:v>
      </x:c>
      <x:c r="C2548" s="190" t="n">
        <x:v>9896841.91</x:v>
      </x:c>
      <x:c r="D2548" s="168" t="str">
        <x:v>CARMEL GESTORA DE ATIVOS LTDA</x:v>
      </x:c>
      <x:c r="E2548" s="168" t="str">
        <x:f>IFERROR(INDEX('Classif Gestoras'!$H$6:$H$462,MATCH(D2548,'Classif Gestoras'!$A$6:$A$462,0)),"Não classificada")</x:f>
        <x:v>Independente</x:v>
      </x:c>
      <x:c r="F2548" s="168" t="str">
        <x:v>BRL TRUST DTVM</x:v>
      </x:c>
      <x:c r="G2548" s="168" t="str">
        <x:v>BRL TRUST DISTRIBUIDORA DE TITULOS E VALORES MOBILIARIOS S.A.</x:v>
      </x:c>
      <x:c r="H2548" s="168" t="str">
        <x:v>Fomento Mercantil</x:v>
      </x:c>
      <x:c r="I2548" s="168" t="str">
        <x:v>Fomento Mercantil</x:v>
      </x:c>
      <x:c r="J2548" s="168" t="str">
        <x:v>CI</x:v>
      </x:c>
      <x:c r="K2548" s="174" t="n">
        <x:v>11</x:v>
      </x:c>
      <x:c r="L2548" s="187" t="str">
        <x:v>Não classificado</x:v>
      </x:c>
    </x:row>
    <x:row r="2549">
      <x:c r="A2549" s="177" t="str">
        <x:v>61.896.279/0001-28</x:v>
      </x:c>
      <x:c r="B2549" s="168" t="str">
        <x:v>OTIMA FUNDO DE INVESTIMENTO EM DIREITOS CREDITÓRIOS</x:v>
      </x:c>
      <x:c r="C2549" s="190" t="n">
        <x:v>9874389.48</x:v>
      </x:c>
      <x:c r="D2549" s="168" t="str">
        <x:v>TERCON ASSET MANAGEMENT</x:v>
      </x:c>
      <x:c r="E2549" s="168" t="str">
        <x:f>IFERROR(INDEX('Classif Gestoras'!$H$6:$H$462,MATCH(D2549,'Classif Gestoras'!$A$6:$A$462,0)),"Não classificada")</x:f>
        <x:v>Independente</x:v>
      </x:c>
      <x:c r="F2549" s="168" t="str">
        <x:v>Singulare</x:v>
      </x:c>
      <x:c r="G2549" s="168" t="str">
        <x:v>QI CORRETORA DE TÍTULOS E VALORES MOBILIÁRIOS S.A.</x:v>
      </x:c>
      <x:c r="H2549" s="168" t="str">
        <x:v>Fomento Mercantil</x:v>
      </x:c>
      <x:c r="I2549" s="168" t="str">
        <x:v>Fomento Mercantil</x:v>
      </x:c>
      <x:c r="J2549" s="168" t="str">
        <x:v>CI</x:v>
      </x:c>
      <x:c r="K2549" s="174" t="n">
        <x:v>1</x:v>
      </x:c>
      <x:c r="L2549" s="187" t="str">
        <x:v>Não classificado</x:v>
      </x:c>
    </x:row>
    <x:row r="2550">
      <x:c r="A2550" s="177" t="str">
        <x:v>63.354.125/0001-30</x:v>
      </x:c>
      <x:c r="B2550" s="168" t="str">
        <x:v>NX CAPITAL FUNDO DE INVESTIMENTO EM DIREITOS CREDITÓRIOS NÃO PADRONIZADOS RESP LIMITADA</x:v>
      </x:c>
      <x:c r="C2550" s="190" t="n">
        <x:v>9789179.47</x:v>
      </x:c>
      <x:c r="D2550" s="168" t="str">
        <x:v>HÍBRIDO PARTNERS GESTORA DE RECURSOS LTDA.</x:v>
      </x:c>
      <x:c r="E2550" s="168" t="str">
        <x:f>IFERROR(INDEX('Classif Gestoras'!$H$6:$H$462,MATCH(D2550,'Classif Gestoras'!$A$6:$A$462,0)),"Não classificada")</x:f>
        <x:v>Independente</x:v>
      </x:c>
      <x:c r="F2550" s="168" t="str">
        <x:v>ID Corretora de Títulos e Valores Mobiliários S.A.</x:v>
      </x:c>
      <x:c r="G2550" s="168" t="str">
        <x:v>ID CORRETORA DE TITULOS E VALORES MOBILIARIOS S.A.</x:v>
      </x:c>
      <x:c r="H2550" s="168" t="str">
        <x:v>Outros</x:v>
      </x:c>
      <x:c r="I2550" s="168" t="str">
        <x:v>Multicarteira Outros</x:v>
      </x:c>
      <x:c r="J2550" s="168" t="str">
        <x:v>CI</x:v>
      </x:c>
      <x:c r="K2550" s="174" t="n">
        <x:v>11</x:v>
      </x:c>
      <x:c r="L2550" s="187" t="str">
        <x:v>Proxy multicedente/multissacado — revisar</x:v>
      </x:c>
    </x:row>
    <x:row r="2551">
      <x:c r="A2551" s="177" t="str">
        <x:v>09.239.216/0001-89</x:v>
      </x:c>
      <x:c r="B2551" s="168" t="str">
        <x:v>FUNDO DE INVESTIMENTO EM DIREITOS CREDITÓRIOS MULTISETORIAL SM LP</x:v>
      </x:c>
      <x:c r="C2551" s="190" t="n">
        <x:v>9784604.695</x:v>
      </x:c>
      <x:c r="D2551" s="168" t="str">
        <x:v>TERCON ASSET MANAGEMENT</x:v>
      </x:c>
      <x:c r="E2551" s="168" t="str">
        <x:f>IFERROR(INDEX('Classif Gestoras'!$H$6:$H$462,MATCH(D2551,'Classif Gestoras'!$A$6:$A$462,0)),"Não classificada")</x:f>
        <x:v>Independente</x:v>
      </x:c>
      <x:c r="F2551" s="168" t="str">
        <x:v>Singulare</x:v>
      </x:c>
      <x:c r="G2551" s="168" t="str">
        <x:v>QI CORRETORA DE TÍTULOS E VALORES MOBILIÁRIOS S.A.</x:v>
      </x:c>
      <x:c r="H2551" s="168" t="str">
        <x:v>Fomento Mercantil</x:v>
      </x:c>
      <x:c r="I2551" s="168" t="str">
        <x:v>Fomento Mercantil</x:v>
      </x:c>
      <x:c r="J2551" s="168" t="str">
        <x:v>CI</x:v>
      </x:c>
      <x:c r="K2551" s="174" t="n">
        <x:v>4</x:v>
      </x:c>
      <x:c r="L2551" s="187" t="str">
        <x:v>Não classificado</x:v>
      </x:c>
    </x:row>
    <x:row r="2552">
      <x:c r="A2552" s="177" t="str">
        <x:v>43.023.990/0001-96</x:v>
      </x:c>
      <x:c r="B2552" s="168" t="str">
        <x:v>FUNDO DE INVESTIMENTO EM DIREITOS CREDITÓRIOS QUASAR CB</x:v>
      </x:c>
      <x:c r="C2552" s="190" t="n">
        <x:v>9781519.839999998</x:v>
      </x:c>
      <x:c r="D2552" s="168" t="str">
        <x:v>REAG SPECIAL SITUATIONS</x:v>
      </x:c>
      <x:c r="E2552" s="168" t="str">
        <x:f>IFERROR(INDEX('Classif Gestoras'!$H$6:$H$462,MATCH(D2552,'Classif Gestoras'!$A$6:$A$462,0)),"Não classificada")</x:f>
        <x:v>Independente</x:v>
      </x:c>
      <x:c r="F2552" s="168" t="str">
        <x:v>Finvest Digital</x:v>
      </x:c>
      <x:c r="G2552" s="168" t="str">
        <x:v>FINVEST DISTRIBUIDORA DE TÍTULOS E VALORES MOBILIÁRIOS LTDA.</x:v>
      </x:c>
      <x:c r="H2552" s="168" t="str">
        <x:v>Agro, Indústria e Comércio</x:v>
      </x:c>
      <x:c r="I2552" s="168" t="str">
        <x:v>Crédito Corporativo</x:v>
      </x:c>
      <x:c r="J2552" s="168" t="str">
        <x:v>CI</x:v>
      </x:c>
      <x:c r="K2552" s="174" t="n">
        <x:v>9</x:v>
      </x:c>
      <x:c r="L2552" s="187" t="str">
        <x:v>Não classificado</x:v>
      </x:c>
    </x:row>
    <x:row r="2553">
      <x:c r="A2553" s="177" t="str">
        <x:v>62.124.934/0001-92</x:v>
      </x:c>
      <x:c r="B2553" s="168" t="str">
        <x:v>CNPJ 62124934000192</x:v>
      </x:c>
      <x:c r="C2553" s="190" t="n">
        <x:v>9778759.9</x:v>
      </x:c>
      <x:c r="D2553" s="168" t="str">
        <x:v>WNT Gestora de Recursos Ltda.</x:v>
      </x:c>
      <x:c r="E2553" s="168" t="str">
        <x:f>IFERROR(INDEX('Classif Gestoras'!$H$6:$H$462,MATCH(D2553,'Classif Gestoras'!$A$6:$A$462,0)),"Não classificada")</x:f>
        <x:v>Independente</x:v>
      </x:c>
      <x:c r="F2553" s="168" t="str">
        <x:v>WNT DTVM</x:v>
      </x:c>
      <x:c r="G2553" s="168" t="str">
        <x:v>Não identificado</x:v>
      </x:c>
      <x:c r="H2553" s="168" t="str">
        <x:v>Fomento Mercantil</x:v>
      </x:c>
      <x:c r="I2553" s="168" t="str">
        <x:v>Fomento Mercantil</x:v>
      </x:c>
      <x:c r="J2553" s="168" t="str">
        <x:v>CI</x:v>
      </x:c>
      <x:c r="K2553" s="174"/>
      <x:c r="L2553" s="187" t="str">
        <x:v>Não classificado</x:v>
      </x:c>
    </x:row>
    <x:row r="2554">
      <x:c r="A2554" s="177" t="str">
        <x:v>58.493.475/0001-47</x:v>
      </x:c>
      <x:c r="B2554" s="168" t="str">
        <x:v>PÉRGAMO FUNDO DE INVESTIMENTO EM DIREITOS CREDITÓRIOS</x:v>
      </x:c>
      <x:c r="C2554" s="190" t="n">
        <x:v>9740645.18</x:v>
      </x:c>
      <x:c r="D2554" s="168" t="str">
        <x:v>WNT Gestora de Recursos Ltda.</x:v>
      </x:c>
      <x:c r="E2554" s="168" t="str">
        <x:f>IFERROR(INDEX('Classif Gestoras'!$H$6:$H$462,MATCH(D2554,'Classif Gestoras'!$A$6:$A$462,0)),"Não classificada")</x:f>
        <x:v>Independente</x:v>
      </x:c>
      <x:c r="F2554" s="168" t="str">
        <x:v>WNT DTVM</x:v>
      </x:c>
      <x:c r="G2554" s="168" t="str">
        <x:v>WNT CAPITAL DISTRIBUIDORA DE TITULOS E VALORES MOBILIARIOS S.A.</x:v>
      </x:c>
      <x:c r="H2554" s="168" t="str">
        <x:v>Outros</x:v>
      </x:c>
      <x:c r="I2554" s="168" t="str">
        <x:v>Multicarteira Outros</x:v>
      </x:c>
      <x:c r="J2554" s="168" t="str">
        <x:v>CI</x:v>
      </x:c>
      <x:c r="K2554" s="174" t="n">
        <x:v>2</x:v>
      </x:c>
      <x:c r="L2554" s="187" t="str">
        <x:v>Proxy multicedente/multissacado — revisar</x:v>
      </x:c>
    </x:row>
    <x:row r="2555">
      <x:c r="A2555" s="177" t="str">
        <x:v>26.689.692/0001-10</x:v>
      </x:c>
      <x:c r="B2555" s="168" t="str">
        <x:v>ALGARVE FUNDO DE INVESTIMENTO EM DIREITOS CREDITÓRIOS</x:v>
      </x:c>
      <x:c r="C2555" s="190" t="n">
        <x:v>9700659</x:v>
      </x:c>
      <x:c r="D2555" s="168" t="str">
        <x:v>TRUSTEE DTVM</x:v>
      </x:c>
      <x:c r="E2555" s="168" t="str">
        <x:f>IFERROR(INDEX('Classif Gestoras'!$H$6:$H$462,MATCH(D2555,'Classif Gestoras'!$A$6:$A$462,0)),"Não classificada")</x:f>
        <x:v>Independente</x:v>
      </x:c>
      <x:c r="F2555" s="168" t="str">
        <x:v>TRUSTEE DTVM</x:v>
      </x:c>
      <x:c r="G2555" s="168" t="str">
        <x:v>TRUSTEE DISTRIBUIDORA DE TITULOS E VALORES MOBILIARIOS LTDA.</x:v>
      </x:c>
      <x:c r="H2555" s="168" t="str">
        <x:v>Outros</x:v>
      </x:c>
      <x:c r="I2555" s="168" t="str">
        <x:v>Multicarteira Outros</x:v>
      </x:c>
      <x:c r="J2555" s="168" t="str">
        <x:v>CI</x:v>
      </x:c>
      <x:c r="K2555" s="174" t="n">
        <x:v>2</x:v>
      </x:c>
      <x:c r="L2555" s="187" t="str">
        <x:v>Proxy multicedente/multissacado — revisar</x:v>
      </x:c>
    </x:row>
    <x:row r="2556">
      <x:c r="A2556" s="177" t="str">
        <x:v>34.553.995/0001-30</x:v>
      </x:c>
      <x:c r="B2556" s="168" t="str">
        <x:v>YIELD HUNTER - FUNDO DE INVESTIMENTO EM DIREITOS CREDITÓRIOS RESPONSABILIDADE LIMITADA</x:v>
      </x:c>
      <x:c r="C2556" s="190" t="n">
        <x:v>9685209.98</x:v>
      </x:c>
      <x:c r="D2556" s="168" t="str">
        <x:v>Strivo Gestora de Recursos S/A</x:v>
      </x:c>
      <x:c r="E2556" s="168" t="str">
        <x:f>IFERROR(INDEX('Classif Gestoras'!$H$6:$H$462,MATCH(D2556,'Classif Gestoras'!$A$6:$A$462,0)),"Não classificada")</x:f>
        <x:v>Independente</x:v>
      </x:c>
      <x:c r="F2556" s="168" t="str">
        <x:v>ID Corretora de Títulos e Valores Mobiliários S.A.</x:v>
      </x:c>
      <x:c r="G2556" s="168" t="str">
        <x:v>ID CORRETORA DE TITULOS E VALORES MOBILIARIOS S.A.</x:v>
      </x:c>
      <x:c r="H2556" s="168" t="str">
        <x:v>Outros</x:v>
      </x:c>
      <x:c r="I2556" s="168" t="str">
        <x:v>Multicarteira Outros</x:v>
      </x:c>
      <x:c r="J2556" s="168" t="str">
        <x:v>CI</x:v>
      </x:c>
      <x:c r="K2556" s="174" t="n">
        <x:v>1</x:v>
      </x:c>
      <x:c r="L2556" s="187" t="str">
        <x:v>Proxy multicedente/multissacado — revisar</x:v>
      </x:c>
    </x:row>
    <x:row r="2557">
      <x:c r="A2557" s="177" t="str">
        <x:v>52.315.385/0001-80</x:v>
      </x:c>
      <x:c r="B2557" s="168" t="str">
        <x:v>BACKSTAGE FUNDO DE INVESTIMENTO EM DIREITOS CREDITÓRIOS RESPONSABILIDADE LIMITADA</x:v>
      </x:c>
      <x:c r="C2557" s="190" t="n">
        <x:v>9678441.73</x:v>
      </x:c>
      <x:c r="D2557" s="168" t="str">
        <x:v>BTG Pactual Asset</x:v>
      </x:c>
      <x:c r="E2557" s="168" t="str">
        <x:f>IFERROR(INDEX('Classif Gestoras'!$H$6:$H$462,MATCH(D2557,'Classif Gestoras'!$A$6:$A$462,0)),"Não classificada")</x:f>
        <x:v>Ligada a banco</x:v>
      </x:c>
      <x:c r="F2557" s="168" t="str">
        <x:v>BTG Pactual Servicos Financeiros S/A DTVM</x:v>
      </x:c>
      <x:c r="G2557" s="168" t="str">
        <x:v>BANCO BTG PACTUAL S/A</x:v>
      </x:c>
      <x:c r="H2557" s="168" t="str">
        <x:v>Outros</x:v>
      </x:c>
      <x:c r="I2557" s="168" t="str">
        <x:v>Multicarteira Outros</x:v>
      </x:c>
      <x:c r="J2557" s="168" t="str">
        <x:v>CI</x:v>
      </x:c>
      <x:c r="K2557" s="174" t="n">
        <x:v>3</x:v>
      </x:c>
      <x:c r="L2557" s="187" t="str">
        <x:v>Proxy multicedente/multissacado — revisar</x:v>
      </x:c>
    </x:row>
    <x:row r="2558">
      <x:c r="A2558" s="177" t="str">
        <x:v>51.290.276/0001-92</x:v>
      </x:c>
      <x:c r="B2558" s="168" t="str">
        <x:v>BELAT BRASIL FUNDO DE INVESTIMENTO EM DIREITOS CREDITÓRIOS</x:v>
      </x:c>
      <x:c r="C2558" s="190" t="n">
        <x:v>9649374.84</x:v>
      </x:c>
      <x:c r="D2558" s="168" t="str">
        <x:v>FigTree Capital</x:v>
      </x:c>
      <x:c r="E2558" s="168" t="str">
        <x:f>IFERROR(INDEX('Classif Gestoras'!$H$6:$H$462,MATCH(D2558,'Classif Gestoras'!$A$6:$A$462,0)),"Não classificada")</x:f>
        <x:v>Independente</x:v>
      </x:c>
      <x:c r="F2558" s="168" t="str">
        <x:v>BRL TRUST DTVM</x:v>
      </x:c>
      <x:c r="G2558" s="168" t="str">
        <x:v>BRL TRUST DISTRIBUIDORA DE TITULOS E VALORES MOBILIARIOS S.A.</x:v>
      </x:c>
      <x:c r="H2558" s="168" t="str">
        <x:v>Outros</x:v>
      </x:c>
      <x:c r="I2558" s="168" t="str">
        <x:v>Multicarteira Outros</x:v>
      </x:c>
      <x:c r="J2558" s="168" t="str">
        <x:v>CI</x:v>
      </x:c>
      <x:c r="K2558" s="174" t="n">
        <x:v>15</x:v>
      </x:c>
      <x:c r="L2558" s="187" t="str">
        <x:v>Proxy multicedente/multissacado — revisar</x:v>
      </x:c>
    </x:row>
    <x:row r="2559">
      <x:c r="A2559" s="177" t="str">
        <x:v>48.982.247/0001-87</x:v>
      </x:c>
      <x:c r="B2559" s="168" t="str">
        <x:v>ALUGUEL INVEST FUNDO DE INVESTIMENTO EM DIREITOS CREDITÓRIOS - RESPONSABILIDADE LIMITADA</x:v>
      </x:c>
      <x:c r="C2559" s="190" t="n">
        <x:v>9638144.44</x:v>
      </x:c>
      <x:c r="D2559" s="168" t="str">
        <x:v>Moka Gestora de Recursos de Terceiros LTDA.</x:v>
      </x:c>
      <x:c r="E2559" s="168" t="str">
        <x:f>IFERROR(INDEX('Classif Gestoras'!$H$6:$H$462,MATCH(D2559,'Classif Gestoras'!$A$6:$A$462,0)),"Não classificada")</x:f>
        <x:v>Independente</x:v>
      </x:c>
      <x:c r="F2559" s="168" t="str">
        <x:v>Singulare</x:v>
      </x:c>
      <x:c r="G2559" s="168" t="str">
        <x:v>QI CORRETORA DE TÍTULOS E VALORES MOBILIÁRIOS S.A.</x:v>
      </x:c>
      <x:c r="H2559" s="168" t="str">
        <x:v>Fomento Mercantil</x:v>
      </x:c>
      <x:c r="I2559" s="168" t="str">
        <x:v>Fomento Mercantil</x:v>
      </x:c>
      <x:c r="J2559" s="168" t="str">
        <x:v>CI</x:v>
      </x:c>
      <x:c r="K2559" s="174" t="n">
        <x:v>1</x:v>
      </x:c>
      <x:c r="L2559" s="187" t="str">
        <x:v>Não classificado</x:v>
      </x:c>
    </x:row>
    <x:row r="2560">
      <x:c r="A2560" s="177" t="str">
        <x:v>57.074.057/0001-52</x:v>
      </x:c>
      <x:c r="B2560" s="168" t="str">
        <x:v>CNPJ 57074057000152</x:v>
      </x:c>
      <x:c r="C2560" s="190" t="n">
        <x:v>9623181.42</x:v>
      </x:c>
      <x:c r="D2560" s="168" t="str">
        <x:v>Galápagos</x:v>
      </x:c>
      <x:c r="E2560" s="168" t="str">
        <x:f>IFERROR(INDEX('Classif Gestoras'!$H$6:$H$462,MATCH(D2560,'Classif Gestoras'!$A$6:$A$462,0)),"Não classificada")</x:f>
        <x:v>Independente</x:v>
      </x:c>
      <x:c r="F2560" s="168" t="str">
        <x:v>VÓRTX DTVM</x:v>
      </x:c>
      <x:c r="G2560" s="168" t="str">
        <x:v>Não identificado</x:v>
      </x:c>
      <x:c r="H2560" s="168" t="str">
        <x:v>Agro, Indústria e Comércio</x:v>
      </x:c>
      <x:c r="I2560" s="168" t="str">
        <x:v>Agronegócio</x:v>
      </x:c>
      <x:c r="J2560" s="168" t="str">
        <x:v>CI</x:v>
      </x:c>
      <x:c r="K2560" s="174"/>
      <x:c r="L2560" s="187" t="str">
        <x:v>Não classificado</x:v>
      </x:c>
    </x:row>
    <x:row r="2561">
      <x:c r="A2561" s="177" t="str">
        <x:v>61.622.111/0001-24</x:v>
      </x:c>
      <x:c r="B2561" s="168" t="str">
        <x:v>WIND CUPERTINO FUNDO DE INVESTIMENTO EM DIREITOS CREDITÓRIOS - RESPONSABILIDADE LIMITADA</x:v>
      </x:c>
      <x:c r="C2561" s="190" t="n">
        <x:v>9621999.3</x:v>
      </x:c>
      <x:c r="D2561" s="168" t="str">
        <x:v>Cupertino Capital</x:v>
      </x:c>
      <x:c r="E2561" s="168" t="str">
        <x:f>IFERROR(INDEX('Classif Gestoras'!$H$6:$H$462,MATCH(D2561,'Classif Gestoras'!$A$6:$A$462,0)),"Não classificada")</x:f>
        <x:v>Independente</x:v>
      </x:c>
      <x:c r="F2561" s="168" t="str">
        <x:v>HEMERA DTVM</x:v>
      </x:c>
      <x:c r="G2561" s="168" t="str">
        <x:v>HEMERA DISTRIBUIDORA DE TITULOS E VALORES MOBILIARIOS LTDA</x:v>
      </x:c>
      <x:c r="H2561" s="168" t="str">
        <x:v>Fomento Mercantil</x:v>
      </x:c>
      <x:c r="I2561" s="168" t="str">
        <x:v>Fomento Mercantil</x:v>
      </x:c>
      <x:c r="J2561" s="168" t="str">
        <x:v>CI</x:v>
      </x:c>
      <x:c r="K2561" s="174" t="n">
        <x:v>9</x:v>
      </x:c>
      <x:c r="L2561" s="187" t="str">
        <x:v>Não classificado</x:v>
      </x:c>
    </x:row>
    <x:row r="2562">
      <x:c r="A2562" s="177" t="str">
        <x:v>58.821.092/0001-50</x:v>
      </x:c>
      <x:c r="B2562" s="168" t="str">
        <x:v>HOUSI FIDC DE CLASSE ÚNICA FECHADA DE RESPOSABILIDADE LIMITADA</x:v>
      </x:c>
      <x:c r="C2562" s="190" t="n">
        <x:v>9585146.89</x:v>
      </x:c>
      <x:c r="D2562" s="168" t="str">
        <x:v>CARMEL GESTORA DE ATIVOS LTDA</x:v>
      </x:c>
      <x:c r="E2562" s="168" t="str">
        <x:f>IFERROR(INDEX('Classif Gestoras'!$H$6:$H$462,MATCH(D2562,'Classif Gestoras'!$A$6:$A$462,0)),"Não classificada")</x:f>
        <x:v>Independente</x:v>
      </x:c>
      <x:c r="F2562" s="168" t="str">
        <x:v>BRL TRUST DTVM</x:v>
      </x:c>
      <x:c r="G2562" s="168" t="str">
        <x:v>BRL TRUST DISTRIBUIDORA DE TITULOS E VALORES MOBILIARIOS S.A.</x:v>
      </x:c>
      <x:c r="H2562" s="168" t="str">
        <x:v>Financeiro</x:v>
      </x:c>
      <x:c r="I2562" s="168" t="str">
        <x:v>Crédito Imobiliário</x:v>
      </x:c>
      <x:c r="J2562" s="168" t="str">
        <x:v>CI</x:v>
      </x:c>
      <x:c r="K2562" s="174" t="n">
        <x:v>2</x:v>
      </x:c>
      <x:c r="L2562" s="187" t="str">
        <x:v>Não classificado</x:v>
      </x:c>
    </x:row>
    <x:row r="2563">
      <x:c r="A2563" s="177" t="str">
        <x:v>28.536.554/0001-27</x:v>
      </x:c>
      <x:c r="B2563" s="168" t="str">
        <x:v>GÁTRIA II - FUNDO DE INVESTIMENTO EM DIREITOS CREDITÓRIOS - RESPONSABILIDADE LIMITADA</x:v>
      </x:c>
      <x:c r="C2563" s="190" t="n">
        <x:v>9574734.01</x:v>
      </x:c>
      <x:c r="D2563" s="168" t="str">
        <x:v>Mauá Capital Real Estate LTDA.</x:v>
      </x:c>
      <x:c r="E2563" s="168" t="str">
        <x:f>IFERROR(INDEX('Classif Gestoras'!$H$6:$H$462,MATCH(D2563,'Classif Gestoras'!$A$6:$A$462,0)),"Não classificada")</x:f>
        <x:v>Independente</x:v>
      </x:c>
      <x:c r="F2563" s="168" t="str">
        <x:v>Oliveira Trust DTVM</x:v>
      </x:c>
      <x:c r="G2563" s="168" t="str">
        <x:v>OLIVEIRA TRUST DTVM S.A.</x:v>
      </x:c>
      <x:c r="H2563" s="168" t="str">
        <x:v>Financeiro</x:v>
      </x:c>
      <x:c r="I2563" s="168" t="str">
        <x:v>Crédito Imobiliário</x:v>
      </x:c>
      <x:c r="J2563" s="168" t="str">
        <x:v>CI</x:v>
      </x:c>
      <x:c r="K2563" s="174" t="n">
        <x:v>1</x:v>
      </x:c>
      <x:c r="L2563" s="187" t="str">
        <x:v>Não classificado</x:v>
      </x:c>
    </x:row>
    <x:row r="2564">
      <x:c r="A2564" s="177" t="str">
        <x:v>26.861.630/0001-44</x:v>
      </x:c>
      <x:c r="B2564" s="168" t="str">
        <x:v>WELLINGTON FUNDO DE INVESTIMENTO EM DIREITOS CREDITÓRIOS - RESPONSABILIDADE LIMITADA</x:v>
      </x:c>
      <x:c r="C2564" s="190" t="n">
        <x:v>9509697.81</x:v>
      </x:c>
      <x:c r="D2564" s="168" t="str">
        <x:v>Vinci Soluções de Investimentos</x:v>
      </x:c>
      <x:c r="E2564" s="168" t="str">
        <x:f>IFERROR(INDEX('Classif Gestoras'!$H$6:$H$462,MATCH(D2564,'Classif Gestoras'!$A$6:$A$462,0)),"Não classificada")</x:f>
        <x:v>Independente</x:v>
      </x:c>
      <x:c r="F2564" s="168" t="str">
        <x:v>BRL TRUST DTVM</x:v>
      </x:c>
      <x:c r="G2564" s="168" t="str">
        <x:v>BRL TRUST DISTRIBUIDORA DE TITULOS E VALORES MOBILIARIOS S.A.</x:v>
      </x:c>
      <x:c r="H2564" s="168" t="str">
        <x:v>Outros</x:v>
      </x:c>
      <x:c r="I2564" s="168" t="str">
        <x:v>Recuperação</x:v>
      </x:c>
      <x:c r="J2564" s="168" t="str">
        <x:v>CI</x:v>
      </x:c>
      <x:c r="K2564" s="174" t="n">
        <x:v>1</x:v>
      </x:c>
      <x:c r="L2564" s="187" t="str">
        <x:v>Não classificado</x:v>
      </x:c>
    </x:row>
    <x:row r="2565">
      <x:c r="A2565" s="177" t="str">
        <x:v>28.849.641/0001-34</x:v>
      </x:c>
      <x:c r="B2565" s="168" t="str">
        <x:v>SQUID FUNDO DE INVESTIMENTO EM DIRETOS CREDITÓRIOS</x:v>
      </x:c>
      <x:c r="C2565" s="190" t="n">
        <x:v>9481923.37</x:v>
      </x:c>
      <x:c r="D2565" s="168" t="str">
        <x:v>Bless Capital Gestora de Recursos Ltda.</x:v>
      </x:c>
      <x:c r="E2565" s="168" t="str">
        <x:f>IFERROR(INDEX('Classif Gestoras'!$H$6:$H$462,MATCH(D2565,'Classif Gestoras'!$A$6:$A$462,0)),"Não classificada")</x:f>
        <x:v>Independente</x:v>
      </x:c>
      <x:c r="F2565" s="168" t="str">
        <x:v>ID Corretora de Títulos e Valores Mobiliários S.A.</x:v>
      </x:c>
      <x:c r="G2565" s="168" t="str">
        <x:v>ID CORRETORA DE TITULOS E VALORES MOBILIARIOS S.A.</x:v>
      </x:c>
      <x:c r="H2565" s="168" t="str">
        <x:v>Outros</x:v>
      </x:c>
      <x:c r="I2565" s="168" t="str">
        <x:v>Multicarteira Outros</x:v>
      </x:c>
      <x:c r="J2565" s="168" t="str">
        <x:v>CI</x:v>
      </x:c>
      <x:c r="K2565" s="174" t="n">
        <x:v>15</x:v>
      </x:c>
      <x:c r="L2565" s="187" t="str">
        <x:v>Proxy multicedente/multissacado — revisar</x:v>
      </x:c>
    </x:row>
    <x:row r="2566">
      <x:c r="A2566" s="177" t="str">
        <x:v>51.730.136/0001-98</x:v>
      </x:c>
      <x:c r="B2566" s="168" t="str">
        <x:v>INOVA CREDTECH IV FUNDO DE INVESTIMENTO EM DIREITOS CREDITÓRIOS NÃO-PADRONIZADOS</x:v>
      </x:c>
      <x:c r="C2566" s="190" t="n">
        <x:v>9440826.59</x:v>
      </x:c>
      <x:c r="D2566" s="168" t="str">
        <x:v>BERTHA CAPITAL</x:v>
      </x:c>
      <x:c r="E2566" s="168" t="str">
        <x:f>IFERROR(INDEX('Classif Gestoras'!$H$6:$H$462,MATCH(D2566,'Classif Gestoras'!$A$6:$A$462,0)),"Não classificada")</x:f>
        <x:v>Independente</x:v>
      </x:c>
      <x:c r="F2566" s="168" t="str">
        <x:v>AZUMI DISTRIBUIDORA DE TÍTULOS E VALORES MOBILIÁRIOS LT</x:v>
      </x:c>
      <x:c r="G2566" s="168" t="str">
        <x:v>AZUMI DISTRIBUIDORA DE TÍTULOS E VALORES MOBILIÁRIOS LTDA.</x:v>
      </x:c>
      <x:c r="H2566" s="168" t="str">
        <x:v>Outros</x:v>
      </x:c>
      <x:c r="I2566" s="168" t="str">
        <x:v>Multicarteira Outros</x:v>
      </x:c>
      <x:c r="J2566" s="168" t="str">
        <x:v>CI</x:v>
      </x:c>
      <x:c r="K2566" s="174" t="n">
        <x:v>1</x:v>
      </x:c>
      <x:c r="L2566" s="187" t="str">
        <x:v>Proxy multicedente/multissacado — revisar</x:v>
      </x:c>
    </x:row>
    <x:row r="2567">
      <x:c r="A2567" s="177" t="str">
        <x:v>36.517.586/0001-03</x:v>
      </x:c>
      <x:c r="B2567" s="168" t="str">
        <x:v>NEXUM FUNDO DE INVESTIMENTO EM DIREITOS CREDITÓRIOS</x:v>
      </x:c>
      <x:c r="C2567" s="190" t="n">
        <x:v>9432846.68</x:v>
      </x:c>
      <x:c r="D2567" s="168" t="str">
        <x:v>Quadrante Investimentos Ltda</x:v>
      </x:c>
      <x:c r="E2567" s="168" t="str">
        <x:f>IFERROR(INDEX('Classif Gestoras'!$H$6:$H$462,MATCH(D2567,'Classif Gestoras'!$A$6:$A$462,0)),"Não classificada")</x:f>
        <x:v>Independente</x:v>
      </x:c>
      <x:c r="F2567" s="168" t="str">
        <x:v>Finvest Digital</x:v>
      </x:c>
      <x:c r="G2567" s="168" t="str">
        <x:v>FINVEST DISTRIBUIDORA DE TÍTULOS E VALORES MOBILIÁRIOS LTDA.</x:v>
      </x:c>
      <x:c r="H2567" s="168" t="str">
        <x:v>Outros</x:v>
      </x:c>
      <x:c r="I2567" s="168" t="str">
        <x:v>Multicarteira Outros</x:v>
      </x:c>
      <x:c r="J2567" s="168" t="str">
        <x:v>CI</x:v>
      </x:c>
      <x:c r="K2567" s="174" t="n">
        <x:v>5</x:v>
      </x:c>
      <x:c r="L2567" s="187" t="str">
        <x:v>Proxy multicedente/multissacado — revisar</x:v>
      </x:c>
    </x:row>
    <x:row r="2568">
      <x:c r="A2568" s="177" t="str">
        <x:v>53.337.522/0001-40</x:v>
      </x:c>
      <x:c r="B2568" s="168" t="str">
        <x:v>CM FEDERAL II FUNDO DE INVESTIMENTO EM DIREITOS CREDITÓRIOS - RESPONSABILIDADE LIMITADA</x:v>
      </x:c>
      <x:c r="C2568" s="190" t="n">
        <x:v>9428277.76</x:v>
      </x:c>
      <x:c r="D2568" s="168" t="str">
        <x:v>BURITI INVESTIMENTOS</x:v>
      </x:c>
      <x:c r="E2568" s="168" t="str">
        <x:f>IFERROR(INDEX('Classif Gestoras'!$H$6:$H$462,MATCH(D2568,'Classif Gestoras'!$A$6:$A$462,0)),"Não classificada")</x:f>
        <x:v>Independente</x:v>
      </x:c>
      <x:c r="F2568" s="168" t="str">
        <x:v>Singulare</x:v>
      </x:c>
      <x:c r="G2568" s="168" t="str">
        <x:v>QI CORRETORA DE TÍTULOS E VALORES MOBILIÁRIOS S.A.</x:v>
      </x:c>
      <x:c r="H2568" s="168" t="str">
        <x:v>Outros</x:v>
      </x:c>
      <x:c r="I2568" s="168" t="str">
        <x:v>Multicarteira Outros</x:v>
      </x:c>
      <x:c r="J2568" s="168" t="str">
        <x:v>CI</x:v>
      </x:c>
      <x:c r="K2568" s="174" t="n">
        <x:v>5</x:v>
      </x:c>
      <x:c r="L2568" s="187" t="str">
        <x:v>Proxy multicedente/multissacado — revisar</x:v>
      </x:c>
    </x:row>
    <x:row r="2569">
      <x:c r="A2569" s="177" t="str">
        <x:v>47.151.680/0001-08</x:v>
      </x:c>
      <x:c r="B2569" s="168" t="str">
        <x:v>FARM TECH IBBA I FUNDO DE INVESTIMENTO EM DIREITOS CREDITÓRIOS RESPONSABILIDADE LIMITADA</x:v>
      </x:c>
      <x:c r="C2569" s="190" t="n">
        <x:v>9413409.31</x:v>
      </x:c>
      <x:c r="D2569" s="168" t="str">
        <x:v>Farmtech Gestão de Recursos Ltda.</x:v>
      </x:c>
      <x:c r="E2569" s="168" t="str">
        <x:f>IFERROR(INDEX('Classif Gestoras'!$H$6:$H$462,MATCH(D2569,'Classif Gestoras'!$A$6:$A$462,0)),"Não classificada")</x:f>
        <x:v>Independente</x:v>
      </x:c>
      <x:c r="F2569" s="168" t="str">
        <x:v>Oliveira Trust DTVM</x:v>
      </x:c>
      <x:c r="G2569" s="168" t="str">
        <x:v>OLIVEIRA TRUST DTVM S.A.</x:v>
      </x:c>
      <x:c r="H2569" s="168" t="str">
        <x:v>Agro, Indústria e Comércio</x:v>
      </x:c>
      <x:c r="I2569" s="168" t="str">
        <x:v>Recebíveis Comerciais</x:v>
      </x:c>
      <x:c r="J2569" s="168" t="str">
        <x:v>CI</x:v>
      </x:c>
      <x:c r="K2569" s="174" t="n">
        <x:v>3</x:v>
      </x:c>
      <x:c r="L2569" s="187" t="str">
        <x:v>Não classificado</x:v>
      </x:c>
    </x:row>
    <x:row r="2570">
      <x:c r="A2570" s="177" t="str">
        <x:v>42.299.351/0001-95</x:v>
      </x:c>
      <x:c r="B2570" s="168" t="str">
        <x:v>FIGTREE EDUCACIONAL FUNDO DE INVESTIMENTO EM DIREITOS CREDITÓRIOS - RESPONSABILIDADE LIMITADA</x:v>
      </x:c>
      <x:c r="C2570" s="190" t="n">
        <x:v>9382300.4</x:v>
      </x:c>
      <x:c r="D2570" s="168" t="str">
        <x:v>FigTree Capital</x:v>
      </x:c>
      <x:c r="E2570" s="168" t="str">
        <x:f>IFERROR(INDEX('Classif Gestoras'!$H$6:$H$462,MATCH(D2570,'Classif Gestoras'!$A$6:$A$462,0)),"Não classificada")</x:f>
        <x:v>Independente</x:v>
      </x:c>
      <x:c r="F2570" s="168" t="str">
        <x:v>BRL TRUST DTVM</x:v>
      </x:c>
      <x:c r="G2570" s="168" t="str">
        <x:v>BRL TRUST DISTRIBUIDORA DE TITULOS E VALORES MOBILIARIOS S.A.</x:v>
      </x:c>
      <x:c r="H2570" s="168" t="str">
        <x:v>Outros</x:v>
      </x:c>
      <x:c r="I2570" s="168" t="str">
        <x:v>Multicarteira Outros</x:v>
      </x:c>
      <x:c r="J2570" s="168" t="str">
        <x:v>CI</x:v>
      </x:c>
      <x:c r="K2570" s="174" t="n">
        <x:v>7</x:v>
      </x:c>
      <x:c r="L2570" s="187" t="str">
        <x:v>Proxy multicedente/multissacado — revisar</x:v>
      </x:c>
    </x:row>
    <x:row r="2571">
      <x:c r="A2571" s="177" t="str">
        <x:v>63.114.707/0001-49</x:v>
      </x:c>
      <x:c r="B2571" s="168" t="str">
        <x:v>G5 STAR II FUNDO DE INVESTIMENTO EM DIREITOS CREDITÓRIOS - NÃO PADRONIZADOS</x:v>
      </x:c>
      <x:c r="C2571" s="190" t="n">
        <x:v>9349240.6</x:v>
      </x:c>
      <x:c r="D2571" s="168" t="str">
        <x:v>G5 Adm. de Recursos</x:v>
      </x:c>
      <x:c r="E2571" s="168" t="str">
        <x:f>IFERROR(INDEX('Classif Gestoras'!$H$6:$H$462,MATCH(D2571,'Classif Gestoras'!$A$6:$A$462,0)),"Não classificada")</x:f>
        <x:v>Independente</x:v>
      </x:c>
      <x:c r="F2571" s="168" t="str">
        <x:v>Singulare</x:v>
      </x:c>
      <x:c r="G2571" s="168" t="str">
        <x:v>QI CORRETORA DE TÍTULOS E VALORES MOBILIÁRIOS S.A.</x:v>
      </x:c>
      <x:c r="H2571" s="168" t="str">
        <x:v>Fomento Mercantil</x:v>
      </x:c>
      <x:c r="I2571" s="168" t="str">
        <x:v>Fomento Mercantil</x:v>
      </x:c>
      <x:c r="J2571" s="168" t="str">
        <x:v>CI</x:v>
      </x:c>
      <x:c r="K2571" s="174" t="n">
        <x:v>1</x:v>
      </x:c>
      <x:c r="L2571" s="187" t="str">
        <x:v>Não classificado</x:v>
      </x:c>
    </x:row>
    <x:row r="2572">
      <x:c r="A2572" s="177" t="str">
        <x:v>35.265.104/0001-02</x:v>
      </x:c>
      <x:c r="B2572" s="168" t="str">
        <x:v>CNPJ 35265104000102</x:v>
      </x:c>
      <x:c r="C2572" s="190" t="n">
        <x:v>9342450.659999998</x:v>
      </x:c>
      <x:c r="D2572" s="168" t="str">
        <x:v>Libertas Asset</x:v>
      </x:c>
      <x:c r="E2572" s="168" t="str">
        <x:f>IFERROR(INDEX('Classif Gestoras'!$H$6:$H$462,MATCH(D2572,'Classif Gestoras'!$A$6:$A$462,0)),"Não classificada")</x:f>
        <x:v>Independente</x:v>
      </x:c>
      <x:c r="F2572" s="168" t="str">
        <x:v>ACTUAL DTVM</x:v>
      </x:c>
      <x:c r="G2572" s="168" t="str">
        <x:v>Não identificado</x:v>
      </x:c>
      <x:c r="H2572" s="168" t="str">
        <x:v>Fomento Mercantil</x:v>
      </x:c>
      <x:c r="I2572" s="168" t="str">
        <x:v>Fomento Mercantil</x:v>
      </x:c>
      <x:c r="J2572" s="168" t="str">
        <x:v>CI</x:v>
      </x:c>
      <x:c r="K2572" s="174"/>
      <x:c r="L2572" s="187" t="str">
        <x:v>Não classificado</x:v>
      </x:c>
    </x:row>
    <x:row r="2573">
      <x:c r="A2573" s="177" t="str">
        <x:v>60.309.214/0001-76</x:v>
      </x:c>
      <x:c r="B2573" s="168" t="str">
        <x:v>EXPOBAND FUNDO DE INVESTIMENTO EM DIREITOS CREDITORIOS RESPONSABILIDADE LIMITADA</x:v>
      </x:c>
      <x:c r="C2573" s="190" t="n">
        <x:v>9300376.34</x:v>
      </x:c>
      <x:c r="D2573" s="168" t="str">
        <x:v>Renova Gestora</x:v>
      </x:c>
      <x:c r="E2573" s="168" t="str">
        <x:f>IFERROR(INDEX('Classif Gestoras'!$H$6:$H$462,MATCH(D2573,'Classif Gestoras'!$A$6:$A$462,0)),"Não classificada")</x:f>
        <x:v>Independente</x:v>
      </x:c>
      <x:c r="F2573" s="168" t="str">
        <x:v>MONETAR DISTRIBUIDORA DE TITUL</x:v>
      </x:c>
      <x:c r="G2573" s="168" t="str">
        <x:v>TERRA INVESTIMENTOS DISTRIBUIDORA DE TITULOS E VALORES MOBILIARIOS LTDA</x:v>
      </x:c>
      <x:c r="H2573" s="168" t="str">
        <x:v>Outros</x:v>
      </x:c>
      <x:c r="I2573" s="168" t="str">
        <x:v>Multicarteira Outros</x:v>
      </x:c>
      <x:c r="J2573" s="168" t="str">
        <x:v>CI</x:v>
      </x:c>
      <x:c r="K2573" s="174" t="n">
        <x:v>4</x:v>
      </x:c>
      <x:c r="L2573" s="187" t="str">
        <x:v>Proxy multicedente/multissacado — revisar</x:v>
      </x:c>
    </x:row>
    <x:row r="2574">
      <x:c r="A2574" s="177" t="str">
        <x:v>48.327.323/0001-10</x:v>
      </x:c>
      <x:c r="B2574" s="168" t="str">
        <x:v>CASACRED FUNDO DE INVESTIMENTO EM DIREITOS CREDITÓRIOS</x:v>
      </x:c>
      <x:c r="C2574" s="190" t="n">
        <x:v>9268386.7</x:v>
      </x:c>
      <x:c r="D2574" s="168" t="str">
        <x:v>TERCON ASSET MANAGEMENT</x:v>
      </x:c>
      <x:c r="E2574" s="168" t="str">
        <x:f>IFERROR(INDEX('Classif Gestoras'!$H$6:$H$462,MATCH(D2574,'Classif Gestoras'!$A$6:$A$462,0)),"Não classificada")</x:f>
        <x:v>Independente</x:v>
      </x:c>
      <x:c r="F2574" s="168" t="str">
        <x:v>Singulare</x:v>
      </x:c>
      <x:c r="G2574" s="168" t="str">
        <x:v>QI CORRETORA DE TÍTULOS E VALORES MOBILIÁRIOS S.A.</x:v>
      </x:c>
      <x:c r="H2574" s="168" t="str">
        <x:v>Fomento Mercantil</x:v>
      </x:c>
      <x:c r="I2574" s="168" t="str">
        <x:v>Fomento Mercantil</x:v>
      </x:c>
      <x:c r="J2574" s="168" t="str">
        <x:v>CI</x:v>
      </x:c>
      <x:c r="K2574" s="174" t="n">
        <x:v>2</x:v>
      </x:c>
      <x:c r="L2574" s="187" t="str">
        <x:v>Não classificado</x:v>
      </x:c>
    </x:row>
    <x:row r="2575">
      <x:c r="A2575" s="177" t="str">
        <x:v>61.328.619/0001-14</x:v>
      </x:c>
      <x:c r="B2575" s="168" t="str">
        <x:v>FORTUNA BANK - FUNDO DE INVESTIMENTO EM DIREITOS CREDITÓRIOS NÃO-PADRONIZADOS</x:v>
      </x:c>
      <x:c r="C2575" s="190" t="n">
        <x:v>9260502.63</x:v>
      </x:c>
      <x:c r="D2575" s="168" t="str">
        <x:v>AZUMI ASSET</x:v>
      </x:c>
      <x:c r="E2575" s="168" t="str">
        <x:f>IFERROR(INDEX('Classif Gestoras'!$H$6:$H$462,MATCH(D2575,'Classif Gestoras'!$A$6:$A$462,0)),"Não classificada")</x:f>
        <x:v>Independente</x:v>
      </x:c>
      <x:c r="F2575" s="168" t="str">
        <x:v>AZUMI DISTRIBUIDORA DE TÍTULOS E VALORES MOBILIÁRIOS LT</x:v>
      </x:c>
      <x:c r="G2575" s="168" t="str">
        <x:v>AZUMI DISTRIBUIDORA DE TÍTULOS E VALORES MOBILIÁRIOS LTDA.</x:v>
      </x:c>
      <x:c r="H2575" s="168" t="str">
        <x:v>Fomento Mercantil</x:v>
      </x:c>
      <x:c r="I2575" s="168" t="str">
        <x:v>Fomento Mercantil</x:v>
      </x:c>
      <x:c r="J2575" s="168" t="str">
        <x:v>CI</x:v>
      </x:c>
      <x:c r="K2575" s="174" t="n">
        <x:v>5</x:v>
      </x:c>
      <x:c r="L2575" s="187" t="str">
        <x:v>Não classificado</x:v>
      </x:c>
    </x:row>
    <x:row r="2576">
      <x:c r="A2576" s="177" t="str">
        <x:v>42.196.361/0001-03</x:v>
      </x:c>
      <x:c r="B2576" s="168" t="str">
        <x:v>GRIFFIN INVESTMENTS FUNDO DE INVESTIMENTO EM DIREITOS CREDITÓRIOS NÃO PADRONIZADOS RESP LIMITADA</x:v>
      </x:c>
      <x:c r="C2576" s="190" t="n">
        <x:v>9221590.93</x:v>
      </x:c>
      <x:c r="D2576" s="168" t="str">
        <x:v>GESTORA DE RECURSOS ID - GRID LTDA.</x:v>
      </x:c>
      <x:c r="E2576" s="168" t="str">
        <x:f>IFERROR(INDEX('Classif Gestoras'!$H$6:$H$462,MATCH(D2576,'Classif Gestoras'!$A$6:$A$462,0)),"Não classificada")</x:f>
        <x:v>Independente</x:v>
      </x:c>
      <x:c r="F2576" s="168" t="str">
        <x:v>ID Corretora de Títulos e Valores Mobiliários S.A.</x:v>
      </x:c>
      <x:c r="G2576" s="168" t="str">
        <x:v>ID CORRETORA DE TITULOS E VALORES MOBILIARIOS S.A.</x:v>
      </x:c>
      <x:c r="H2576" s="168" t="str">
        <x:v>Outros</x:v>
      </x:c>
      <x:c r="I2576" s="168" t="str">
        <x:v>Multicarteira Outros</x:v>
      </x:c>
      <x:c r="J2576" s="168" t="str">
        <x:v>CI</x:v>
      </x:c>
      <x:c r="K2576" s="174" t="n">
        <x:v>1</x:v>
      </x:c>
      <x:c r="L2576" s="187" t="str">
        <x:v>Proxy multicedente/multissacado — revisar</x:v>
      </x:c>
    </x:row>
    <x:row r="2577">
      <x:c r="A2577" s="177" t="str">
        <x:v>40.211.684/0001-95</x:v>
      </x:c>
      <x:c r="B2577" s="168" t="str">
        <x:v>CREDINOV FUNDO DE INVESTIMENTO EM DIREITOS CREDITÓRIOS NÃO-PADRONIZADOS RESPONSABILIDADE LIMITADA</x:v>
      </x:c>
      <x:c r="C2577" s="190" t="n">
        <x:v>9193389.88</x:v>
      </x:c>
      <x:c r="D2577" s="168" t="str">
        <x:v>IDGR</x:v>
      </x:c>
      <x:c r="E2577" s="168" t="str">
        <x:f>IFERROR(INDEX('Classif Gestoras'!$H$6:$H$462,MATCH(D2577,'Classif Gestoras'!$A$6:$A$462,0)),"Não classificada")</x:f>
        <x:v>Independente</x:v>
      </x:c>
      <x:c r="F2577" s="168" t="str">
        <x:v>ID Corretora de Títulos e Valores Mobiliários S.A.</x:v>
      </x:c>
      <x:c r="G2577" s="168" t="str">
        <x:v>ID CORRETORA DE TITULOS E VALORES MOBILIARIOS S.A.</x:v>
      </x:c>
      <x:c r="H2577" s="168" t="str">
        <x:v>Outros</x:v>
      </x:c>
      <x:c r="I2577" s="168" t="str">
        <x:v>Multicarteira Outros</x:v>
      </x:c>
      <x:c r="J2577" s="168" t="str">
        <x:v>CI</x:v>
      </x:c>
      <x:c r="K2577" s="174" t="n">
        <x:v>3</x:v>
      </x:c>
      <x:c r="L2577" s="187" t="str">
        <x:v>Proxy multicedente/multissacado — revisar</x:v>
      </x:c>
    </x:row>
    <x:row r="2578">
      <x:c r="A2578" s="177" t="str">
        <x:v>40.101.938/0001-12</x:v>
      </x:c>
      <x:c r="B2578" s="168" t="str">
        <x:v>CENTRAL AGRO FUNDO DE INVESTIMENTO EM DIREITOS CREDITÓRIOS NÃO PADRONIZADO</x:v>
      </x:c>
      <x:c r="C2578" s="190" t="n">
        <x:v>9175472.44</x:v>
      </x:c>
      <x:c r="D2578" s="168" t="str">
        <x:v>GFS INVESTIMENTOS</x:v>
      </x:c>
      <x:c r="E2578" s="168" t="str">
        <x:f>IFERROR(INDEX('Classif Gestoras'!$H$6:$H$462,MATCH(D2578,'Classif Gestoras'!$A$6:$A$462,0)),"Não classificada")</x:f>
        <x:v>Independente</x:v>
      </x:c>
      <x:c r="F2578" s="168" t="str">
        <x:v>MONETAR DISTRIBUIDORA DE TITUL</x:v>
      </x:c>
      <x:c r="G2578" s="168" t="str">
        <x:v>TERRA INVESTIMENTOS DISTRIBUIDORA DE TITULOS E VALORES MOBILIARIOS LTDA</x:v>
      </x:c>
      <x:c r="H2578" s="168" t="str">
        <x:v>Outros</x:v>
      </x:c>
      <x:c r="I2578" s="168" t="str">
        <x:v>Multicarteira Outros</x:v>
      </x:c>
      <x:c r="J2578" s="168" t="str">
        <x:v>CI</x:v>
      </x:c>
      <x:c r="K2578" s="174" t="n">
        <x:v>1</x:v>
      </x:c>
      <x:c r="L2578" s="187" t="str">
        <x:v>Proxy multicedente/multissacado — revisar</x:v>
      </x:c>
    </x:row>
    <x:row r="2579">
      <x:c r="A2579" s="177" t="str">
        <x:v>52.953.168/0001-15</x:v>
      </x:c>
      <x:c r="B2579" s="168" t="str">
        <x:v>AGROBIOLÓGICA FUNDO DE INVESTIMENTO EM DIREITOS CREDITÓRIOS</x:v>
      </x:c>
      <x:c r="C2579" s="190" t="n">
        <x:v>9173821.73</x:v>
      </x:c>
      <x:c r="D2579" s="168" t="str">
        <x:v>Brave Asset</x:v>
      </x:c>
      <x:c r="E2579" s="168" t="str">
        <x:f>IFERROR(INDEX('Classif Gestoras'!$H$6:$H$462,MATCH(D2579,'Classif Gestoras'!$A$6:$A$462,0)),"Não classificada")</x:f>
        <x:v>Independente</x:v>
      </x:c>
      <x:c r="F2579" s="168" t="str">
        <x:v>BRL TRUST DTVM</x:v>
      </x:c>
      <x:c r="G2579" s="168" t="str">
        <x:v>BRL TRUST DISTRIBUIDORA DE TITULOS E VALORES MOBILIARIOS S.A.</x:v>
      </x:c>
      <x:c r="H2579" s="168" t="str">
        <x:v>Agro, Indústria e Comércio</x:v>
      </x:c>
      <x:c r="I2579" s="168" t="str">
        <x:v>Recebíveis Comerciais</x:v>
      </x:c>
      <x:c r="J2579" s="168" t="str">
        <x:v>CI</x:v>
      </x:c>
      <x:c r="K2579" s="174" t="n">
        <x:v>10</x:v>
      </x:c>
      <x:c r="L2579" s="187" t="str">
        <x:v>Não classificado</x:v>
      </x:c>
    </x:row>
    <x:row r="2580">
      <x:c r="A2580" s="177" t="str">
        <x:v>37.406.746/0001-00</x:v>
      </x:c>
      <x:c r="B2580" s="168" t="str">
        <x:v>CNPJ 37406746000100</x:v>
      </x:c>
      <x:c r="C2580" s="190" t="n">
        <x:v>9083304.08</x:v>
      </x:c>
      <x:c r="D2580" s="168" t="str">
        <x:v>Artesanal Investimentos</x:v>
      </x:c>
      <x:c r="E2580" s="168" t="str">
        <x:f>IFERROR(INDEX('Classif Gestoras'!$H$6:$H$462,MATCH(D2580,'Classif Gestoras'!$A$6:$A$462,0)),"Não classificada")</x:f>
        <x:v>Independente</x:v>
      </x:c>
      <x:c r="F2580" s="168" t="str">
        <x:v>Genial Investimentos Corretora de Valores Mobiliários S.A.</x:v>
      </x:c>
      <x:c r="G2580" s="168" t="str">
        <x:v>Não identificado</x:v>
      </x:c>
      <x:c r="H2580" s="168" t="str">
        <x:v>Outros</x:v>
      </x:c>
      <x:c r="I2580" s="168" t="str">
        <x:v>Multicarteira Outros</x:v>
      </x:c>
      <x:c r="J2580" s="168" t="str">
        <x:v>CI</x:v>
      </x:c>
      <x:c r="K2580" s="174"/>
      <x:c r="L2580" s="187" t="str">
        <x:v>Proxy multicedente/multissacado — revisar</x:v>
      </x:c>
    </x:row>
    <x:row r="2581">
      <x:c r="A2581" s="177" t="str">
        <x:v>58.649.649/0001-18</x:v>
      </x:c>
      <x:c r="B2581" s="168" t="str">
        <x:v>BI5 FUNDO DE INVESTIMENTO EM DIREITOS CREDITÓRIOS DE RESPONSABILIDADE LIMITADA</x:v>
      </x:c>
      <x:c r="C2581" s="190" t="n">
        <x:v>9057956.07</x:v>
      </x:c>
      <x:c r="D2581" s="168" t="str">
        <x:v>Renova Gestora</x:v>
      </x:c>
      <x:c r="E2581" s="168" t="str">
        <x:f>IFERROR(INDEX('Classif Gestoras'!$H$6:$H$462,MATCH(D2581,'Classif Gestoras'!$A$6:$A$462,0)),"Não classificada")</x:f>
        <x:v>Independente</x:v>
      </x:c>
      <x:c r="F2581" s="168" t="str">
        <x:v>MONETAR DISTRIBUIDORA DE TITUL</x:v>
      </x:c>
      <x:c r="G2581" s="168" t="str">
        <x:v>TERRA INVESTIMENTOS DISTRIBUIDORA DE TITULOS E VALORES MOBILIARIOS LTDA</x:v>
      </x:c>
      <x:c r="H2581" s="168" t="str">
        <x:v>Outros</x:v>
      </x:c>
      <x:c r="I2581" s="168" t="str">
        <x:v>Multicarteira Outros</x:v>
      </x:c>
      <x:c r="J2581" s="168" t="str">
        <x:v>CI</x:v>
      </x:c>
      <x:c r="K2581" s="174" t="n">
        <x:v>6</x:v>
      </x:c>
      <x:c r="L2581" s="187" t="str">
        <x:v>Proxy multicedente/multissacado — revisar</x:v>
      </x:c>
    </x:row>
    <x:row r="2582">
      <x:c r="A2582" s="177" t="str">
        <x:v>64.191.668/0001-46</x:v>
      </x:c>
      <x:c r="B2582" s="168" t="str">
        <x:v>CONCORDE FUNDO DE INVESTIMENTO EM DIREITOS CREDITÓRIOS - RESPONSABILIDADE LIMITADA</x:v>
      </x:c>
      <x:c r="C2582" s="190" t="n">
        <x:v>9044890.95</x:v>
      </x:c>
      <x:c r="D2582" s="168" t="str">
        <x:v>Menestys</x:v>
      </x:c>
      <x:c r="E2582" s="168" t="str">
        <x:f>IFERROR(INDEX('Classif Gestoras'!$H$6:$H$462,MATCH(D2582,'Classif Gestoras'!$A$6:$A$462,0)),"Não classificada")</x:f>
        <x:v>Independente</x:v>
      </x:c>
      <x:c r="F2582" s="168" t="str">
        <x:v>BRL TRUST DTVM</x:v>
      </x:c>
      <x:c r="G2582" s="168" t="str">
        <x:v>BRL TRUST DISTRIBUIDORA DE TITULOS E VALORES MOBILIARIOS S.A.</x:v>
      </x:c>
      <x:c r="H2582" s="168" t="str">
        <x:v>Financeiro</x:v>
      </x:c>
      <x:c r="I2582" s="168" t="str">
        <x:v>Crédito Consignado</x:v>
      </x:c>
      <x:c r="J2582" s="168" t="str">
        <x:v>CI</x:v>
      </x:c>
      <x:c r="K2582" s="174" t="n">
        <x:v>5</x:v>
      </x:c>
      <x:c r="L2582" s="187" t="str">
        <x:v>Não classificado</x:v>
      </x:c>
    </x:row>
    <x:row r="2583">
      <x:c r="A2583" s="177" t="str">
        <x:v>54.229.058/0001-30</x:v>
      </x:c>
      <x:c r="B2583" s="168" t="str">
        <x:v>CONTATO II FUNDO DE INVESTIMENTO EM DIREITOS CREDITÓRIOS MULTISSETORIAL - RESP LIMITADA</x:v>
      </x:c>
      <x:c r="C2583" s="190" t="n">
        <x:v>9044882.63</x:v>
      </x:c>
      <x:c r="D2583" s="168" t="str">
        <x:v>Solis</x:v>
      </x:c>
      <x:c r="E2583" s="168" t="str">
        <x:f>IFERROR(INDEX('Classif Gestoras'!$H$6:$H$462,MATCH(D2583,'Classif Gestoras'!$A$6:$A$462,0)),"Não classificada")</x:f>
        <x:v>Independente</x:v>
      </x:c>
      <x:c r="F2583" s="168" t="str">
        <x:v>HEMERA DTVM</x:v>
      </x:c>
      <x:c r="G2583" s="168" t="str">
        <x:v>HEMERA DISTRIBUIDORA DE TITULOS E VALORES MOBILIARIOS LTDA</x:v>
      </x:c>
      <x:c r="H2583" s="168" t="str">
        <x:v>Fomento Mercantil</x:v>
      </x:c>
      <x:c r="I2583" s="168" t="str">
        <x:v>Fomento Mercantil</x:v>
      </x:c>
      <x:c r="J2583" s="168" t="str">
        <x:v>CI</x:v>
      </x:c>
      <x:c r="K2583" s="174" t="n">
        <x:v>11</x:v>
      </x:c>
      <x:c r="L2583" s="187" t="str">
        <x:v>Não classificado</x:v>
      </x:c>
    </x:row>
    <x:row r="2584">
      <x:c r="A2584" s="177" t="str">
        <x:v>23.293.595/0001-16</x:v>
      </x:c>
      <x:c r="B2584" s="168" t="str">
        <x:v>FUNDO DE INVESTIMENTO EM DIREITOS CREDITÓRIOS PREMIER</x:v>
      </x:c>
      <x:c r="C2584" s="190" t="n">
        <x:v>9035718</x:v>
      </x:c>
      <x:c r="D2584" s="168" t="str">
        <x:v>REAG GESTÃO DE CRÉDITO</x:v>
      </x:c>
      <x:c r="E2584" s="168" t="str">
        <x:f>IFERROR(INDEX('Classif Gestoras'!$H$6:$H$462,MATCH(D2584,'Classif Gestoras'!$A$6:$A$462,0)),"Não classificada")</x:f>
        <x:v>Independente</x:v>
      </x:c>
      <x:c r="F2584" s="168" t="str">
        <x:v>Banvox DTVM</x:v>
      </x:c>
      <x:c r="G2584" s="168" t="str">
        <x:v>BANVOX DISTRIBUIDORA DE TITULOS E VALORES MOBILIARIOS LTDA</x:v>
      </x:c>
      <x:c r="H2584" s="168" t="str">
        <x:v>Fomento Mercantil</x:v>
      </x:c>
      <x:c r="I2584" s="168" t="str">
        <x:v>Fomento Mercantil</x:v>
      </x:c>
      <x:c r="J2584" s="168" t="str">
        <x:v>CI</x:v>
      </x:c>
      <x:c r="K2584" s="174" t="n">
        <x:v>80</x:v>
      </x:c>
      <x:c r="L2584" s="187" t="str">
        <x:v>Não classificado</x:v>
      </x:c>
    </x:row>
    <x:row r="2585">
      <x:c r="A2585" s="177" t="str">
        <x:v>63.398.882/0001-05</x:v>
      </x:c>
      <x:c r="B2585" s="168" t="str">
        <x:v>ROZAN FUNDO DE INVESTIMENTO EM DIREITOS CREDITÓRIOS</x:v>
      </x:c>
      <x:c r="C2585" s="190" t="n">
        <x:v>9028402.58</x:v>
      </x:c>
      <x:c r="D2585" s="168" t="str">
        <x:v>PRX CAPITAL</x:v>
      </x:c>
      <x:c r="E2585" s="168" t="str">
        <x:f>IFERROR(INDEX('Classif Gestoras'!$H$6:$H$462,MATCH(D2585,'Classif Gestoras'!$A$6:$A$462,0)),"Não classificada")</x:f>
        <x:v>Independente</x:v>
      </x:c>
      <x:c r="F2585" s="168" t="str">
        <x:v>PLANNER CV</x:v>
      </x:c>
      <x:c r="G2585" s="168" t="str">
        <x:v>PLANNER CORRETORA DE VALORES S.A.</x:v>
      </x:c>
      <x:c r="H2585" s="168" t="str">
        <x:v>Outros</x:v>
      </x:c>
      <x:c r="I2585" s="168" t="str">
        <x:v>Multicarteira Outros</x:v>
      </x:c>
      <x:c r="J2585" s="168" t="str">
        <x:v>CI</x:v>
      </x:c>
      <x:c r="K2585" s="174" t="n">
        <x:v>4</x:v>
      </x:c>
      <x:c r="L2585" s="187" t="str">
        <x:v>Proxy multicedente/multissacado — revisar</x:v>
      </x:c>
    </x:row>
    <x:row r="2586">
      <x:c r="A2586" s="177" t="str">
        <x:v>65.333.418/0001-66</x:v>
      </x:c>
      <x:c r="B2586" s="168" t="str">
        <x:v>VALORA GUARDIAN III FUNDO DE INVESTIMENTO EM DIREITOS CREDITÓRIOS RESPONSABILIDADE LIMITADA</x:v>
      </x:c>
      <x:c r="C2586" s="190" t="n">
        <x:v>9009391.71</x:v>
      </x:c>
      <x:c r="D2586" s="168" t="str">
        <x:v>VALORA RENDA FIXA LTDA.</x:v>
      </x:c>
      <x:c r="E2586" s="168" t="str">
        <x:f>IFERROR(INDEX('Classif Gestoras'!$H$6:$H$462,MATCH(D2586,'Classif Gestoras'!$A$6:$A$462,0)),"Não classificada")</x:f>
        <x:v>Independente</x:v>
      </x:c>
      <x:c r="F2586" s="168" t="str">
        <x:v>BTG Pactual Servicos Financeiros S/A DTVM</x:v>
      </x:c>
      <x:c r="G2586" s="168" t="str">
        <x:v>BANCO BTG PACTUAL S/A</x:v>
      </x:c>
      <x:c r="H2586" s="168" t="str">
        <x:v>Outros</x:v>
      </x:c>
      <x:c r="I2586" s="168" t="str">
        <x:v>Multicarteira Outros</x:v>
      </x:c>
      <x:c r="J2586" s="168" t="str">
        <x:v>CI</x:v>
      </x:c>
      <x:c r="K2586" s="174" t="n">
        <x:v>2</x:v>
      </x:c>
      <x:c r="L2586" s="187" t="str">
        <x:v>Proxy multicedente/multissacado — revisar</x:v>
      </x:c>
    </x:row>
    <x:row r="2587">
      <x:c r="A2587" s="177" t="str">
        <x:v>60.075.857/0001-00</x:v>
      </x:c>
      <x:c r="B2587" s="168" t="str">
        <x:v>EKKO FUNDO DE INVESTIMENTO EM DIREITOS CREDITÓRIOS</x:v>
      </x:c>
      <x:c r="C2587" s="190" t="n">
        <x:v>8989576.489999998</x:v>
      </x:c>
      <x:c r="D2587" s="168" t="str">
        <x:v>Redwood Asset Management</x:v>
      </x:c>
      <x:c r="E2587" s="168" t="str">
        <x:f>IFERROR(INDEX('Classif Gestoras'!$H$6:$H$462,MATCH(D2587,'Classif Gestoras'!$A$6:$A$462,0)),"Não classificada")</x:f>
        <x:v>Independente</x:v>
      </x:c>
      <x:c r="F2587" s="168" t="str">
        <x:v>PLANNER CV</x:v>
      </x:c>
      <x:c r="G2587" s="168" t="str">
        <x:v>PLANNER CORRETORA DE VALORES S.A.</x:v>
      </x:c>
      <x:c r="H2587" s="168" t="str">
        <x:v>Outros</x:v>
      </x:c>
      <x:c r="I2587" s="168" t="str">
        <x:v>Multicarteira Outros</x:v>
      </x:c>
      <x:c r="J2587" s="168" t="str">
        <x:v>CI</x:v>
      </x:c>
      <x:c r="K2587" s="174" t="n">
        <x:v>10</x:v>
      </x:c>
      <x:c r="L2587" s="187" t="str">
        <x:v>Proxy multicedente/multissacado — revisar</x:v>
      </x:c>
    </x:row>
    <x:row r="2588">
      <x:c r="A2588" s="177" t="str">
        <x:v>45.018.961/0001-61</x:v>
      </x:c>
      <x:c r="B2588" s="168" t="str">
        <x:v>NOVA ERA FUNDO DE INVESTIMENTO EM DIREITOS CREDITÓRIOS MULTISSETORIAL - RESPONSABILIDADE LIMITADA</x:v>
      </x:c>
      <x:c r="C2588" s="190" t="n">
        <x:v>8935225.379999999</x:v>
      </x:c>
      <x:c r="D2588" s="168" t="str">
        <x:v>OURO PRETO INVESTIMENTOS</x:v>
      </x:c>
      <x:c r="E2588" s="168" t="str">
        <x:f>IFERROR(INDEX('Classif Gestoras'!$H$6:$H$462,MATCH(D2588,'Classif Gestoras'!$A$6:$A$462,0)),"Não classificada")</x:f>
        <x:v>Independente</x:v>
      </x:c>
      <x:c r="F2588" s="168" t="str">
        <x:v>ID Corretora de Títulos e Valores Mobiliários S.A.</x:v>
      </x:c>
      <x:c r="G2588" s="168" t="str">
        <x:v>ID CORRETORA DE TITULOS E VALORES MOBILIARIOS S.A.</x:v>
      </x:c>
      <x:c r="H2588" s="168" t="str">
        <x:v>Outros</x:v>
      </x:c>
      <x:c r="I2588" s="168" t="str">
        <x:v>Multicarteira Outros</x:v>
      </x:c>
      <x:c r="J2588" s="168" t="str">
        <x:v>CI</x:v>
      </x:c>
      <x:c r="K2588" s="174" t="n">
        <x:v>7</x:v>
      </x:c>
      <x:c r="L2588" s="187" t="str">
        <x:v>Proxy multicedente/multissacado — revisar</x:v>
      </x:c>
    </x:row>
    <x:row r="2589">
      <x:c r="A2589" s="177" t="str">
        <x:v>60.499.242/0001-01</x:v>
      </x:c>
      <x:c r="B2589" s="168" t="str">
        <x:v>FIRST PERSONAL LOAN I FUNDO DE INVESTIMENTOS EM DIREITOS CREDITÓRIOS</x:v>
      </x:c>
      <x:c r="C2589" s="190" t="n">
        <x:v>8926129.61</x:v>
      </x:c>
      <x:c r="D2589" s="168" t="str">
        <x:v>ASSET MANAGEMENT</x:v>
      </x:c>
      <x:c r="E2589" s="168" t="str">
        <x:f>IFERROR(INDEX('Classif Gestoras'!$H$6:$H$462,MATCH(D2589,'Classif Gestoras'!$A$6:$A$462,0)),"Não classificada")</x:f>
        <x:v>Independente</x:v>
      </x:c>
      <x:c r="F2589" s="168" t="str">
        <x:v>AZUMI DISTRIBUIDORA DE TÍTULOS E VALORES MOBILIÁRIOS LT</x:v>
      </x:c>
      <x:c r="G2589" s="168" t="str">
        <x:v>AZUMI DISTRIBUIDORA DE TÍTULOS E VALORES MOBILIÁRIOS LTDA.</x:v>
      </x:c>
      <x:c r="H2589" s="168" t="str">
        <x:v>Outros</x:v>
      </x:c>
      <x:c r="I2589" s="168" t="str">
        <x:v>Multicarteira Outros</x:v>
      </x:c>
      <x:c r="J2589" s="168" t="str">
        <x:v>CI</x:v>
      </x:c>
      <x:c r="K2589" s="174" t="n">
        <x:v>2</x:v>
      </x:c>
      <x:c r="L2589" s="187" t="str">
        <x:v>Proxy multicedente/multissacado — revisar</x:v>
      </x:c>
    </x:row>
    <x:row r="2590">
      <x:c r="A2590" s="177" t="str">
        <x:v>41.537.932/0001-55</x:v>
      </x:c>
      <x:c r="B2590" s="168" t="str">
        <x:v>RADIX TURBO FUNDO DE INVESTIMENTO EM DIREITOS CREDITÓRIOS - RESPONSABILIDADE LIMITADA</x:v>
      </x:c>
      <x:c r="C2590" s="190" t="n">
        <x:v>8925031.950000001</x:v>
      </x:c>
      <x:c r="D2590" s="168" t="str">
        <x:v>SOSU CAPITAL GESTÃO DE INVESTIMENTOS LTDA.</x:v>
      </x:c>
      <x:c r="E2590" s="168" t="str">
        <x:f>IFERROR(INDEX('Classif Gestoras'!$H$6:$H$462,MATCH(D2590,'Classif Gestoras'!$A$6:$A$462,0)),"Não classificada")</x:f>
        <x:v>Independente</x:v>
      </x:c>
      <x:c r="F2590" s="168" t="str">
        <x:v>BRL TRUST DTVM</x:v>
      </x:c>
      <x:c r="G2590" s="168" t="str">
        <x:v>BRL TRUST DISTRIBUIDORA DE TITULOS E VALORES MOBILIARIOS S.A.</x:v>
      </x:c>
      <x:c r="H2590" s="168" t="str">
        <x:v>Outros</x:v>
      </x:c>
      <x:c r="I2590" s="168" t="str">
        <x:v>Poder Público</x:v>
      </x:c>
      <x:c r="J2590" s="168" t="str">
        <x:v>CI</x:v>
      </x:c>
      <x:c r="K2590" s="174" t="n">
        <x:v>35</x:v>
      </x:c>
      <x:c r="L2590" s="187" t="str">
        <x:v>Não classificado</x:v>
      </x:c>
    </x:row>
    <x:row r="2591">
      <x:c r="A2591" s="177" t="str">
        <x:v>56.834.392/0001-49</x:v>
      </x:c>
      <x:c r="B2591" s="168" t="str">
        <x:v>RAT FUNDO DE INVESTIMENTO EM DIREITOS CREDITÓRIOS RESPONSABILIDADE LIMITADA</x:v>
      </x:c>
      <x:c r="C2591" s="190" t="n">
        <x:v>8907948.47</x:v>
      </x:c>
      <x:c r="D2591" s="168" t="str">
        <x:v>ALTAVISTA CAPITAL</x:v>
      </x:c>
      <x:c r="E2591" s="168" t="str">
        <x:f>IFERROR(INDEX('Classif Gestoras'!$H$6:$H$462,MATCH(D2591,'Classif Gestoras'!$A$6:$A$462,0)),"Não classificada")</x:f>
        <x:v>Independente</x:v>
      </x:c>
      <x:c r="F2591" s="168" t="str">
        <x:v>PLANNER CV</x:v>
      </x:c>
      <x:c r="G2591" s="168" t="str">
        <x:v>PLANNER CORRETORA DE VALORES S.A.</x:v>
      </x:c>
      <x:c r="H2591" s="168" t="str">
        <x:v>Outros</x:v>
      </x:c>
      <x:c r="I2591" s="168" t="str">
        <x:v>Multicarteira Outros</x:v>
      </x:c>
      <x:c r="J2591" s="168" t="str">
        <x:v>CI</x:v>
      </x:c>
      <x:c r="K2591" s="174" t="n">
        <x:v>1</x:v>
      </x:c>
      <x:c r="L2591" s="187" t="str">
        <x:v>Proxy multicedente/multissacado — revisar</x:v>
      </x:c>
    </x:row>
    <x:row r="2592">
      <x:c r="A2592" s="177" t="str">
        <x:v>54.233.886/0001-42</x:v>
      </x:c>
      <x:c r="B2592" s="168" t="str">
        <x:v>SHR FUNDO DE INVESTIMENTO EM DIREITOS CREDITÓRIOS RESPONSABILIDADE LIMITADA</x:v>
      </x:c>
      <x:c r="C2592" s="190" t="n">
        <x:v>8882359.67</x:v>
      </x:c>
      <x:c r="D2592" s="168" t="str">
        <x:v>AUGME CAPITAL GESTÃO DE RECURSOS LTDA.</x:v>
      </x:c>
      <x:c r="E2592" s="168" t="str">
        <x:f>IFERROR(INDEX('Classif Gestoras'!$H$6:$H$462,MATCH(D2592,'Classif Gestoras'!$A$6:$A$462,0)),"Não classificada")</x:f>
        <x:v>Independente</x:v>
      </x:c>
      <x:c r="F2592" s="168" t="str">
        <x:v>BANCO DAYCOVAL S/A</x:v>
      </x:c>
      <x:c r="G2592" s="168" t="str">
        <x:v>BANCO DAYCOVAL S.A.</x:v>
      </x:c>
      <x:c r="H2592" s="168" t="str">
        <x:v>Outros</x:v>
      </x:c>
      <x:c r="I2592" s="168" t="str">
        <x:v>Multicarteira Outros</x:v>
      </x:c>
      <x:c r="J2592" s="168" t="str">
        <x:v>CI</x:v>
      </x:c>
      <x:c r="K2592" s="174" t="n">
        <x:v>25</x:v>
      </x:c>
      <x:c r="L2592" s="187" t="str">
        <x:v>Proxy multicedente/multissacado — revisar</x:v>
      </x:c>
    </x:row>
    <x:row r="2593">
      <x:c r="A2593" s="177" t="str">
        <x:v>38.001.854/0001-65</x:v>
      </x:c>
      <x:c r="B2593" s="168" t="str">
        <x:v>ALCANCE FUNDO DE INVESTIMENTO EM DIREITOS CREDITÓRIOS</x:v>
      </x:c>
      <x:c r="C2593" s="190" t="n">
        <x:v>8876892.51</x:v>
      </x:c>
      <x:c r="D2593" s="168" t="str">
        <x:v>Libertas Asset</x:v>
      </x:c>
      <x:c r="E2593" s="168" t="str">
        <x:f>IFERROR(INDEX('Classif Gestoras'!$H$6:$H$462,MATCH(D2593,'Classif Gestoras'!$A$6:$A$462,0)),"Não classificada")</x:f>
        <x:v>Independente</x:v>
      </x:c>
      <x:c r="F2593" s="168" t="str">
        <x:v>ACTUAL DTVM</x:v>
      </x:c>
      <x:c r="G2593" s="168" t="str">
        <x:v>LASTRO RDV DTVM LTDA</x:v>
      </x:c>
      <x:c r="H2593" s="168" t="str">
        <x:v>Fomento Mercantil</x:v>
      </x:c>
      <x:c r="I2593" s="168" t="str">
        <x:v>Fomento Mercantil</x:v>
      </x:c>
      <x:c r="J2593" s="168" t="str">
        <x:v>CI</x:v>
      </x:c>
      <x:c r="K2593" s="174" t="n">
        <x:v>1</x:v>
      </x:c>
      <x:c r="L2593" s="187" t="str">
        <x:v>Não classificado</x:v>
      </x:c>
    </x:row>
    <x:row r="2594">
      <x:c r="A2594" s="177" t="str">
        <x:v>45.525.103/0001-03</x:v>
      </x:c>
      <x:c r="B2594" s="168" t="str">
        <x:v>JOB FUNDO DE INVESTIMENTO EM DIREITOS CREDITÓRIOS - RESPONSABILIDADE LIMITADA</x:v>
      </x:c>
      <x:c r="C2594" s="190" t="n">
        <x:v>8870578.66</x:v>
      </x:c>
      <x:c r="D2594" s="168" t="str">
        <x:v>REAG BERKANA</x:v>
      </x:c>
      <x:c r="E2594" s="168" t="str">
        <x:f>IFERROR(INDEX('Classif Gestoras'!$H$6:$H$462,MATCH(D2594,'Classif Gestoras'!$A$6:$A$462,0)),"Não classificada")</x:f>
        <x:v>Independente</x:v>
      </x:c>
      <x:c r="F2594" s="168" t="str">
        <x:v>ID Corretora de Títulos e Valores Mobiliários S.A.</x:v>
      </x:c>
      <x:c r="G2594" s="168" t="str">
        <x:v>ID CORRETORA DE TITULOS E VALORES MOBILIARIOS S.A.</x:v>
      </x:c>
      <x:c r="H2594" s="168" t="str">
        <x:v>Agro, Indústria e Comércio</x:v>
      </x:c>
      <x:c r="I2594" s="168" t="str">
        <x:v>Agronegócio</x:v>
      </x:c>
      <x:c r="J2594" s="168" t="str">
        <x:v>CI</x:v>
      </x:c>
      <x:c r="K2594" s="174" t="n">
        <x:v>1</x:v>
      </x:c>
      <x:c r="L2594" s="187" t="str">
        <x:v>Não classificado</x:v>
      </x:c>
    </x:row>
    <x:row r="2595">
      <x:c r="A2595" s="177" t="str">
        <x:v>42.627.753/0001-71</x:v>
      </x:c>
      <x:c r="B2595" s="168" t="str">
        <x:v>LB FUNDO DE INVESTIMENTO EM DIREITOS CREDITORIOS</x:v>
      </x:c>
      <x:c r="C2595" s="190" t="n">
        <x:v>8863030.48</x:v>
      </x:c>
      <x:c r="D2595" s="168" t="str">
        <x:v>Mosaico Gestora de Recursos Ltda.</x:v>
      </x:c>
      <x:c r="E2595" s="168" t="str">
        <x:f>IFERROR(INDEX('Classif Gestoras'!$H$6:$H$462,MATCH(D2595,'Classif Gestoras'!$A$6:$A$462,0)),"Não classificada")</x:f>
        <x:v>Independente</x:v>
      </x:c>
      <x:c r="F2595" s="168" t="str">
        <x:v>OSLO DTVM S. A.</x:v>
      </x:c>
      <x:c r="G2595" s="168" t="str">
        <x:v>OSLO CAPITAL DISTRIBUIDORA DE TITULOS E VALORES MOBILIARIOS S.A.</x:v>
      </x:c>
      <x:c r="H2595" s="168" t="str">
        <x:v>Financeiro</x:v>
      </x:c>
      <x:c r="I2595" s="168" t="str">
        <x:v>Multicarteira Financeiro</x:v>
      </x:c>
      <x:c r="J2595" s="168" t="str">
        <x:v>CI</x:v>
      </x:c>
      <x:c r="K2595" s="174" t="n">
        <x:v>13</x:v>
      </x:c>
      <x:c r="L2595" s="187" t="str">
        <x:v>Proxy multicedente/multissacado — revisar</x:v>
      </x:c>
    </x:row>
    <x:row r="2596">
      <x:c r="A2596" s="177" t="str">
        <x:v>53.314.685/0001-07</x:v>
      </x:c>
      <x:c r="B2596" s="168" t="str">
        <x:v>BACCO CLAIMS FUNDO DE INVESTIMENTO EM DIREITOS CREDITÓRIOS NÃO PADRONIZADOS</x:v>
      </x:c>
      <x:c r="C2596" s="190" t="n">
        <x:v>8827902.61</x:v>
      </x:c>
      <x:c r="D2596" s="168" t="str">
        <x:v>Redwood Asset Management</x:v>
      </x:c>
      <x:c r="E2596" s="168" t="str">
        <x:f>IFERROR(INDEX('Classif Gestoras'!$H$6:$H$462,MATCH(D2596,'Classif Gestoras'!$A$6:$A$462,0)),"Não classificada")</x:f>
        <x:v>Independente</x:v>
      </x:c>
      <x:c r="F2596" s="168" t="str">
        <x:v>PLANNER CV</x:v>
      </x:c>
      <x:c r="G2596" s="168" t="str">
        <x:v>PLANNER CORRETORA DE VALORES S.A.</x:v>
      </x:c>
      <x:c r="H2596" s="168" t="str">
        <x:v>Fomento Mercantil</x:v>
      </x:c>
      <x:c r="I2596" s="168" t="str">
        <x:v>Fomento Mercantil</x:v>
      </x:c>
      <x:c r="J2596" s="168" t="str">
        <x:v>CI</x:v>
      </x:c>
      <x:c r="K2596" s="174" t="n">
        <x:v>7</x:v>
      </x:c>
      <x:c r="L2596" s="187" t="str">
        <x:v>Não classificado</x:v>
      </x:c>
    </x:row>
    <x:row r="2597">
      <x:c r="A2597" s="177" t="str">
        <x:v>59.744.260/0001-14</x:v>
      </x:c>
      <x:c r="B2597" s="168" t="str">
        <x:v>HBF FUNDO DE INVESTIMENTO DIREITOS CREDITÓRIOS DE RESPONSABILIDADE LIMITADA</x:v>
      </x:c>
      <x:c r="C2597" s="190" t="n">
        <x:v>8801230.92</x:v>
      </x:c>
      <x:c r="D2597" s="168" t="str">
        <x:v>Catálise Investimentos</x:v>
      </x:c>
      <x:c r="E2597" s="168" t="str">
        <x:f>IFERROR(INDEX('Classif Gestoras'!$H$6:$H$462,MATCH(D2597,'Classif Gestoras'!$A$6:$A$462,0)),"Não classificada")</x:f>
        <x:v>Independente</x:v>
      </x:c>
      <x:c r="F2597" s="168" t="str">
        <x:v>CATÁLISE DTVM</x:v>
      </x:c>
      <x:c r="G2597" s="168" t="str">
        <x:v>BANCO DAYCOVAL S.A.</x:v>
      </x:c>
      <x:c r="H2597" s="168" t="str">
        <x:v>Outros</x:v>
      </x:c>
      <x:c r="I2597" s="168" t="str">
        <x:v>Multicarteira Outros</x:v>
      </x:c>
      <x:c r="J2597" s="168" t="str">
        <x:v>CI</x:v>
      </x:c>
      <x:c r="K2597" s="174" t="n">
        <x:v>1</x:v>
      </x:c>
      <x:c r="L2597" s="187" t="str">
        <x:v>Proxy multicedente/multissacado — revisar</x:v>
      </x:c>
    </x:row>
    <x:row r="2598">
      <x:c r="A2598" s="177" t="str">
        <x:v>29.292.189/0001-15</x:v>
      </x:c>
      <x:c r="B2598" s="168" t="str">
        <x:v>FUNDO DE INVESTIMENTO EM DIREITOS CREDITORIOS HENDRIKSEN</x:v>
      </x:c>
      <x:c r="C2598" s="190" t="n">
        <x:v>8791623.43</x:v>
      </x:c>
      <x:c r="D2598" s="168" t="str">
        <x:v>Redwood Asset Management</x:v>
      </x:c>
      <x:c r="E2598" s="168" t="str">
        <x:f>IFERROR(INDEX('Classif Gestoras'!$H$6:$H$462,MATCH(D2598,'Classif Gestoras'!$A$6:$A$462,0)),"Não classificada")</x:f>
        <x:v>Independente</x:v>
      </x:c>
      <x:c r="F2598" s="168" t="str">
        <x:v>PLANNER CV</x:v>
      </x:c>
      <x:c r="G2598" s="168" t="str">
        <x:v>PLANNER CORRETORA DE VALORES S.A.</x:v>
      </x:c>
      <x:c r="H2598" s="168" t="str">
        <x:v>Outros</x:v>
      </x:c>
      <x:c r="I2598" s="168" t="str">
        <x:v>Multicarteira Outros</x:v>
      </x:c>
      <x:c r="J2598" s="168" t="str">
        <x:v>CI</x:v>
      </x:c>
      <x:c r="K2598" s="174" t="n">
        <x:v>1</x:v>
      </x:c>
      <x:c r="L2598" s="187" t="str">
        <x:v>Proxy multicedente/multissacado — revisar</x:v>
      </x:c>
    </x:row>
    <x:row r="2599">
      <x:c r="A2599" s="177" t="str">
        <x:v>58.902.072/0001-04</x:v>
      </x:c>
      <x:c r="B2599" s="168" t="str">
        <x:v>TIVIO VÉRTICE HY 90 FUNDO DE INVESTIMENTO EM DIREITOS CREDITÓRIOS - RESPONSABILIDADE LIMITADA</x:v>
      </x:c>
      <x:c r="C2599" s="190" t="n">
        <x:v>8791333.14</x:v>
      </x:c>
      <x:c r="D2599" s="168" t="str">
        <x:v>Tivio Capital</x:v>
      </x:c>
      <x:c r="E2599" s="168" t="str">
        <x:f>IFERROR(INDEX('Classif Gestoras'!$H$6:$H$462,MATCH(D2599,'Classif Gestoras'!$A$6:$A$462,0)),"Não classificada")</x:f>
        <x:v>Independente</x:v>
      </x:c>
      <x:c r="F2599" s="168" t="str">
        <x:v>BNY MELLON SERVICOS</x:v>
      </x:c>
      <x:c r="G2599" s="168" t="str">
        <x:v>BNY MELLON BANCO S.A.</x:v>
      </x:c>
      <x:c r="H2599" s="168" t="str">
        <x:v>Outros</x:v>
      </x:c>
      <x:c r="I2599" s="168" t="str">
        <x:v>Multicarteira Outros</x:v>
      </x:c>
      <x:c r="J2599" s="168" t="str">
        <x:v>CI</x:v>
      </x:c>
      <x:c r="K2599" s="174" t="n">
        <x:v>4</x:v>
      </x:c>
      <x:c r="L2599" s="187" t="str">
        <x:v>Proxy multicedente/multissacado — revisar</x:v>
      </x:c>
    </x:row>
    <x:row r="2600">
      <x:c r="A2600" s="177" t="str">
        <x:v>59.815.957/0001-39</x:v>
      </x:c>
      <x:c r="B2600" s="168" t="str">
        <x:v>CANOA FUNDO DE INVESTIMENTO EM DIREITOS CREDITÓRIOS</x:v>
      </x:c>
      <x:c r="C2600" s="190" t="n">
        <x:v>8784440.35</x:v>
      </x:c>
      <x:c r="D2600" s="168" t="str">
        <x:v>Acura Gestora de Recursos LTDA.</x:v>
      </x:c>
      <x:c r="E2600" s="168" t="str">
        <x:f>IFERROR(INDEX('Classif Gestoras'!$H$6:$H$462,MATCH(D2600,'Classif Gestoras'!$A$6:$A$462,0)),"Não classificada")</x:f>
        <x:v>Independente</x:v>
      </x:c>
      <x:c r="F2600" s="168" t="str">
        <x:v>SEFER DTVM</x:v>
      </x:c>
      <x:c r="G2600" s="168" t="str">
        <x:v>SEFER INVESTIMENTOS DISTRIBUIDORA DE TÍTULOS E VALORES MOBILIÁRIOS LTDA.</x:v>
      </x:c>
      <x:c r="H2600" s="168" t="str">
        <x:v>Outros</x:v>
      </x:c>
      <x:c r="I2600" s="168" t="str">
        <x:v>Poder Público</x:v>
      </x:c>
      <x:c r="J2600" s="168" t="str">
        <x:v>CI</x:v>
      </x:c>
      <x:c r="K2600" s="174" t="n">
        <x:v>15</x:v>
      </x:c>
      <x:c r="L2600" s="187" t="str">
        <x:v>Não classificado</x:v>
      </x:c>
    </x:row>
    <x:row r="2601">
      <x:c r="A2601" s="177" t="str">
        <x:v>51.477.774/0001-49</x:v>
      </x:c>
      <x:c r="B2601" s="168" t="str">
        <x:v>ATIBANK FUNDO DE INVESTIMENTO EM DIREITOS CREDITÓRIOS</x:v>
      </x:c>
      <x:c r="C2601" s="190" t="n">
        <x:v>8773486.1</x:v>
      </x:c>
      <x:c r="D2601" s="168" t="str">
        <x:v>OKEAN INVEST</x:v>
      </x:c>
      <x:c r="E2601" s="168" t="str">
        <x:f>IFERROR(INDEX('Classif Gestoras'!$H$6:$H$462,MATCH(D2601,'Classif Gestoras'!$A$6:$A$462,0)),"Não classificada")</x:f>
        <x:v>Independente</x:v>
      </x:c>
      <x:c r="F2601" s="168" t="str">
        <x:v>Finvest Digital</x:v>
      </x:c>
      <x:c r="G2601" s="168" t="str">
        <x:v>FINVEST DISTRIBUIDORA DE TÍTULOS E VALORES MOBILIÁRIOS LTDA.</x:v>
      </x:c>
      <x:c r="H2601" s="168" t="str">
        <x:v>Outros</x:v>
      </x:c>
      <x:c r="I2601" s="168" t="str">
        <x:v>Multicarteira Outros</x:v>
      </x:c>
      <x:c r="J2601" s="168" t="str">
        <x:v>CI</x:v>
      </x:c>
      <x:c r="K2601" s="174" t="n">
        <x:v>2</x:v>
      </x:c>
      <x:c r="L2601" s="187" t="str">
        <x:v>Proxy multicedente/multissacado — revisar</x:v>
      </x:c>
    </x:row>
    <x:row r="2602">
      <x:c r="A2602" s="177" t="str">
        <x:v>53.271.925/0001-33</x:v>
      </x:c>
      <x:c r="B2602" s="168" t="str">
        <x:v>USHUAIA FUNDO DE INVESTIMENTO EM DIREITOS CREDITÓRIOS</x:v>
      </x:c>
      <x:c r="C2602" s="190" t="n">
        <x:v>8762489.58</x:v>
      </x:c>
      <x:c r="D2602" s="168" t="str">
        <x:v>PATAGÔNIA CAPITAL</x:v>
      </x:c>
      <x:c r="E2602" s="168" t="str">
        <x:f>IFERROR(INDEX('Classif Gestoras'!$H$6:$H$462,MATCH(D2602,'Classif Gestoras'!$A$6:$A$462,0)),"Não classificada")</x:f>
        <x:v>Independente</x:v>
      </x:c>
      <x:c r="F2602" s="168" t="str">
        <x:v>VÓRTX DTVM</x:v>
      </x:c>
      <x:c r="G2602" s="168" t="str">
        <x:v>VORTX DISTRIBUIDORA DE TITULOS E VALORES MOBILIARIOS LTDA.</x:v>
      </x:c>
      <x:c r="H2602" s="168" t="str">
        <x:v>Financeiro</x:v>
      </x:c>
      <x:c r="I2602" s="168" t="str">
        <x:v>Multicarteira Financeiro</x:v>
      </x:c>
      <x:c r="J2602" s="168" t="str">
        <x:v>CI</x:v>
      </x:c>
      <x:c r="K2602" s="174" t="n">
        <x:v>1</x:v>
      </x:c>
      <x:c r="L2602" s="187" t="str">
        <x:v>Proxy multicedente/multissacado — revisar</x:v>
      </x:c>
    </x:row>
    <x:row r="2603">
      <x:c r="A2603" s="177" t="str">
        <x:v>55.610.024/0001-54</x:v>
      </x:c>
      <x:c r="B2603" s="168" t="str">
        <x:v>DEFFENDER FUNDO DE INVESTIMENTO EM DIREITOS CREDITÓRIOS RESPONSABILIDADE LIMITADA</x:v>
      </x:c>
      <x:c r="C2603" s="190" t="n">
        <x:v>8746436.709999999</x:v>
      </x:c>
      <x:c r="D2603" s="168" t="str">
        <x:v>Bless Capital Gestora de Recursos Ltda.</x:v>
      </x:c>
      <x:c r="E2603" s="168" t="str">
        <x:f>IFERROR(INDEX('Classif Gestoras'!$H$6:$H$462,MATCH(D2603,'Classif Gestoras'!$A$6:$A$462,0)),"Não classificada")</x:f>
        <x:v>Independente</x:v>
      </x:c>
      <x:c r="F2603" s="168" t="str">
        <x:v>ID Corretora de Títulos e Valores Mobiliários S.A.</x:v>
      </x:c>
      <x:c r="G2603" s="168" t="str">
        <x:v>ID CORRETORA DE TITULOS E VALORES MOBILIARIOS S.A.</x:v>
      </x:c>
      <x:c r="H2603" s="168" t="str">
        <x:v>Outros</x:v>
      </x:c>
      <x:c r="I2603" s="168" t="str">
        <x:v>Multicarteira Outros</x:v>
      </x:c>
      <x:c r="J2603" s="168" t="str">
        <x:v>CI</x:v>
      </x:c>
      <x:c r="K2603" s="174" t="n">
        <x:v>1</x:v>
      </x:c>
      <x:c r="L2603" s="187" t="str">
        <x:v>Proxy multicedente/multissacado — revisar</x:v>
      </x:c>
    </x:row>
    <x:row r="2604">
      <x:c r="A2604" s="177" t="str">
        <x:v>39.611.075/0001-44</x:v>
      </x:c>
      <x:c r="B2604" s="168" t="str">
        <x:v>AUGME VD FUNDO DE INVESTIMENTO EM DIREITOS CREDITÓRIOS</x:v>
      </x:c>
      <x:c r="C2604" s="190" t="n">
        <x:v>8729342.43</x:v>
      </x:c>
      <x:c r="D2604" s="168" t="str">
        <x:v>AUGME CAPITAL GESTÃO DE RECURSOS LTDA.</x:v>
      </x:c>
      <x:c r="E2604" s="168" t="str">
        <x:f>IFERROR(INDEX('Classif Gestoras'!$H$6:$H$462,MATCH(D2604,'Classif Gestoras'!$A$6:$A$462,0)),"Não classificada")</x:f>
        <x:v>Independente</x:v>
      </x:c>
      <x:c r="F2604" s="168" t="str">
        <x:v>BANCO DAYCOVAL S/A</x:v>
      </x:c>
      <x:c r="G2604" s="168" t="str">
        <x:v>BANCO DAYCOVAL S.A.</x:v>
      </x:c>
      <x:c r="H2604" s="168" t="str">
        <x:v>Outros</x:v>
      </x:c>
      <x:c r="I2604" s="168" t="str">
        <x:v>Multicarteira Outros</x:v>
      </x:c>
      <x:c r="J2604" s="168" t="str">
        <x:v>CIC</x:v>
      </x:c>
      <x:c r="K2604" s="174" t="n">
        <x:v>1</x:v>
      </x:c>
      <x:c r="L2604" s="187" t="str">
        <x:v>Proxy multicedente/multissacado — revisar</x:v>
      </x:c>
    </x:row>
    <x:row r="2605">
      <x:c r="A2605" s="177" t="str">
        <x:v>59.695.914/0001-67</x:v>
      </x:c>
      <x:c r="B2605" s="168" t="str">
        <x:v>ÁPICE CREDIT FUNDO DE INVESTIMENTO EM DIREITOS CREDITÓRIOS DE RESPONSABILIDADE LIMITADA</x:v>
      </x:c>
      <x:c r="C2605" s="190" t="n">
        <x:v>8712593.24</x:v>
      </x:c>
      <x:c r="D2605" s="168" t="str">
        <x:v>Catálise Investimentos</x:v>
      </x:c>
      <x:c r="E2605" s="168" t="str">
        <x:f>IFERROR(INDEX('Classif Gestoras'!$H$6:$H$462,MATCH(D2605,'Classif Gestoras'!$A$6:$A$462,0)),"Não classificada")</x:f>
        <x:v>Independente</x:v>
      </x:c>
      <x:c r="F2605" s="168" t="str">
        <x:v>CATÁLISE DTVM</x:v>
      </x:c>
      <x:c r="G2605" s="168" t="str">
        <x:v>BANCO DAYCOVAL S.A.</x:v>
      </x:c>
      <x:c r="H2605" s="168" t="str">
        <x:v>Outros</x:v>
      </x:c>
      <x:c r="I2605" s="168" t="str">
        <x:v>Multicarteira Outros</x:v>
      </x:c>
      <x:c r="J2605" s="168" t="str">
        <x:v>CI</x:v>
      </x:c>
      <x:c r="K2605" s="174" t="n">
        <x:v>1</x:v>
      </x:c>
      <x:c r="L2605" s="187" t="str">
        <x:v>Proxy multicedente/multissacado — revisar</x:v>
      </x:c>
    </x:row>
    <x:row r="2606">
      <x:c r="A2606" s="177" t="str">
        <x:v>41.820.715/0001-78</x:v>
      </x:c>
      <x:c r="B2606" s="168" t="str">
        <x:v>ATALHOCRED FUNDO DE INVESTIMENTO EM DIREITOS CREDITÓRIOS RESPONSABILIDADE LIMITADA</x:v>
      </x:c>
      <x:c r="C2606" s="190" t="n">
        <x:v>8697056.28</x:v>
      </x:c>
      <x:c r="D2606" s="168" t="str">
        <x:v>BS2 ASSET MANAGEMENT – ADMINISTRADORA DE RECURSOS LTDA.</x:v>
      </x:c>
      <x:c r="E2606" s="168" t="str">
        <x:f>IFERROR(INDEX('Classif Gestoras'!$H$6:$H$462,MATCH(D2606,'Classif Gestoras'!$A$6:$A$462,0)),"Não classificada")</x:f>
        <x:v>Independente</x:v>
      </x:c>
      <x:c r="F2606" s="168" t="str">
        <x:v>MONETAR DISTRIBUIDORA DE TITUL</x:v>
      </x:c>
      <x:c r="G2606" s="168" t="str">
        <x:v>TERRA INVESTIMENTOS DISTRIBUIDORA DE TITULOS E VALORES MOBILIARIOS LTDA</x:v>
      </x:c>
      <x:c r="H2606" s="168" t="str">
        <x:v>Outros</x:v>
      </x:c>
      <x:c r="I2606" s="168" t="str">
        <x:v>Recuperação</x:v>
      </x:c>
      <x:c r="J2606" s="168" t="str">
        <x:v>CI</x:v>
      </x:c>
      <x:c r="K2606" s="174" t="n">
        <x:v>3</x:v>
      </x:c>
      <x:c r="L2606" s="187" t="str">
        <x:v>Não classificado</x:v>
      </x:c>
    </x:row>
    <x:row r="2607">
      <x:c r="A2607" s="177" t="str">
        <x:v>63.529.345/0001-57</x:v>
      </x:c>
      <x:c r="B2607" s="168" t="str">
        <x:v>AVGA CAPITAL JUSTIX LEGAL CLAIMS FUNDO DE INVESTIMENTO EM DIREITOS CREDITÓRIOS RESP LIMITADA</x:v>
      </x:c>
      <x:c r="C2607" s="190" t="n">
        <x:v>8678452.73</x:v>
      </x:c>
      <x:c r="D2607" s="168" t="str">
        <x:v>GESTORA DE RECURSOS ID - GRID LTDA.</x:v>
      </x:c>
      <x:c r="E2607" s="168" t="str">
        <x:f>IFERROR(INDEX('Classif Gestoras'!$H$6:$H$462,MATCH(D2607,'Classif Gestoras'!$A$6:$A$462,0)),"Não classificada")</x:f>
        <x:v>Independente</x:v>
      </x:c>
      <x:c r="F2607" s="168" t="str">
        <x:v>ID Corretora de Títulos e Valores Mobiliários S.A.</x:v>
      </x:c>
      <x:c r="G2607" s="168" t="str">
        <x:v>ID CORRETORA DE TITULOS E VALORES MOBILIARIOS S.A.</x:v>
      </x:c>
      <x:c r="H2607" s="168" t="str">
        <x:v>Fomento Mercantil</x:v>
      </x:c>
      <x:c r="I2607" s="168" t="str">
        <x:v>Fomento Mercantil</x:v>
      </x:c>
      <x:c r="J2607" s="168" t="str">
        <x:v>CI</x:v>
      </x:c>
      <x:c r="K2607" s="174" t="n">
        <x:v>5</x:v>
      </x:c>
      <x:c r="L2607" s="187" t="str">
        <x:v>Não classificado</x:v>
      </x:c>
    </x:row>
    <x:row r="2608">
      <x:c r="A2608" s="177" t="str">
        <x:v>61.385.760/0001-59</x:v>
      </x:c>
      <x:c r="B2608" s="168" t="str">
        <x:v>TRÍVIA FUNDO DE INVESTIMENTO EM DIREITOS CREDITÓRIOS</x:v>
      </x:c>
      <x:c r="C2608" s="190" t="n">
        <x:v>8674665.049999999</x:v>
      </x:c>
      <x:c r="D2608" s="168" t="str">
        <x:v>Redwood Asset Management</x:v>
      </x:c>
      <x:c r="E2608" s="168" t="str">
        <x:f>IFERROR(INDEX('Classif Gestoras'!$H$6:$H$462,MATCH(D2608,'Classif Gestoras'!$A$6:$A$462,0)),"Não classificada")</x:f>
        <x:v>Independente</x:v>
      </x:c>
      <x:c r="F2608" s="168" t="str">
        <x:v>PLANNER CV</x:v>
      </x:c>
      <x:c r="G2608" s="168" t="str">
        <x:v>PLANNER CORRETORA DE VALORES S.A.</x:v>
      </x:c>
      <x:c r="H2608" s="168" t="str">
        <x:v>Outros</x:v>
      </x:c>
      <x:c r="I2608" s="168" t="str">
        <x:v>Multicarteira Outros</x:v>
      </x:c>
      <x:c r="J2608" s="168" t="str">
        <x:v>CI</x:v>
      </x:c>
      <x:c r="K2608" s="174" t="n">
        <x:v>1</x:v>
      </x:c>
      <x:c r="L2608" s="187" t="str">
        <x:v>Proxy multicedente/multissacado — revisar</x:v>
      </x:c>
    </x:row>
    <x:row r="2609">
      <x:c r="A2609" s="177" t="str">
        <x:v>60.604.288/0001-35</x:v>
      </x:c>
      <x:c r="B2609" s="168" t="str">
        <x:v>VRD FUNDO DE INVESTIMENTO EM DIREITOS CREDITÓRIOS NÃO-PADRONIZADOS</x:v>
      </x:c>
      <x:c r="C2609" s="190" t="n">
        <x:v>8674619.94</x:v>
      </x:c>
      <x:c r="D2609" s="168" t="str">
        <x:v>ASSET MANAGEMENT</x:v>
      </x:c>
      <x:c r="E2609" s="168" t="str">
        <x:f>IFERROR(INDEX('Classif Gestoras'!$H$6:$H$462,MATCH(D2609,'Classif Gestoras'!$A$6:$A$462,0)),"Não classificada")</x:f>
        <x:v>Independente</x:v>
      </x:c>
      <x:c r="F2609" s="168" t="str">
        <x:v>AZUMI DISTRIBUIDORA DE TÍTULOS E VALORES MOBILIÁRIOS LT</x:v>
      </x:c>
      <x:c r="G2609" s="168" t="str">
        <x:v>AZUMI DISTRIBUIDORA DE TÍTULOS E VALORES MOBILIÁRIOS LTDA.</x:v>
      </x:c>
      <x:c r="H2609" s="168" t="str">
        <x:v>Outros</x:v>
      </x:c>
      <x:c r="I2609" s="168" t="str">
        <x:v>Multicarteira Outros</x:v>
      </x:c>
      <x:c r="J2609" s="168" t="str">
        <x:v>CI</x:v>
      </x:c>
      <x:c r="K2609" s="174" t="n">
        <x:v>2</x:v>
      </x:c>
      <x:c r="L2609" s="187" t="str">
        <x:v>Proxy multicedente/multissacado — revisar</x:v>
      </x:c>
    </x:row>
    <x:row r="2610">
      <x:c r="A2610" s="177" t="str">
        <x:v>49.466.992/0001-36</x:v>
      </x:c>
      <x:c r="B2610" s="168" t="str">
        <x:v>MARCA I FUNDO DE INVESTIMENTO EM DIREITOS CREDITÓRIOS</x:v>
      </x:c>
      <x:c r="C2610" s="190" t="n">
        <x:v>8674604.51</x:v>
      </x:c>
      <x:c r="D2610" s="168" t="str">
        <x:v>TERCON ASSET MANAGEMENT</x:v>
      </x:c>
      <x:c r="E2610" s="168" t="str">
        <x:f>IFERROR(INDEX('Classif Gestoras'!$H$6:$H$462,MATCH(D2610,'Classif Gestoras'!$A$6:$A$462,0)),"Não classificada")</x:f>
        <x:v>Independente</x:v>
      </x:c>
      <x:c r="F2610" s="168" t="str">
        <x:v>Limine Trust Distribuidora de Titulos e Valores Mobiliá</x:v>
      </x:c>
      <x:c r="G2610" s="168" t="str">
        <x:v>LIMINE TRUST DISTRIBUIDORA DE TITULOS E VALORES MOBILIARIOS LTDA.</x:v>
      </x:c>
      <x:c r="H2610" s="168" t="str">
        <x:v>Outros</x:v>
      </x:c>
      <x:c r="I2610" s="168" t="str">
        <x:v>Multicarteira Outros</x:v>
      </x:c>
      <x:c r="J2610" s="168" t="str">
        <x:v>CI</x:v>
      </x:c>
      <x:c r="K2610" s="174" t="n">
        <x:v>2</x:v>
      </x:c>
      <x:c r="L2610" s="187" t="str">
        <x:v>Proxy multicedente/multissacado — revisar</x:v>
      </x:c>
    </x:row>
    <x:row r="2611">
      <x:c r="A2611" s="177" t="str">
        <x:v>27.944.815/0001-85</x:v>
      </x:c>
      <x:c r="B2611" s="168" t="str">
        <x:v>PRIMEIRA LINHA FUNDO DE INVESTIMENTO EM DIREITOS CREDITORIOS MULTISSETORIAL</x:v>
      </x:c>
      <x:c r="C2611" s="190" t="n">
        <x:v>8670240.65</x:v>
      </x:c>
      <x:c r="D2611" s="168" t="str">
        <x:v>OURO PRETO INVESTIMENTOS</x:v>
      </x:c>
      <x:c r="E2611" s="168" t="str">
        <x:f>IFERROR(INDEX('Classif Gestoras'!$H$6:$H$462,MATCH(D2611,'Classif Gestoras'!$A$6:$A$462,0)),"Não classificada")</x:f>
        <x:v>Independente</x:v>
      </x:c>
      <x:c r="F2611" s="168" t="str">
        <x:v>Singulare</x:v>
      </x:c>
      <x:c r="G2611" s="168" t="str">
        <x:v>QI CORRETORA DE TÍTULOS E VALORES MOBILIÁRIOS S.A.</x:v>
      </x:c>
      <x:c r="H2611" s="168" t="str">
        <x:v>Fomento Mercantil</x:v>
      </x:c>
      <x:c r="I2611" s="168" t="str">
        <x:v>Fomento Mercantil</x:v>
      </x:c>
      <x:c r="J2611" s="168" t="str">
        <x:v>CI</x:v>
      </x:c>
      <x:c r="K2611" s="174" t="n">
        <x:v>1</x:v>
      </x:c>
      <x:c r="L2611" s="187" t="str">
        <x:v>Não classificado</x:v>
      </x:c>
    </x:row>
    <x:row r="2612">
      <x:c r="A2612" s="177" t="str">
        <x:v>23.884.789/0001-96</x:v>
      </x:c>
      <x:c r="B2612" s="168" t="str">
        <x:v>III FIDC POLO RECUPERAÇÃO DE CRÉDITO FUNDO DE INVESTIMENTO EM DIREITOS CREDITÓRIOS</x:v>
      </x:c>
      <x:c r="C2612" s="190" t="n">
        <x:v>8664647.060000002</x:v>
      </x:c>
      <x:c r="D2612" s="168" t="str">
        <x:v>Polo Capital Gestão de Recurso</x:v>
      </x:c>
      <x:c r="E2612" s="168" t="str">
        <x:f>IFERROR(INDEX('Classif Gestoras'!$H$6:$H$462,MATCH(D2612,'Classif Gestoras'!$A$6:$A$462,0)),"Não classificada")</x:f>
        <x:v>Independente</x:v>
      </x:c>
      <x:c r="F2612" s="168" t="str">
        <x:v>BEM - DIST. DE TÍTUL</x:v>
      </x:c>
      <x:c r="G2612" s="168" t="str">
        <x:v>BANCO BRADESCO S.A.</x:v>
      </x:c>
      <x:c r="H2612" s="168" t="str">
        <x:v>Outros</x:v>
      </x:c>
      <x:c r="I2612" s="168" t="str">
        <x:v>Recuperação</x:v>
      </x:c>
      <x:c r="J2612" s="168" t="str">
        <x:v>CI</x:v>
      </x:c>
      <x:c r="K2612" s="174" t="n">
        <x:v>5</x:v>
      </x:c>
      <x:c r="L2612" s="187" t="str">
        <x:v>Não classificado</x:v>
      </x:c>
    </x:row>
    <x:row r="2613">
      <x:c r="A2613" s="177" t="str">
        <x:v>17.043.211/0001-04</x:v>
      </x:c>
      <x:c r="B2613" s="168" t="str">
        <x:v>VHY I FUNDO DE INVESTIMENTO EM DIREITOS CREDITÓRIOS MULTISEGMENTOS DE RESPONSABILIDADE LIMITADA</x:v>
      </x:c>
      <x:c r="C2613" s="190" t="n">
        <x:v>8626915.91</x:v>
      </x:c>
      <x:c r="D2613" s="168" t="str">
        <x:v>Vinci Gestora de Recursos LTDA</x:v>
      </x:c>
      <x:c r="E2613" s="168" t="str">
        <x:f>IFERROR(INDEX('Classif Gestoras'!$H$6:$H$462,MATCH(D2613,'Classif Gestoras'!$A$6:$A$462,0)),"Não classificada")</x:f>
        <x:v>Independente</x:v>
      </x:c>
      <x:c r="F2613" s="168" t="str">
        <x:v>Banco Finaxis S.A.</x:v>
      </x:c>
      <x:c r="G2613" s="168" t="str">
        <x:v>BANCO FINAXIS S.A.</x:v>
      </x:c>
      <x:c r="H2613" s="168" t="str">
        <x:v>Outros</x:v>
      </x:c>
      <x:c r="I2613" s="168" t="str">
        <x:v>Multicarteira Outros</x:v>
      </x:c>
      <x:c r="J2613" s="168" t="str">
        <x:v>CI</x:v>
      </x:c>
      <x:c r="K2613" s="174" t="n">
        <x:v>4</x:v>
      </x:c>
      <x:c r="L2613" s="187" t="str">
        <x:v>Proxy multicedente/multissacado — revisar</x:v>
      </x:c>
    </x:row>
    <x:row r="2614">
      <x:c r="A2614" s="177" t="str">
        <x:v>65.930.239/0001-06</x:v>
      </x:c>
      <x:c r="B2614" s="168" t="str">
        <x:v>PET FUNDO DE INVESTIMENTO EM DIREITOS CREDITÓRIOS</x:v>
      </x:c>
      <x:c r="C2614" s="190" t="n">
        <x:v>8614472.9</x:v>
      </x:c>
      <x:c r="D2614" s="168" t="str">
        <x:v>NEBRASKA CAPITAL</x:v>
      </x:c>
      <x:c r="E2614" s="168" t="str">
        <x:f>IFERROR(INDEX('Classif Gestoras'!$H$6:$H$462,MATCH(D2614,'Classif Gestoras'!$A$6:$A$462,0)),"Não classificada")</x:f>
        <x:v>Independente</x:v>
      </x:c>
      <x:c r="F2614" s="168" t="str">
        <x:v>BTG Pactual Servicos Financeiros S/A DTVM</x:v>
      </x:c>
      <x:c r="G2614" s="168" t="str">
        <x:v>BANCO BTG PACTUAL S/A</x:v>
      </x:c>
      <x:c r="H2614" s="168" t="str">
        <x:v>Outros</x:v>
      </x:c>
      <x:c r="I2614" s="168" t="str">
        <x:v>Multicarteira Outros</x:v>
      </x:c>
      <x:c r="J2614" s="168" t="str">
        <x:v>CI</x:v>
      </x:c>
      <x:c r="K2614" s="174" t="n">
        <x:v>1</x:v>
      </x:c>
      <x:c r="L2614" s="187" t="str">
        <x:v>Proxy multicedente/multissacado — revisar</x:v>
      </x:c>
    </x:row>
    <x:row r="2615">
      <x:c r="A2615" s="177" t="str">
        <x:v>52.363.837/0001-07</x:v>
      </x:c>
      <x:c r="B2615" s="168" t="str">
        <x:v>FAMA GAIA SOCIOBIOECONOMIA FUNDO DE INVESTIMENTO EM DIREITOS CREDITÓRIOS INVESTIMENTO SUSTENTÁVEL</x:v>
      </x:c>
      <x:c r="C2615" s="190" t="n">
        <x:v>8613875.54</x:v>
      </x:c>
      <x:c r="D2615" s="168" t="str">
        <x:v>fama re.capital</x:v>
      </x:c>
      <x:c r="E2615" s="168" t="str">
        <x:f>IFERROR(INDEX('Classif Gestoras'!$H$6:$H$462,MATCH(D2615,'Classif Gestoras'!$A$6:$A$462,0)),"Não classificada")</x:f>
        <x:v>Independente</x:v>
      </x:c>
      <x:c r="F2615" s="168" t="str">
        <x:v>OSLO DTVM S. A.</x:v>
      </x:c>
      <x:c r="G2615" s="168" t="str">
        <x:v>OSLO CAPITAL DISTRIBUIDORA DE TITULOS E VALORES MOBILIARIOS S.A.</x:v>
      </x:c>
      <x:c r="H2615" s="168" t="str">
        <x:v>Outros</x:v>
      </x:c>
      <x:c r="I2615" s="168" t="str">
        <x:v>Multicarteira Outros</x:v>
      </x:c>
      <x:c r="J2615" s="168" t="str">
        <x:v>CI</x:v>
      </x:c>
      <x:c r="K2615" s="174" t="n">
        <x:v>13</x:v>
      </x:c>
      <x:c r="L2615" s="187" t="str">
        <x:v>Proxy multicedente/multissacado — revisar</x:v>
      </x:c>
    </x:row>
    <x:row r="2616">
      <x:c r="A2616" s="177" t="str">
        <x:v>22.003.571/0001-12</x:v>
      </x:c>
      <x:c r="B2616" s="168" t="str">
        <x:v>INVESTOR FUNDO DE INVESTIMENTO EM DIREITOS CREDITÓRIOS</x:v>
      </x:c>
      <x:c r="C2616" s="190" t="n">
        <x:v>8586186.799999999</x:v>
      </x:c>
      <x:c r="D2616" s="168" t="str">
        <x:v>TERCON ASSET MANAGEMENT</x:v>
      </x:c>
      <x:c r="E2616" s="168" t="str">
        <x:f>IFERROR(INDEX('Classif Gestoras'!$H$6:$H$462,MATCH(D2616,'Classif Gestoras'!$A$6:$A$462,0)),"Não classificada")</x:f>
        <x:v>Independente</x:v>
      </x:c>
      <x:c r="F2616" s="168" t="str">
        <x:v>Singulare</x:v>
      </x:c>
      <x:c r="G2616" s="168" t="str">
        <x:v>QI CORRETORA DE TÍTULOS E VALORES MOBILIÁRIOS S.A.</x:v>
      </x:c>
      <x:c r="H2616" s="168" t="str">
        <x:v>Fomento Mercantil</x:v>
      </x:c>
      <x:c r="I2616" s="168" t="str">
        <x:v>Fomento Mercantil</x:v>
      </x:c>
      <x:c r="J2616" s="168" t="str">
        <x:v>CI</x:v>
      </x:c>
      <x:c r="K2616" s="174" t="n">
        <x:v>12</x:v>
      </x:c>
      <x:c r="L2616" s="187" t="str">
        <x:v>Não classificado</x:v>
      </x:c>
    </x:row>
    <x:row r="2617">
      <x:c r="A2617" s="177" t="str">
        <x:v>62.791.919/0001-06</x:v>
      </x:c>
      <x:c r="B2617" s="168" t="str">
        <x:v>BE FUND FUNDO DE INVESTIMENTO EM DIREITOS CREDITÓRIOS RESPONSABILIDADE LIMITADA</x:v>
      </x:c>
      <x:c r="C2617" s="190" t="n">
        <x:v>8539186.84</x:v>
      </x:c>
      <x:c r="D2617" s="168" t="str">
        <x:v>MORRO CAPITAL GESTORA DE RECURSOS LTDA</x:v>
      </x:c>
      <x:c r="E2617" s="168" t="str">
        <x:f>IFERROR(INDEX('Classif Gestoras'!$H$6:$H$462,MATCH(D2617,'Classif Gestoras'!$A$6:$A$462,0)),"Não classificada")</x:f>
        <x:v>Independente</x:v>
      </x:c>
      <x:c r="F2617" s="168" t="str">
        <x:v>ID Corretora de Títulos e Valores Mobiliários S.A.</x:v>
      </x:c>
      <x:c r="G2617" s="168" t="str">
        <x:v>ID CORRETORA DE TITULOS E VALORES MOBILIARIOS S.A.</x:v>
      </x:c>
      <x:c r="H2617" s="168" t="str">
        <x:v>Outros</x:v>
      </x:c>
      <x:c r="I2617" s="168" t="str">
        <x:v>Multicarteira Outros</x:v>
      </x:c>
      <x:c r="J2617" s="168" t="str">
        <x:v>CI</x:v>
      </x:c>
      <x:c r="K2617" s="174" t="n">
        <x:v>3</x:v>
      </x:c>
      <x:c r="L2617" s="187" t="str">
        <x:v>Proxy multicedente/multissacado — revisar</x:v>
      </x:c>
    </x:row>
    <x:row r="2618">
      <x:c r="A2618" s="177" t="str">
        <x:v>53.033.766/0001-39</x:v>
      </x:c>
      <x:c r="B2618" s="168" t="str">
        <x:v>PROSPERITÀ FUNDO DE INVESTIMENTO EM DIREITOS CREDITÓRIOS</x:v>
      </x:c>
      <x:c r="C2618" s="190" t="n">
        <x:v>8468803.48</x:v>
      </x:c>
      <x:c r="D2618" s="168" t="str">
        <x:v>FIDD Administração de Recursos Ltda.</x:v>
      </x:c>
      <x:c r="E2618" s="168" t="str">
        <x:f>IFERROR(INDEX('Classif Gestoras'!$H$6:$H$462,MATCH(D2618,'Classif Gestoras'!$A$6:$A$462,0)),"Não classificada")</x:f>
        <x:v>Independente</x:v>
      </x:c>
      <x:c r="F2618" s="168" t="str">
        <x:v>FIDD DISTRIBUIDORA DE TITULOS E VALORES MOBILIARIOS LTD</x:v>
      </x:c>
      <x:c r="G2618" s="168" t="str">
        <x:v>FIDD DISTRIBUIDORA DE TITULOS E VALORES MOBILIARIOS LTDA.</x:v>
      </x:c>
      <x:c r="H2618" s="168" t="str">
        <x:v>Outros</x:v>
      </x:c>
      <x:c r="I2618" s="168" t="str">
        <x:v>Multicarteira Outros</x:v>
      </x:c>
      <x:c r="J2618" s="168" t="str">
        <x:v>CI</x:v>
      </x:c>
      <x:c r="K2618" s="174" t="n">
        <x:v>2</x:v>
      </x:c>
      <x:c r="L2618" s="187" t="str">
        <x:v>Proxy multicedente/multissacado — revisar</x:v>
      </x:c>
    </x:row>
    <x:row r="2619">
      <x:c r="A2619" s="177" t="str">
        <x:v>52.348.286/0001-02</x:v>
      </x:c>
      <x:c r="B2619" s="168" t="str">
        <x:v>EXP RF CONSERVADOR FEEDER - FIDC</x:v>
      </x:c>
      <x:c r="C2619" s="190" t="n">
        <x:v>8459739.65</x:v>
      </x:c>
      <x:c r="D2619" s="168" t="str">
        <x:v>IDGR</x:v>
      </x:c>
      <x:c r="E2619" s="168" t="str">
        <x:f>IFERROR(INDEX('Classif Gestoras'!$H$6:$H$462,MATCH(D2619,'Classif Gestoras'!$A$6:$A$462,0)),"Não classificada")</x:f>
        <x:v>Independente</x:v>
      </x:c>
      <x:c r="F2619" s="168" t="str">
        <x:v>ID Corretora de Títulos e Valores Mobiliários S.A.</x:v>
      </x:c>
      <x:c r="G2619" s="168" t="str">
        <x:v>ID CORRETORA DE TITULOS E VALORES MOBILIARIOS S.A.</x:v>
      </x:c>
      <x:c r="H2619" s="168" t="str">
        <x:v>Outros</x:v>
      </x:c>
      <x:c r="I2619" s="168" t="str">
        <x:v>Multicarteira Outros</x:v>
      </x:c>
      <x:c r="J2619" s="168" t="str">
        <x:v>CI</x:v>
      </x:c>
      <x:c r="K2619" s="174" t="n">
        <x:v>0</x:v>
      </x:c>
      <x:c r="L2619" s="187" t="str">
        <x:v>Proxy multicedente/multissacado — revisar</x:v>
      </x:c>
    </x:row>
    <x:row r="2620">
      <x:c r="A2620" s="177" t="str">
        <x:v>61.575.850/0001-02</x:v>
      </x:c>
      <x:c r="B2620" s="168" t="str">
        <x:v>LEXEDGE I FUNDO DE INVESTIMENTO EM DIREITOS CREDITÓRIOS - RESPONSABILIDADE LIMITADA</x:v>
      </x:c>
      <x:c r="C2620" s="190" t="n">
        <x:v>8448073.729999999</x:v>
      </x:c>
      <x:c r="D2620" s="168" t="str">
        <x:v>OURO PRETO INVESTIMENTOS</x:v>
      </x:c>
      <x:c r="E2620" s="168" t="str">
        <x:f>IFERROR(INDEX('Classif Gestoras'!$H$6:$H$462,MATCH(D2620,'Classif Gestoras'!$A$6:$A$462,0)),"Não classificada")</x:f>
        <x:v>Independente</x:v>
      </x:c>
      <x:c r="F2620" s="168" t="str">
        <x:v>Singulare</x:v>
      </x:c>
      <x:c r="G2620" s="168" t="str">
        <x:v>QI CORRETORA DE TÍTULOS E VALORES MOBILIÁRIOS S.A.</x:v>
      </x:c>
      <x:c r="H2620" s="168" t="str">
        <x:v>Outros</x:v>
      </x:c>
      <x:c r="I2620" s="168" t="str">
        <x:v>Poder Público</x:v>
      </x:c>
      <x:c r="J2620" s="168" t="str">
        <x:v>CI</x:v>
      </x:c>
      <x:c r="K2620" s="174" t="n">
        <x:v>12</x:v>
      </x:c>
      <x:c r="L2620" s="187" t="str">
        <x:v>Não classificado</x:v>
      </x:c>
    </x:row>
    <x:row r="2621">
      <x:c r="A2621" s="177" t="str">
        <x:v>48.053.945/0001-06</x:v>
      </x:c>
      <x:c r="B2621" s="168" t="str">
        <x:v>XP C1 FUNDO DE INVESTIMENTO EM DIREITOS CREDITÓRIOS NÃO-PADRONIZADOS</x:v>
      </x:c>
      <x:c r="C2621" s="190" t="n">
        <x:v>8444528</x:v>
      </x:c>
      <x:c r="D2621" s="168" t="str">
        <x:v>Vista Real Estate</x:v>
      </x:c>
      <x:c r="E2621" s="168" t="str">
        <x:f>IFERROR(INDEX('Classif Gestoras'!$H$6:$H$462,MATCH(D2621,'Classif Gestoras'!$A$6:$A$462,0)),"Não classificada")</x:f>
        <x:v>Independente</x:v>
      </x:c>
      <x:c r="F2621" s="168" t="str">
        <x:v>BRL TRUST DTVM</x:v>
      </x:c>
      <x:c r="G2621" s="168" t="str">
        <x:v>BRL TRUST DISTRIBUIDORA DE TITULOS E VALORES MOBILIARIOS S.A.</x:v>
      </x:c>
      <x:c r="H2621" s="168" t="str">
        <x:v>Agro, Indústria e Comércio</x:v>
      </x:c>
      <x:c r="I2621" s="168" t="str">
        <x:v>Multicarteira Agro, Indústria e Comércio</x:v>
      </x:c>
      <x:c r="J2621" s="168" t="str">
        <x:v>CI</x:v>
      </x:c>
      <x:c r="K2621" s="174" t="n">
        <x:v>2</x:v>
      </x:c>
      <x:c r="L2621" s="187" t="str">
        <x:v>Proxy multicedente/multissacado — revisar</x:v>
      </x:c>
    </x:row>
    <x:row r="2622">
      <x:c r="A2622" s="177" t="str">
        <x:v>63.464.230/0001-21</x:v>
      </x:c>
      <x:c r="B2622" s="168" t="str">
        <x:v>NEO SEED FUNDO DE INVESTIMENTO EM DIREITOS CREDITÓRIOS - RESPONSABILIDADE LIMITADA</x:v>
      </x:c>
      <x:c r="C2622" s="190" t="n">
        <x:v>8419506.71</x:v>
      </x:c>
      <x:c r="D2622" s="168" t="str">
        <x:v>SPECIAL SITUATIONS NEO GESTAO DE RECURSOS LTDA</x:v>
      </x:c>
      <x:c r="E2622" s="168" t="str">
        <x:f>IFERROR(INDEX('Classif Gestoras'!$H$6:$H$462,MATCH(D2622,'Classif Gestoras'!$A$6:$A$462,0)),"Não classificada")</x:f>
        <x:v>Independente</x:v>
      </x:c>
      <x:c r="F2622" s="168" t="str">
        <x:v>VÓRTX DTVM</x:v>
      </x:c>
      <x:c r="G2622" s="168" t="str">
        <x:v>VORTX DISTRIBUIDORA DE TITULOS E VALORES MOBILIARIOS LTDA.</x:v>
      </x:c>
      <x:c r="H2622" s="168" t="str">
        <x:v>Outros</x:v>
      </x:c>
      <x:c r="I2622" s="168" t="str">
        <x:v>Multicarteira Outros</x:v>
      </x:c>
      <x:c r="J2622" s="168" t="str">
        <x:v>CI</x:v>
      </x:c>
      <x:c r="K2622" s="174" t="n">
        <x:v>18</x:v>
      </x:c>
      <x:c r="L2622" s="187" t="str">
        <x:v>Proxy multicedente/multissacado — revisar</x:v>
      </x:c>
    </x:row>
    <x:row r="2623">
      <x:c r="A2623" s="177" t="str">
        <x:v>37.910.672/0001-44</x:v>
      </x:c>
      <x:c r="B2623" s="168" t="str">
        <x:v>CNPJ 37910672000144</x:v>
      </x:c>
      <x:c r="C2623" s="190" t="n">
        <x:v>8414260.4</x:v>
      </x:c>
      <x:c r="D2623" s="168" t="str">
        <x:v>Libertas Asset</x:v>
      </x:c>
      <x:c r="E2623" s="168" t="str">
        <x:f>IFERROR(INDEX('Classif Gestoras'!$H$6:$H$462,MATCH(D2623,'Classif Gestoras'!$A$6:$A$462,0)),"Não classificada")</x:f>
        <x:v>Independente</x:v>
      </x:c>
      <x:c r="F2623" s="168" t="str">
        <x:v>ACTUAL DTVM</x:v>
      </x:c>
      <x:c r="G2623" s="168" t="str">
        <x:v>Não identificado</x:v>
      </x:c>
      <x:c r="H2623" s="168" t="str">
        <x:v>Fomento Mercantil</x:v>
      </x:c>
      <x:c r="I2623" s="168" t="str">
        <x:v>Fomento Mercantil</x:v>
      </x:c>
      <x:c r="J2623" s="168" t="str">
        <x:v>CI</x:v>
      </x:c>
      <x:c r="K2623" s="174"/>
      <x:c r="L2623" s="187" t="str">
        <x:v>Não classificado</x:v>
      </x:c>
    </x:row>
    <x:row r="2624">
      <x:c r="A2624" s="177" t="str">
        <x:v>51.920.831/0001-12</x:v>
      </x:c>
      <x:c r="B2624" s="168" t="str">
        <x:v>INOVA CREDTECH II FUNDO DE INVESTIMENTOS EM DIREITOS CREDITÓRIOS</x:v>
      </x:c>
      <x:c r="C2624" s="190" t="n">
        <x:v>8371341.34</x:v>
      </x:c>
      <x:c r="D2624" s="168" t="str">
        <x:v>BERTHA CAPITAL</x:v>
      </x:c>
      <x:c r="E2624" s="168" t="str">
        <x:f>IFERROR(INDEX('Classif Gestoras'!$H$6:$H$462,MATCH(D2624,'Classif Gestoras'!$A$6:$A$462,0)),"Não classificada")</x:f>
        <x:v>Independente</x:v>
      </x:c>
      <x:c r="F2624" s="168" t="str">
        <x:v>MONETAR DISTRIBUIDORA DE TITUL</x:v>
      </x:c>
      <x:c r="G2624" s="168" t="str">
        <x:v>TERRA INVESTIMENTOS DISTRIBUIDORA DE TITULOS E VALORES MOBILIARIOS LTDA</x:v>
      </x:c>
      <x:c r="H2624" s="168" t="str">
        <x:v>Outros</x:v>
      </x:c>
      <x:c r="I2624" s="168" t="str">
        <x:v>Recuperação</x:v>
      </x:c>
      <x:c r="J2624" s="168" t="str">
        <x:v>CI</x:v>
      </x:c>
      <x:c r="K2624" s="174" t="n">
        <x:v>2</x:v>
      </x:c>
      <x:c r="L2624" s="187" t="str">
        <x:v>Não classificado</x:v>
      </x:c>
    </x:row>
    <x:row r="2625">
      <x:c r="A2625" s="177" t="str">
        <x:v>44.272.660/0001-05</x:v>
      </x:c>
      <x:c r="B2625" s="168" t="str">
        <x:v>PRECATO III FUNDO DE INVESTIMENTO EM DIREITOS CREDITÓRIOS DE RESPONSABILIDADE LIMITADA</x:v>
      </x:c>
      <x:c r="C2625" s="190" t="n">
        <x:v>8362480.48</x:v>
      </x:c>
      <x:c r="D2625" s="168" t="str">
        <x:v>TAG Investimentos</x:v>
      </x:c>
      <x:c r="E2625" s="168" t="str">
        <x:f>IFERROR(INDEX('Classif Gestoras'!$H$6:$H$462,MATCH(D2625,'Classif Gestoras'!$A$6:$A$462,0)),"Não classificada")</x:f>
        <x:v>Independente</x:v>
      </x:c>
      <x:c r="F2625" s="168" t="str">
        <x:v>VÓRTX DTVM</x:v>
      </x:c>
      <x:c r="G2625" s="168" t="str">
        <x:v>VORTX DISTRIBUIDORA DE TITULOS E VALORES MOBILIARIOS LTDA.</x:v>
      </x:c>
      <x:c r="H2625" s="168" t="str">
        <x:v>Outros</x:v>
      </x:c>
      <x:c r="I2625" s="168" t="str">
        <x:v>Poder Público</x:v>
      </x:c>
      <x:c r="J2625" s="168" t="str">
        <x:v>CI</x:v>
      </x:c>
      <x:c r="K2625" s="174" t="n">
        <x:v>7</x:v>
      </x:c>
      <x:c r="L2625" s="187" t="str">
        <x:v>Não classificado</x:v>
      </x:c>
    </x:row>
    <x:row r="2626">
      <x:c r="A2626" s="177" t="str">
        <x:v>60.809.123/0001-08</x:v>
      </x:c>
      <x:c r="B2626" s="168" t="str">
        <x:v>QCX FUNDO DE INVESTIMENTO EM DIREITOS CREDITÓRIOS</x:v>
      </x:c>
      <x:c r="C2626" s="190" t="n">
        <x:v>8331980.93</x:v>
      </x:c>
      <x:c r="D2626" s="168" t="str">
        <x:v>ICON CAPITAL</x:v>
      </x:c>
      <x:c r="E2626" s="168" t="str">
        <x:f>IFERROR(INDEX('Classif Gestoras'!$H$6:$H$462,MATCH(D2626,'Classif Gestoras'!$A$6:$A$462,0)),"Não classificada")</x:f>
        <x:v>Independente</x:v>
      </x:c>
      <x:c r="F2626" s="168" t="str">
        <x:v>FIDD DISTRIBUIDORA DE TITULOS E VALORES MOBILIARIOS LTD</x:v>
      </x:c>
      <x:c r="G2626" s="168" t="str">
        <x:v>FIDD DISTRIBUIDORA DE TITULOS E VALORES MOBILIARIOS LTDA.</x:v>
      </x:c>
      <x:c r="H2626" s="168" t="str">
        <x:v>Outros</x:v>
      </x:c>
      <x:c r="I2626" s="168" t="str">
        <x:v>Multicarteira Outros</x:v>
      </x:c>
      <x:c r="J2626" s="168" t="str">
        <x:v>CI</x:v>
      </x:c>
      <x:c r="K2626" s="174" t="n">
        <x:v>1</x:v>
      </x:c>
      <x:c r="L2626" s="187" t="str">
        <x:v>Proxy multicedente/multissacado — revisar</x:v>
      </x:c>
    </x:row>
    <x:row r="2627">
      <x:c r="A2627" s="177" t="str">
        <x:v>60.779.517/0001-52</x:v>
      </x:c>
      <x:c r="B2627" s="168" t="str">
        <x:v>ALPINE ASPEN FUNDO DE INVESTIMENTO EM DIREITOS CREDITÓRIOS NÃO-PADRONIZADOS</x:v>
      </x:c>
      <x:c r="C2627" s="190" t="n">
        <x:v>8311886.48</x:v>
      </x:c>
      <x:c r="D2627" s="168" t="str">
        <x:v>ASSET MANAGEMENT</x:v>
      </x:c>
      <x:c r="E2627" s="168" t="str">
        <x:f>IFERROR(INDEX('Classif Gestoras'!$H$6:$H$462,MATCH(D2627,'Classif Gestoras'!$A$6:$A$462,0)),"Não classificada")</x:f>
        <x:v>Independente</x:v>
      </x:c>
      <x:c r="F2627" s="168" t="str">
        <x:v>AZUMI DISTRIBUIDORA DE TÍTULOS E VALORES MOBILIÁRIOS LT</x:v>
      </x:c>
      <x:c r="G2627" s="168" t="str">
        <x:v>AZUMI DISTRIBUIDORA DE TÍTULOS E VALORES MOBILIÁRIOS LTDA.</x:v>
      </x:c>
      <x:c r="H2627" s="168" t="str">
        <x:v>Financeiro</x:v>
      </x:c>
      <x:c r="I2627" s="168" t="str">
        <x:v>Multicarteira Financeiro</x:v>
      </x:c>
      <x:c r="J2627" s="168" t="str">
        <x:v>CI</x:v>
      </x:c>
      <x:c r="K2627" s="174" t="n">
        <x:v>4</x:v>
      </x:c>
      <x:c r="L2627" s="187" t="str">
        <x:v>Proxy multicedente/multissacado — revisar</x:v>
      </x:c>
    </x:row>
    <x:row r="2628">
      <x:c r="A2628" s="177" t="str">
        <x:v>41.341.232/0001-90</x:v>
      </x:c>
      <x:c r="B2628" s="168" t="str">
        <x:v>HOLDER FUNDO DE INVESTIMENTO EM DIREITOS CREDITÓRIOS NÃO PADRONIZADOS</x:v>
      </x:c>
      <x:c r="C2628" s="190" t="n">
        <x:v>8310397.039999998</x:v>
      </x:c>
      <x:c r="D2628" s="168" t="str">
        <x:v>Harbour Capital</x:v>
      </x:c>
      <x:c r="E2628" s="168" t="str">
        <x:f>IFERROR(INDEX('Classif Gestoras'!$H$6:$H$462,MATCH(D2628,'Classif Gestoras'!$A$6:$A$462,0)),"Não classificada")</x:f>
        <x:v>Independente</x:v>
      </x:c>
      <x:c r="F2628" s="168" t="str">
        <x:v>AZUMI DISTRIBUIDORA DE TÍTULOS E VALORES MOBILIÁRIOS LT</x:v>
      </x:c>
      <x:c r="G2628" s="168" t="str">
        <x:v>AZUMI DISTRIBUIDORA DE TÍTULOS E VALORES MOBILIÁRIOS LTDA.</x:v>
      </x:c>
      <x:c r="H2628" s="168" t="str">
        <x:v>Financeiro</x:v>
      </x:c>
      <x:c r="I2628" s="168" t="str">
        <x:v>Crédito Imobiliário</x:v>
      </x:c>
      <x:c r="J2628" s="168" t="str">
        <x:v>CI</x:v>
      </x:c>
      <x:c r="K2628" s="174" t="n">
        <x:v>1</x:v>
      </x:c>
      <x:c r="L2628" s="187" t="str">
        <x:v>Não classificado</x:v>
      </x:c>
    </x:row>
    <x:row r="2629">
      <x:c r="A2629" s="177" t="str">
        <x:v>63.809.103/0001-17</x:v>
      </x:c>
      <x:c r="B2629" s="168" t="str">
        <x:v>NOVUS CRÉDITO HIGH YIELD FUNDO DE INVESTIMENTO EM DIREITOS CREDITÓRIOS</x:v>
      </x:c>
      <x:c r="C2629" s="190" t="n">
        <x:v>8293387.14</x:v>
      </x:c>
      <x:c r="D2629" s="168" t="str">
        <x:v>Novus Capital</x:v>
      </x:c>
      <x:c r="E2629" s="168" t="str">
        <x:f>IFERROR(INDEX('Classif Gestoras'!$H$6:$H$462,MATCH(D2629,'Classif Gestoras'!$A$6:$A$462,0)),"Não classificada")</x:f>
        <x:v>Independente</x:v>
      </x:c>
      <x:c r="F2629" s="168" t="str">
        <x:v>XPI CCTVM S/A</x:v>
      </x:c>
      <x:c r="G2629" s="168" t="str">
        <x:v>OLIVEIRA TRUST DTVM S.A.</x:v>
      </x:c>
      <x:c r="H2629" s="168" t="str">
        <x:v>Fomento Mercantil</x:v>
      </x:c>
      <x:c r="I2629" s="168" t="str">
        <x:v>Fomento Mercantil</x:v>
      </x:c>
      <x:c r="J2629" s="168" t="str">
        <x:v>CI</x:v>
      </x:c>
      <x:c r="K2629" s="174" t="n">
        <x:v>1</x:v>
      </x:c>
      <x:c r="L2629" s="187" t="str">
        <x:v>Não classificado</x:v>
      </x:c>
    </x:row>
    <x:row r="2630">
      <x:c r="A2630" s="177" t="str">
        <x:v>51.943.508/0001-64</x:v>
      </x:c>
      <x:c r="B2630" s="168" t="str">
        <x:v>CARMEL FUNDO DE INVESTIMENTO EM DIREITOS CREDITÓRIOS</x:v>
      </x:c>
      <x:c r="C2630" s="190" t="n">
        <x:v>8290157.77</x:v>
      </x:c>
      <x:c r="D2630" s="168" t="str">
        <x:v>Redwood Asset Management</x:v>
      </x:c>
      <x:c r="E2630" s="168" t="str">
        <x:f>IFERROR(INDEX('Classif Gestoras'!$H$6:$H$462,MATCH(D2630,'Classif Gestoras'!$A$6:$A$462,0)),"Não classificada")</x:f>
        <x:v>Independente</x:v>
      </x:c>
      <x:c r="F2630" s="168" t="str">
        <x:v>PLANNER CV</x:v>
      </x:c>
      <x:c r="G2630" s="168" t="str">
        <x:v>PLANNER CORRETORA DE VALORES S.A.</x:v>
      </x:c>
      <x:c r="H2630" s="168" t="str">
        <x:v>Outros</x:v>
      </x:c>
      <x:c r="I2630" s="168" t="str">
        <x:v>Multicarteira Outros</x:v>
      </x:c>
      <x:c r="J2630" s="168" t="str">
        <x:v>CI</x:v>
      </x:c>
      <x:c r="K2630" s="174" t="n">
        <x:v>1</x:v>
      </x:c>
      <x:c r="L2630" s="187" t="str">
        <x:v>Proxy multicedente/multissacado — revisar</x:v>
      </x:c>
    </x:row>
    <x:row r="2631">
      <x:c r="A2631" s="177" t="str">
        <x:v>44.613.189/0001-63</x:v>
      </x:c>
      <x:c r="B2631" s="168" t="str">
        <x:v>BIOMA INVESTIMENTOS FIAGRO EM DIREITOS CREDITÓRIOS</x:v>
      </x:c>
      <x:c r="C2631" s="190" t="n">
        <x:v>8263246.750000002</x:v>
      </x:c>
      <x:c r="D2631" s="168" t="str">
        <x:v>GFS INVESTIMENTOS</x:v>
      </x:c>
      <x:c r="E2631" s="168" t="str">
        <x:f>IFERROR(INDEX('Classif Gestoras'!$H$6:$H$462,MATCH(D2631,'Classif Gestoras'!$A$6:$A$462,0)),"Não classificada")</x:f>
        <x:v>Independente</x:v>
      </x:c>
      <x:c r="F2631" s="168" t="str">
        <x:v>PLANNER CV</x:v>
      </x:c>
      <x:c r="G2631" s="168" t="str">
        <x:v>PLANNER CORRETORA DE VALORES S.A.</x:v>
      </x:c>
      <x:c r="H2631" s="168" t="str">
        <x:v>Agro, Indústria e Comércio</x:v>
      </x:c>
      <x:c r="I2631" s="168" t="str">
        <x:v>Agronegócio</x:v>
      </x:c>
      <x:c r="J2631" s="168" t="str">
        <x:v>CI</x:v>
      </x:c>
      <x:c r="K2631" s="174" t="n">
        <x:v>14</x:v>
      </x:c>
      <x:c r="L2631" s="187" t="str">
        <x:v>Não classificado</x:v>
      </x:c>
    </x:row>
    <x:row r="2632">
      <x:c r="A2632" s="177" t="str">
        <x:v>55.659.693/0001-10</x:v>
      </x:c>
      <x:c r="B2632" s="168" t="str">
        <x:v>CONSULT PRECATÓRIOS E RECEBÍVEIS FUNDO DE INVESTIMENTO EM DIREITOS CREDITÓRIOS RESP LIMITADA</x:v>
      </x:c>
      <x:c r="C2632" s="190" t="n">
        <x:v>8250179.88</x:v>
      </x:c>
      <x:c r="D2632" s="168" t="str">
        <x:v>Bless Capital Gestora de Recursos Ltda.</x:v>
      </x:c>
      <x:c r="E2632" s="168" t="str">
        <x:f>IFERROR(INDEX('Classif Gestoras'!$H$6:$H$462,MATCH(D2632,'Classif Gestoras'!$A$6:$A$462,0)),"Não classificada")</x:f>
        <x:v>Independente</x:v>
      </x:c>
      <x:c r="F2632" s="168" t="str">
        <x:v>ID Corretora de Títulos e Valores Mobiliários S.A.</x:v>
      </x:c>
      <x:c r="G2632" s="168" t="str">
        <x:v>ID CORRETORA DE TITULOS E VALORES MOBILIARIOS S.A.</x:v>
      </x:c>
      <x:c r="H2632" s="168" t="str">
        <x:v>Outros</x:v>
      </x:c>
      <x:c r="I2632" s="168" t="str">
        <x:v>Multicarteira Outros</x:v>
      </x:c>
      <x:c r="J2632" s="168" t="str">
        <x:v>CI</x:v>
      </x:c>
      <x:c r="K2632" s="174" t="n">
        <x:v>4</x:v>
      </x:c>
      <x:c r="L2632" s="187" t="str">
        <x:v>Proxy multicedente/multissacado — revisar</x:v>
      </x:c>
    </x:row>
    <x:row r="2633">
      <x:c r="A2633" s="177" t="str">
        <x:v>61.177.258/0001-52</x:v>
      </x:c>
      <x:c r="B2633" s="168" t="str">
        <x:v>JPA AGRO I FUNDO DE INVESTIMENTO EM DIREITOS CREDITÓRIOS DE RESPONSABILIDADE LIMITADA</x:v>
      </x:c>
      <x:c r="C2633" s="190" t="n">
        <x:v>8219456.23</x:v>
      </x:c>
      <x:c r="D2633" s="168" t="str">
        <x:v>TAG Investimentos</x:v>
      </x:c>
      <x:c r="E2633" s="168" t="str">
        <x:f>IFERROR(INDEX('Classif Gestoras'!$H$6:$H$462,MATCH(D2633,'Classif Gestoras'!$A$6:$A$462,0)),"Não classificada")</x:f>
        <x:v>Independente</x:v>
      </x:c>
      <x:c r="F2633" s="168" t="str">
        <x:v>VÓRTX DTVM</x:v>
      </x:c>
      <x:c r="G2633" s="168" t="str">
        <x:v>VORTX DISTRIBUIDORA DE TITULOS E VALORES MOBILIARIOS LTDA.</x:v>
      </x:c>
      <x:c r="H2633" s="168" t="str">
        <x:v>Outros</x:v>
      </x:c>
      <x:c r="I2633" s="168" t="str">
        <x:v>Multicarteira Outros</x:v>
      </x:c>
      <x:c r="J2633" s="168" t="str">
        <x:v>CI</x:v>
      </x:c>
      <x:c r="K2633" s="174" t="n">
        <x:v>2</x:v>
      </x:c>
      <x:c r="L2633" s="187" t="str">
        <x:v>Proxy multicedente/multissacado — revisar</x:v>
      </x:c>
    </x:row>
    <x:row r="2634">
      <x:c r="A2634" s="177" t="str">
        <x:v>33.953.549/0001-50</x:v>
      </x:c>
      <x:c r="B2634" s="168" t="str">
        <x:v>AGROSS FUNDO DE INVESTIMENTO EM DIREITOS CREDITÓRIOS</x:v>
      </x:c>
      <x:c r="C2634" s="190" t="n">
        <x:v>8180748.87</x:v>
      </x:c>
      <x:c r="D2634" s="168" t="str">
        <x:v>Redwood Asset Management</x:v>
      </x:c>
      <x:c r="E2634" s="168" t="str">
        <x:f>IFERROR(INDEX('Classif Gestoras'!$H$6:$H$462,MATCH(D2634,'Classif Gestoras'!$A$6:$A$462,0)),"Não classificada")</x:f>
        <x:v>Independente</x:v>
      </x:c>
      <x:c r="F2634" s="168" t="str">
        <x:v>PLANNER CV</x:v>
      </x:c>
      <x:c r="G2634" s="168" t="str">
        <x:v>PLANNER CORRETORA DE VALORES S.A.</x:v>
      </x:c>
      <x:c r="H2634" s="168" t="str">
        <x:v>Outros</x:v>
      </x:c>
      <x:c r="I2634" s="168" t="str">
        <x:v>Multicarteira Outros</x:v>
      </x:c>
      <x:c r="J2634" s="168" t="str">
        <x:v>CI</x:v>
      </x:c>
      <x:c r="K2634" s="174" t="n">
        <x:v>3</x:v>
      </x:c>
      <x:c r="L2634" s="187" t="str">
        <x:v>Proxy multicedente/multissacado — revisar</x:v>
      </x:c>
    </x:row>
    <x:row r="2635">
      <x:c r="A2635" s="177" t="str">
        <x:v>18.289.873/0001-21</x:v>
      </x:c>
      <x:c r="B2635" s="168" t="str">
        <x:v>FUNDO DE INVEST. EM DIR. CREDITÓRIOS BB VOTORANTIM HIGHLAND INFRAESTRUTURA RESPONSABILIDADE LIMITADA</x:v>
      </x:c>
      <x:c r="C2635" s="190" t="n">
        <x:v>8144979.379999999</x:v>
      </x:c>
      <x:c r="D2635" s="168" t="str">
        <x:v>Tivio Capital</x:v>
      </x:c>
      <x:c r="E2635" s="168" t="str">
        <x:f>IFERROR(INDEX('Classif Gestoras'!$H$6:$H$462,MATCH(D2635,'Classif Gestoras'!$A$6:$A$462,0)),"Não classificada")</x:f>
        <x:v>Independente</x:v>
      </x:c>
      <x:c r="F2635" s="168" t="str">
        <x:v>BB Asset Management</x:v>
      </x:c>
      <x:c r="G2635" s="168" t="str">
        <x:v>Não identificado</x:v>
      </x:c>
      <x:c r="H2635" s="168" t="str">
        <x:v>Agro, Indústria e Comércio</x:v>
      </x:c>
      <x:c r="I2635" s="168" t="str">
        <x:v>Infraestrutura</x:v>
      </x:c>
      <x:c r="J2635" s="168" t="str">
        <x:v>CI</x:v>
      </x:c>
      <x:c r="K2635" s="174" t="n">
        <x:v>262</x:v>
      </x:c>
      <x:c r="L2635" s="187" t="str">
        <x:v>Não classificado</x:v>
      </x:c>
    </x:row>
    <x:row r="2636">
      <x:c r="A2636" s="177" t="str">
        <x:v>47.669.450/0001-35</x:v>
      </x:c>
      <x:c r="B2636" s="168" t="str">
        <x:v>MAKALU FUNDO DE INVESTIMENTO EM DIREITOS CREDITÓRIOS RESPONSABILIDADE LIMITADA</x:v>
      </x:c>
      <x:c r="C2636" s="190" t="n">
        <x:v>8142391.06</x:v>
      </x:c>
      <x:c r="D2636" s="168" t="str">
        <x:v>MAKALU</x:v>
      </x:c>
      <x:c r="E2636" s="168" t="str">
        <x:f>IFERROR(INDEX('Classif Gestoras'!$H$6:$H$462,MATCH(D2636,'Classif Gestoras'!$A$6:$A$462,0)),"Não classificada")</x:f>
        <x:v>Independente</x:v>
      </x:c>
      <x:c r="F2636" s="168" t="str">
        <x:v>Finaxis Corretora de Títulos e Valores Mobiliários S.A.</x:v>
      </x:c>
      <x:c r="G2636" s="168" t="str">
        <x:v>BANCO FINAXIS S.A.</x:v>
      </x:c>
      <x:c r="H2636" s="168" t="str">
        <x:v>Agro, Indústria e Comércio</x:v>
      </x:c>
      <x:c r="I2636" s="168" t="str">
        <x:v>Agronegócio</x:v>
      </x:c>
      <x:c r="J2636" s="168" t="str">
        <x:v>CI</x:v>
      </x:c>
      <x:c r="K2636" s="174" t="n">
        <x:v>2</x:v>
      </x:c>
      <x:c r="L2636" s="187" t="str">
        <x:v>Não classificado</x:v>
      </x:c>
    </x:row>
    <x:row r="2637">
      <x:c r="A2637" s="177" t="str">
        <x:v>42.321.262/0001-06</x:v>
      </x:c>
      <x:c r="B2637" s="168" t="str">
        <x:v>SAINT-TROPEZ FUNDO DE INVESTIMENTO EM DIREITOS CREDITÓRIOS</x:v>
      </x:c>
      <x:c r="C2637" s="190" t="n">
        <x:v>8121891.19</x:v>
      </x:c>
      <x:c r="D2637" s="168" t="str">
        <x:v>EUV CAPITAL</x:v>
      </x:c>
      <x:c r="E2637" s="168" t="str">
        <x:f>IFERROR(INDEX('Classif Gestoras'!$H$6:$H$462,MATCH(D2637,'Classif Gestoras'!$A$6:$A$462,0)),"Não classificada")</x:f>
        <x:v>Independente</x:v>
      </x:c>
      <x:c r="F2637" s="168" t="str">
        <x:v>FIDD DISTRIBUIDORA DE TITULOS E VALORES MOBILIARIOS LTD</x:v>
      </x:c>
      <x:c r="G2637" s="168" t="str">
        <x:v>FIDD DISTRIBUIDORA DE TITULOS E VALORES MOBILIARIOS LTDA.</x:v>
      </x:c>
      <x:c r="H2637" s="168" t="str">
        <x:v>Outros</x:v>
      </x:c>
      <x:c r="I2637" s="168" t="str">
        <x:v>Multicarteira Outros</x:v>
      </x:c>
      <x:c r="J2637" s="168" t="str">
        <x:v>CI</x:v>
      </x:c>
      <x:c r="K2637" s="174" t="n">
        <x:v>1</x:v>
      </x:c>
      <x:c r="L2637" s="187" t="str">
        <x:v>Proxy multicedente/multissacado — revisar</x:v>
      </x:c>
    </x:row>
    <x:row r="2638">
      <x:c r="A2638" s="177" t="str">
        <x:v>46.075.403/0001-09</x:v>
      </x:c>
      <x:c r="B2638" s="168" t="str">
        <x:v>HUBCRED FUNDO DE INVESTIMENTO EM DIREITOS CREDITÓRIOS</x:v>
      </x:c>
      <x:c r="C2638" s="190" t="n">
        <x:v>8096249.76</x:v>
      </x:c>
      <x:c r="D2638" s="168" t="str">
        <x:v>BRL TRUST DTVM</x:v>
      </x:c>
      <x:c r="E2638" s="168" t="str">
        <x:f>IFERROR(INDEX('Classif Gestoras'!$H$6:$H$462,MATCH(D2638,'Classif Gestoras'!$A$6:$A$462,0)),"Não classificada")</x:f>
        <x:v>Independente</x:v>
      </x:c>
      <x:c r="F2638" s="168" t="str">
        <x:v>BRL TRUST DTVM</x:v>
      </x:c>
      <x:c r="G2638" s="168" t="str">
        <x:v>BRL TRUST DISTRIBUIDORA DE TITULOS E VALORES MOBILIARIOS S.A.</x:v>
      </x:c>
      <x:c r="H2638" s="168" t="str">
        <x:v>Outros</x:v>
      </x:c>
      <x:c r="I2638" s="168" t="str">
        <x:v>Multicarteira Outros</x:v>
      </x:c>
      <x:c r="J2638" s="168" t="str">
        <x:v>CI</x:v>
      </x:c>
      <x:c r="K2638" s="174" t="n">
        <x:v>2</x:v>
      </x:c>
      <x:c r="L2638" s="187" t="str">
        <x:v>Proxy multicedente/multissacado — revisar</x:v>
      </x:c>
    </x:row>
    <x:row r="2639">
      <x:c r="A2639" s="177" t="str">
        <x:v>58.238.421/0001-35</x:v>
      </x:c>
      <x:c r="B2639" s="168" t="str">
        <x:v>SEVEN MP FUNDO DE INVESTIMENTO EM DIREITOS CREDITÓRIOS</x:v>
      </x:c>
      <x:c r="C2639" s="190" t="n">
        <x:v>8095949.33</x:v>
      </x:c>
      <x:c r="D2639" s="168" t="str">
        <x:v>ASSET MANAGEMENT</x:v>
      </x:c>
      <x:c r="E2639" s="168" t="str">
        <x:f>IFERROR(INDEX('Classif Gestoras'!$H$6:$H$462,MATCH(D2639,'Classif Gestoras'!$A$6:$A$462,0)),"Não classificada")</x:f>
        <x:v>Independente</x:v>
      </x:c>
      <x:c r="F2639" s="168" t="str">
        <x:v>AZUMI DISTRIBUIDORA DE TÍTULOS E VALORES MOBILIÁRIOS LT</x:v>
      </x:c>
      <x:c r="G2639" s="168" t="str">
        <x:v>AZUMI DISTRIBUIDORA DE TÍTULOS E VALORES MOBILIÁRIOS LTDA.</x:v>
      </x:c>
      <x:c r="H2639" s="168" t="str">
        <x:v>Outros</x:v>
      </x:c>
      <x:c r="I2639" s="168" t="str">
        <x:v>Multicarteira Outros</x:v>
      </x:c>
      <x:c r="J2639" s="168" t="str">
        <x:v>CI</x:v>
      </x:c>
      <x:c r="K2639" s="174" t="n">
        <x:v>8</x:v>
      </x:c>
      <x:c r="L2639" s="187" t="str">
        <x:v>Proxy multicedente/multissacado — revisar</x:v>
      </x:c>
    </x:row>
    <x:row r="2640">
      <x:c r="A2640" s="177" t="str">
        <x:v>63.615.161/0001-00</x:v>
      </x:c>
      <x:c r="B2640" s="168" t="str">
        <x:v>ROBBIN PAGAMENTOS I FUNDO DE INVESTIMENTO EM DIREITOS CREDITÓRIOS - RESPONSABILIDADE LIMITADA</x:v>
      </x:c>
      <x:c r="C2640" s="190" t="n">
        <x:v>8089191.18</x:v>
      </x:c>
      <x:c r="D2640" s="168" t="str">
        <x:v>AUGME CAPITAL GESTÃO DE RECURSOS LTDA.</x:v>
      </x:c>
      <x:c r="E2640" s="168" t="str">
        <x:f>IFERROR(INDEX('Classif Gestoras'!$H$6:$H$462,MATCH(D2640,'Classif Gestoras'!$A$6:$A$462,0)),"Não classificada")</x:f>
        <x:v>Independente</x:v>
      </x:c>
      <x:c r="F2640" s="168" t="str">
        <x:v>BANCO DAYCOVAL S/A</x:v>
      </x:c>
      <x:c r="G2640" s="168" t="str">
        <x:v>BANCO DAYCOVAL S.A.</x:v>
      </x:c>
      <x:c r="H2640" s="168" t="str">
        <x:v>Outros</x:v>
      </x:c>
      <x:c r="I2640" s="168" t="str">
        <x:v>Multicarteira Outros</x:v>
      </x:c>
      <x:c r="J2640" s="168" t="str">
        <x:v>CI</x:v>
      </x:c>
      <x:c r="K2640" s="174" t="n">
        <x:v>11</x:v>
      </x:c>
      <x:c r="L2640" s="187" t="str">
        <x:v>Proxy multicedente/multissacado — revisar</x:v>
      </x:c>
    </x:row>
    <x:row r="2641">
      <x:c r="A2641" s="177" t="str">
        <x:v>48.885.265/0001-40</x:v>
      </x:c>
      <x:c r="B2641" s="168" t="str">
        <x:v>WONEBANK 2 FUNDO DE INVESTIMENTO EM DIREITOS CREDITÓRIOS</x:v>
      </x:c>
      <x:c r="C2641" s="190" t="n">
        <x:v>8035757.95</x:v>
      </x:c>
      <x:c r="D2641" s="168" t="str">
        <x:v>FigTree Capital</x:v>
      </x:c>
      <x:c r="E2641" s="168" t="str">
        <x:f>IFERROR(INDEX('Classif Gestoras'!$H$6:$H$462,MATCH(D2641,'Classif Gestoras'!$A$6:$A$462,0)),"Não classificada")</x:f>
        <x:v>Independente</x:v>
      </x:c>
      <x:c r="F2641" s="168" t="str">
        <x:v>BRL TRUST DTVM</x:v>
      </x:c>
      <x:c r="G2641" s="168" t="str">
        <x:v>BRL TRUST DISTRIBUIDORA DE TITULOS E VALORES MOBILIARIOS S.A.</x:v>
      </x:c>
      <x:c r="H2641" s="168" t="str">
        <x:v>Outros</x:v>
      </x:c>
      <x:c r="I2641" s="168" t="str">
        <x:v>Multicarteira Outros</x:v>
      </x:c>
      <x:c r="J2641" s="168" t="str">
        <x:v>CI</x:v>
      </x:c>
      <x:c r="K2641" s="174" t="n">
        <x:v>2</x:v>
      </x:c>
      <x:c r="L2641" s="187" t="str">
        <x:v>Proxy multicedente/multissacado — revisar</x:v>
      </x:c>
    </x:row>
    <x:row r="2642">
      <x:c r="A2642" s="177" t="str">
        <x:v>53.429.996/0001-11</x:v>
      </x:c>
      <x:c r="B2642" s="168" t="str">
        <x:v>SC FUNDO DE INVESTIMENTO DIREITOS CREDITÓRIOS RESPONSABILIDADE ILIMITADA</x:v>
      </x:c>
      <x:c r="C2642" s="190" t="n">
        <x:v>8031206.83</x:v>
      </x:c>
      <x:c r="D2642" s="168" t="str">
        <x:v>Catálise Investimentos</x:v>
      </x:c>
      <x:c r="E2642" s="168" t="str">
        <x:f>IFERROR(INDEX('Classif Gestoras'!$H$6:$H$462,MATCH(D2642,'Classif Gestoras'!$A$6:$A$462,0)),"Não classificada")</x:f>
        <x:v>Independente</x:v>
      </x:c>
      <x:c r="F2642" s="168" t="str">
        <x:v>CATÁLISE DTVM</x:v>
      </x:c>
      <x:c r="G2642" s="168" t="str">
        <x:v>BANCO DAYCOVAL S.A.</x:v>
      </x:c>
      <x:c r="H2642" s="168" t="str">
        <x:v>Agro, Indústria e Comércio</x:v>
      </x:c>
      <x:c r="I2642" s="168" t="str">
        <x:v>Recebíveis Comerciais</x:v>
      </x:c>
      <x:c r="J2642" s="168" t="str">
        <x:v>CI</x:v>
      </x:c>
      <x:c r="K2642" s="174" t="n">
        <x:v>1</x:v>
      </x:c>
      <x:c r="L2642" s="187" t="str">
        <x:v>Não classificado</x:v>
      </x:c>
    </x:row>
    <x:row r="2643">
      <x:c r="A2643" s="177" t="str">
        <x:v>42.288.547/0001-84</x:v>
      </x:c>
      <x:c r="B2643" s="168" t="str">
        <x:v>JGP ESTRUTURADOS II FUNDO DE INVESTIMENTO EM DIREITOS CREDITÓRIOS - RESPONSABILIDADE LIMITADA</x:v>
      </x:c>
      <x:c r="C2643" s="190" t="n">
        <x:v>8005999.6</x:v>
      </x:c>
      <x:c r="D2643" s="168" t="str">
        <x:v>JGP Gestão de Crédito LTDA.</x:v>
      </x:c>
      <x:c r="E2643" s="168" t="str">
        <x:f>IFERROR(INDEX('Classif Gestoras'!$H$6:$H$462,MATCH(D2643,'Classif Gestoras'!$A$6:$A$462,0)),"Não classificada")</x:f>
        <x:v>Independente</x:v>
      </x:c>
      <x:c r="F2643" s="168" t="str">
        <x:v>BNY MELLON SERVICOS</x:v>
      </x:c>
      <x:c r="G2643" s="168" t="str">
        <x:v>BNY MELLON BANCO S.A.</x:v>
      </x:c>
      <x:c r="H2643" s="168" t="str">
        <x:v>Outros</x:v>
      </x:c>
      <x:c r="I2643" s="168" t="str">
        <x:v>Multicarteira Outros</x:v>
      </x:c>
      <x:c r="J2643" s="168" t="str">
        <x:v>CI</x:v>
      </x:c>
      <x:c r="K2643" s="174" t="n">
        <x:v>2</x:v>
      </x:c>
      <x:c r="L2643" s="187" t="str">
        <x:v>Proxy multicedente/multissacado — revisar</x:v>
      </x:c>
    </x:row>
    <x:row r="2644">
      <x:c r="A2644" s="177" t="str">
        <x:v>33.701.265/0001-76</x:v>
      </x:c>
      <x:c r="B2644" s="168" t="str">
        <x:v>FXN CAPITAL FUNDO DE INVESTIMENTOS EM DIREITOS CREDITORIOS</x:v>
      </x:c>
      <x:c r="C2644" s="190" t="n">
        <x:v>7995465.629999999</x:v>
      </x:c>
      <x:c r="D2644" s="168" t="str">
        <x:v>Libertas Asset</x:v>
      </x:c>
      <x:c r="E2644" s="168" t="str">
        <x:f>IFERROR(INDEX('Classif Gestoras'!$H$6:$H$462,MATCH(D2644,'Classif Gestoras'!$A$6:$A$462,0)),"Não classificada")</x:f>
        <x:v>Independente</x:v>
      </x:c>
      <x:c r="F2644" s="168" t="str">
        <x:v>ACTUAL DTVM</x:v>
      </x:c>
      <x:c r="G2644" s="168" t="str">
        <x:v>LASTRO RDV DTVM LTDA</x:v>
      </x:c>
      <x:c r="H2644" s="168" t="str">
        <x:v>Fomento Mercantil</x:v>
      </x:c>
      <x:c r="I2644" s="168" t="str">
        <x:v>Fomento Mercantil</x:v>
      </x:c>
      <x:c r="J2644" s="168" t="str">
        <x:v>CI</x:v>
      </x:c>
      <x:c r="K2644" s="174" t="n">
        <x:v>7</x:v>
      </x:c>
      <x:c r="L2644" s="187" t="str">
        <x:v>Não classificado</x:v>
      </x:c>
    </x:row>
    <x:row r="2645">
      <x:c r="A2645" s="177" t="str">
        <x:v>64.276.414/0001-20</x:v>
      </x:c>
      <x:c r="B2645" s="168" t="str">
        <x:v>KUARÁ COMETA FUNDO DE INVESTIMENTO EM DIREITOS CREDITÓRIOS</x:v>
      </x:c>
      <x:c r="C2645" s="190" t="n">
        <x:v>7932285.47</x:v>
      </x:c>
      <x:c r="D2645" s="168" t="str">
        <x:v>TERCON ASSET MANAGEMENT</x:v>
      </x:c>
      <x:c r="E2645" s="168" t="str">
        <x:f>IFERROR(INDEX('Classif Gestoras'!$H$6:$H$462,MATCH(D2645,'Classif Gestoras'!$A$6:$A$462,0)),"Não classificada")</x:f>
        <x:v>Independente</x:v>
      </x:c>
      <x:c r="F2645" s="168" t="str">
        <x:v>Limine Trust Distribuidora de Titulos e Valores Mobiliá</x:v>
      </x:c>
      <x:c r="G2645" s="168" t="str">
        <x:v>LIMINE TRUST DISTRIBUIDORA DE TITULOS E VALORES MOBILIARIOS LTDA.</x:v>
      </x:c>
      <x:c r="H2645" s="168" t="str">
        <x:v>Fomento Mercantil</x:v>
      </x:c>
      <x:c r="I2645" s="168" t="str">
        <x:v>Fomento Mercantil</x:v>
      </x:c>
      <x:c r="J2645" s="168" t="str">
        <x:v>CI</x:v>
      </x:c>
      <x:c r="K2645" s="174" t="n">
        <x:v>7</x:v>
      </x:c>
      <x:c r="L2645" s="187" t="str">
        <x:v>Não classificado</x:v>
      </x:c>
    </x:row>
    <x:row r="2646">
      <x:c r="A2646" s="177" t="str">
        <x:v>55.331.747/0001-14</x:v>
      </x:c>
      <x:c r="B2646" s="168" t="str">
        <x:v>QUATTRINI FUNDO DE INVESTIMENTO EM DIREITOS CREDITÓRIOS</x:v>
      </x:c>
      <x:c r="C2646" s="190" t="n">
        <x:v>7886490.82</x:v>
      </x:c>
      <x:c r="D2646" s="168" t="str">
        <x:v>Multiplica Capital</x:v>
      </x:c>
      <x:c r="E2646" s="168" t="str">
        <x:f>IFERROR(INDEX('Classif Gestoras'!$H$6:$H$462,MATCH(D2646,'Classif Gestoras'!$A$6:$A$462,0)),"Não classificada")</x:f>
        <x:v>Independente</x:v>
      </x:c>
      <x:c r="F2646" s="168" t="str">
        <x:v>PLANNER CV</x:v>
      </x:c>
      <x:c r="G2646" s="168" t="str">
        <x:v>PLANNER CORRETORA DE VALORES S.A.</x:v>
      </x:c>
      <x:c r="H2646" s="168" t="str">
        <x:v>Fomento Mercantil</x:v>
      </x:c>
      <x:c r="I2646" s="168" t="str">
        <x:v>Fomento Mercantil</x:v>
      </x:c>
      <x:c r="J2646" s="168" t="str">
        <x:v>CI</x:v>
      </x:c>
      <x:c r="K2646" s="174" t="n">
        <x:v>1</x:v>
      </x:c>
      <x:c r="L2646" s="187" t="str">
        <x:v>Não classificado</x:v>
      </x:c>
    </x:row>
    <x:row r="2647">
      <x:c r="A2647" s="177" t="str">
        <x:v>44.302.374/0001-37</x:v>
      </x:c>
      <x:c r="B2647" s="168" t="str">
        <x:v>CREDILOG - FUNDO DE INVESTIMENTO EM DIREITOS CREDITÓRIOS NÃO-PADRONIZADOS</x:v>
      </x:c>
      <x:c r="C2647" s="190" t="n">
        <x:v>7885118.65</x:v>
      </x:c>
      <x:c r="D2647" s="168" t="str">
        <x:v>Catálise Investimentos</x:v>
      </x:c>
      <x:c r="E2647" s="168" t="str">
        <x:f>IFERROR(INDEX('Classif Gestoras'!$H$6:$H$462,MATCH(D2647,'Classif Gestoras'!$A$6:$A$462,0)),"Não classificada")</x:f>
        <x:v>Independente</x:v>
      </x:c>
      <x:c r="F2647" s="168" t="str">
        <x:v>CATÁLISE DTVM</x:v>
      </x:c>
      <x:c r="G2647" s="168" t="str">
        <x:v>BANCO DAYCOVAL S.A.</x:v>
      </x:c>
      <x:c r="H2647" s="168" t="str">
        <x:v>Agro, Indústria e Comércio</x:v>
      </x:c>
      <x:c r="I2647" s="168" t="str">
        <x:v>Multicarteira Agro, Indústria e Comércio</x:v>
      </x:c>
      <x:c r="J2647" s="168" t="str">
        <x:v>CI</x:v>
      </x:c>
      <x:c r="K2647" s="174" t="n">
        <x:v>1</x:v>
      </x:c>
      <x:c r="L2647" s="187" t="str">
        <x:v>Proxy multicedente/multissacado — revisar</x:v>
      </x:c>
    </x:row>
    <x:row r="2648">
      <x:c r="A2648" s="177" t="str">
        <x:v>29.152.752/0001-50</x:v>
      </x:c>
      <x:c r="B2648" s="168" t="str">
        <x:v>CHEVAL FUNDO DE INVESTIMENTO EM DIREITOS CREDITÓRIOS</x:v>
      </x:c>
      <x:c r="C2648" s="190" t="n">
        <x:v>7868354.31</x:v>
      </x:c>
      <x:c r="D2648" s="168" t="str">
        <x:v>WNT Gestora de Recursos Ltda.</x:v>
      </x:c>
      <x:c r="E2648" s="168" t="str">
        <x:f>IFERROR(INDEX('Classif Gestoras'!$H$6:$H$462,MATCH(D2648,'Classif Gestoras'!$A$6:$A$462,0)),"Não classificada")</x:f>
        <x:v>Independente</x:v>
      </x:c>
      <x:c r="F2648" s="168" t="str">
        <x:v>WNT DTVM</x:v>
      </x:c>
      <x:c r="G2648" s="168" t="str">
        <x:v>WNT CAPITAL DISTRIBUIDORA DE TITULOS E VALORES MOBILIARIOS S.A.</x:v>
      </x:c>
      <x:c r="H2648" s="168" t="str">
        <x:v>Outros</x:v>
      </x:c>
      <x:c r="I2648" s="168" t="str">
        <x:v>Multicarteira Outros</x:v>
      </x:c>
      <x:c r="J2648" s="168" t="str">
        <x:v>CI</x:v>
      </x:c>
      <x:c r="K2648" s="174" t="n">
        <x:v>1</x:v>
      </x:c>
      <x:c r="L2648" s="187" t="str">
        <x:v>Proxy multicedente/multissacado — revisar</x:v>
      </x:c>
    </x:row>
    <x:row r="2649">
      <x:c r="A2649" s="177" t="str">
        <x:v>65.190.945/0001-69</x:v>
      </x:c>
      <x:c r="B2649" s="168" t="str">
        <x:v>STARK INFRA FUNDO DE INVESTIMENTO EM DIREITOS CREDITÓRIOS</x:v>
      </x:c>
      <x:c r="C2649" s="190" t="n">
        <x:v>7829550.98</x:v>
      </x:c>
      <x:c r="D2649" s="168" t="str">
        <x:v>ASSET MANAGEMENT</x:v>
      </x:c>
      <x:c r="E2649" s="168" t="str">
        <x:f>IFERROR(INDEX('Classif Gestoras'!$H$6:$H$462,MATCH(D2649,'Classif Gestoras'!$A$6:$A$462,0)),"Não classificada")</x:f>
        <x:v>Independente</x:v>
      </x:c>
      <x:c r="F2649" s="168" t="str">
        <x:v>AZUMI DISTRIBUIDORA DE TÍTULOS E VALORES MOBILIÁRIOS LT</x:v>
      </x:c>
      <x:c r="G2649" s="168" t="str">
        <x:v>AZUMI DISTRIBUIDORA DE TÍTULOS E VALORES MOBILIÁRIOS LTDA.</x:v>
      </x:c>
      <x:c r="H2649" s="168" t="str">
        <x:v>Fomento Mercantil</x:v>
      </x:c>
      <x:c r="I2649" s="168" t="str">
        <x:v>Fomento Mercantil</x:v>
      </x:c>
      <x:c r="J2649" s="168" t="str">
        <x:v>CI</x:v>
      </x:c>
      <x:c r="K2649" s="174" t="n">
        <x:v>2</x:v>
      </x:c>
      <x:c r="L2649" s="187" t="str">
        <x:v>Não classificado</x:v>
      </x:c>
    </x:row>
    <x:row r="2650">
      <x:c r="A2650" s="177" t="str">
        <x:v>35.686.610/0001-75</x:v>
      </x:c>
      <x:c r="B2650" s="168" t="str">
        <x:v>IRONSIDE - FUNDO DE INVESTIMENTO EM DIREITOS CREDITÓRIOS NÃOPADRONIZADOS</x:v>
      </x:c>
      <x:c r="C2650" s="190" t="n">
        <x:v>7818973.36</x:v>
      </x:c>
      <x:c r="D2650" s="168" t="str">
        <x:v>Redwood Asset Management</x:v>
      </x:c>
      <x:c r="E2650" s="168" t="str">
        <x:f>IFERROR(INDEX('Classif Gestoras'!$H$6:$H$462,MATCH(D2650,'Classif Gestoras'!$A$6:$A$462,0)),"Não classificada")</x:f>
        <x:v>Independente</x:v>
      </x:c>
      <x:c r="F2650" s="168" t="str">
        <x:v>PLANNER CV</x:v>
      </x:c>
      <x:c r="G2650" s="168" t="str">
        <x:v>PLANNER CORRETORA DE VALORES S.A.</x:v>
      </x:c>
      <x:c r="H2650" s="168" t="str">
        <x:v>Outros</x:v>
      </x:c>
      <x:c r="I2650" s="168" t="str">
        <x:v>Multicarteira Outros</x:v>
      </x:c>
      <x:c r="J2650" s="168" t="str">
        <x:v>CI</x:v>
      </x:c>
      <x:c r="K2650" s="174" t="n">
        <x:v>1</x:v>
      </x:c>
      <x:c r="L2650" s="187" t="str">
        <x:v>Proxy multicedente/multissacado — revisar</x:v>
      </x:c>
    </x:row>
    <x:row r="2651">
      <x:c r="A2651" s="177" t="str">
        <x:v>61.917.809/0001-77</x:v>
      </x:c>
      <x:c r="B2651" s="168" t="str">
        <x:v>SAMPA FUNDO DE INVESTIMENTO EM DIREITOS CREDITORIOS</x:v>
      </x:c>
      <x:c r="C2651" s="190" t="n">
        <x:v>7742871.21</x:v>
      </x:c>
      <x:c r="D2651" s="168" t="str">
        <x:v>AF Invest</x:v>
      </x:c>
      <x:c r="E2651" s="168" t="str">
        <x:f>IFERROR(INDEX('Classif Gestoras'!$H$6:$H$462,MATCH(D2651,'Classif Gestoras'!$A$6:$A$462,0)),"Não classificada")</x:f>
        <x:v>Independente</x:v>
      </x:c>
      <x:c r="F2651" s="168" t="str">
        <x:v>ACTUAL DTVM</x:v>
      </x:c>
      <x:c r="G2651" s="168" t="str">
        <x:v>TRUSTEE DISTRIBUIDORA DE TITULOS E VALORES MOBILIARIOS LTDA.</x:v>
      </x:c>
      <x:c r="H2651" s="168" t="str">
        <x:v>Outros</x:v>
      </x:c>
      <x:c r="I2651" s="168" t="str">
        <x:v>Multicarteira Outros</x:v>
      </x:c>
      <x:c r="J2651" s="168" t="str">
        <x:v>CI</x:v>
      </x:c>
      <x:c r="K2651" s="174" t="n">
        <x:v>1</x:v>
      </x:c>
      <x:c r="L2651" s="187" t="str">
        <x:v>Proxy multicedente/multissacado — revisar</x:v>
      </x:c>
    </x:row>
    <x:row r="2652">
      <x:c r="A2652" s="177" t="str">
        <x:v>54.506.814/0001-21</x:v>
      </x:c>
      <x:c r="B2652" s="168" t="str">
        <x:v>CAJUÍNA FUNDO DE INVESTIMENTO EM DIREITOS CREDITÓRIOS</x:v>
      </x:c>
      <x:c r="C2652" s="190" t="n">
        <x:v>7742738.59</x:v>
      </x:c>
      <x:c r="D2652" s="168" t="str">
        <x:v>Siguler Guff Gestora de Investimentos (Asset Management</x:v>
      </x:c>
      <x:c r="E2652" s="168" t="str">
        <x:f>IFERROR(INDEX('Classif Gestoras'!$H$6:$H$462,MATCH(D2652,'Classif Gestoras'!$A$6:$A$462,0)),"Não classificada")</x:f>
        <x:v>Independente</x:v>
      </x:c>
      <x:c r="F2652" s="168" t="str">
        <x:v>BTG Pactual Servicos Financeiros S/A DTVM</x:v>
      </x:c>
      <x:c r="G2652" s="168" t="str">
        <x:v>BANCO BTG PACTUAL S/A</x:v>
      </x:c>
      <x:c r="H2652" s="168" t="str">
        <x:v>Outros</x:v>
      </x:c>
      <x:c r="I2652" s="168" t="str">
        <x:v>Poder Público</x:v>
      </x:c>
      <x:c r="J2652" s="168" t="str">
        <x:v>CI</x:v>
      </x:c>
      <x:c r="K2652" s="174" t="n">
        <x:v>1</x:v>
      </x:c>
      <x:c r="L2652" s="187" t="str">
        <x:v>Não classificado</x:v>
      </x:c>
    </x:row>
    <x:row r="2653">
      <x:c r="A2653" s="177" t="str">
        <x:v>51.869.304/0001-20</x:v>
      </x:c>
      <x:c r="B2653" s="168" t="str">
        <x:v>LORD FUNDO DE INVESTIMENTO EM DIREITOS CREDITÓRIOS</x:v>
      </x:c>
      <x:c r="C2653" s="190" t="n">
        <x:v>7732339.59</x:v>
      </x:c>
      <x:c r="D2653" s="168" t="str">
        <x:v>OKEAN INVEST</x:v>
      </x:c>
      <x:c r="E2653" s="168" t="str">
        <x:f>IFERROR(INDEX('Classif Gestoras'!$H$6:$H$462,MATCH(D2653,'Classif Gestoras'!$A$6:$A$462,0)),"Não classificada")</x:f>
        <x:v>Independente</x:v>
      </x:c>
      <x:c r="F2653" s="168" t="str">
        <x:v>Finvest Digital</x:v>
      </x:c>
      <x:c r="G2653" s="168" t="str">
        <x:v>FINVEST DISTRIBUIDORA DE TÍTULOS E VALORES MOBILIÁRIOS LTDA.</x:v>
      </x:c>
      <x:c r="H2653" s="168" t="str">
        <x:v>Fomento Mercantil</x:v>
      </x:c>
      <x:c r="I2653" s="168" t="str">
        <x:v>Fomento Mercantil</x:v>
      </x:c>
      <x:c r="J2653" s="168" t="str">
        <x:v>CI</x:v>
      </x:c>
      <x:c r="K2653" s="174" t="n">
        <x:v>7</x:v>
      </x:c>
      <x:c r="L2653" s="187" t="str">
        <x:v>Não classificado</x:v>
      </x:c>
    </x:row>
    <x:row r="2654">
      <x:c r="A2654" s="177" t="str">
        <x:v>43.444.591/0001-07</x:v>
      </x:c>
      <x:c r="B2654" s="168" t="str">
        <x:v>FUNDO DE INVESTIMENTO EM DIREITOS CREDITÓRIOS OUZE - RESPONSABILIDADE LIMITADA</x:v>
      </x:c>
      <x:c r="C2654" s="190" t="n">
        <x:v>7724875.46</x:v>
      </x:c>
      <x:c r="D2654" s="168" t="str">
        <x:v>Blue Solutions</x:v>
      </x:c>
      <x:c r="E2654" s="168" t="str">
        <x:f>IFERROR(INDEX('Classif Gestoras'!$H$6:$H$462,MATCH(D2654,'Classif Gestoras'!$A$6:$A$462,0)),"Não classificada")</x:f>
        <x:v>Independente</x:v>
      </x:c>
      <x:c r="F2654" s="168" t="str">
        <x:v>Banvox DTVM</x:v>
      </x:c>
      <x:c r="G2654" s="168" t="str">
        <x:v>BANVOX DISTRIBUIDORA DE TITULOS E VALORES MOBILIARIOS LTDA</x:v>
      </x:c>
      <x:c r="H2654" s="168" t="str">
        <x:v>Financeiro</x:v>
      </x:c>
      <x:c r="I2654" s="168" t="str">
        <x:v>Crédito Pessoal</x:v>
      </x:c>
      <x:c r="J2654" s="168" t="str">
        <x:v>CI</x:v>
      </x:c>
      <x:c r="K2654" s="174" t="n">
        <x:v>1</x:v>
      </x:c>
      <x:c r="L2654" s="187" t="str">
        <x:v>Não classificado</x:v>
      </x:c>
    </x:row>
    <x:row r="2655">
      <x:c r="A2655" s="177" t="str">
        <x:v>62.435.419/0001-23</x:v>
      </x:c>
      <x:c r="B2655" s="168" t="str">
        <x:v>LUPI DUPLICATAS E RECEBÍVEIS FUNDO DE INVESTIMENTO EM DIREITOS CREDITÓRIOS</x:v>
      </x:c>
      <x:c r="C2655" s="190" t="n">
        <x:v>7708690.37</x:v>
      </x:c>
      <x:c r="D2655" s="168" t="str">
        <x:v>Catálise Investimentos</x:v>
      </x:c>
      <x:c r="E2655" s="168" t="str">
        <x:f>IFERROR(INDEX('Classif Gestoras'!$H$6:$H$462,MATCH(D2655,'Classif Gestoras'!$A$6:$A$462,0)),"Não classificada")</x:f>
        <x:v>Independente</x:v>
      </x:c>
      <x:c r="F2655" s="168" t="str">
        <x:v>CATÁLISE DTVM</x:v>
      </x:c>
      <x:c r="G2655" s="168" t="str">
        <x:v>BANCO DAYCOVAL S.A.</x:v>
      </x:c>
      <x:c r="H2655" s="168" t="str">
        <x:v>Agro, Indústria e Comércio</x:v>
      </x:c>
      <x:c r="I2655" s="168" t="str">
        <x:v>Recebíveis Comerciais</x:v>
      </x:c>
      <x:c r="J2655" s="168" t="str">
        <x:v>CI</x:v>
      </x:c>
      <x:c r="K2655" s="174" t="n">
        <x:v>1</x:v>
      </x:c>
      <x:c r="L2655" s="187" t="str">
        <x:v>Não classificado</x:v>
      </x:c>
    </x:row>
    <x:row r="2656">
      <x:c r="A2656" s="177" t="str">
        <x:v>60.716.732/0001-04</x:v>
      </x:c>
      <x:c r="B2656" s="168" t="str">
        <x:v>FUNDO DE INVESTIMENTO EM DIREITOS CREDITÓRIOS LE CAPITAL</x:v>
      </x:c>
      <x:c r="C2656" s="190" t="n">
        <x:v>7706417.19</x:v>
      </x:c>
      <x:c r="D2656" s="168" t="str">
        <x:v>QUAESTUS GESTÃO DE INVESTIMENTOS LTDA.</x:v>
      </x:c>
      <x:c r="E2656" s="168" t="str">
        <x:f>IFERROR(INDEX('Classif Gestoras'!$H$6:$H$462,MATCH(D2656,'Classif Gestoras'!$A$6:$A$462,0)),"Não classificada")</x:f>
        <x:v>Independente</x:v>
      </x:c>
      <x:c r="F2656" s="168" t="str">
        <x:v>MONETAR DISTRIBUIDORA DE TITUL</x:v>
      </x:c>
      <x:c r="G2656" s="168" t="str">
        <x:v>TERRA INVESTIMENTOS DISTRIBUIDORA DE TITULOS E VALORES MOBILIARIOS LTDA</x:v>
      </x:c>
      <x:c r="H2656" s="168" t="str">
        <x:v>Outros</x:v>
      </x:c>
      <x:c r="I2656" s="168" t="str">
        <x:v>Multicarteira Outros</x:v>
      </x:c>
      <x:c r="J2656" s="168" t="str">
        <x:v>CI</x:v>
      </x:c>
      <x:c r="K2656" s="174" t="n">
        <x:v>1</x:v>
      </x:c>
      <x:c r="L2656" s="187" t="str">
        <x:v>Proxy multicedente/multissacado — revisar</x:v>
      </x:c>
    </x:row>
    <x:row r="2657">
      <x:c r="A2657" s="177" t="str">
        <x:v>17.498.332/0001-40</x:v>
      </x:c>
      <x:c r="B2657" s="168" t="str">
        <x:v>CANADA INVEST FUNDO DE INVESTIMENTO EM DIREITOS CREDITÓRIOS MULTISSETORIAL</x:v>
      </x:c>
      <x:c r="C2657" s="190" t="n">
        <x:v>7704053.64</x:v>
      </x:c>
      <x:c r="D2657" s="168" t="str">
        <x:v>OURO PRETO INVESTIMENTOS</x:v>
      </x:c>
      <x:c r="E2657" s="168" t="str">
        <x:f>IFERROR(INDEX('Classif Gestoras'!$H$6:$H$462,MATCH(D2657,'Classif Gestoras'!$A$6:$A$462,0)),"Não classificada")</x:f>
        <x:v>Independente</x:v>
      </x:c>
      <x:c r="F2657" s="168" t="str">
        <x:v>Limine Trust Distribuidora de Titulos e Valores Mobiliá</x:v>
      </x:c>
      <x:c r="G2657" s="168" t="str">
        <x:v>LASTRO RDV DTVM LTDA</x:v>
      </x:c>
      <x:c r="H2657" s="168" t="str">
        <x:v>Fomento Mercantil</x:v>
      </x:c>
      <x:c r="I2657" s="168" t="str">
        <x:v>Fomento Mercantil</x:v>
      </x:c>
      <x:c r="J2657" s="168" t="str">
        <x:v>CI</x:v>
      </x:c>
      <x:c r="K2657" s="174" t="n">
        <x:v>2</x:v>
      </x:c>
      <x:c r="L2657" s="187" t="str">
        <x:v>Não classificado</x:v>
      </x:c>
    </x:row>
    <x:row r="2658">
      <x:c r="A2658" s="177" t="str">
        <x:v>61.866.286/0001-87</x:v>
      </x:c>
      <x:c r="B2658" s="168" t="str">
        <x:v>CVPAR OPPORTUNITY FUNDO DE INVESTIMENTO EM DIREITOS CREDITÓRIOS RESPONSABILIDADE LIMITADA</x:v>
      </x:c>
      <x:c r="C2658" s="190" t="n">
        <x:v>7663786.940000001</x:v>
      </x:c>
      <x:c r="D2658" s="168" t="str">
        <x:v>CVPAR Investimentos ltda</x:v>
      </x:c>
      <x:c r="E2658" s="168" t="str">
        <x:f>IFERROR(INDEX('Classif Gestoras'!$H$6:$H$462,MATCH(D2658,'Classif Gestoras'!$A$6:$A$462,0)),"Não classificada")</x:f>
        <x:v>Independente</x:v>
      </x:c>
      <x:c r="F2658" s="168" t="str">
        <x:v>ID Corretora de Títulos e Valores Mobiliários S.A.</x:v>
      </x:c>
      <x:c r="G2658" s="168" t="str">
        <x:v>ID CORRETORA DE TITULOS E VALORES MOBILIARIOS S.A.</x:v>
      </x:c>
      <x:c r="H2658" s="168" t="str">
        <x:v>Outros</x:v>
      </x:c>
      <x:c r="I2658" s="168" t="str">
        <x:v>Multicarteira Outros</x:v>
      </x:c>
      <x:c r="J2658" s="168" t="str">
        <x:v>CI</x:v>
      </x:c>
      <x:c r="K2658" s="174" t="n">
        <x:v>2</x:v>
      </x:c>
      <x:c r="L2658" s="187" t="str">
        <x:v>Proxy multicedente/multissacado — revisar</x:v>
      </x:c>
    </x:row>
    <x:row r="2659">
      <x:c r="A2659" s="177" t="str">
        <x:v>63.190.032/0001-17</x:v>
      </x:c>
      <x:c r="B2659" s="168" t="str">
        <x:v>AVANCE PROSPERITY CAPITAL FUNDO DE INVESTIMENTO EM DIREITOS CREDITÓRIOS</x:v>
      </x:c>
      <x:c r="C2659" s="190" t="n">
        <x:v>7608215.15</x:v>
      </x:c>
      <x:c r="D2659" s="168" t="str">
        <x:v>SOMMA Investimentos</x:v>
      </x:c>
      <x:c r="E2659" s="168" t="str">
        <x:f>IFERROR(INDEX('Classif Gestoras'!$H$6:$H$462,MATCH(D2659,'Classif Gestoras'!$A$6:$A$462,0)),"Não classificada")</x:f>
        <x:v>Independente</x:v>
      </x:c>
      <x:c r="F2659" s="168" t="str">
        <x:v>Singulare</x:v>
      </x:c>
      <x:c r="G2659" s="168" t="str">
        <x:v>QI CORRETORA DE TÍTULOS E VALORES MOBILIÁRIOS S.A.</x:v>
      </x:c>
      <x:c r="H2659" s="168" t="str">
        <x:v>Fomento Mercantil</x:v>
      </x:c>
      <x:c r="I2659" s="168" t="str">
        <x:v>Fomento Mercantil</x:v>
      </x:c>
      <x:c r="J2659" s="168" t="str">
        <x:v>CI</x:v>
      </x:c>
      <x:c r="K2659" s="174" t="n">
        <x:v>3</x:v>
      </x:c>
      <x:c r="L2659" s="187" t="str">
        <x:v>Não classificado</x:v>
      </x:c>
    </x:row>
    <x:row r="2660">
      <x:c r="A2660" s="177" t="str">
        <x:v>41.579.651/0001-65</x:v>
      </x:c>
      <x:c r="B2660" s="168" t="str">
        <x:v>ALLCHEM CRED FUND FUNDO DE INVESTIMENTO EM DIREITOS CREDITÓRIOS NÃO PADRONIZADOS</x:v>
      </x:c>
      <x:c r="C2660" s="190" t="n">
        <x:v>7550609.64</x:v>
      </x:c>
      <x:c r="D2660" s="168" t="str">
        <x:v>ALTAVISTA CAPITAL</x:v>
      </x:c>
      <x:c r="E2660" s="168" t="str">
        <x:f>IFERROR(INDEX('Classif Gestoras'!$H$6:$H$462,MATCH(D2660,'Classif Gestoras'!$A$6:$A$462,0)),"Não classificada")</x:f>
        <x:v>Independente</x:v>
      </x:c>
      <x:c r="F2660" s="168" t="str">
        <x:v>PLANNER CV</x:v>
      </x:c>
      <x:c r="G2660" s="168" t="str">
        <x:v>PLANNER CORRETORA DE VALORES S.A.</x:v>
      </x:c>
      <x:c r="H2660" s="168" t="str">
        <x:v>Outros</x:v>
      </x:c>
      <x:c r="I2660" s="168" t="str">
        <x:v>Poder Público</x:v>
      </x:c>
      <x:c r="J2660" s="168" t="str">
        <x:v>CI</x:v>
      </x:c>
      <x:c r="K2660" s="174" t="n">
        <x:v>3</x:v>
      </x:c>
      <x:c r="L2660" s="187" t="str">
        <x:v>Não classificado</x:v>
      </x:c>
    </x:row>
    <x:row r="2661">
      <x:c r="A2661" s="177" t="str">
        <x:v>35.449.141/0001-70</x:v>
      </x:c>
      <x:c r="B2661" s="168" t="str">
        <x:v>CHIMERA NPL I FUNDO DE INVESTIMENTO EM DIREITOS CREDITÓRIOS DE RESPONSABILIDADE LIMITADA</x:v>
      </x:c>
      <x:c r="C2661" s="190" t="n">
        <x:v>7544908.81</x:v>
      </x:c>
      <x:c r="D2661" s="168" t="str">
        <x:v>Chimera Capital Asset Management Ltda.</x:v>
      </x:c>
      <x:c r="E2661" s="168" t="str">
        <x:f>IFERROR(INDEX('Classif Gestoras'!$H$6:$H$462,MATCH(D2661,'Classif Gestoras'!$A$6:$A$462,0)),"Não classificada")</x:f>
        <x:v>Independente</x:v>
      </x:c>
      <x:c r="F2661" s="168" t="str">
        <x:v>VÓRTX DTVM</x:v>
      </x:c>
      <x:c r="G2661" s="168" t="str">
        <x:v>VORTX DISTRIBUIDORA DE TITULOS E VALORES MOBILIARIOS LTDA.</x:v>
      </x:c>
      <x:c r="H2661" s="168" t="str">
        <x:v>Outros</x:v>
      </x:c>
      <x:c r="I2661" s="168" t="str">
        <x:v>Multicarteira Outros</x:v>
      </x:c>
      <x:c r="J2661" s="168" t="str">
        <x:v>CI</x:v>
      </x:c>
      <x:c r="K2661" s="174" t="n">
        <x:v>1</x:v>
      </x:c>
      <x:c r="L2661" s="187" t="str">
        <x:v>Proxy multicedente/multissacado — revisar</x:v>
      </x:c>
    </x:row>
    <x:row r="2662">
      <x:c r="A2662" s="177" t="str">
        <x:v>25.695.170/0001-69</x:v>
      </x:c>
      <x:c r="B2662" s="168" t="str">
        <x:v>INVESTCAMP FUNDO DE INVESTIMENTO EM DIREITOS CREDITÓRIOS</x:v>
      </x:c>
      <x:c r="C2662" s="190" t="n">
        <x:v>7524206.71</x:v>
      </x:c>
      <x:c r="D2662" s="168" t="str">
        <x:v>TERCON ASSET MANAGEMENT</x:v>
      </x:c>
      <x:c r="E2662" s="168" t="str">
        <x:f>IFERROR(INDEX('Classif Gestoras'!$H$6:$H$462,MATCH(D2662,'Classif Gestoras'!$A$6:$A$462,0)),"Não classificada")</x:f>
        <x:v>Independente</x:v>
      </x:c>
      <x:c r="F2662" s="168" t="str">
        <x:v>Singulare</x:v>
      </x:c>
      <x:c r="G2662" s="168" t="str">
        <x:v>QI CORRETORA DE TÍTULOS E VALORES MOBILIÁRIOS S.A.</x:v>
      </x:c>
      <x:c r="H2662" s="168" t="str">
        <x:v>Fomento Mercantil</x:v>
      </x:c>
      <x:c r="I2662" s="168" t="str">
        <x:v>Fomento Mercantil</x:v>
      </x:c>
      <x:c r="J2662" s="168" t="str">
        <x:v>CI</x:v>
      </x:c>
      <x:c r="K2662" s="174" t="n">
        <x:v>17</x:v>
      </x:c>
      <x:c r="L2662" s="187" t="str">
        <x:v>Não classificado</x:v>
      </x:c>
    </x:row>
    <x:row r="2663">
      <x:c r="A2663" s="177" t="str">
        <x:v>53.962.745/0001-06</x:v>
      </x:c>
      <x:c r="B2663" s="168" t="str">
        <x:v>GLOBAL FUTURA FUNDO DE INVESTIMENTO EM DIREITOS CREDITÓRIOS DE RESPONSABILIDADE LIMITADA</x:v>
      </x:c>
      <x:c r="C2663" s="190" t="n">
        <x:v>7517832.98</x:v>
      </x:c>
      <x:c r="D2663" s="168" t="str">
        <x:v>Catálise Investimentos</x:v>
      </x:c>
      <x:c r="E2663" s="168" t="str">
        <x:f>IFERROR(INDEX('Classif Gestoras'!$H$6:$H$462,MATCH(D2663,'Classif Gestoras'!$A$6:$A$462,0)),"Não classificada")</x:f>
        <x:v>Independente</x:v>
      </x:c>
      <x:c r="F2663" s="168" t="str">
        <x:v>CATÁLISE DTVM</x:v>
      </x:c>
      <x:c r="G2663" s="168" t="str">
        <x:v>BANCO DAYCOVAL S.A.</x:v>
      </x:c>
      <x:c r="H2663" s="168" t="str">
        <x:v>Agro, Indústria e Comércio</x:v>
      </x:c>
      <x:c r="I2663" s="168" t="str">
        <x:v>Multicarteira Agro, Indústria e Comércio</x:v>
      </x:c>
      <x:c r="J2663" s="168" t="str">
        <x:v>CI</x:v>
      </x:c>
      <x:c r="K2663" s="174" t="n">
        <x:v>1</x:v>
      </x:c>
      <x:c r="L2663" s="187" t="str">
        <x:v>Proxy multicedente/multissacado — revisar</x:v>
      </x:c>
    </x:row>
    <x:row r="2664">
      <x:c r="A2664" s="177" t="str">
        <x:v>49.683.264/0001-86</x:v>
      </x:c>
      <x:c r="B2664" s="168" t="str">
        <x:v>CNPJ 49683264000186</x:v>
      </x:c>
      <x:c r="C2664" s="190" t="n">
        <x:v>7514720.88</x:v>
      </x:c>
      <x:c r="D2664" s="168" t="str">
        <x:v>Brave Asset</x:v>
      </x:c>
      <x:c r="E2664" s="168" t="str">
        <x:f>IFERROR(INDEX('Classif Gestoras'!$H$6:$H$462,MATCH(D2664,'Classif Gestoras'!$A$6:$A$462,0)),"Não classificada")</x:f>
        <x:v>Independente</x:v>
      </x:c>
      <x:c r="F2664" s="168" t="str">
        <x:v>AZUMI DISTRIBUIDORA DE TÍTULOS E VALORES MOBILIÁRIOS LT</x:v>
      </x:c>
      <x:c r="G2664" s="168" t="str">
        <x:v>Não identificado</x:v>
      </x:c>
      <x:c r="H2664" s="168" t="str">
        <x:v>Agro, Indústria e Comércio</x:v>
      </x:c>
      <x:c r="I2664" s="168" t="str">
        <x:v>Agronegócio</x:v>
      </x:c>
      <x:c r="J2664" s="168" t="str">
        <x:v>CI</x:v>
      </x:c>
      <x:c r="K2664" s="174"/>
      <x:c r="L2664" s="187" t="str">
        <x:v>Não classificado</x:v>
      </x:c>
    </x:row>
    <x:row r="2665">
      <x:c r="A2665" s="177" t="str">
        <x:v>55.411.764/0001-61</x:v>
      </x:c>
      <x:c r="B2665" s="168" t="str">
        <x:v>OPENSEA FUNDO DE INVESTIMENTO EM DIREITOS CREDITÓRIOS</x:v>
      </x:c>
      <x:c r="C2665" s="190" t="n">
        <x:v>7506572.68</x:v>
      </x:c>
      <x:c r="D2665" s="168" t="str">
        <x:v>RJ Gestão de Recursos Ltda.</x:v>
      </x:c>
      <x:c r="E2665" s="168" t="str">
        <x:f>IFERROR(INDEX('Classif Gestoras'!$H$6:$H$462,MATCH(D2665,'Classif Gestoras'!$A$6:$A$462,0)),"Não classificada")</x:f>
        <x:v>Independente</x:v>
      </x:c>
      <x:c r="F2665" s="168" t="str">
        <x:v>Singulare</x:v>
      </x:c>
      <x:c r="G2665" s="168" t="str">
        <x:v>QI CORRETORA DE TÍTULOS E VALORES MOBILIÁRIOS S.A.</x:v>
      </x:c>
      <x:c r="H2665" s="168" t="str">
        <x:v>Outros</x:v>
      </x:c>
      <x:c r="I2665" s="168" t="str">
        <x:v>Poder Público</x:v>
      </x:c>
      <x:c r="J2665" s="168" t="str">
        <x:v>CI</x:v>
      </x:c>
      <x:c r="K2665" s="174" t="n">
        <x:v>5</x:v>
      </x:c>
      <x:c r="L2665" s="187" t="str">
        <x:v>Não classificado</x:v>
      </x:c>
    </x:row>
    <x:row r="2666">
      <x:c r="A2666" s="177" t="str">
        <x:v>61.543.748/0001-25</x:v>
      </x:c>
      <x:c r="B2666" s="168" t="str">
        <x:v>ORIZ JUS CPS FUNDO DE INVESTIMENTO EM DIREITOS CREDITÓRIOS - RESPONSABILIDADE LIMITADA</x:v>
      </x:c>
      <x:c r="C2666" s="190" t="n">
        <x:v>7506450.22</x:v>
      </x:c>
      <x:c r="D2666" s="168" t="str">
        <x:v>ORIZ ASSET MANAGEMENT LTDA.</x:v>
      </x:c>
      <x:c r="E2666" s="168" t="str">
        <x:f>IFERROR(INDEX('Classif Gestoras'!$H$6:$H$462,MATCH(D2666,'Classif Gestoras'!$A$6:$A$462,0)),"Não classificada")</x:f>
        <x:v>Independente</x:v>
      </x:c>
      <x:c r="F2666" s="168" t="str">
        <x:v>Limine Trust Distribuidora de Titulos e Valores Mobiliá</x:v>
      </x:c>
      <x:c r="G2666" s="168" t="str">
        <x:v>LIMINE TRUST DISTRIBUIDORA DE TITULOS E VALORES MOBILIARIOS LTDA.</x:v>
      </x:c>
      <x:c r="H2666" s="168" t="str">
        <x:v>Outros</x:v>
      </x:c>
      <x:c r="I2666" s="168" t="str">
        <x:v>Poder Público</x:v>
      </x:c>
      <x:c r="J2666" s="168" t="str">
        <x:v>CI</x:v>
      </x:c>
      <x:c r="K2666" s="174" t="n">
        <x:v>13</x:v>
      </x:c>
      <x:c r="L2666" s="187" t="str">
        <x:v>Não classificado</x:v>
      </x:c>
    </x:row>
    <x:row r="2667">
      <x:c r="A2667" s="177" t="str">
        <x:v>50.555.970/0001-21</x:v>
      </x:c>
      <x:c r="B2667" s="168" t="str">
        <x:v>SIRIUS FUNDO DE INVESTIMENTO EM DIREITOS CREDITÓRIOS</x:v>
      </x:c>
      <x:c r="C2667" s="190" t="n">
        <x:v>7499200.82</x:v>
      </x:c>
      <x:c r="D2667" s="168" t="str">
        <x:v>URCA CAPITAL PARTNERS</x:v>
      </x:c>
      <x:c r="E2667" s="168" t="str">
        <x:f>IFERROR(INDEX('Classif Gestoras'!$H$6:$H$462,MATCH(D2667,'Classif Gestoras'!$A$6:$A$462,0)),"Não classificada")</x:f>
        <x:v>Independente</x:v>
      </x:c>
      <x:c r="F2667" s="168" t="str">
        <x:v>PLANNER CV</x:v>
      </x:c>
      <x:c r="G2667" s="168" t="str">
        <x:v>PLANNER CORRETORA DE VALORES S.A.</x:v>
      </x:c>
      <x:c r="H2667" s="168" t="str">
        <x:v>Outros</x:v>
      </x:c>
      <x:c r="I2667" s="168" t="str">
        <x:v>Poder Público</x:v>
      </x:c>
      <x:c r="J2667" s="168" t="str">
        <x:v>CI</x:v>
      </x:c>
      <x:c r="K2667" s="174" t="n">
        <x:v>9</x:v>
      </x:c>
      <x:c r="L2667" s="187" t="str">
        <x:v>Não classificado</x:v>
      </x:c>
    </x:row>
    <x:row r="2668">
      <x:c r="A2668" s="177" t="str">
        <x:v>51.137.439/0001-00</x:v>
      </x:c>
      <x:c r="B2668" s="168" t="str">
        <x:v>FINANCIA GROUP FUNDO DE INVESTIMENTO EM DIREITOS CREDITÓRIOS</x:v>
      </x:c>
      <x:c r="C2668" s="190" t="n">
        <x:v>7444697.549999998</x:v>
      </x:c>
      <x:c r="D2668" s="168" t="str">
        <x:v>TERCON ASSET MANAGEMENT</x:v>
      </x:c>
      <x:c r="E2668" s="168" t="str">
        <x:f>IFERROR(INDEX('Classif Gestoras'!$H$6:$H$462,MATCH(D2668,'Classif Gestoras'!$A$6:$A$462,0)),"Não classificada")</x:f>
        <x:v>Independente</x:v>
      </x:c>
      <x:c r="F2668" s="168" t="str">
        <x:v>Singulare</x:v>
      </x:c>
      <x:c r="G2668" s="168" t="str">
        <x:v>QI CORRETORA DE TÍTULOS E VALORES MOBILIÁRIOS S.A.</x:v>
      </x:c>
      <x:c r="H2668" s="168" t="str">
        <x:v>Fomento Mercantil</x:v>
      </x:c>
      <x:c r="I2668" s="168" t="str">
        <x:v>Fomento Mercantil</x:v>
      </x:c>
      <x:c r="J2668" s="168" t="str">
        <x:v>CI</x:v>
      </x:c>
      <x:c r="K2668" s="174" t="n">
        <x:v>5</x:v>
      </x:c>
      <x:c r="L2668" s="187" t="str">
        <x:v>Não classificado</x:v>
      </x:c>
    </x:row>
    <x:row r="2669">
      <x:c r="A2669" s="177" t="str">
        <x:v>41.820.379/0001-63</x:v>
      </x:c>
      <x:c r="B2669" s="168" t="str">
        <x:v>SL FUNDO DE INVESTIMENTO EM DIREITOS CREDITÓRIOS - RESPONSABILIDADE LIMITADA</x:v>
      </x:c>
      <x:c r="C2669" s="190" t="n">
        <x:v>7427087.9</x:v>
      </x:c>
      <x:c r="D2669" s="168" t="str">
        <x:v>BLP CAPITAL</x:v>
      </x:c>
      <x:c r="E2669" s="168" t="str">
        <x:f>IFERROR(INDEX('Classif Gestoras'!$H$6:$H$462,MATCH(D2669,'Classif Gestoras'!$A$6:$A$462,0)),"Não classificada")</x:f>
        <x:v>Independente</x:v>
      </x:c>
      <x:c r="F2669" s="168" t="str">
        <x:v>BRL TRUST DTVM</x:v>
      </x:c>
      <x:c r="G2669" s="168" t="str">
        <x:v>BRL TRUST DISTRIBUIDORA DE TITULOS E VALORES MOBILIARIOS S.A.</x:v>
      </x:c>
      <x:c r="H2669" s="168" t="str">
        <x:v>Outros</x:v>
      </x:c>
      <x:c r="I2669" s="168" t="str">
        <x:v>Poder Público</x:v>
      </x:c>
      <x:c r="J2669" s="168" t="str">
        <x:v>CI</x:v>
      </x:c>
      <x:c r="K2669" s="174" t="n">
        <x:v>3</x:v>
      </x:c>
      <x:c r="L2669" s="187" t="str">
        <x:v>Não classificado</x:v>
      </x:c>
    </x:row>
    <x:row r="2670">
      <x:c r="A2670" s="177" t="str">
        <x:v>57.342.603/0001-99</x:v>
      </x:c>
      <x:c r="B2670" s="168" t="str">
        <x:v>CNPJ 57342603000199</x:v>
      </x:c>
      <x:c r="C2670" s="190" t="n">
        <x:v>7398751.56</x:v>
      </x:c>
      <x:c r="D2670" s="168" t="str">
        <x:v>Tyr Gestao de Recursos Ltda</x:v>
      </x:c>
      <x:c r="E2670" s="168" t="str">
        <x:f>IFERROR(INDEX('Classif Gestoras'!$H$6:$H$462,MATCH(D2670,'Classif Gestoras'!$A$6:$A$462,0)),"Não classificada")</x:f>
        <x:v>Independente</x:v>
      </x:c>
      <x:c r="F2670" s="168" t="str">
        <x:v>ID Corretora de Títulos e Valores Mobiliários S.A.</x:v>
      </x:c>
      <x:c r="G2670" s="168" t="str">
        <x:v>Não identificado</x:v>
      </x:c>
      <x:c r="H2670" s="168" t="str">
        <x:v>Fomento Mercantil</x:v>
      </x:c>
      <x:c r="I2670" s="168" t="str">
        <x:v>Fomento Mercantil</x:v>
      </x:c>
      <x:c r="J2670" s="168" t="str">
        <x:v>CI</x:v>
      </x:c>
      <x:c r="K2670" s="174"/>
      <x:c r="L2670" s="187" t="str">
        <x:v>Não classificado</x:v>
      </x:c>
    </x:row>
    <x:row r="2671">
      <x:c r="A2671" s="177" t="str">
        <x:v>20.649.717/0001-76</x:v>
      </x:c>
      <x:c r="B2671" s="168" t="str">
        <x:v>ELDORADO I FUNDO DE INVESTIMENTO EM DIREITOS CREDITÓRIOS NÃO PADRONIZADOS</x:v>
      </x:c>
      <x:c r="C2671" s="190" t="n">
        <x:v>7383443.170000002</x:v>
      </x:c>
      <x:c r="D2671" s="168" t="str">
        <x:v>AGG Investimentos Ltda.</x:v>
      </x:c>
      <x:c r="E2671" s="168" t="str">
        <x:f>IFERROR(INDEX('Classif Gestoras'!$H$6:$H$462,MATCH(D2671,'Classif Gestoras'!$A$6:$A$462,0)),"Não classificada")</x:f>
        <x:v>Independente</x:v>
      </x:c>
      <x:c r="F2671" s="168" t="str">
        <x:v>MONETAR DISTRIBUIDORA DE TITUL</x:v>
      </x:c>
      <x:c r="G2671" s="168" t="str">
        <x:v>TERRA INVESTIMENTOS DISTRIBUIDORA DE TITULOS E VALORES MOBILIARIOS LTDA</x:v>
      </x:c>
      <x:c r="H2671" s="168" t="str">
        <x:v>Agro, Indústria e Comércio</x:v>
      </x:c>
      <x:c r="I2671" s="168" t="str">
        <x:v>Recebíveis Comerciais</x:v>
      </x:c>
      <x:c r="J2671" s="168" t="str">
        <x:v>CI</x:v>
      </x:c>
      <x:c r="K2671" s="174" t="n">
        <x:v>2</x:v>
      </x:c>
      <x:c r="L2671" s="187" t="str">
        <x:v>Não classificado</x:v>
      </x:c>
    </x:row>
    <x:row r="2672">
      <x:c r="A2672" s="177" t="str">
        <x:v>13.327.334/0001-16</x:v>
      </x:c>
      <x:c r="B2672" s="168" t="str">
        <x:v>UNAVANTI FUNDO DE INVESTIMENTO EM DIREITOS CREDITÓRIOS</x:v>
      </x:c>
      <x:c r="C2672" s="190" t="n">
        <x:v>7353059.96</x:v>
      </x:c>
      <x:c r="D2672" s="168" t="str">
        <x:v>TERCON ASSET MANAGEMENT</x:v>
      </x:c>
      <x:c r="E2672" s="168" t="str">
        <x:f>IFERROR(INDEX('Classif Gestoras'!$H$6:$H$462,MATCH(D2672,'Classif Gestoras'!$A$6:$A$462,0)),"Não classificada")</x:f>
        <x:v>Independente</x:v>
      </x:c>
      <x:c r="F2672" s="168" t="str">
        <x:v>Limine Trust Distribuidora de Titulos e Valores Mobiliá</x:v>
      </x:c>
      <x:c r="G2672" s="168" t="str">
        <x:v>LIMINE TRUST DISTRIBUIDORA DE TITULOS E VALORES MOBILIARIOS LTDA.</x:v>
      </x:c>
      <x:c r="H2672" s="168" t="str">
        <x:v>Fomento Mercantil</x:v>
      </x:c>
      <x:c r="I2672" s="168" t="str">
        <x:v>Fomento Mercantil</x:v>
      </x:c>
      <x:c r="J2672" s="168" t="str">
        <x:v>CI</x:v>
      </x:c>
      <x:c r="K2672" s="174" t="n">
        <x:v>6</x:v>
      </x:c>
      <x:c r="L2672" s="187" t="str">
        <x:v>Não classificado</x:v>
      </x:c>
    </x:row>
    <x:row r="2673">
      <x:c r="A2673" s="177" t="str">
        <x:v>51.919.474/0001-72</x:v>
      </x:c>
      <x:c r="B2673" s="168" t="str">
        <x:v>RAMAPI FUNDO DE INVESTIMENTO EM DIREITOS CREDITÓRIOS</x:v>
      </x:c>
      <x:c r="C2673" s="190" t="n">
        <x:v>7304745.3</x:v>
      </x:c>
      <x:c r="D2673" s="168" t="str">
        <x:v>TERCON ASSET MANAGEMENT</x:v>
      </x:c>
      <x:c r="E2673" s="168" t="str">
        <x:f>IFERROR(INDEX('Classif Gestoras'!$H$6:$H$462,MATCH(D2673,'Classif Gestoras'!$A$6:$A$462,0)),"Não classificada")</x:f>
        <x:v>Independente</x:v>
      </x:c>
      <x:c r="F2673" s="168" t="str">
        <x:v>Singulare</x:v>
      </x:c>
      <x:c r="G2673" s="168" t="str">
        <x:v>QI CORRETORA DE TÍTULOS E VALORES MOBILIÁRIOS S.A.</x:v>
      </x:c>
      <x:c r="H2673" s="168" t="str">
        <x:v>Fomento Mercantil</x:v>
      </x:c>
      <x:c r="I2673" s="168" t="str">
        <x:v>Fomento Mercantil</x:v>
      </x:c>
      <x:c r="J2673" s="168" t="str">
        <x:v>CI</x:v>
      </x:c>
      <x:c r="K2673" s="174" t="n">
        <x:v>7</x:v>
      </x:c>
      <x:c r="L2673" s="187" t="str">
        <x:v>Não classificado</x:v>
      </x:c>
    </x:row>
    <x:row r="2674">
      <x:c r="A2674" s="177" t="str">
        <x:v>37.511.729/0001-32</x:v>
      </x:c>
      <x:c r="B2674" s="168" t="str">
        <x:v>FUEL FUNDO DE INVESTIMENTO EM DIREITOS CREDITÓRIOS - RESPONSABILIDADE LIMITADA</x:v>
      </x:c>
      <x:c r="C2674" s="190" t="n">
        <x:v>7249852.92</x:v>
      </x:c>
      <x:c r="D2674" s="168" t="str">
        <x:v>SOSU CAPITAL GESTÃO DE INVESTIMENTOS LTDA.</x:v>
      </x:c>
      <x:c r="E2674" s="168" t="str">
        <x:f>IFERROR(INDEX('Classif Gestoras'!$H$6:$H$462,MATCH(D2674,'Classif Gestoras'!$A$6:$A$462,0)),"Não classificada")</x:f>
        <x:v>Independente</x:v>
      </x:c>
      <x:c r="F2674" s="168" t="str">
        <x:v>BRL TRUST DTVM</x:v>
      </x:c>
      <x:c r="G2674" s="168" t="str">
        <x:v>BRL TRUST DISTRIBUIDORA DE TITULOS E VALORES MOBILIARIOS S.A.</x:v>
      </x:c>
      <x:c r="H2674" s="168" t="str">
        <x:v>Outros</x:v>
      </x:c>
      <x:c r="I2674" s="168" t="str">
        <x:v>Poder Público</x:v>
      </x:c>
      <x:c r="J2674" s="168" t="str">
        <x:v>CI</x:v>
      </x:c>
      <x:c r="K2674" s="174" t="n">
        <x:v>3</x:v>
      </x:c>
      <x:c r="L2674" s="187" t="str">
        <x:v>Não classificado</x:v>
      </x:c>
    </x:row>
    <x:row r="2675">
      <x:c r="A2675" s="177" t="str">
        <x:v>51.982.989/0001-17</x:v>
      </x:c>
      <x:c r="B2675" s="168" t="str">
        <x:v>PARAGUAÇU PRECATÓRIOS I FUNDO DE INVESTIMENTO EM DIREITOS CREDITÓRIOS</x:v>
      </x:c>
      <x:c r="C2675" s="190" t="n">
        <x:v>7213622.35</x:v>
      </x:c>
      <x:c r="D2675" s="168" t="str">
        <x:v>Paraguaçu Investimentos</x:v>
      </x:c>
      <x:c r="E2675" s="168" t="str">
        <x:f>IFERROR(INDEX('Classif Gestoras'!$H$6:$H$462,MATCH(D2675,'Classif Gestoras'!$A$6:$A$462,0)),"Não classificada")</x:f>
        <x:v>Independente</x:v>
      </x:c>
      <x:c r="F2675" s="168" t="str">
        <x:v>PLANNER CV</x:v>
      </x:c>
      <x:c r="G2675" s="168" t="str">
        <x:v>PLANNER CORRETORA DE VALORES S.A.</x:v>
      </x:c>
      <x:c r="H2675" s="168" t="str">
        <x:v>Outros</x:v>
      </x:c>
      <x:c r="I2675" s="168" t="str">
        <x:v>Poder Público</x:v>
      </x:c>
      <x:c r="J2675" s="168" t="str">
        <x:v>CI</x:v>
      </x:c>
      <x:c r="K2675" s="174" t="n">
        <x:v>1</x:v>
      </x:c>
      <x:c r="L2675" s="187" t="str">
        <x:v>Não classificado</x:v>
      </x:c>
    </x:row>
    <x:row r="2676">
      <x:c r="A2676" s="177" t="str">
        <x:v>49.974.540/0001-65</x:v>
      </x:c>
      <x:c r="B2676" s="168" t="str">
        <x:v>HT3 II FUNDO DE INVESTIMENTO EM DIREITOS CREDITÓRIOS NÃO PADRONIZADO</x:v>
      </x:c>
      <x:c r="C2676" s="190" t="n">
        <x:v>7168257.57</x:v>
      </x:c>
      <x:c r="D2676" s="168" t="str">
        <x:v>Bless Capital Gestora de Recursos Ltda.</x:v>
      </x:c>
      <x:c r="E2676" s="168" t="str">
        <x:f>IFERROR(INDEX('Classif Gestoras'!$H$6:$H$462,MATCH(D2676,'Classif Gestoras'!$A$6:$A$462,0)),"Não classificada")</x:f>
        <x:v>Independente</x:v>
      </x:c>
      <x:c r="F2676" s="168" t="str">
        <x:v>ID Corretora de Títulos e Valores Mobiliários S.A.</x:v>
      </x:c>
      <x:c r="G2676" s="168" t="str">
        <x:v>ID CORRETORA DE TITULOS E VALORES MOBILIARIOS S.A.</x:v>
      </x:c>
      <x:c r="H2676" s="168" t="str">
        <x:v>Outros</x:v>
      </x:c>
      <x:c r="I2676" s="168" t="str">
        <x:v>Multicarteira Outros</x:v>
      </x:c>
      <x:c r="J2676" s="168" t="str">
        <x:v>CI</x:v>
      </x:c>
      <x:c r="K2676" s="174" t="n">
        <x:v>1</x:v>
      </x:c>
      <x:c r="L2676" s="187" t="str">
        <x:v>Proxy multicedente/multissacado — revisar</x:v>
      </x:c>
    </x:row>
    <x:row r="2677">
      <x:c r="A2677" s="177" t="str">
        <x:v>58.088.190/0001-20</x:v>
      </x:c>
      <x:c r="B2677" s="168" t="str">
        <x:v>MAIS TODOS PF FUNDO DE INVESTIMENTO EM DIREITOS CREDITÓRIOS FINANCEIRO RESPONSABILIDADE LIMITADA</x:v>
      </x:c>
      <x:c r="C2677" s="190" t="n">
        <x:v>7163484.68</x:v>
      </x:c>
      <x:c r="D2677" s="168" t="str">
        <x:v>VALORA RENDA FIXA LTDA.</x:v>
      </x:c>
      <x:c r="E2677" s="168" t="str">
        <x:f>IFERROR(INDEX('Classif Gestoras'!$H$6:$H$462,MATCH(D2677,'Classif Gestoras'!$A$6:$A$462,0)),"Não classificada")</x:f>
        <x:v>Independente</x:v>
      </x:c>
      <x:c r="F2677" s="168" t="str">
        <x:v>ID Corretora de Títulos e Valores Mobiliários S.A.</x:v>
      </x:c>
      <x:c r="G2677" s="168" t="str">
        <x:v>BANCO DAYCOVAL S.A.</x:v>
      </x:c>
      <x:c r="H2677" s="168" t="str">
        <x:v>Financeiro</x:v>
      </x:c>
      <x:c r="I2677" s="168" t="str">
        <x:v>Multicarteira Financeiro</x:v>
      </x:c>
      <x:c r="J2677" s="168" t="str">
        <x:v>CI</x:v>
      </x:c>
      <x:c r="K2677" s="174" t="n">
        <x:v>14</x:v>
      </x:c>
      <x:c r="L2677" s="187" t="str">
        <x:v>Proxy multicedente/multissacado — revisar</x:v>
      </x:c>
    </x:row>
    <x:row r="2678">
      <x:c r="A2678" s="177" t="str">
        <x:v>36.977.085/0001-00</x:v>
      </x:c>
      <x:c r="B2678" s="168" t="str">
        <x:v>KITE FINANCE FUNDO DE INVESTIMENTO EM DIREITOS CRÉDITÓRIOS RESPONSABILIDADE LIMITADA</x:v>
      </x:c>
      <x:c r="C2678" s="190" t="n">
        <x:v>7161159.93</x:v>
      </x:c>
      <x:c r="D2678" s="168" t="str">
        <x:v>Libertas Asset</x:v>
      </x:c>
      <x:c r="E2678" s="168" t="str">
        <x:f>IFERROR(INDEX('Classif Gestoras'!$H$6:$H$462,MATCH(D2678,'Classif Gestoras'!$A$6:$A$462,0)),"Não classificada")</x:f>
        <x:v>Independente</x:v>
      </x:c>
      <x:c r="F2678" s="168" t="str">
        <x:v>ACTUAL DTVM</x:v>
      </x:c>
      <x:c r="G2678" s="168" t="str">
        <x:v>LASTRO RDV DTVM LTDA</x:v>
      </x:c>
      <x:c r="H2678" s="168" t="str">
        <x:v>Fomento Mercantil</x:v>
      </x:c>
      <x:c r="I2678" s="168" t="str">
        <x:v>Fomento Mercantil</x:v>
      </x:c>
      <x:c r="J2678" s="168" t="str">
        <x:v>CI</x:v>
      </x:c>
      <x:c r="K2678" s="174" t="n">
        <x:v>2</x:v>
      </x:c>
      <x:c r="L2678" s="187" t="str">
        <x:v>Não classificado</x:v>
      </x:c>
    </x:row>
    <x:row r="2679">
      <x:c r="A2679" s="177" t="str">
        <x:v>49.261.110/0001-04</x:v>
      </x:c>
      <x:c r="B2679" s="168" t="str">
        <x:v>SIMPLEX FUNDO DE INVESTIMENTO EM DIREITOS CREDITÓRIOS</x:v>
      </x:c>
      <x:c r="C2679" s="190" t="n">
        <x:v>7158216.449999999</x:v>
      </x:c>
      <x:c r="D2679" s="168" t="str">
        <x:v>ASSET MANAGEMENT</x:v>
      </x:c>
      <x:c r="E2679" s="168" t="str">
        <x:f>IFERROR(INDEX('Classif Gestoras'!$H$6:$H$462,MATCH(D2679,'Classif Gestoras'!$A$6:$A$462,0)),"Não classificada")</x:f>
        <x:v>Independente</x:v>
      </x:c>
      <x:c r="F2679" s="168" t="str">
        <x:v>AZUMI DISTRIBUIDORA DE TÍTULOS E VALORES MOBILIÁRIOS LT</x:v>
      </x:c>
      <x:c r="G2679" s="168" t="str">
        <x:v>AZUMI DISTRIBUIDORA DE TÍTULOS E VALORES MOBILIÁRIOS LTDA.</x:v>
      </x:c>
      <x:c r="H2679" s="168" t="str">
        <x:v>Outros</x:v>
      </x:c>
      <x:c r="I2679" s="168" t="str">
        <x:v>Multicarteira Outros</x:v>
      </x:c>
      <x:c r="J2679" s="168" t="str">
        <x:v>CI</x:v>
      </x:c>
      <x:c r="K2679" s="174" t="n">
        <x:v>2</x:v>
      </x:c>
      <x:c r="L2679" s="187" t="str">
        <x:v>Proxy multicedente/multissacado — revisar</x:v>
      </x:c>
    </x:row>
    <x:row r="2680">
      <x:c r="A2680" s="177" t="str">
        <x:v>53.314.518/0001-66</x:v>
      </x:c>
      <x:c r="B2680" s="168" t="str">
        <x:v>ÁGATA FUNDO DE INVESTIMENTO EM DIREITOS CREDITÓRIOS</x:v>
      </x:c>
      <x:c r="C2680" s="190" t="n">
        <x:v>7157494.66</x:v>
      </x:c>
      <x:c r="D2680" s="168" t="str">
        <x:v>SMART AGRO INVESTIMENTOS LTDA.</x:v>
      </x:c>
      <x:c r="E2680" s="168" t="str">
        <x:f>IFERROR(INDEX('Classif Gestoras'!$H$6:$H$462,MATCH(D2680,'Classif Gestoras'!$A$6:$A$462,0)),"Não classificada")</x:f>
        <x:v>Independente</x:v>
      </x:c>
      <x:c r="F2680" s="168" t="str">
        <x:v>TRUSTEE DTVM</x:v>
      </x:c>
      <x:c r="G2680" s="168" t="str">
        <x:v>TRUSTEE DISTRIBUIDORA DE TITULOS E VALORES MOBILIARIOS LTDA.</x:v>
      </x:c>
      <x:c r="H2680" s="168" t="str">
        <x:v>Outros</x:v>
      </x:c>
      <x:c r="I2680" s="168" t="str">
        <x:v>Multicarteira Outros</x:v>
      </x:c>
      <x:c r="J2680" s="168" t="str">
        <x:v>CI</x:v>
      </x:c>
      <x:c r="K2680" s="174" t="n">
        <x:v>1</x:v>
      </x:c>
      <x:c r="L2680" s="187" t="str">
        <x:v>Proxy multicedente/multissacado — revisar</x:v>
      </x:c>
    </x:row>
    <x:row r="2681">
      <x:c r="A2681" s="177" t="str">
        <x:v>62.082.498/0001-36</x:v>
      </x:c>
      <x:c r="B2681" s="168" t="str">
        <x:v>CELESTIS FUNDO DE INVESTIMENTO EM DIREITOS CREDITÓRIOS DE RESPONSABILIDADE LIMITADA</x:v>
      </x:c>
      <x:c r="C2681" s="190" t="n">
        <x:v>7093293.05</x:v>
      </x:c>
      <x:c r="D2681" s="168" t="str">
        <x:v>Catálise Investimentos</x:v>
      </x:c>
      <x:c r="E2681" s="168" t="str">
        <x:f>IFERROR(INDEX('Classif Gestoras'!$H$6:$H$462,MATCH(D2681,'Classif Gestoras'!$A$6:$A$462,0)),"Não classificada")</x:f>
        <x:v>Independente</x:v>
      </x:c>
      <x:c r="F2681" s="168" t="str">
        <x:v>CATÁLISE DTVM</x:v>
      </x:c>
      <x:c r="G2681" s="168" t="str">
        <x:v>BANCO DAYCOVAL S.A.</x:v>
      </x:c>
      <x:c r="H2681" s="168" t="str">
        <x:v>Agro, Indústria e Comércio</x:v>
      </x:c>
      <x:c r="I2681" s="168" t="str">
        <x:v>Recebíveis Comerciais</x:v>
      </x:c>
      <x:c r="J2681" s="168" t="str">
        <x:v>CI</x:v>
      </x:c>
      <x:c r="K2681" s="174" t="n">
        <x:v>1</x:v>
      </x:c>
      <x:c r="L2681" s="187" t="str">
        <x:v>Não classificado</x:v>
      </x:c>
    </x:row>
    <x:row r="2682">
      <x:c r="A2682" s="177" t="str">
        <x:v>63.915.937/0001-07</x:v>
      </x:c>
      <x:c r="B2682" s="168" t="str">
        <x:v>GP7 CRÉDITO ESPECIAL FUNDO DE INVESTIMENTO EM DIREITOS CREDITÓRIOS - REC COMERCIAIS - RESP LIMITADA</x:v>
      </x:c>
      <x:c r="C2682" s="190" t="n">
        <x:v>7083823.36</x:v>
      </x:c>
      <x:c r="D2682" s="168" t="str">
        <x:v>DAYCOVAL ASSET MANAG</x:v>
      </x:c>
      <x:c r="E2682" s="168" t="str">
        <x:f>IFERROR(INDEX('Classif Gestoras'!$H$6:$H$462,MATCH(D2682,'Classif Gestoras'!$A$6:$A$462,0)),"Não classificada")</x:f>
        <x:v>Ligada a banco</x:v>
      </x:c>
      <x:c r="F2682" s="168" t="str">
        <x:v>BANCO DAYCOVAL S/A</x:v>
      </x:c>
      <x:c r="G2682" s="168" t="str">
        <x:v>BANCO DAYCOVAL S.A.</x:v>
      </x:c>
      <x:c r="H2682" s="168" t="str">
        <x:v>Agro, Indústria e Comércio</x:v>
      </x:c>
      <x:c r="I2682" s="168" t="str">
        <x:v>Recebíveis Comerciais</x:v>
      </x:c>
      <x:c r="J2682" s="168" t="str">
        <x:v>CI</x:v>
      </x:c>
      <x:c r="K2682" s="174" t="n">
        <x:v>8</x:v>
      </x:c>
      <x:c r="L2682" s="187" t="str">
        <x:v>Não classificado</x:v>
      </x:c>
    </x:row>
    <x:row r="2683">
      <x:c r="A2683" s="177" t="str">
        <x:v>43.616.659/0001-80</x:v>
      </x:c>
      <x:c r="B2683" s="168" t="str">
        <x:v>TALÓ 1 FUNDO DE INVESTIMENTO EM DIREITOS CREDITÓRIOS RESPONSABILIDADE LIMITADA</x:v>
      </x:c>
      <x:c r="C2683" s="190" t="n">
        <x:v>7081126.95</x:v>
      </x:c>
      <x:c r="D2683" s="168" t="str">
        <x:v>Farmtech Gestão de Recursos Ltda.</x:v>
      </x:c>
      <x:c r="E2683" s="168" t="str">
        <x:f>IFERROR(INDEX('Classif Gestoras'!$H$6:$H$462,MATCH(D2683,'Classif Gestoras'!$A$6:$A$462,0)),"Não classificada")</x:f>
        <x:v>Independente</x:v>
      </x:c>
      <x:c r="F2683" s="168" t="str">
        <x:v>Oliveira Trust DTVM</x:v>
      </x:c>
      <x:c r="G2683" s="168" t="str">
        <x:v>OLIVEIRA TRUST DTVM S.A.</x:v>
      </x:c>
      <x:c r="H2683" s="168" t="str">
        <x:v>Agro, Indústria e Comércio</x:v>
      </x:c>
      <x:c r="I2683" s="168" t="str">
        <x:v>Agronegócio</x:v>
      </x:c>
      <x:c r="J2683" s="168" t="str">
        <x:v>CI</x:v>
      </x:c>
      <x:c r="K2683" s="174" t="n">
        <x:v>1</x:v>
      </x:c>
      <x:c r="L2683" s="187" t="str">
        <x:v>Não classificado</x:v>
      </x:c>
    </x:row>
    <x:row r="2684">
      <x:c r="A2684" s="177" t="str">
        <x:v>55.726.318/0001-46</x:v>
      </x:c>
      <x:c r="B2684" s="168" t="str">
        <x:v>AGRO REAL FUNDO DE INVESTIMENTO EM DIREITOS CREDITÓRIOS FIAGRO</x:v>
      </x:c>
      <x:c r="C2684" s="190" t="n">
        <x:v>7005928.37</x:v>
      </x:c>
      <x:c r="D2684" s="168" t="str">
        <x:v>GFS INVESTIMENTOS</x:v>
      </x:c>
      <x:c r="E2684" s="168" t="str">
        <x:f>IFERROR(INDEX('Classif Gestoras'!$H$6:$H$462,MATCH(D2684,'Classif Gestoras'!$A$6:$A$462,0)),"Não classificada")</x:f>
        <x:v>Independente</x:v>
      </x:c>
      <x:c r="F2684" s="168" t="str">
        <x:v>PLANNER CV</x:v>
      </x:c>
      <x:c r="G2684" s="168" t="str">
        <x:v>PLANNER CORRETORA DE VALORES S.A.</x:v>
      </x:c>
      <x:c r="H2684" s="168" t="str">
        <x:v>Agro, Indústria e Comércio</x:v>
      </x:c>
      <x:c r="I2684" s="168" t="str">
        <x:v>Agronegócio</x:v>
      </x:c>
      <x:c r="J2684" s="168" t="str">
        <x:v>CI</x:v>
      </x:c>
      <x:c r="K2684" s="174" t="n">
        <x:v>8</x:v>
      </x:c>
      <x:c r="L2684" s="187" t="str">
        <x:v>Não classificado</x:v>
      </x:c>
    </x:row>
    <x:row r="2685">
      <x:c r="A2685" s="177" t="str">
        <x:v>49.959.636/0001-54</x:v>
      </x:c>
      <x:c r="B2685" s="168" t="str">
        <x:v>LUMINA 1 CRÉDITOS JUDICIAIS FUNDO DE INVESTIMENTO EM DIREITOS CREDITÓRIOS RESPONSABILIDADE LIMITADA</x:v>
      </x:c>
      <x:c r="C2685" s="190" t="n">
        <x:v>7004243.890000001</x:v>
      </x:c>
      <x:c r="D2685" s="168" t="str">
        <x:v>Lumina</x:v>
      </x:c>
      <x:c r="E2685" s="168" t="str">
        <x:f>IFERROR(INDEX('Classif Gestoras'!$H$6:$H$462,MATCH(D2685,'Classif Gestoras'!$A$6:$A$462,0)),"Não classificada")</x:f>
        <x:v>Independente</x:v>
      </x:c>
      <x:c r="F2685" s="168" t="str">
        <x:v>BTG Pactual Servicos Financeiros S/A DTVM</x:v>
      </x:c>
      <x:c r="G2685" s="168" t="str">
        <x:v>BANCO BTG PACTUAL S/A</x:v>
      </x:c>
      <x:c r="H2685" s="168" t="str">
        <x:v>Outros</x:v>
      </x:c>
      <x:c r="I2685" s="168" t="str">
        <x:v>Multicarteira Outros</x:v>
      </x:c>
      <x:c r="J2685" s="168" t="str">
        <x:v>CI</x:v>
      </x:c>
      <x:c r="K2685" s="174" t="n">
        <x:v>7</x:v>
      </x:c>
      <x:c r="L2685" s="187" t="str">
        <x:v>Proxy multicedente/multissacado — revisar</x:v>
      </x:c>
    </x:row>
    <x:row r="2686">
      <x:c r="A2686" s="177" t="str">
        <x:v>50.362.898/0001-16</x:v>
      </x:c>
      <x:c r="B2686" s="168" t="str">
        <x:v>INOVA3 FUNDO DE INVESTIMENTO EM DIREITOS CREDITÓRIOS - RESPONSABILIDADE LIMITADA</x:v>
      </x:c>
      <x:c r="C2686" s="190" t="n">
        <x:v>6999696.239999999</x:v>
      </x:c>
      <x:c r="D2686" s="168" t="str">
        <x:v>D3 Capital</x:v>
      </x:c>
      <x:c r="E2686" s="168" t="str">
        <x:f>IFERROR(INDEX('Classif Gestoras'!$H$6:$H$462,MATCH(D2686,'Classif Gestoras'!$A$6:$A$462,0)),"Não classificada")</x:f>
        <x:v>Independente</x:v>
      </x:c>
      <x:c r="F2686" s="168" t="str">
        <x:v>MONETAR DISTRIBUIDORA DE TITUL</x:v>
      </x:c>
      <x:c r="G2686" s="168" t="str">
        <x:v>TERRA INVESTIMENTOS DISTRIBUIDORA DE TITULOS E VALORES MOBILIARIOS LTDA</x:v>
      </x:c>
      <x:c r="H2686" s="168" t="str">
        <x:v>Outros</x:v>
      </x:c>
      <x:c r="I2686" s="168" t="str">
        <x:v>Multicarteira Outros</x:v>
      </x:c>
      <x:c r="J2686" s="168" t="str">
        <x:v>CI</x:v>
      </x:c>
      <x:c r="K2686" s="174" t="n">
        <x:v>4</x:v>
      </x:c>
      <x:c r="L2686" s="187" t="str">
        <x:v>Proxy multicedente/multissacado — revisar</x:v>
      </x:c>
    </x:row>
    <x:row r="2687">
      <x:c r="A2687" s="177" t="str">
        <x:v>62.194.613/0001-64</x:v>
      </x:c>
      <x:c r="B2687" s="168" t="str">
        <x:v>ENGENIUM FUNDO DE INVESTIMENTO EM DIREITOS CREDITÓRIOS DE RESPONSABILIDADE LIMITADA</x:v>
      </x:c>
      <x:c r="C2687" s="190" t="n">
        <x:v>6994892.01</x:v>
      </x:c>
      <x:c r="D2687" s="168" t="str">
        <x:v>Catálise Investimentos</x:v>
      </x:c>
      <x:c r="E2687" s="168" t="str">
        <x:f>IFERROR(INDEX('Classif Gestoras'!$H$6:$H$462,MATCH(D2687,'Classif Gestoras'!$A$6:$A$462,0)),"Não classificada")</x:f>
        <x:v>Independente</x:v>
      </x:c>
      <x:c r="F2687" s="168" t="str">
        <x:v>CATÁLISE DTVM</x:v>
      </x:c>
      <x:c r="G2687" s="168" t="str">
        <x:v>BANCO DAYCOVAL S.A.</x:v>
      </x:c>
      <x:c r="H2687" s="168" t="str">
        <x:v>Agro, Indústria e Comércio</x:v>
      </x:c>
      <x:c r="I2687" s="168" t="str">
        <x:v>Multicarteira Agro, Indústria e Comércio</x:v>
      </x:c>
      <x:c r="J2687" s="168" t="str">
        <x:v>CI</x:v>
      </x:c>
      <x:c r="K2687" s="174" t="n">
        <x:v>1</x:v>
      </x:c>
      <x:c r="L2687" s="187" t="str">
        <x:v>Proxy multicedente/multissacado — revisar</x:v>
      </x:c>
    </x:row>
    <x:row r="2688">
      <x:c r="A2688" s="177" t="str">
        <x:v>60.686.437/0001-52</x:v>
      </x:c>
      <x:c r="B2688" s="168" t="str">
        <x:v>EXPOENTE MERCANTIL FUNDO DE INVESTIMENTO EM DIREITOS CREDITÓRIOS</x:v>
      </x:c>
      <x:c r="C2688" s="190" t="n">
        <x:v>6986956.31</x:v>
      </x:c>
      <x:c r="D2688" s="168" t="str">
        <x:v>TERCON ASSET MANAGEMENT</x:v>
      </x:c>
      <x:c r="E2688" s="168" t="str">
        <x:f>IFERROR(INDEX('Classif Gestoras'!$H$6:$H$462,MATCH(D2688,'Classif Gestoras'!$A$6:$A$462,0)),"Não classificada")</x:f>
        <x:v>Independente</x:v>
      </x:c>
      <x:c r="F2688" s="168" t="str">
        <x:v>Limine Trust Distribuidora de Titulos e Valores Mobiliá</x:v>
      </x:c>
      <x:c r="G2688" s="168" t="str">
        <x:v>LIMINE TRUST DISTRIBUIDORA DE TITULOS E VALORES MOBILIARIOS LTDA.</x:v>
      </x:c>
      <x:c r="H2688" s="168" t="str">
        <x:v>Fomento Mercantil</x:v>
      </x:c>
      <x:c r="I2688" s="168" t="str">
        <x:v>Fomento Mercantil</x:v>
      </x:c>
      <x:c r="J2688" s="168" t="str">
        <x:v>CI</x:v>
      </x:c>
      <x:c r="K2688" s="174" t="n">
        <x:v>1</x:v>
      </x:c>
      <x:c r="L2688" s="187" t="str">
        <x:v>Não classificado</x:v>
      </x:c>
    </x:row>
    <x:row r="2689">
      <x:c r="A2689" s="177" t="str">
        <x:v>61.925.720/0001-52</x:v>
      </x:c>
      <x:c r="B2689" s="168" t="str">
        <x:v>BARUCH FUNDO DE INVESTIMENTO EM DIREITOS CREDITÓRIOS RESPONSABILIDADE LIMITADA</x:v>
      </x:c>
      <x:c r="C2689" s="190" t="n">
        <x:v>6972172.399999999</x:v>
      </x:c>
      <x:c r="D2689" s="168" t="str">
        <x:v>MORRO CAPITAL GESTORA DE RECURSOS LTDA</x:v>
      </x:c>
      <x:c r="E2689" s="168" t="str">
        <x:f>IFERROR(INDEX('Classif Gestoras'!$H$6:$H$462,MATCH(D2689,'Classif Gestoras'!$A$6:$A$462,0)),"Não classificada")</x:f>
        <x:v>Independente</x:v>
      </x:c>
      <x:c r="F2689" s="168" t="str">
        <x:v>ID Corretora de Títulos e Valores Mobiliários S.A.</x:v>
      </x:c>
      <x:c r="G2689" s="168" t="str">
        <x:v>ID CORRETORA DE TITULOS E VALORES MOBILIARIOS S.A.</x:v>
      </x:c>
      <x:c r="H2689" s="168" t="str">
        <x:v>Outros</x:v>
      </x:c>
      <x:c r="I2689" s="168" t="str">
        <x:v>Multicarteira Outros</x:v>
      </x:c>
      <x:c r="J2689" s="168" t="str">
        <x:v>CI</x:v>
      </x:c>
      <x:c r="K2689" s="174" t="n">
        <x:v>2</x:v>
      </x:c>
      <x:c r="L2689" s="187" t="str">
        <x:v>Proxy multicedente/multissacado — revisar</x:v>
      </x:c>
    </x:row>
    <x:row r="2690">
      <x:c r="A2690" s="177" t="str">
        <x:v>57.821.748/0001-72</x:v>
      </x:c>
      <x:c r="B2690" s="168" t="str">
        <x:v>TBN FUNDO DE INVESTIMENTO EM DIREITOS CREDITÓRIOS NÃO - PADRONIZADO</x:v>
      </x:c>
      <x:c r="C2690" s="190" t="n">
        <x:v>6940998.920000001</x:v>
      </x:c>
      <x:c r="D2690" s="168" t="str">
        <x:v>ASSET MANAGEMENT</x:v>
      </x:c>
      <x:c r="E2690" s="168" t="str">
        <x:f>IFERROR(INDEX('Classif Gestoras'!$H$6:$H$462,MATCH(D2690,'Classif Gestoras'!$A$6:$A$462,0)),"Não classificada")</x:f>
        <x:v>Independente</x:v>
      </x:c>
      <x:c r="F2690" s="168" t="str">
        <x:v>AZUMI DISTRIBUIDORA DE TÍTULOS E VALORES MOBILIÁRIOS LT</x:v>
      </x:c>
      <x:c r="G2690" s="168" t="str">
        <x:v>AZUMI DISTRIBUIDORA DE TÍTULOS E VALORES MOBILIÁRIOS LTDA.</x:v>
      </x:c>
      <x:c r="H2690" s="168" t="str">
        <x:v>Outros</x:v>
      </x:c>
      <x:c r="I2690" s="168" t="str">
        <x:v>Multicarteira Outros</x:v>
      </x:c>
      <x:c r="J2690" s="168" t="str">
        <x:v>CI</x:v>
      </x:c>
      <x:c r="K2690" s="174" t="n">
        <x:v>1</x:v>
      </x:c>
      <x:c r="L2690" s="187" t="str">
        <x:v>Proxy multicedente/multissacado — revisar</x:v>
      </x:c>
    </x:row>
    <x:row r="2691">
      <x:c r="A2691" s="177" t="str">
        <x:v>40.365.928/0001-94</x:v>
      </x:c>
      <x:c r="B2691" s="168" t="str">
        <x:v>FARM II FUNDO DE INVESTIMENTO EM DIREITOS CREDITÓRIOS RESPONSABILIDADE LIMITADA</x:v>
      </x:c>
      <x:c r="C2691" s="190" t="n">
        <x:v>6940964.870000001</x:v>
      </x:c>
      <x:c r="D2691" s="168" t="str">
        <x:v>Farmtech Gestão de Recursos Ltda.</x:v>
      </x:c>
      <x:c r="E2691" s="168" t="str">
        <x:f>IFERROR(INDEX('Classif Gestoras'!$H$6:$H$462,MATCH(D2691,'Classif Gestoras'!$A$6:$A$462,0)),"Não classificada")</x:f>
        <x:v>Independente</x:v>
      </x:c>
      <x:c r="F2691" s="168" t="str">
        <x:v>BTG Pactual Servicos Financeiros S/A DTVM</x:v>
      </x:c>
      <x:c r="G2691" s="168" t="str">
        <x:v>BANCO BTG PACTUAL S/A</x:v>
      </x:c>
      <x:c r="H2691" s="168" t="str">
        <x:v>Agro, Indústria e Comércio</x:v>
      </x:c>
      <x:c r="I2691" s="168" t="str">
        <x:v>Agronegócio</x:v>
      </x:c>
      <x:c r="J2691" s="168" t="str">
        <x:v>CIC</x:v>
      </x:c>
      <x:c r="K2691" s="174" t="n">
        <x:v>81</x:v>
      </x:c>
      <x:c r="L2691" s="187" t="str">
        <x:v>Não classificado</x:v>
      </x:c>
    </x:row>
    <x:row r="2692">
      <x:c r="A2692" s="177" t="str">
        <x:v>62.193.694/0001-88</x:v>
      </x:c>
      <x:c r="B2692" s="168" t="str">
        <x:v>VERA CRUZ III ATIVOS JUDICIAIS PROCESSO DE CONHECIMENTO FIDC RESP LIMITADA</x:v>
      </x:c>
      <x:c r="C2692" s="190" t="n">
        <x:v>6903387.6</x:v>
      </x:c>
      <x:c r="D2692" s="168" t="str">
        <x:v>CRD Capital Administração de Recursos Ltda</x:v>
      </x:c>
      <x:c r="E2692" s="168" t="str">
        <x:f>IFERROR(INDEX('Classif Gestoras'!$H$6:$H$462,MATCH(D2692,'Classif Gestoras'!$A$6:$A$462,0)),"Não classificada")</x:f>
        <x:v>Independente</x:v>
      </x:c>
      <x:c r="F2692" s="168" t="str">
        <x:v>FIDD DISTRIBUIDORA DE TITULOS E VALORES MOBILIARIOS LTD</x:v>
      </x:c>
      <x:c r="G2692" s="168" t="str">
        <x:v>FIDD DISTRIBUIDORA DE TITULOS E VALORES MOBILIARIOS LTDA.</x:v>
      </x:c>
      <x:c r="H2692" s="168" t="str">
        <x:v>Outros</x:v>
      </x:c>
      <x:c r="I2692" s="168" t="str">
        <x:v>Poder Público</x:v>
      </x:c>
      <x:c r="J2692" s="168" t="str">
        <x:v>CI</x:v>
      </x:c>
      <x:c r="K2692" s="174" t="n">
        <x:v>11</x:v>
      </x:c>
      <x:c r="L2692" s="187" t="str">
        <x:v>Não classificado</x:v>
      </x:c>
    </x:row>
    <x:row r="2693">
      <x:c r="A2693" s="177" t="str">
        <x:v>55.328.569/0001-72</x:v>
      </x:c>
      <x:c r="B2693" s="168" t="str">
        <x:v>PARATII FUNDO DE INVESTIMENTO EM DIREITOS CREDITÓRIOS RESPONSABILIDADE LIMITADA</x:v>
      </x:c>
      <x:c r="C2693" s="190" t="n">
        <x:v>6866333.81</x:v>
      </x:c>
      <x:c r="D2693" s="168" t="str">
        <x:v>4i Capital Ltda</x:v>
      </x:c>
      <x:c r="E2693" s="168" t="str">
        <x:f>IFERROR(INDEX('Classif Gestoras'!$H$6:$H$462,MATCH(D2693,'Classif Gestoras'!$A$6:$A$462,0)),"Não classificada")</x:f>
        <x:v>Independente</x:v>
      </x:c>
      <x:c r="F2693" s="168" t="str">
        <x:v>PLANNER CV</x:v>
      </x:c>
      <x:c r="G2693" s="168" t="str">
        <x:v>PLANNER CORRETORA DE VALORES S.A.</x:v>
      </x:c>
      <x:c r="H2693" s="168" t="str">
        <x:v>Outros</x:v>
      </x:c>
      <x:c r="I2693" s="168" t="str">
        <x:v>Multicarteira Outros</x:v>
      </x:c>
      <x:c r="J2693" s="168" t="str">
        <x:v>CI</x:v>
      </x:c>
      <x:c r="K2693" s="174" t="n">
        <x:v>1</x:v>
      </x:c>
      <x:c r="L2693" s="187" t="str">
        <x:v>Proxy multicedente/multissacado — revisar</x:v>
      </x:c>
    </x:row>
    <x:row r="2694">
      <x:c r="A2694" s="177" t="str">
        <x:v>56.034.650/0001-02</x:v>
      </x:c>
      <x:c r="B2694" s="168" t="str">
        <x:v>TTMR FUNDO DE INVESTIMENTO EM DIREITOS CREDITÓRIOS - RESPONSABILIDADE LIMITADA</x:v>
      </x:c>
      <x:c r="C2694" s="190" t="n">
        <x:v>6862531.57</x:v>
      </x:c>
      <x:c r="D2694" s="168" t="str">
        <x:v>Oliveira Trust Servicer</x:v>
      </x:c>
      <x:c r="E2694" s="168" t="str">
        <x:f>IFERROR(INDEX('Classif Gestoras'!$H$6:$H$462,MATCH(D2694,'Classif Gestoras'!$A$6:$A$462,0)),"Não classificada")</x:f>
        <x:v>Independente</x:v>
      </x:c>
      <x:c r="F2694" s="168" t="str">
        <x:v>Oliveira Trust DTVM</x:v>
      </x:c>
      <x:c r="G2694" s="168" t="str">
        <x:v>OLIVEIRA TRUST DTVM S.A.</x:v>
      </x:c>
      <x:c r="H2694" s="168" t="str">
        <x:v>Financeiro</x:v>
      </x:c>
      <x:c r="I2694" s="168" t="str">
        <x:v>Crédito Pessoal</x:v>
      </x:c>
      <x:c r="J2694" s="168" t="str">
        <x:v>CI</x:v>
      </x:c>
      <x:c r="K2694" s="174" t="n">
        <x:v>1</x:v>
      </x:c>
      <x:c r="L2694" s="187" t="str">
        <x:v>Não classificado</x:v>
      </x:c>
    </x:row>
    <x:row r="2695">
      <x:c r="A2695" s="177" t="str">
        <x:v>59.060.623/0001-00</x:v>
      </x:c>
      <x:c r="B2695" s="168" t="str">
        <x:v>LUMI FUNDO DE INVESTIMENTO EM DIREITOS CREDITÓRIOS</x:v>
      </x:c>
      <x:c r="C2695" s="190" t="n">
        <x:v>6848680.119999999</x:v>
      </x:c>
      <x:c r="D2695" s="168" t="str">
        <x:v>DAYCOVAL ASSET MANAG</x:v>
      </x:c>
      <x:c r="E2695" s="168" t="str">
        <x:f>IFERROR(INDEX('Classif Gestoras'!$H$6:$H$462,MATCH(D2695,'Classif Gestoras'!$A$6:$A$462,0)),"Não classificada")</x:f>
        <x:v>Ligada a banco</x:v>
      </x:c>
      <x:c r="F2695" s="168" t="str">
        <x:v>BANCO DAYCOVAL S/A</x:v>
      </x:c>
      <x:c r="G2695" s="168" t="str">
        <x:v>BANCO DAYCOVAL S.A.</x:v>
      </x:c>
      <x:c r="H2695" s="168" t="str">
        <x:v>Financeiro</x:v>
      </x:c>
      <x:c r="I2695" s="168" t="str">
        <x:v>Multicarteira Financeiro</x:v>
      </x:c>
      <x:c r="J2695" s="168" t="str">
        <x:v>CI</x:v>
      </x:c>
      <x:c r="K2695" s="174" t="n">
        <x:v>6</x:v>
      </x:c>
      <x:c r="L2695" s="187" t="str">
        <x:v>Proxy multicedente/multissacado — revisar</x:v>
      </x:c>
    </x:row>
    <x:row r="2696">
      <x:c r="A2696" s="177" t="str">
        <x:v>55.157.099/0001-21</x:v>
      </x:c>
      <x:c r="B2696" s="168" t="str">
        <x:v>GOLDEN TREE FUNDO DE INVESTIMENTO EM DIREITOS CREDITÓRIOS CONSIGNADO PRIVADO</x:v>
      </x:c>
      <x:c r="C2696" s="190" t="n">
        <x:v>6833739.65</x:v>
      </x:c>
      <x:c r="D2696" s="168" t="str">
        <x:v>Positiva Investimentos Ltda</x:v>
      </x:c>
      <x:c r="E2696" s="168" t="str">
        <x:f>IFERROR(INDEX('Classif Gestoras'!$H$6:$H$462,MATCH(D2696,'Classif Gestoras'!$A$6:$A$462,0)),"Não classificada")</x:f>
        <x:v>Independente</x:v>
      </x:c>
      <x:c r="F2696" s="168" t="str">
        <x:v>SEFER DTVM</x:v>
      </x:c>
      <x:c r="G2696" s="168" t="str">
        <x:v>SEFER INVESTIMENTOS DISTRIBUIDORA DE TÍTULOS E VALORES MOBILIÁRIOS LTDA.</x:v>
      </x:c>
      <x:c r="H2696" s="168" t="str">
        <x:v>Financeiro</x:v>
      </x:c>
      <x:c r="I2696" s="168" t="str">
        <x:v>Crédito Consignado</x:v>
      </x:c>
      <x:c r="J2696" s="168" t="str">
        <x:v>CI</x:v>
      </x:c>
      <x:c r="K2696" s="174" t="n">
        <x:v>0</x:v>
      </x:c>
      <x:c r="L2696" s="187" t="str">
        <x:v>Não classificado</x:v>
      </x:c>
    </x:row>
    <x:row r="2697">
      <x:c r="A2697" s="177" t="str">
        <x:v>62.215.593/0001-60</x:v>
      </x:c>
      <x:c r="B2697" s="168" t="str">
        <x:v>BPSINV FUNDO DE INVESTIMENTO EM DIREITOS CREDITÓRIOS</x:v>
      </x:c>
      <x:c r="C2697" s="190" t="n">
        <x:v>6817908.65</x:v>
      </x:c>
      <x:c r="D2697" s="168" t="str">
        <x:v>Menestys</x:v>
      </x:c>
      <x:c r="E2697" s="168" t="str">
        <x:f>IFERROR(INDEX('Classif Gestoras'!$H$6:$H$462,MATCH(D2697,'Classif Gestoras'!$A$6:$A$462,0)),"Não classificada")</x:f>
        <x:v>Independente</x:v>
      </x:c>
      <x:c r="F2697" s="168" t="str">
        <x:v>FIDD DISTRIBUIDORA DE TITULOS E VALORES MOBILIARIOS LTD</x:v>
      </x:c>
      <x:c r="G2697" s="168" t="str">
        <x:v>FIDD DISTRIBUIDORA DE TITULOS E VALORES MOBILIARIOS LTDA.</x:v>
      </x:c>
      <x:c r="H2697" s="168" t="str">
        <x:v>Agro, Indústria e Comércio</x:v>
      </x:c>
      <x:c r="I2697" s="168" t="str">
        <x:v>Multicarteira Agro, Indústria e Comércio</x:v>
      </x:c>
      <x:c r="J2697" s="168" t="str">
        <x:v>CI</x:v>
      </x:c>
      <x:c r="K2697" s="174" t="n">
        <x:v>5</x:v>
      </x:c>
      <x:c r="L2697" s="187" t="str">
        <x:v>Proxy multicedente/multissacado — revisar</x:v>
      </x:c>
    </x:row>
    <x:row r="2698">
      <x:c r="A2698" s="177" t="str">
        <x:v>63.697.245/0001-30</x:v>
      </x:c>
      <x:c r="B2698" s="168" t="str">
        <x:v>NERA TRUST FUNDO DE INVESTIMENTO EM DIREITOS CREDITÓRIOS - RESPONSABILIDADE LIMITAD</x:v>
      </x:c>
      <x:c r="C2698" s="190" t="n">
        <x:v>6794100.54</x:v>
      </x:c>
      <x:c r="D2698" s="168" t="str">
        <x:v>TERCON ASSET MANAGEMENT</x:v>
      </x:c>
      <x:c r="E2698" s="168" t="str">
        <x:f>IFERROR(INDEX('Classif Gestoras'!$H$6:$H$462,MATCH(D2698,'Classif Gestoras'!$A$6:$A$462,0)),"Não classificada")</x:f>
        <x:v>Independente</x:v>
      </x:c>
      <x:c r="F2698" s="168" t="str">
        <x:v>Limine Trust Distribuidora de Titulos e Valores Mobiliá</x:v>
      </x:c>
      <x:c r="G2698" s="168" t="str">
        <x:v>LIMINE TRUST DISTRIBUIDORA DE TITULOS E VALORES MOBILIARIOS LTDA.</x:v>
      </x:c>
      <x:c r="H2698" s="168" t="str">
        <x:v>Outros</x:v>
      </x:c>
      <x:c r="I2698" s="168" t="str">
        <x:v>Multicarteira Outros</x:v>
      </x:c>
      <x:c r="J2698" s="168" t="str">
        <x:v>CI</x:v>
      </x:c>
      <x:c r="K2698" s="174" t="n">
        <x:v>1</x:v>
      </x:c>
      <x:c r="L2698" s="187" t="str">
        <x:v>Proxy multicedente/multissacado — revisar</x:v>
      </x:c>
    </x:row>
    <x:row r="2699">
      <x:c r="A2699" s="177" t="str">
        <x:v>62.853.435/0001-36</x:v>
      </x:c>
      <x:c r="B2699" s="168" t="str">
        <x:v>CAP FUNDO DE INVESTIMENTO EM DIREITOS CREDITÓRIOS RESPONSABILIDADE LIMITADA</x:v>
      </x:c>
      <x:c r="C2699" s="190" t="n">
        <x:v>6774447.38</x:v>
      </x:c>
      <x:c r="D2699" s="168" t="str">
        <x:v>Renova Gestora</x:v>
      </x:c>
      <x:c r="E2699" s="168" t="str">
        <x:f>IFERROR(INDEX('Classif Gestoras'!$H$6:$H$462,MATCH(D2699,'Classif Gestoras'!$A$6:$A$462,0)),"Não classificada")</x:f>
        <x:v>Independente</x:v>
      </x:c>
      <x:c r="F2699" s="168" t="str">
        <x:v>MONETAR DISTRIBUIDORA DE TITUL</x:v>
      </x:c>
      <x:c r="G2699" s="168" t="str">
        <x:v>TERRA INVESTIMENTOS DISTRIBUIDORA DE TITULOS E VALORES MOBILIARIOS LTDA</x:v>
      </x:c>
      <x:c r="H2699" s="168" t="str">
        <x:v>Outros</x:v>
      </x:c>
      <x:c r="I2699" s="168" t="str">
        <x:v>Multicarteira Outros</x:v>
      </x:c>
      <x:c r="J2699" s="168" t="str">
        <x:v>CI</x:v>
      </x:c>
      <x:c r="K2699" s="174" t="n">
        <x:v>3</x:v>
      </x:c>
      <x:c r="L2699" s="187" t="str">
        <x:v>Proxy multicedente/multissacado — revisar</x:v>
      </x:c>
    </x:row>
    <x:row r="2700">
      <x:c r="A2700" s="177" t="str">
        <x:v>53.926.245/0001-00</x:v>
      </x:c>
      <x:c r="B2700" s="168" t="str">
        <x:v>FRAM CAPITAL FUNDO DE INVESTIMENTO EM DIREITOS CREDITÓRIOS CONSIGNADO I RESPONSABILIDADE LIMITADA</x:v>
      </x:c>
      <x:c r="C2700" s="190" t="n">
        <x:v>6744869.86</x:v>
      </x:c>
      <x:c r="D2700" s="168" t="str">
        <x:v>Fram Capital Gestão de Ativos Ltda</x:v>
      </x:c>
      <x:c r="E2700" s="168" t="str">
        <x:f>IFERROR(INDEX('Classif Gestoras'!$H$6:$H$462,MATCH(D2700,'Classif Gestoras'!$A$6:$A$462,0)),"Não classificada")</x:f>
        <x:v>Independente</x:v>
      </x:c>
      <x:c r="F2700" s="168" t="str">
        <x:v>VÓRTX DTVM</x:v>
      </x:c>
      <x:c r="G2700" s="168" t="str">
        <x:v>VORTX DISTRIBUIDORA DE TITULOS E VALORES MOBILIARIOS LTDA.</x:v>
      </x:c>
      <x:c r="H2700" s="168" t="str">
        <x:v>Financeiro</x:v>
      </x:c>
      <x:c r="I2700" s="168" t="str">
        <x:v>Crédito Consignado</x:v>
      </x:c>
      <x:c r="J2700" s="168" t="str">
        <x:v>CI</x:v>
      </x:c>
      <x:c r="K2700" s="174" t="n">
        <x:v>35</x:v>
      </x:c>
      <x:c r="L2700" s="187" t="str">
        <x:v>Não classificado</x:v>
      </x:c>
    </x:row>
    <x:row r="2701">
      <x:c r="A2701" s="177" t="str">
        <x:v>62.164.403/0001-23</x:v>
      </x:c>
      <x:c r="B2701" s="168" t="str">
        <x:v>BLUEFIC FUNDO DE INVESTIMENTO EM DIREITOS CREDITÓRIOS RESPONSABILIDADE LIMITADA</x:v>
      </x:c>
      <x:c r="C2701" s="190" t="n">
        <x:v>6738309.63</x:v>
      </x:c>
      <x:c r="D2701" s="168" t="str">
        <x:v>PATAGÔNIA CAPITAL</x:v>
      </x:c>
      <x:c r="E2701" s="168" t="str">
        <x:f>IFERROR(INDEX('Classif Gestoras'!$H$6:$H$462,MATCH(D2701,'Classif Gestoras'!$A$6:$A$462,0)),"Não classificada")</x:f>
        <x:v>Independente</x:v>
      </x:c>
      <x:c r="F2701" s="168" t="str">
        <x:v>ID Corretora de Títulos e Valores Mobiliários S.A.</x:v>
      </x:c>
      <x:c r="G2701" s="168" t="str">
        <x:v>ID CORRETORA DE TITULOS E VALORES MOBILIARIOS S.A.</x:v>
      </x:c>
      <x:c r="H2701" s="168" t="str">
        <x:v>Outros</x:v>
      </x:c>
      <x:c r="I2701" s="168" t="str">
        <x:v>Multicarteira Outros</x:v>
      </x:c>
      <x:c r="J2701" s="168" t="str">
        <x:v>CI</x:v>
      </x:c>
      <x:c r="K2701" s="174" t="n">
        <x:v>1</x:v>
      </x:c>
      <x:c r="L2701" s="187" t="str">
        <x:v>Proxy multicedente/multissacado — revisar</x:v>
      </x:c>
    </x:row>
    <x:row r="2702">
      <x:c r="A2702" s="177" t="str">
        <x:v>27.216.590/0001-40</x:v>
      </x:c>
      <x:c r="B2702" s="168" t="str">
        <x:v>CNPJ 27216590000140</x:v>
      </x:c>
      <x:c r="C2702" s="190" t="n">
        <x:v>6735959.53</x:v>
      </x:c>
      <x:c r="D2702" s="168" t="str">
        <x:v>Emerald Gestão de Investimento</x:v>
      </x:c>
      <x:c r="E2702" s="168" t="str">
        <x:f>IFERROR(INDEX('Classif Gestoras'!$H$6:$H$462,MATCH(D2702,'Classif Gestoras'!$A$6:$A$462,0)),"Não classificada")</x:f>
        <x:v>Independente</x:v>
      </x:c>
      <x:c r="F2702" s="168" t="str">
        <x:v>BANCO J. SAFRA S/A</x:v>
      </x:c>
      <x:c r="G2702" s="168" t="str">
        <x:v>Não identificado</x:v>
      </x:c>
      <x:c r="H2702" s="168" t="str">
        <x:v>Outros</x:v>
      </x:c>
      <x:c r="I2702" s="168" t="str">
        <x:v>Poder Público</x:v>
      </x:c>
      <x:c r="J2702" s="168" t="str">
        <x:v>CI</x:v>
      </x:c>
      <x:c r="K2702" s="174"/>
      <x:c r="L2702" s="187" t="str">
        <x:v>Não classificado</x:v>
      </x:c>
    </x:row>
    <x:row r="2703">
      <x:c r="A2703" s="177" t="str">
        <x:v>64.633.435/0001-56</x:v>
      </x:c>
      <x:c r="B2703" s="168" t="str">
        <x:v>YAALEH MEIOS DE PAGAMENTO FUNDO DE INVESTIMENTOS EM DIREITOS CREDITÓRIOS - RESPONSABILIDADE LIMITADA</x:v>
      </x:c>
      <x:c r="C2703" s="190" t="n">
        <x:v>6713202.460000001</x:v>
      </x:c>
      <x:c r="D2703" s="168" t="str">
        <x:v>Apuama Capital</x:v>
      </x:c>
      <x:c r="E2703" s="168" t="str">
        <x:f>IFERROR(INDEX('Classif Gestoras'!$H$6:$H$462,MATCH(D2703,'Classif Gestoras'!$A$6:$A$462,0)),"Não classificada")</x:f>
        <x:v>Independente</x:v>
      </x:c>
      <x:c r="F2703" s="168" t="str">
        <x:v>Singulare</x:v>
      </x:c>
      <x:c r="G2703" s="168" t="str">
        <x:v>QI CORRETORA DE TÍTULOS E VALORES MOBILIÁRIOS S.A.</x:v>
      </x:c>
      <x:c r="H2703" s="168" t="str">
        <x:v>Agro, Indústria e Comércio</x:v>
      </x:c>
      <x:c r="I2703" s="168" t="str">
        <x:v>Recebíveis Comerciais</x:v>
      </x:c>
      <x:c r="J2703" s="168" t="str">
        <x:v>CI</x:v>
      </x:c>
      <x:c r="K2703" s="174" t="n">
        <x:v>2</x:v>
      </x:c>
      <x:c r="L2703" s="187" t="str">
        <x:v>Não classificado</x:v>
      </x:c>
    </x:row>
    <x:row r="2704">
      <x:c r="A2704" s="177" t="str">
        <x:v>61.263.184/0001-77</x:v>
      </x:c>
      <x:c r="B2704" s="168" t="str">
        <x:v>VB II FUNDO DE INVESTIMENTO EM DIREITOS CREDITÓRIOS FINANCEIROS</x:v>
      </x:c>
      <x:c r="C2704" s="190" t="n">
        <x:v>6694375.89</x:v>
      </x:c>
      <x:c r="D2704" s="168" t="str">
        <x:v>BLUEWAVE ASSET LTDA</x:v>
      </x:c>
      <x:c r="E2704" s="168" t="str">
        <x:f>IFERROR(INDEX('Classif Gestoras'!$H$6:$H$462,MATCH(D2704,'Classif Gestoras'!$A$6:$A$462,0)),"Não classificada")</x:f>
        <x:v>Independente</x:v>
      </x:c>
      <x:c r="F2704" s="168" t="str">
        <x:v>Finvest Digital</x:v>
      </x:c>
      <x:c r="G2704" s="168" t="str">
        <x:v>FINVEST DISTRIBUIDORA DE TÍTULOS E VALORES MOBILIÁRIOS LTDA.</x:v>
      </x:c>
      <x:c r="H2704" s="168" t="str">
        <x:v>Financeiro</x:v>
      </x:c>
      <x:c r="I2704" s="168" t="str">
        <x:v>Multicarteira Financeiro</x:v>
      </x:c>
      <x:c r="J2704" s="168" t="str">
        <x:v>CI</x:v>
      </x:c>
      <x:c r="K2704" s="174" t="n">
        <x:v>1</x:v>
      </x:c>
      <x:c r="L2704" s="187" t="str">
        <x:v>Proxy multicedente/multissacado — revisar</x:v>
      </x:c>
    </x:row>
    <x:row r="2705">
      <x:c r="A2705" s="177" t="str">
        <x:v>64.112.934/0001-06</x:v>
      </x:c>
      <x:c r="B2705" s="168" t="str">
        <x:v>GUARDIAN APP CRÉDITO CONSIGNADO FUNDO DE INVESTIMENTO EM DIREITOS CREDITÓRIOS RL</x:v>
      </x:c>
      <x:c r="C2705" s="190" t="n">
        <x:v>6656983.26</x:v>
      </x:c>
      <x:c r="D2705" s="168" t="str">
        <x:v>Guardian Crédito</x:v>
      </x:c>
      <x:c r="E2705" s="168" t="str">
        <x:f>IFERROR(INDEX('Classif Gestoras'!$H$6:$H$462,MATCH(D2705,'Classif Gestoras'!$A$6:$A$462,0)),"Não classificada")</x:f>
        <x:v>Independente</x:v>
      </x:c>
      <x:c r="F2705" s="168" t="str">
        <x:v>BANCO DAYCOVAL S/A</x:v>
      </x:c>
      <x:c r="G2705" s="168" t="str">
        <x:v>BANCO DAYCOVAL S.A.</x:v>
      </x:c>
      <x:c r="H2705" s="168" t="str">
        <x:v>Financeiro</x:v>
      </x:c>
      <x:c r="I2705" s="168" t="str">
        <x:v>Crédito Consignado</x:v>
      </x:c>
      <x:c r="J2705" s="168" t="str">
        <x:v>CI</x:v>
      </x:c>
      <x:c r="K2705" s="174" t="n">
        <x:v>7</x:v>
      </x:c>
      <x:c r="L2705" s="187" t="str">
        <x:v>Não classificado</x:v>
      </x:c>
    </x:row>
    <x:row r="2706">
      <x:c r="A2706" s="177" t="str">
        <x:v>56.944.509/0001-47</x:v>
      </x:c>
      <x:c r="B2706" s="168" t="str">
        <x:v>LC JUD FUNDO DE INVESTIMENTO EM DIREITOS CREDITÓRIOS</x:v>
      </x:c>
      <x:c r="C2706" s="190" t="n">
        <x:v>6642291.96</x:v>
      </x:c>
      <x:c r="D2706" s="168" t="str">
        <x:v>Legatus Asset Management</x:v>
      </x:c>
      <x:c r="E2706" s="168" t="str">
        <x:f>IFERROR(INDEX('Classif Gestoras'!$H$6:$H$462,MATCH(D2706,'Classif Gestoras'!$A$6:$A$462,0)),"Não classificada")</x:f>
        <x:v>Independente</x:v>
      </x:c>
      <x:c r="F2706" s="168" t="str">
        <x:v>PLANNER CV</x:v>
      </x:c>
      <x:c r="G2706" s="168" t="str">
        <x:v>PLANNER CORRETORA DE VALORES S.A.</x:v>
      </x:c>
      <x:c r="H2706" s="168" t="str">
        <x:v>Outros</x:v>
      </x:c>
      <x:c r="I2706" s="168" t="str">
        <x:v>Multicarteira Outros</x:v>
      </x:c>
      <x:c r="J2706" s="168" t="str">
        <x:v>CI</x:v>
      </x:c>
      <x:c r="K2706" s="174" t="n">
        <x:v>4</x:v>
      </x:c>
      <x:c r="L2706" s="187" t="str">
        <x:v>Proxy multicedente/multissacado — revisar</x:v>
      </x:c>
    </x:row>
    <x:row r="2707">
      <x:c r="A2707" s="177" t="str">
        <x:v>29.226.634/0001-49</x:v>
      </x:c>
      <x:c r="B2707" s="168" t="str">
        <x:v>ARATU FUNDO DE INVESTIMENTO EM DIREITOS CREDITORIOS</x:v>
      </x:c>
      <x:c r="C2707" s="190" t="n">
        <x:v>6594950.920000001</x:v>
      </x:c>
      <x:c r="D2707" s="168" t="str">
        <x:v>Global Gestão e Investimentos</x:v>
      </x:c>
      <x:c r="E2707" s="168" t="str">
        <x:f>IFERROR(INDEX('Classif Gestoras'!$H$6:$H$462,MATCH(D2707,'Classif Gestoras'!$A$6:$A$462,0)),"Não classificada")</x:f>
        <x:v>Independente</x:v>
      </x:c>
      <x:c r="F2707" s="168" t="str">
        <x:v>MONETAR DISTRIBUIDORA DE TITUL</x:v>
      </x:c>
      <x:c r="G2707" s="168" t="str">
        <x:v>TERRA INVESTIMENTOS DISTRIBUIDORA DE TITULOS E VALORES MOBILIARIOS LTDA</x:v>
      </x:c>
      <x:c r="H2707" s="168" t="str">
        <x:v>Outros</x:v>
      </x:c>
      <x:c r="I2707" s="168" t="str">
        <x:v>Multicarteira Outros</x:v>
      </x:c>
      <x:c r="J2707" s="168" t="str">
        <x:v>CI</x:v>
      </x:c>
      <x:c r="K2707" s="174" t="n">
        <x:v>1</x:v>
      </x:c>
      <x:c r="L2707" s="187" t="str">
        <x:v>Proxy multicedente/multissacado — revisar</x:v>
      </x:c>
    </x:row>
    <x:row r="2708">
      <x:c r="A2708" s="177" t="str">
        <x:v>55.752.712/0001-59</x:v>
      </x:c>
      <x:c r="B2708" s="168" t="str">
        <x:v>ROMA CONSIGNADO FUNDO DE INVESTIMENTO EM DIREITOS CREDITÓRIOS</x:v>
      </x:c>
      <x:c r="C2708" s="190" t="n">
        <x:v>6586762.13</x:v>
      </x:c>
      <x:c r="D2708" s="168" t="str">
        <x:v>B.Side Wealth</x:v>
      </x:c>
      <x:c r="E2708" s="168" t="str">
        <x:f>IFERROR(INDEX('Classif Gestoras'!$H$6:$H$462,MATCH(D2708,'Classif Gestoras'!$A$6:$A$462,0)),"Não classificada")</x:f>
        <x:v>Independente</x:v>
      </x:c>
      <x:c r="F2708" s="168" t="str">
        <x:v>ID Corretora de Títulos e Valores Mobiliários S.A.</x:v>
      </x:c>
      <x:c r="G2708" s="168" t="str">
        <x:v>TERRA INVESTIMENTOS DISTRIBUIDORA DE TITULOS E VALORES MOBILIARIOS LTDA</x:v>
      </x:c>
      <x:c r="H2708" s="168" t="str">
        <x:v>Financeiro</x:v>
      </x:c>
      <x:c r="I2708" s="168" t="str">
        <x:v>Crédito Consignado</x:v>
      </x:c>
      <x:c r="J2708" s="168" t="str">
        <x:v>CI</x:v>
      </x:c>
      <x:c r="K2708" s="174" t="n">
        <x:v>54</x:v>
      </x:c>
      <x:c r="L2708" s="187" t="str">
        <x:v>Não classificado</x:v>
      </x:c>
    </x:row>
    <x:row r="2709">
      <x:c r="A2709" s="177" t="str">
        <x:v>07.507.899/0001-82</x:v>
      </x:c>
      <x:c r="B2709" s="168" t="str">
        <x:v>GP FIDC FCVS</x:v>
      </x:c>
      <x:c r="C2709" s="190" t="n">
        <x:v>6556127.71</x:v>
      </x:c>
      <x:c r="D2709" s="168" t="str">
        <x:v>BRZ Investimentos</x:v>
      </x:c>
      <x:c r="E2709" s="168" t="str">
        <x:f>IFERROR(INDEX('Classif Gestoras'!$H$6:$H$462,MATCH(D2709,'Classif Gestoras'!$A$6:$A$462,0)),"Não classificada")</x:f>
        <x:v>Independente</x:v>
      </x:c>
      <x:c r="F2709" s="168" t="str">
        <x:v>Oliveira Trust DTVM</x:v>
      </x:c>
      <x:c r="G2709" s="168" t="str">
        <x:v>OLIVEIRA TRUST DTVM S.A.</x:v>
      </x:c>
      <x:c r="H2709" s="168" t="str">
        <x:v>Financeiro</x:v>
      </x:c>
      <x:c r="I2709" s="168" t="str">
        <x:v>Crédito Imobiliário</x:v>
      </x:c>
      <x:c r="J2709" s="168" t="str">
        <x:v>CI</x:v>
      </x:c>
      <x:c r="K2709" s="174" t="n">
        <x:v>15</x:v>
      </x:c>
      <x:c r="L2709" s="187" t="str">
        <x:v>Não classificado</x:v>
      </x:c>
    </x:row>
    <x:row r="2710">
      <x:c r="A2710" s="177" t="str">
        <x:v>44.680.424/0001-10</x:v>
      </x:c>
      <x:c r="B2710" s="168" t="str">
        <x:v>SANTA BÁRBARA FUNDO DE INVESTIMENTO EM DIREITOS CREDITÓRIOS MULTISSETORIAL- RESP LIMITADA</x:v>
      </x:c>
      <x:c r="C2710" s="190" t="n">
        <x:v>6521484.359999999</x:v>
      </x:c>
      <x:c r="D2710" s="168" t="str">
        <x:v>OURO PRETO INVESTIMENTOS</x:v>
      </x:c>
      <x:c r="E2710" s="168" t="str">
        <x:f>IFERROR(INDEX('Classif Gestoras'!$H$6:$H$462,MATCH(D2710,'Classif Gestoras'!$A$6:$A$462,0)),"Não classificada")</x:f>
        <x:v>Independente</x:v>
      </x:c>
      <x:c r="F2710" s="168" t="str">
        <x:v>ID Corretora de Títulos e Valores Mobiliários S.A.</x:v>
      </x:c>
      <x:c r="G2710" s="168" t="str">
        <x:v>ID CORRETORA DE TITULOS E VALORES MOBILIARIOS S.A.</x:v>
      </x:c>
      <x:c r="H2710" s="168" t="str">
        <x:v>Outros</x:v>
      </x:c>
      <x:c r="I2710" s="168" t="str">
        <x:v>Multicarteira Outros</x:v>
      </x:c>
      <x:c r="J2710" s="168" t="str">
        <x:v>CI</x:v>
      </x:c>
      <x:c r="K2710" s="174" t="n">
        <x:v>5</x:v>
      </x:c>
      <x:c r="L2710" s="187" t="str">
        <x:v>Proxy multicedente/multissacado — revisar</x:v>
      </x:c>
    </x:row>
    <x:row r="2711">
      <x:c r="A2711" s="177" t="str">
        <x:v>13.963.456/0001-07</x:v>
      </x:c>
      <x:c r="B2711" s="168" t="str">
        <x:v>VHE FUNDO DE INVESTIMENTO EM DIREITOS CREDITÓRIOS SEGMENTO FINANCEIRO</x:v>
      </x:c>
      <x:c r="C2711" s="190" t="n">
        <x:v>6518418.75</x:v>
      </x:c>
      <x:c r="D2711" s="168" t="str">
        <x:v>PARAMIS INVESTIMENTOS</x:v>
      </x:c>
      <x:c r="E2711" s="168" t="str">
        <x:f>IFERROR(INDEX('Classif Gestoras'!$H$6:$H$462,MATCH(D2711,'Classif Gestoras'!$A$6:$A$462,0)),"Não classificada")</x:f>
        <x:v>Independente</x:v>
      </x:c>
      <x:c r="F2711" s="168" t="str">
        <x:v>Finaxis Corretora de Títulos e Valores Mobiliários S.A.</x:v>
      </x:c>
      <x:c r="G2711" s="168" t="str">
        <x:v>BANCO FINAXIS S.A.</x:v>
      </x:c>
      <x:c r="H2711" s="168" t="str">
        <x:v>Financeiro</x:v>
      </x:c>
      <x:c r="I2711" s="168" t="str">
        <x:v>Crédito Imobiliário</x:v>
      </x:c>
      <x:c r="J2711" s="168" t="str">
        <x:v>CI</x:v>
      </x:c>
      <x:c r="K2711" s="174" t="n">
        <x:v>8</x:v>
      </x:c>
      <x:c r="L2711" s="187" t="str">
        <x:v>Não classificado</x:v>
      </x:c>
    </x:row>
    <x:row r="2712">
      <x:c r="A2712" s="177" t="str">
        <x:v>60.305.004/0001-00</x:v>
      </x:c>
      <x:c r="B2712" s="168" t="str">
        <x:v>GUARDIAN WAREHOUSE II FUNDO DE INVESTIMENTO EM DIREITOS CREDITÓRIOS - RESPONSABILIDADE LIMITADA</x:v>
      </x:c>
      <x:c r="C2712" s="190" t="n">
        <x:v>6504164.71</x:v>
      </x:c>
      <x:c r="D2712" s="168" t="str">
        <x:v>Guardian Gestora</x:v>
      </x:c>
      <x:c r="E2712" s="168" t="str">
        <x:f>IFERROR(INDEX('Classif Gestoras'!$H$6:$H$462,MATCH(D2712,'Classif Gestoras'!$A$6:$A$462,0)),"Não classificada")</x:f>
        <x:v>Independente</x:v>
      </x:c>
      <x:c r="F2712" s="168" t="str">
        <x:v>Banvox DTVM</x:v>
      </x:c>
      <x:c r="G2712" s="168" t="str">
        <x:v>BANVOX DISTRIBUIDORA DE TITULOS E VALORES MOBILIARIOS LTDA</x:v>
      </x:c>
      <x:c r="H2712" s="168" t="str">
        <x:v>Financeiro</x:v>
      </x:c>
      <x:c r="I2712" s="168" t="str">
        <x:v>Crédito Consignado</x:v>
      </x:c>
      <x:c r="J2712" s="168" t="str">
        <x:v>CI</x:v>
      </x:c>
      <x:c r="K2712" s="174" t="n">
        <x:v>1</x:v>
      </x:c>
      <x:c r="L2712" s="187" t="str">
        <x:v>Não classificado</x:v>
      </x:c>
    </x:row>
    <x:row r="2713">
      <x:c r="A2713" s="177" t="str">
        <x:v>26.560.778/0001-49</x:v>
      </x:c>
      <x:c r="B2713" s="168" t="str">
        <x:v>MASSAU FUNDO DE INVESTIMENTO EM DIREITOS CREDITORIOS</x:v>
      </x:c>
      <x:c r="C2713" s="190" t="n">
        <x:v>6464238.2299999995</x:v>
      </x:c>
      <x:c r="D2713" s="168" t="str">
        <x:v>Acura Gestora de Recursos LTDA.</x:v>
      </x:c>
      <x:c r="E2713" s="168" t="str">
        <x:f>IFERROR(INDEX('Classif Gestoras'!$H$6:$H$462,MATCH(D2713,'Classif Gestoras'!$A$6:$A$462,0)),"Não classificada")</x:f>
        <x:v>Independente</x:v>
      </x:c>
      <x:c r="F2713" s="168" t="str">
        <x:v>SEFER DTVM</x:v>
      </x:c>
      <x:c r="G2713" s="168" t="str">
        <x:v>SEFER INVESTIMENTOS DISTRIBUIDORA DE TÍTULOS E VALORES MOBILIÁRIOS LTDA.</x:v>
      </x:c>
      <x:c r="H2713" s="168" t="str">
        <x:v>Outros</x:v>
      </x:c>
      <x:c r="I2713" s="168" t="str">
        <x:v>Multicarteira Outros</x:v>
      </x:c>
      <x:c r="J2713" s="168" t="str">
        <x:v>CI</x:v>
      </x:c>
      <x:c r="K2713" s="174" t="n">
        <x:v>1</x:v>
      </x:c>
      <x:c r="L2713" s="187" t="str">
        <x:v>Proxy multicedente/multissacado — revisar</x:v>
      </x:c>
    </x:row>
    <x:row r="2714">
      <x:c r="A2714" s="177" t="str">
        <x:v>62.838.279/0001-34</x:v>
      </x:c>
      <x:c r="B2714" s="168" t="str">
        <x:v>TRENTINO FUNDO DE INVESTIMENTO EM DIREITOS CREDITÓRIO</x:v>
      </x:c>
      <x:c r="C2714" s="190" t="n">
        <x:v>6443045.92</x:v>
      </x:c>
      <x:c r="D2714" s="168" t="str">
        <x:v>WNT Gestora de Recursos Ltda.</x:v>
      </x:c>
      <x:c r="E2714" s="168" t="str">
        <x:f>IFERROR(INDEX('Classif Gestoras'!$H$6:$H$462,MATCH(D2714,'Classif Gestoras'!$A$6:$A$462,0)),"Não classificada")</x:f>
        <x:v>Independente</x:v>
      </x:c>
      <x:c r="F2714" s="168" t="str">
        <x:v>WNT DTVM</x:v>
      </x:c>
      <x:c r="G2714" s="168" t="str">
        <x:v>WNT CAPITAL DISTRIBUIDORA DE TITULOS E VALORES MOBILIARIOS S.A.</x:v>
      </x:c>
      <x:c r="H2714" s="168" t="str">
        <x:v>Fomento Mercantil</x:v>
      </x:c>
      <x:c r="I2714" s="168" t="str">
        <x:v>Fomento Mercantil</x:v>
      </x:c>
      <x:c r="J2714" s="168" t="str">
        <x:v>CI</x:v>
      </x:c>
      <x:c r="K2714" s="174" t="n">
        <x:v>1</x:v>
      </x:c>
      <x:c r="L2714" s="187" t="str">
        <x:v>Não classificado</x:v>
      </x:c>
    </x:row>
    <x:row r="2715">
      <x:c r="A2715" s="177" t="str">
        <x:v>60.572.029/0001-70</x:v>
      </x:c>
      <x:c r="B2715" s="168" t="str">
        <x:v>ALLU FUNDO DE INVESTIMENTO EM DIREITOS CREDITÓRIOS RESPONSABILIDADE LIMITADA</x:v>
      </x:c>
      <x:c r="C2715" s="190" t="n">
        <x:v>6436357.9399999995</x:v>
      </x:c>
      <x:c r="D2715" s="168" t="str">
        <x:v>VERT Gestora de Recursos Financeiros Ltda.</x:v>
      </x:c>
      <x:c r="E2715" s="168" t="str">
        <x:f>IFERROR(INDEX('Classif Gestoras'!$H$6:$H$462,MATCH(D2715,'Classif Gestoras'!$A$6:$A$462,0)),"Não classificada")</x:f>
        <x:v>Independente</x:v>
      </x:c>
      <x:c r="F2715" s="168" t="str">
        <x:v>VERT Distribuidora de Títulos e Valores Mobiliários Ltd</x:v>
      </x:c>
      <x:c r="G2715" s="168" t="str">
        <x:v>VERT DISTRIBUIDORA DE TÍTULOS E VALORES MOBILIÁRIOS LTDA.</x:v>
      </x:c>
      <x:c r="H2715" s="168" t="str">
        <x:v>Outros</x:v>
      </x:c>
      <x:c r="I2715" s="168" t="str">
        <x:v>Multicarteira Outros</x:v>
      </x:c>
      <x:c r="J2715" s="168" t="str">
        <x:v>CI</x:v>
      </x:c>
      <x:c r="K2715" s="174" t="n">
        <x:v>15</x:v>
      </x:c>
      <x:c r="L2715" s="187" t="str">
        <x:v>Proxy multicedente/multissacado — revisar</x:v>
      </x:c>
    </x:row>
    <x:row r="2716">
      <x:c r="A2716" s="177" t="str">
        <x:v>61.926.527/0001-36</x:v>
      </x:c>
      <x:c r="B2716" s="168" t="str">
        <x:v>BANNOCKBURN FUNDO DE INVESTIMENTO EM DIREITOS CREDITÓRIOS</x:v>
      </x:c>
      <x:c r="C2716" s="190" t="n">
        <x:v>6421963.72</x:v>
      </x:c>
      <x:c r="D2716" s="168" t="str">
        <x:v>Redwood Asset Management</x:v>
      </x:c>
      <x:c r="E2716" s="168" t="str">
        <x:f>IFERROR(INDEX('Classif Gestoras'!$H$6:$H$462,MATCH(D2716,'Classif Gestoras'!$A$6:$A$462,0)),"Não classificada")</x:f>
        <x:v>Independente</x:v>
      </x:c>
      <x:c r="F2716" s="168" t="str">
        <x:v>PLANNER CV</x:v>
      </x:c>
      <x:c r="G2716" s="168" t="str">
        <x:v>PLANNER CORRETORA DE VALORES S.A.</x:v>
      </x:c>
      <x:c r="H2716" s="168" t="str">
        <x:v>Outros</x:v>
      </x:c>
      <x:c r="I2716" s="168" t="str">
        <x:v>Multicarteira Outros</x:v>
      </x:c>
      <x:c r="J2716" s="168" t="str">
        <x:v>CI</x:v>
      </x:c>
      <x:c r="K2716" s="174" t="n">
        <x:v>1</x:v>
      </x:c>
      <x:c r="L2716" s="187" t="str">
        <x:v>Proxy multicedente/multissacado — revisar</x:v>
      </x:c>
    </x:row>
    <x:row r="2717">
      <x:c r="A2717" s="177" t="str">
        <x:v>54.589.341/0001-73</x:v>
      </x:c>
      <x:c r="B2717" s="168" t="str">
        <x:v>D. ANDRADE PRECATÓRIOS - FUNDO DE INVESTIMENTO EM DIREITOS CREDITÓRIOS</x:v>
      </x:c>
      <x:c r="C2717" s="190" t="n">
        <x:v>6414465.87</x:v>
      </x:c>
      <x:c r="D2717" s="168" t="str">
        <x:v>Redwood Asset Management</x:v>
      </x:c>
      <x:c r="E2717" s="168" t="str">
        <x:f>IFERROR(INDEX('Classif Gestoras'!$H$6:$H$462,MATCH(D2717,'Classif Gestoras'!$A$6:$A$462,0)),"Não classificada")</x:f>
        <x:v>Independente</x:v>
      </x:c>
      <x:c r="F2717" s="168" t="str">
        <x:v>PLANNER CV</x:v>
      </x:c>
      <x:c r="G2717" s="168" t="str">
        <x:v>PLANNER CORRETORA DE VALORES S.A.</x:v>
      </x:c>
      <x:c r="H2717" s="168" t="str">
        <x:v>Outros</x:v>
      </x:c>
      <x:c r="I2717" s="168" t="str">
        <x:v>Poder Público</x:v>
      </x:c>
      <x:c r="J2717" s="168" t="str">
        <x:v>CI</x:v>
      </x:c>
      <x:c r="K2717" s="174" t="n">
        <x:v>1</x:v>
      </x:c>
      <x:c r="L2717" s="187" t="str">
        <x:v>Não classificado</x:v>
      </x:c>
    </x:row>
    <x:row r="2718">
      <x:c r="A2718" s="177" t="str">
        <x:v>54.774.876/0001-14</x:v>
      </x:c>
      <x:c r="B2718" s="168" t="str">
        <x:v>MONEY MONEY FUNDO DE INVESTIMENTO EM DIREITOS CREDITÓRIOS - RESPONSABILIDADE LIMITADA</x:v>
      </x:c>
      <x:c r="C2718" s="190" t="n">
        <x:v>6412962.33</x:v>
      </x:c>
      <x:c r="D2718" s="168" t="str">
        <x:v>VERT Gestora de Recursos Financeiros Ltda.</x:v>
      </x:c>
      <x:c r="E2718" s="168" t="str">
        <x:f>IFERROR(INDEX('Classif Gestoras'!$H$6:$H$462,MATCH(D2718,'Classif Gestoras'!$A$6:$A$462,0)),"Não classificada")</x:f>
        <x:v>Independente</x:v>
      </x:c>
      <x:c r="F2718" s="168" t="str">
        <x:v>VERT Distribuidora de Títulos e Valores Mobiliários Ltd</x:v>
      </x:c>
      <x:c r="G2718" s="168" t="str">
        <x:v>VERT DISTRIBUIDORA DE TÍTULOS E VALORES MOBILIÁRIOS LTDA.</x:v>
      </x:c>
      <x:c r="H2718" s="168" t="str">
        <x:v>Financeiro</x:v>
      </x:c>
      <x:c r="I2718" s="168" t="str">
        <x:v>Crédito Pessoal</x:v>
      </x:c>
      <x:c r="J2718" s="168" t="str">
        <x:v>CI</x:v>
      </x:c>
      <x:c r="K2718" s="174" t="n">
        <x:v>4</x:v>
      </x:c>
      <x:c r="L2718" s="187" t="str">
        <x:v>Não classificado</x:v>
      </x:c>
    </x:row>
    <x:row r="2719">
      <x:c r="A2719" s="177" t="str">
        <x:v>61.145.490/0001-09</x:v>
      </x:c>
      <x:c r="B2719" s="168" t="str">
        <x:v>EOS FINANCIAMENTO FUNDO DE INVESTIMENTO EM DIREITOS CREDITÓRIOS DE RESPONSABILIDADE LIMITADA</x:v>
      </x:c>
      <x:c r="C2719" s="190" t="n">
        <x:v>6356026.57</x:v>
      </x:c>
      <x:c r="D2719" s="168" t="str">
        <x:v>VALORA RENDA FIXA ESTRUTURADOS LTDA.</x:v>
      </x:c>
      <x:c r="E2719" s="168" t="str">
        <x:f>IFERROR(INDEX('Classif Gestoras'!$H$6:$H$462,MATCH(D2719,'Classif Gestoras'!$A$6:$A$462,0)),"Não classificada")</x:f>
        <x:v>Independente</x:v>
      </x:c>
      <x:c r="F2719" s="168" t="str">
        <x:v>VERT Distribuidora de Títulos e Valores Mobiliários Ltd</x:v>
      </x:c>
      <x:c r="G2719" s="168" t="str">
        <x:v>VERT DISTRIBUIDORA DE TÍTULOS E VALORES MOBILIÁRIOS LTDA.</x:v>
      </x:c>
      <x:c r="H2719" s="168" t="str">
        <x:v>Agro, Indústria e Comércio</x:v>
      </x:c>
      <x:c r="I2719" s="168" t="str">
        <x:v>Recebíveis Comerciais</x:v>
      </x:c>
      <x:c r="J2719" s="168" t="str">
        <x:v>CI</x:v>
      </x:c>
      <x:c r="K2719" s="174" t="n">
        <x:v>3</x:v>
      </x:c>
      <x:c r="L2719" s="187" t="str">
        <x:v>Não classificado</x:v>
      </x:c>
    </x:row>
    <x:row r="2720">
      <x:c r="A2720" s="177" t="str">
        <x:v>63.866.828/0001-47</x:v>
      </x:c>
      <x:c r="B2720" s="168" t="str">
        <x:v>SPORTSWISE FUNDO DE INVESTIMENTO EM DIREITOS CREDITÓRIOS MULTICARTEIRA DE RESPONSABILIDADE LIMITAD</x:v>
      </x:c>
      <x:c r="C2720" s="190" t="n">
        <x:v>6329270.85</x:v>
      </x:c>
      <x:c r="D2720" s="168" t="str">
        <x:v>Riza Securitização e Carteiras</x:v>
      </x:c>
      <x:c r="E2720" s="168" t="str">
        <x:f>IFERROR(INDEX('Classif Gestoras'!$H$6:$H$462,MATCH(D2720,'Classif Gestoras'!$A$6:$A$462,0)),"Não classificada")</x:f>
        <x:v>Independente</x:v>
      </x:c>
      <x:c r="F2720" s="168" t="str">
        <x:v>Genial Investimentos Corretora de Valores Mobiliários S.A.</x:v>
      </x:c>
      <x:c r="G2720" s="168" t="str">
        <x:v>BANCO GENIAL S.A.</x:v>
      </x:c>
      <x:c r="H2720" s="168" t="str">
        <x:v>Outros</x:v>
      </x:c>
      <x:c r="I2720" s="168" t="str">
        <x:v>Multicarteira Outros</x:v>
      </x:c>
      <x:c r="J2720" s="168" t="str">
        <x:v>CI</x:v>
      </x:c>
      <x:c r="K2720" s="174" t="n">
        <x:v>4</x:v>
      </x:c>
      <x:c r="L2720" s="187" t="str">
        <x:v>Proxy multicedente/multissacado — revisar</x:v>
      </x:c>
    </x:row>
    <x:row r="2721">
      <x:c r="A2721" s="177" t="str">
        <x:v>31.030.854/0001-44</x:v>
      </x:c>
      <x:c r="B2721" s="168" t="str">
        <x:v>GRIF CRÉDITO PULVERIZADO FUNDO DE INVESTIMENTO EM DIREITOS CREDITÓRIOS DE RESPONSABILIDADE LIMITADA</x:v>
      </x:c>
      <x:c r="C2721" s="190" t="n">
        <x:v>6318647.16</x:v>
      </x:c>
      <x:c r="D2721" s="168" t="str">
        <x:v>GRIF CAPITAL</x:v>
      </x:c>
      <x:c r="E2721" s="168" t="str">
        <x:f>IFERROR(INDEX('Classif Gestoras'!$H$6:$H$462,MATCH(D2721,'Classif Gestoras'!$A$6:$A$462,0)),"Não classificada")</x:f>
        <x:v>Independente</x:v>
      </x:c>
      <x:c r="F2721" s="168" t="str">
        <x:v>VÓRTX DTVM</x:v>
      </x:c>
      <x:c r="G2721" s="168" t="str">
        <x:v>VORTX DISTRIBUIDORA DE TITULOS E VALORES MOBILIARIOS LTDA.</x:v>
      </x:c>
      <x:c r="H2721" s="168" t="str">
        <x:v>Financeiro</x:v>
      </x:c>
      <x:c r="I2721" s="168" t="str">
        <x:v>Crédito Consignado</x:v>
      </x:c>
      <x:c r="J2721" s="168" t="str">
        <x:v>CI</x:v>
      </x:c>
      <x:c r="K2721" s="174" t="n">
        <x:v>2</x:v>
      </x:c>
      <x:c r="L2721" s="187" t="str">
        <x:v>Não classificado</x:v>
      </x:c>
    </x:row>
    <x:row r="2722">
      <x:c r="A2722" s="177" t="str">
        <x:v>30.177.946/0001-99</x:v>
      </x:c>
      <x:c r="B2722" s="168" t="str">
        <x:v>CPV PS DUPLICATA FUNDO DE INVESTIMENTO EM DIREITOS CREDITÓRIOS</x:v>
      </x:c>
      <x:c r="C2722" s="190" t="n">
        <x:v>6317276.04</x:v>
      </x:c>
      <x:c r="D2722" s="168" t="str">
        <x:v>CPV ASSET</x:v>
      </x:c>
      <x:c r="E2722" s="168" t="str">
        <x:f>IFERROR(INDEX('Classif Gestoras'!$H$6:$H$462,MATCH(D2722,'Classif Gestoras'!$A$6:$A$462,0)),"Não classificada")</x:f>
        <x:v>Independente</x:v>
      </x:c>
      <x:c r="F2722" s="168" t="str">
        <x:v>Limine Trust Distribuidora de Titulos e Valores Mobiliá</x:v>
      </x:c>
      <x:c r="G2722" s="168" t="str">
        <x:v>LIMINE TRUST DISTRIBUIDORA DE TITULOS E VALORES MOBILIARIOS LTDA.</x:v>
      </x:c>
      <x:c r="H2722" s="168" t="str">
        <x:v>Outros</x:v>
      </x:c>
      <x:c r="I2722" s="168" t="str">
        <x:v>Multicarteira Outros</x:v>
      </x:c>
      <x:c r="J2722" s="168" t="str">
        <x:v>CI</x:v>
      </x:c>
      <x:c r="K2722" s="174" t="n">
        <x:v>6</x:v>
      </x:c>
      <x:c r="L2722" s="187" t="str">
        <x:v>Proxy multicedente/multissacado — revisar</x:v>
      </x:c>
    </x:row>
    <x:row r="2723">
      <x:c r="A2723" s="177" t="str">
        <x:v>64.029.467/0001-47</x:v>
      </x:c>
      <x:c r="B2723" s="168" t="str">
        <x:v>ROAD CAPITAL &amp; PRECATUR LEGAL CLAIMS OPPORTUNITIES I FIDC RESPONSABILIDADE LIMITADA</x:v>
      </x:c>
      <x:c r="C2723" s="190" t="n">
        <x:v>6308935.7700000005</x:v>
      </x:c>
      <x:c r="D2723" s="168" t="str">
        <x:v>Bless Capital Gestora de Recursos Ltda.</x:v>
      </x:c>
      <x:c r="E2723" s="168" t="str">
        <x:f>IFERROR(INDEX('Classif Gestoras'!$H$6:$H$462,MATCH(D2723,'Classif Gestoras'!$A$6:$A$462,0)),"Não classificada")</x:f>
        <x:v>Independente</x:v>
      </x:c>
      <x:c r="F2723" s="168" t="str">
        <x:v>ID Corretora de Títulos e Valores Mobiliários S.A.</x:v>
      </x:c>
      <x:c r="G2723" s="168" t="str">
        <x:v>ID CORRETORA DE TITULOS E VALORES MOBILIARIOS S.A.</x:v>
      </x:c>
      <x:c r="H2723" s="168" t="str">
        <x:v>Fomento Mercantil</x:v>
      </x:c>
      <x:c r="I2723" s="168" t="str">
        <x:v>Fomento Mercantil</x:v>
      </x:c>
      <x:c r="J2723" s="168" t="str">
        <x:v>CI</x:v>
      </x:c>
      <x:c r="K2723" s="174" t="n">
        <x:v>17</x:v>
      </x:c>
      <x:c r="L2723" s="187" t="str">
        <x:v>Não classificado</x:v>
      </x:c>
    </x:row>
    <x:row r="2724">
      <x:c r="A2724" s="177" t="str">
        <x:v>61.817.344/0001-82</x:v>
      </x:c>
      <x:c r="B2724" s="168" t="str">
        <x:v>HELFEN FUNDO DE INVESTIMENTO EM DIREITOS CREDITÓRIOS RESPONSABILIDADE LIMITADA</x:v>
      </x:c>
      <x:c r="C2724" s="190" t="n">
        <x:v>6302616.48</x:v>
      </x:c>
      <x:c r="D2724" s="168" t="str">
        <x:v>Catálise Investimentos</x:v>
      </x:c>
      <x:c r="E2724" s="168" t="str">
        <x:f>IFERROR(INDEX('Classif Gestoras'!$H$6:$H$462,MATCH(D2724,'Classif Gestoras'!$A$6:$A$462,0)),"Não classificada")</x:f>
        <x:v>Independente</x:v>
      </x:c>
      <x:c r="F2724" s="168" t="str">
        <x:v>FIDD DISTRIBUIDORA DE TITULOS E VALORES MOBILIARIOS LTD</x:v>
      </x:c>
      <x:c r="G2724" s="168" t="str">
        <x:v>FIDD DISTRIBUIDORA DE TITULOS E VALORES MOBILIARIOS LTDA.</x:v>
      </x:c>
      <x:c r="H2724" s="168" t="str">
        <x:v>Agro, Indústria e Comércio</x:v>
      </x:c>
      <x:c r="I2724" s="168" t="str">
        <x:v>Multicarteira Agro, Indústria e Comércio</x:v>
      </x:c>
      <x:c r="J2724" s="168" t="str">
        <x:v>CI</x:v>
      </x:c>
      <x:c r="K2724" s="174" t="n">
        <x:v>3</x:v>
      </x:c>
      <x:c r="L2724" s="187" t="str">
        <x:v>Proxy multicedente/multissacado — revisar</x:v>
      </x:c>
    </x:row>
    <x:row r="2725">
      <x:c r="A2725" s="177" t="str">
        <x:v>59.400.011/0001-01</x:v>
      </x:c>
      <x:c r="B2725" s="168" t="str">
        <x:v>VSG LEGAL I FIDC DE RESP LIMITADA</x:v>
      </x:c>
      <x:c r="C2725" s="190" t="n">
        <x:v>6300390.1</x:v>
      </x:c>
      <x:c r="D2725" s="168" t="str">
        <x:v>V-CAPITAL GESTAO DE RECURSOS E INVESTIMENTOS LTDA</x:v>
      </x:c>
      <x:c r="E2725" s="168" t="str">
        <x:f>IFERROR(INDEX('Classif Gestoras'!$H$6:$H$462,MATCH(D2725,'Classif Gestoras'!$A$6:$A$462,0)),"Não classificada")</x:f>
        <x:v>Independente</x:v>
      </x:c>
      <x:c r="F2725" s="168" t="str">
        <x:v>BANCO DAYCOVAL S/A</x:v>
      </x:c>
      <x:c r="G2725" s="168" t="str">
        <x:v>BANCO DAYCOVAL S.A.</x:v>
      </x:c>
      <x:c r="H2725" s="168" t="str">
        <x:v>Fomento Mercantil</x:v>
      </x:c>
      <x:c r="I2725" s="168" t="str">
        <x:v>Fomento Mercantil</x:v>
      </x:c>
      <x:c r="J2725" s="168" t="str">
        <x:v>CI</x:v>
      </x:c>
      <x:c r="K2725" s="174" t="n">
        <x:v>50</x:v>
      </x:c>
      <x:c r="L2725" s="187" t="str">
        <x:v>Não classificado</x:v>
      </x:c>
    </x:row>
    <x:row r="2726">
      <x:c r="A2726" s="177" t="str">
        <x:v>64.191.967/0001-80</x:v>
      </x:c>
      <x:c r="B2726" s="168" t="str">
        <x:v>FUNDO DE INVESTIMENTO EM DIREITOS CREDITÓRIOS ERFOLG PARANAPANEMA CRÉDITOS PÚBLICOS RESP LIMITADA</x:v>
      </x:c>
      <x:c r="C2726" s="190" t="n">
        <x:v>6296926.75</x:v>
      </x:c>
      <x:c r="D2726" s="168" t="str">
        <x:v>ERFOLG</x:v>
      </x:c>
      <x:c r="E2726" s="168" t="str">
        <x:f>IFERROR(INDEX('Classif Gestoras'!$H$6:$H$462,MATCH(D2726,'Classif Gestoras'!$A$6:$A$462,0)),"Não classificada")</x:f>
        <x:v>Independente</x:v>
      </x:c>
      <x:c r="F2726" s="168" t="str">
        <x:v>PLANNER CV</x:v>
      </x:c>
      <x:c r="G2726" s="168" t="str">
        <x:v>PLANNER CORRETORA DE VALORES S.A.</x:v>
      </x:c>
      <x:c r="H2726" s="168" t="str">
        <x:v>Outros</x:v>
      </x:c>
      <x:c r="I2726" s="168" t="str">
        <x:v>Poder Público</x:v>
      </x:c>
      <x:c r="J2726" s="168" t="str">
        <x:v>CI</x:v>
      </x:c>
      <x:c r="K2726" s="174" t="n">
        <x:v>2</x:v>
      </x:c>
      <x:c r="L2726" s="187" t="str">
        <x:v>Não classificado</x:v>
      </x:c>
    </x:row>
    <x:row r="2727">
      <x:c r="A2727" s="177" t="str">
        <x:v>59.931.773/0001-34</x:v>
      </x:c>
      <x:c r="B2727" s="168" t="str">
        <x:v>IBCB CREDIÁRIO FUNDO DE INVESTIMENTO EM DIREITOS CREDITÓRIOS - RESPONSABILIDADE LIMITADA</x:v>
      </x:c>
      <x:c r="C2727" s="190" t="n">
        <x:v>6237539.47</x:v>
      </x:c>
      <x:c r="D2727" s="168" t="str">
        <x:v>Intrabank Asset</x:v>
      </x:c>
      <x:c r="E2727" s="168" t="str">
        <x:f>IFERROR(INDEX('Classif Gestoras'!$H$6:$H$462,MATCH(D2727,'Classif Gestoras'!$A$6:$A$462,0)),"Não classificada")</x:f>
        <x:v>Independente</x:v>
      </x:c>
      <x:c r="F2727" s="168" t="str">
        <x:v>HEMERA DTVM</x:v>
      </x:c>
      <x:c r="G2727" s="168" t="str">
        <x:v>HEMERA DISTRIBUIDORA DE TITULOS E VALORES MOBILIARIOS LTDA</x:v>
      </x:c>
      <x:c r="H2727" s="168" t="str">
        <x:v>Financeiro</x:v>
      </x:c>
      <x:c r="I2727" s="168" t="str">
        <x:v>Crédito Pessoal</x:v>
      </x:c>
      <x:c r="J2727" s="168" t="str">
        <x:v>CI</x:v>
      </x:c>
      <x:c r="K2727" s="174" t="n">
        <x:v>1</x:v>
      </x:c>
      <x:c r="L2727" s="187" t="str">
        <x:v>Não classificado</x:v>
      </x:c>
    </x:row>
    <x:row r="2728">
      <x:c r="A2728" s="177" t="str">
        <x:v>29.242.916/0001-30</x:v>
      </x:c>
      <x:c r="B2728" s="168" t="str">
        <x:v>JUNTOS CAPITAL FUNDO DE INVESTIMENTO EM DIREITOS CREDITÓRIOS</x:v>
      </x:c>
      <x:c r="C2728" s="190" t="n">
        <x:v>6236006.469999999</x:v>
      </x:c>
      <x:c r="D2728" s="168" t="str">
        <x:v>TERCON ASSET MANAGEMENT</x:v>
      </x:c>
      <x:c r="E2728" s="168" t="str">
        <x:f>IFERROR(INDEX('Classif Gestoras'!$H$6:$H$462,MATCH(D2728,'Classif Gestoras'!$A$6:$A$462,0)),"Não classificada")</x:f>
        <x:v>Independente</x:v>
      </x:c>
      <x:c r="F2728" s="168" t="str">
        <x:v>Singulare</x:v>
      </x:c>
      <x:c r="G2728" s="168" t="str">
        <x:v>QI CORRETORA DE TÍTULOS E VALORES MOBILIÁRIOS S.A.</x:v>
      </x:c>
      <x:c r="H2728" s="168" t="str">
        <x:v>Outros</x:v>
      </x:c>
      <x:c r="I2728" s="168" t="str">
        <x:v>Multicarteira Outros</x:v>
      </x:c>
      <x:c r="J2728" s="168" t="str">
        <x:v>CI</x:v>
      </x:c>
      <x:c r="K2728" s="174" t="n">
        <x:v>6</x:v>
      </x:c>
      <x:c r="L2728" s="187" t="str">
        <x:v>Proxy multicedente/multissacado — revisar</x:v>
      </x:c>
    </x:row>
    <x:row r="2729">
      <x:c r="A2729" s="177" t="str">
        <x:v>54.902.792/0001-19</x:v>
      </x:c>
      <x:c r="B2729" s="168" t="str">
        <x:v>GP AUDAX FUNDO DE INVESTIMENTO EM DIREITOS CREDITÓRIOS</x:v>
      </x:c>
      <x:c r="C2729" s="190" t="n">
        <x:v>6215904.010000001</x:v>
      </x:c>
      <x:c r="D2729" s="168" t="str">
        <x:v>TERCON ASSET MANAGEMENT</x:v>
      </x:c>
      <x:c r="E2729" s="168" t="str">
        <x:f>IFERROR(INDEX('Classif Gestoras'!$H$6:$H$462,MATCH(D2729,'Classif Gestoras'!$A$6:$A$462,0)),"Não classificada")</x:f>
        <x:v>Independente</x:v>
      </x:c>
      <x:c r="F2729" s="168" t="str">
        <x:v>Singulare</x:v>
      </x:c>
      <x:c r="G2729" s="168" t="str">
        <x:v>QI CORRETORA DE TÍTULOS E VALORES MOBILIÁRIOS S.A.</x:v>
      </x:c>
      <x:c r="H2729" s="168" t="str">
        <x:v>Fomento Mercantil</x:v>
      </x:c>
      <x:c r="I2729" s="168" t="str">
        <x:v>Fomento Mercantil</x:v>
      </x:c>
      <x:c r="J2729" s="168" t="str">
        <x:v>CI</x:v>
      </x:c>
      <x:c r="K2729" s="174" t="n">
        <x:v>2</x:v>
      </x:c>
      <x:c r="L2729" s="187" t="str">
        <x:v>Não classificado</x:v>
      </x:c>
    </x:row>
    <x:row r="2730">
      <x:c r="A2730" s="177" t="str">
        <x:v>26.459.235/0001-30</x:v>
      </x:c>
      <x:c r="B2730" s="168" t="str">
        <x:v>LATACHE III FUNDO DE INVESTIMENTO EM DIREITOS CREDITÓRIOS NÃO PADRONIZADOS</x:v>
      </x:c>
      <x:c r="C2730" s="190" t="n">
        <x:v>6185040.88</x:v>
      </x:c>
      <x:c r="D2730" s="168" t="str">
        <x:v>Latache Capital</x:v>
      </x:c>
      <x:c r="E2730" s="168" t="str">
        <x:f>IFERROR(INDEX('Classif Gestoras'!$H$6:$H$462,MATCH(D2730,'Classif Gestoras'!$A$6:$A$462,0)),"Não classificada")</x:f>
        <x:v>Independente</x:v>
      </x:c>
      <x:c r="F2730" s="168" t="str">
        <x:v>PLANNER CV</x:v>
      </x:c>
      <x:c r="G2730" s="168" t="str">
        <x:v>PLANNER CORRETORA DE VALORES S.A.</x:v>
      </x:c>
      <x:c r="H2730" s="168" t="str">
        <x:v>Outros</x:v>
      </x:c>
      <x:c r="I2730" s="168" t="str">
        <x:v>Multicarteira Outros</x:v>
      </x:c>
      <x:c r="J2730" s="168" t="str">
        <x:v>CI</x:v>
      </x:c>
      <x:c r="K2730" s="174" t="n">
        <x:v>1</x:v>
      </x:c>
      <x:c r="L2730" s="187" t="str">
        <x:v>Proxy multicedente/multissacado — revisar</x:v>
      </x:c>
    </x:row>
    <x:row r="2731">
      <x:c r="A2731" s="177" t="str">
        <x:v>48.069.210/0001-62</x:v>
      </x:c>
      <x:c r="B2731" s="168" t="str">
        <x:v>G3 FUNDO DE INVESTIMENTO EM DIREITOS CREDITÓRIOS</x:v>
      </x:c>
      <x:c r="C2731" s="190" t="n">
        <x:v>6183232.11</x:v>
      </x:c>
      <x:c r="D2731" s="168" t="str">
        <x:v>ASSET MANAGEMENT</x:v>
      </x:c>
      <x:c r="E2731" s="168" t="str">
        <x:f>IFERROR(INDEX('Classif Gestoras'!$H$6:$H$462,MATCH(D2731,'Classif Gestoras'!$A$6:$A$462,0)),"Não classificada")</x:f>
        <x:v>Independente</x:v>
      </x:c>
      <x:c r="F2731" s="168" t="str">
        <x:v>AZUMI DISTRIBUIDORA DE TÍTULOS E VALORES MOBILIÁRIOS LT</x:v>
      </x:c>
      <x:c r="G2731" s="168" t="str">
        <x:v>AZUMI DISTRIBUIDORA DE TÍTULOS E VALORES MOBILIÁRIOS LTDA.</x:v>
      </x:c>
      <x:c r="H2731" s="168" t="str">
        <x:v>Outros</x:v>
      </x:c>
      <x:c r="I2731" s="168" t="str">
        <x:v>Multicarteira Outros</x:v>
      </x:c>
      <x:c r="J2731" s="168" t="str">
        <x:v>CI</x:v>
      </x:c>
      <x:c r="K2731" s="174" t="n">
        <x:v>7</x:v>
      </x:c>
      <x:c r="L2731" s="187" t="str">
        <x:v>Proxy multicedente/multissacado — revisar</x:v>
      </x:c>
    </x:row>
    <x:row r="2732">
      <x:c r="A2732" s="177" t="str">
        <x:v>50.995.214/0001-13</x:v>
      </x:c>
      <x:c r="B2732" s="168" t="str">
        <x:v>ORION FUNDO DE INVESTIMENTO EM DIREITOS CREDITÓRIOS RESPONDABILIDADE LIMITADA</x:v>
      </x:c>
      <x:c r="C2732" s="190" t="n">
        <x:v>6165021.49</x:v>
      </x:c>
      <x:c r="D2732" s="168" t="str">
        <x:v>IDGR</x:v>
      </x:c>
      <x:c r="E2732" s="168" t="str">
        <x:f>IFERROR(INDEX('Classif Gestoras'!$H$6:$H$462,MATCH(D2732,'Classif Gestoras'!$A$6:$A$462,0)),"Não classificada")</x:f>
        <x:v>Independente</x:v>
      </x:c>
      <x:c r="F2732" s="168" t="str">
        <x:v>ID Corretora de Títulos e Valores Mobiliários S.A.</x:v>
      </x:c>
      <x:c r="G2732" s="168" t="str">
        <x:v>ID CORRETORA DE TITULOS E VALORES MOBILIARIOS S.A.</x:v>
      </x:c>
      <x:c r="H2732" s="168" t="str">
        <x:v>Outros</x:v>
      </x:c>
      <x:c r="I2732" s="168" t="str">
        <x:v>Multicarteira Outros</x:v>
      </x:c>
      <x:c r="J2732" s="168" t="str">
        <x:v>CI</x:v>
      </x:c>
      <x:c r="K2732" s="174" t="n">
        <x:v>11</x:v>
      </x:c>
      <x:c r="L2732" s="187" t="str">
        <x:v>Proxy multicedente/multissacado — revisar</x:v>
      </x:c>
    </x:row>
    <x:row r="2733">
      <x:c r="A2733" s="177" t="str">
        <x:v>60.696.527/0001-24</x:v>
      </x:c>
      <x:c r="B2733" s="168" t="str">
        <x:v>BVGARANTIA FUNDO DE INVESTIMENTO EM DIREITOS CREDITÓRIOS.</x:v>
      </x:c>
      <x:c r="C2733" s="190" t="n">
        <x:v>6152063.99</x:v>
      </x:c>
      <x:c r="D2733" s="168" t="str">
        <x:v>Catálise Investimentos</x:v>
      </x:c>
      <x:c r="E2733" s="168" t="str">
        <x:f>IFERROR(INDEX('Classif Gestoras'!$H$6:$H$462,MATCH(D2733,'Classif Gestoras'!$A$6:$A$462,0)),"Não classificada")</x:f>
        <x:v>Independente</x:v>
      </x:c>
      <x:c r="F2733" s="168" t="str">
        <x:v>CATÁLISE DTVM</x:v>
      </x:c>
      <x:c r="G2733" s="168" t="str">
        <x:v>BANCO DAYCOVAL S.A.</x:v>
      </x:c>
      <x:c r="H2733" s="168" t="str">
        <x:v>Fomento Mercantil</x:v>
      </x:c>
      <x:c r="I2733" s="168" t="str">
        <x:v>Fomento Mercantil</x:v>
      </x:c>
      <x:c r="J2733" s="168" t="str">
        <x:v>CI</x:v>
      </x:c>
      <x:c r="K2733" s="174" t="n">
        <x:v>1</x:v>
      </x:c>
      <x:c r="L2733" s="187" t="str">
        <x:v>Não classificado</x:v>
      </x:c>
    </x:row>
    <x:row r="2734">
      <x:c r="A2734" s="177" t="str">
        <x:v>47.279.999/0001-13</x:v>
      </x:c>
      <x:c r="B2734" s="168" t="str">
        <x:v>LIFE CAPITAL PARTNERS FUNDO DE INVESTIMENTO EM DIREITOS CREDITÓRIOS</x:v>
      </x:c>
      <x:c r="C2734" s="190" t="n">
        <x:v>6135746.41</x:v>
      </x:c>
      <x:c r="D2734" s="168" t="str">
        <x:v>LCP GESTORA DE RECURSOS LTDA</x:v>
      </x:c>
      <x:c r="E2734" s="168" t="str">
        <x:f>IFERROR(INDEX('Classif Gestoras'!$H$6:$H$462,MATCH(D2734,'Classif Gestoras'!$A$6:$A$462,0)),"Não classificada")</x:f>
        <x:v>Independente</x:v>
      </x:c>
      <x:c r="F2734" s="168" t="str">
        <x:v>VÓRTX DTVM</x:v>
      </x:c>
      <x:c r="G2734" s="168" t="str">
        <x:v>VORTX DISTRIBUIDORA DE TITULOS E VALORES MOBILIARIOS LTDA.</x:v>
      </x:c>
      <x:c r="H2734" s="168" t="str">
        <x:v>Financeiro</x:v>
      </x:c>
      <x:c r="I2734" s="168" t="str">
        <x:v>Crédito Imobiliário</x:v>
      </x:c>
      <x:c r="J2734" s="168" t="str">
        <x:v>CI</x:v>
      </x:c>
      <x:c r="K2734" s="174" t="n">
        <x:v>1</x:v>
      </x:c>
      <x:c r="L2734" s="187" t="str">
        <x:v>Não classificado</x:v>
      </x:c>
    </x:row>
    <x:row r="2735">
      <x:c r="A2735" s="177" t="str">
        <x:v>54.427.293/0001-17</x:v>
      </x:c>
      <x:c r="B2735" s="168" t="str">
        <x:v>FOCO CAPITAL FIAGRO EM DIREITOS CREDITÓRIOS RESPONSABILIDADE LIMITADA</x:v>
      </x:c>
      <x:c r="C2735" s="190" t="n">
        <x:v>6130694.82</x:v>
      </x:c>
      <x:c r="D2735" s="168" t="str">
        <x:v>Tyr Gestao de Recursos Ltda</x:v>
      </x:c>
      <x:c r="E2735" s="168" t="str">
        <x:f>IFERROR(INDEX('Classif Gestoras'!$H$6:$H$462,MATCH(D2735,'Classif Gestoras'!$A$6:$A$462,0)),"Não classificada")</x:f>
        <x:v>Independente</x:v>
      </x:c>
      <x:c r="F2735" s="168" t="str">
        <x:v>ID Corretora de Títulos e Valores Mobiliários S.A.</x:v>
      </x:c>
      <x:c r="G2735" s="168" t="str">
        <x:v>ID CORRETORA DE TITULOS E VALORES MOBILIARIOS S.A.</x:v>
      </x:c>
      <x:c r="H2735" s="168" t="str">
        <x:v>Agro, Indústria e Comércio</x:v>
      </x:c>
      <x:c r="I2735" s="168" t="str">
        <x:v>Agronegócio</x:v>
      </x:c>
      <x:c r="J2735" s="168" t="str">
        <x:v>CI</x:v>
      </x:c>
      <x:c r="K2735" s="174" t="n">
        <x:v>134</x:v>
      </x:c>
      <x:c r="L2735" s="187" t="str">
        <x:v>Não classificado</x:v>
      </x:c>
    </x:row>
    <x:row r="2736">
      <x:c r="A2736" s="177" t="str">
        <x:v>66.598.676/0001-37</x:v>
      </x:c>
      <x:c r="B2736" s="168" t="str">
        <x:v>FAETA FUNDO DE INVESTIMENTO EM DIREITOS CREDITORIOS RESPONSABILIDADE LIMITADA</x:v>
      </x:c>
      <x:c r="C2736" s="190" t="n">
        <x:v>6111648.61</x:v>
      </x:c>
      <x:c r="D2736" s="168" t="str">
        <x:v>AF Invest</x:v>
      </x:c>
      <x:c r="E2736" s="168" t="str">
        <x:f>IFERROR(INDEX('Classif Gestoras'!$H$6:$H$462,MATCH(D2736,'Classif Gestoras'!$A$6:$A$462,0)),"Não classificada")</x:f>
        <x:v>Independente</x:v>
      </x:c>
      <x:c r="F2736" s="168" t="str">
        <x:v>ACTUAL DTVM</x:v>
      </x:c>
      <x:c r="G2736" s="168" t="str">
        <x:v>LASTRO RDV DTVM LTDA</x:v>
      </x:c>
      <x:c r="H2736" s="168" t="str">
        <x:v>Outros</x:v>
      </x:c>
      <x:c r="I2736" s="168" t="str">
        <x:v>Multicarteira Outros</x:v>
      </x:c>
      <x:c r="J2736" s="168" t="str">
        <x:v>CI</x:v>
      </x:c>
      <x:c r="K2736" s="174" t="n">
        <x:v>1</x:v>
      </x:c>
      <x:c r="L2736" s="187" t="str">
        <x:v>Proxy multicedente/multissacado — revisar</x:v>
      </x:c>
    </x:row>
    <x:row r="2737">
      <x:c r="A2737" s="177" t="str">
        <x:v>59.556.339/0001-11</x:v>
      </x:c>
      <x:c r="B2737" s="168" t="str">
        <x:v>BNVT CRÉDITO CORPORATIVO - FUNDO DE INVESTIMENTO EM DIREITOS CREDITÓRIOS RESPONSABILIDADE LIMITADA</x:v>
      </x:c>
      <x:c r="C2737" s="190" t="n">
        <x:v>6102982.699999999</x:v>
      </x:c>
      <x:c r="D2737" s="168" t="str">
        <x:v>BENAVENT ASSET LTDA</x:v>
      </x:c>
      <x:c r="E2737" s="168" t="str">
        <x:f>IFERROR(INDEX('Classif Gestoras'!$H$6:$H$462,MATCH(D2737,'Classif Gestoras'!$A$6:$A$462,0)),"Não classificada")</x:f>
        <x:v>Independente</x:v>
      </x:c>
      <x:c r="F2737" s="168" t="str">
        <x:v>PLANNER CV</x:v>
      </x:c>
      <x:c r="G2737" s="168" t="str">
        <x:v>PLANNER CORRETORA DE VALORES S.A.</x:v>
      </x:c>
      <x:c r="H2737" s="168" t="str">
        <x:v>Outros</x:v>
      </x:c>
      <x:c r="I2737" s="168" t="str">
        <x:v>Multicarteira Outros</x:v>
      </x:c>
      <x:c r="J2737" s="168" t="str">
        <x:v>CI</x:v>
      </x:c>
      <x:c r="K2737" s="174" t="n">
        <x:v>16</x:v>
      </x:c>
      <x:c r="L2737" s="187" t="str">
        <x:v>Proxy multicedente/multissacado — revisar</x:v>
      </x:c>
    </x:row>
    <x:row r="2738">
      <x:c r="A2738" s="177" t="str">
        <x:v>40.365.962/0001-69</x:v>
      </x:c>
      <x:c r="B2738" s="168" t="str">
        <x:v>FINANCIAMENTO DE VEÍCULOS RECEIVABLES I FUNDO DE INVESTIMENTO EM DIREITOS CREDITÓRIOS</x:v>
      </x:c>
      <x:c r="C2738" s="190" t="n">
        <x:v>6100020.68</x:v>
      </x:c>
      <x:c r="D2738" s="168" t="str">
        <x:v>BTG Pactual Asset</x:v>
      </x:c>
      <x:c r="E2738" s="168" t="str">
        <x:f>IFERROR(INDEX('Classif Gestoras'!$H$6:$H$462,MATCH(D2738,'Classif Gestoras'!$A$6:$A$462,0)),"Não classificada")</x:f>
        <x:v>Ligada a banco</x:v>
      </x:c>
      <x:c r="F2738" s="168" t="str">
        <x:v>BTG Pactual Servicos Financeiros S/A DTVM</x:v>
      </x:c>
      <x:c r="G2738" s="168" t="str">
        <x:v>BANCO BTG PACTUAL S/A</x:v>
      </x:c>
      <x:c r="H2738" s="168" t="str">
        <x:v>Financeiro</x:v>
      </x:c>
      <x:c r="I2738" s="168" t="str">
        <x:v>Multicarteira Financeiro</x:v>
      </x:c>
      <x:c r="J2738" s="168" t="str">
        <x:v>CI</x:v>
      </x:c>
      <x:c r="K2738" s="174" t="n">
        <x:v>1</x:v>
      </x:c>
      <x:c r="L2738" s="187" t="str">
        <x:v>Proxy multicedente/multissacado — revisar</x:v>
      </x:c>
    </x:row>
    <x:row r="2739">
      <x:c r="A2739" s="177" t="str">
        <x:v>65.463.011/0001-53</x:v>
      </x:c>
      <x:c r="B2739" s="168" t="str">
        <x:v>AV1 CONSIG FUNDO DE DIREITO CREDITORIO DE RESPONSABILIDADE LIMITADA</x:v>
      </x:c>
      <x:c r="C2739" s="190" t="n">
        <x:v>6077586.860000001</x:v>
      </x:c>
      <x:c r="D2739" s="168" t="str">
        <x:v>EVEREST CAPITAL OFFICE LTDA</x:v>
      </x:c>
      <x:c r="E2739" s="168" t="str">
        <x:f>IFERROR(INDEX('Classif Gestoras'!$H$6:$H$462,MATCH(D2739,'Classif Gestoras'!$A$6:$A$462,0)),"Não classificada")</x:f>
        <x:v>Independente</x:v>
      </x:c>
      <x:c r="F2739" s="168" t="str">
        <x:v>ACTUAL DTVM</x:v>
      </x:c>
      <x:c r="G2739" s="168" t="str">
        <x:v>TRUSTEE DISTRIBUIDORA DE TITULOS E VALORES MOBILIARIOS LTDA.</x:v>
      </x:c>
      <x:c r="H2739" s="168" t="str">
        <x:v>Fomento Mercantil</x:v>
      </x:c>
      <x:c r="I2739" s="168" t="str">
        <x:v>Fomento Mercantil</x:v>
      </x:c>
      <x:c r="J2739" s="168" t="str">
        <x:v>CI</x:v>
      </x:c>
      <x:c r="K2739" s="174" t="n">
        <x:v>1</x:v>
      </x:c>
      <x:c r="L2739" s="187" t="str">
        <x:v>Não classificado</x:v>
      </x:c>
    </x:row>
    <x:row r="2740">
      <x:c r="A2740" s="177" t="str">
        <x:v>54.979.338/0001-66</x:v>
      </x:c>
      <x:c r="B2740" s="168" t="str">
        <x:v>MEDITERRANEO FUNDO DE INVESTIMENTO EM DIREITOS CREDITÓRIOS</x:v>
      </x:c>
      <x:c r="C2740" s="190" t="n">
        <x:v>6052536.92</x:v>
      </x:c>
      <x:c r="D2740" s="168" t="str">
        <x:v>LAV ASSET MANAGEMENT GESTÃO DE RECURSOS LTDA.</x:v>
      </x:c>
      <x:c r="E2740" s="168" t="str">
        <x:f>IFERROR(INDEX('Classif Gestoras'!$H$6:$H$462,MATCH(D2740,'Classif Gestoras'!$A$6:$A$462,0)),"Não classificada")</x:f>
        <x:v>Independente</x:v>
      </x:c>
      <x:c r="F2740" s="168" t="str">
        <x:v>Singulare</x:v>
      </x:c>
      <x:c r="G2740" s="168" t="str">
        <x:v>QI CORRETORA DE TÍTULOS E VALORES MOBILIÁRIOS S.A.</x:v>
      </x:c>
      <x:c r="H2740" s="168" t="str">
        <x:v>Outros</x:v>
      </x:c>
      <x:c r="I2740" s="168" t="str">
        <x:v>Multicarteira Outros</x:v>
      </x:c>
      <x:c r="J2740" s="168" t="str">
        <x:v>CI</x:v>
      </x:c>
      <x:c r="K2740" s="174" t="n">
        <x:v>4</x:v>
      </x:c>
      <x:c r="L2740" s="187" t="str">
        <x:v>Proxy multicedente/multissacado — revisar</x:v>
      </x:c>
    </x:row>
    <x:row r="2741">
      <x:c r="A2741" s="177" t="str">
        <x:v>36.114.991/0001-80</x:v>
      </x:c>
      <x:c r="B2741" s="168" t="str">
        <x:v>D7 - FUNDO DE INVESTIMENTO EM DIREITOS CREDITÓRIOS</x:v>
      </x:c>
      <x:c r="C2741" s="190" t="n">
        <x:v>6052352.87</x:v>
      </x:c>
      <x:c r="D2741" s="168" t="str">
        <x:v>Blue Solutions</x:v>
      </x:c>
      <x:c r="E2741" s="168" t="str">
        <x:f>IFERROR(INDEX('Classif Gestoras'!$H$6:$H$462,MATCH(D2741,'Classif Gestoras'!$A$6:$A$462,0)),"Não classificada")</x:f>
        <x:v>Independente</x:v>
      </x:c>
      <x:c r="F2741" s="168" t="str">
        <x:v>TRUSTEE DTVM</x:v>
      </x:c>
      <x:c r="G2741" s="168" t="str">
        <x:v>TRUSTEE DISTRIBUIDORA DE TITULOS E VALORES MOBILIARIOS LTDA.</x:v>
      </x:c>
      <x:c r="H2741" s="168" t="str">
        <x:v>Outros</x:v>
      </x:c>
      <x:c r="I2741" s="168" t="str">
        <x:v>Multicarteira Outros</x:v>
      </x:c>
      <x:c r="J2741" s="168" t="str">
        <x:v>CI</x:v>
      </x:c>
      <x:c r="K2741" s="174" t="n">
        <x:v>1</x:v>
      </x:c>
      <x:c r="L2741" s="187" t="str">
        <x:v>Proxy multicedente/multissacado — revisar</x:v>
      </x:c>
    </x:row>
    <x:row r="2742">
      <x:c r="A2742" s="177" t="str">
        <x:v>62.124.571/0001-95</x:v>
      </x:c>
      <x:c r="B2742" s="168" t="str">
        <x:v>ARC TATICO FUNDO DE INVESTIMENTO EM DIREITOS CREDITÓRIOS</x:v>
      </x:c>
      <x:c r="C2742" s="190" t="n">
        <x:v>6040635.09</x:v>
      </x:c>
      <x:c r="D2742" s="168" t="str">
        <x:v>ARC Capital</x:v>
      </x:c>
      <x:c r="E2742" s="168" t="str">
        <x:f>IFERROR(INDEX('Classif Gestoras'!$H$6:$H$462,MATCH(D2742,'Classif Gestoras'!$A$6:$A$462,0)),"Não classificada")</x:f>
        <x:v>Independente</x:v>
      </x:c>
      <x:c r="F2742" s="168" t="str">
        <x:v>Oliveira Trust DTVM</x:v>
      </x:c>
      <x:c r="G2742" s="168" t="str">
        <x:v>OLIVEIRA TRUST DTVM S.A.</x:v>
      </x:c>
      <x:c r="H2742" s="168" t="str">
        <x:v>Outros</x:v>
      </x:c>
      <x:c r="I2742" s="168" t="str">
        <x:v>Multicarteira Outros</x:v>
      </x:c>
      <x:c r="J2742" s="168" t="str">
        <x:v>CI</x:v>
      </x:c>
      <x:c r="K2742" s="174" t="n">
        <x:v>1</x:v>
      </x:c>
      <x:c r="L2742" s="187" t="str">
        <x:v>Proxy multicedente/multissacado — revisar</x:v>
      </x:c>
    </x:row>
    <x:row r="2743">
      <x:c r="A2743" s="177" t="str">
        <x:v>51.269.820/0001-14</x:v>
      </x:c>
      <x:c r="B2743" s="168" t="str">
        <x:v>ALGARVE MORPHEUS FUNDO DE INVESTIMENTO EM DE RESPONSABILIDADE LIMITADA</x:v>
      </x:c>
      <x:c r="C2743" s="190" t="n">
        <x:v>6030177.83</x:v>
      </x:c>
      <x:c r="D2743" s="168" t="str">
        <x:v>Algarve Capital</x:v>
      </x:c>
      <x:c r="E2743" s="168" t="str">
        <x:f>IFERROR(INDEX('Classif Gestoras'!$H$6:$H$462,MATCH(D2743,'Classif Gestoras'!$A$6:$A$462,0)),"Não classificada")</x:f>
        <x:v>Independente</x:v>
      </x:c>
      <x:c r="F2743" s="168" t="str">
        <x:v>BANCO DAYCOVAL S/A</x:v>
      </x:c>
      <x:c r="G2743" s="168" t="str">
        <x:v>BANCO DAYCOVAL S.A.</x:v>
      </x:c>
      <x:c r="H2743" s="168" t="str">
        <x:v>Outros</x:v>
      </x:c>
      <x:c r="I2743" s="168" t="str">
        <x:v>Poder Público</x:v>
      </x:c>
      <x:c r="J2743" s="168" t="str">
        <x:v>CI</x:v>
      </x:c>
      <x:c r="K2743" s="174" t="n">
        <x:v>1</x:v>
      </x:c>
      <x:c r="L2743" s="187" t="str">
        <x:v>Não classificado</x:v>
      </x:c>
    </x:row>
    <x:row r="2744">
      <x:c r="A2744" s="177" t="str">
        <x:v>59.987.689/0001-32</x:v>
      </x:c>
      <x:c r="B2744" s="168" t="str">
        <x:v>HCAM PRECATÓRIOS FUNDO DE INVESTIMENTO EM DIREITOS CREDITÓRIOS</x:v>
      </x:c>
      <x:c r="C2744" s="190" t="n">
        <x:v>6015377.57</x:v>
      </x:c>
      <x:c r="D2744" s="168" t="str">
        <x:v>HCAM LTDA.</x:v>
      </x:c>
      <x:c r="E2744" s="168" t="str">
        <x:f>IFERROR(INDEX('Classif Gestoras'!$H$6:$H$462,MATCH(D2744,'Classif Gestoras'!$A$6:$A$462,0)),"Não classificada")</x:f>
        <x:v>Independente</x:v>
      </x:c>
      <x:c r="F2744" s="168" t="str">
        <x:v>BTG Pactual Servicos Financeiros S/A DTVM</x:v>
      </x:c>
      <x:c r="G2744" s="168" t="str">
        <x:v>BANCO BTG PACTUAL S/A</x:v>
      </x:c>
      <x:c r="H2744" s="168" t="str">
        <x:v>Outros</x:v>
      </x:c>
      <x:c r="I2744" s="168" t="str">
        <x:v>Poder Público</x:v>
      </x:c>
      <x:c r="J2744" s="168" t="str">
        <x:v>CI</x:v>
      </x:c>
      <x:c r="K2744" s="174" t="n">
        <x:v>17</x:v>
      </x:c>
      <x:c r="L2744" s="187" t="str">
        <x:v>Não classificado</x:v>
      </x:c>
    </x:row>
    <x:row r="2745">
      <x:c r="A2745" s="177" t="str">
        <x:v>62.800.922/0001-30</x:v>
      </x:c>
      <x:c r="B2745" s="168" t="str">
        <x:v>LIFT EVENT CAPITAL I FUNDO DE INVESTIMENTO EM DIREITOS CREDITÓRIOS RESPONSABILIDADE LIMITADA</x:v>
      </x:c>
      <x:c r="C2745" s="190" t="n">
        <x:v>6001002.56</x:v>
      </x:c>
      <x:c r="D2745" s="168" t="str">
        <x:v>Namari Capital Gestão de Recursos Ltda.</x:v>
      </x:c>
      <x:c r="E2745" s="168" t="str">
        <x:f>IFERROR(INDEX('Classif Gestoras'!$H$6:$H$462,MATCH(D2745,'Classif Gestoras'!$A$6:$A$462,0)),"Não classificada")</x:f>
        <x:v>Independente</x:v>
      </x:c>
      <x:c r="F2745" s="168" t="str">
        <x:v>BANCO DAYCOVAL S/A</x:v>
      </x:c>
      <x:c r="G2745" s="168" t="str">
        <x:v>BANCO DAYCOVAL S.A.</x:v>
      </x:c>
      <x:c r="H2745" s="168" t="str">
        <x:v>Financeiro</x:v>
      </x:c>
      <x:c r="I2745" s="168" t="str">
        <x:v>Multicarteira Financeiro</x:v>
      </x:c>
      <x:c r="J2745" s="168" t="str">
        <x:v>CI</x:v>
      </x:c>
      <x:c r="K2745" s="174" t="n">
        <x:v>22</x:v>
      </x:c>
      <x:c r="L2745" s="187" t="str">
        <x:v>Proxy multicedente/multissacado — revisar</x:v>
      </x:c>
    </x:row>
    <x:row r="2746">
      <x:c r="A2746" s="177" t="str">
        <x:v>50.941.133/0001-30</x:v>
      </x:c>
      <x:c r="B2746" s="168" t="str">
        <x:v>THP CAPITAL FUNDO DE INVESTIMENTO EM DIREITOS CREDITÓRIOS NÃO PADRONIZADOS</x:v>
      </x:c>
      <x:c r="C2746" s="190" t="n">
        <x:v>5976627.17</x:v>
      </x:c>
      <x:c r="D2746" s="168" t="str">
        <x:v>G5 Adm. de Recursos</x:v>
      </x:c>
      <x:c r="E2746" s="168" t="str">
        <x:f>IFERROR(INDEX('Classif Gestoras'!$H$6:$H$462,MATCH(D2746,'Classif Gestoras'!$A$6:$A$462,0)),"Não classificada")</x:f>
        <x:v>Independente</x:v>
      </x:c>
      <x:c r="F2746" s="168" t="str">
        <x:v>Singulare</x:v>
      </x:c>
      <x:c r="G2746" s="168" t="str">
        <x:v>QI CORRETORA DE TÍTULOS E VALORES MOBILIÁRIOS S.A.</x:v>
      </x:c>
      <x:c r="H2746" s="168" t="str">
        <x:v>Outros</x:v>
      </x:c>
      <x:c r="I2746" s="168" t="str">
        <x:v>Multicarteira Outros</x:v>
      </x:c>
      <x:c r="J2746" s="168" t="str">
        <x:v>CI</x:v>
      </x:c>
      <x:c r="K2746" s="174" t="n">
        <x:v>2</x:v>
      </x:c>
      <x:c r="L2746" s="187" t="str">
        <x:v>Proxy multicedente/multissacado — revisar</x:v>
      </x:c>
    </x:row>
    <x:row r="2747">
      <x:c r="A2747" s="177" t="str">
        <x:v>54.323.848/0001-80</x:v>
      </x:c>
      <x:c r="B2747" s="168" t="str">
        <x:v>RAMAN FUNDO DE INVESTIMENTO EM DIREITOS CREDITÓRIOS CONSIGNADO PUBLICO</x:v>
      </x:c>
      <x:c r="C2747" s="190" t="n">
        <x:v>5972033.16</x:v>
      </x:c>
      <x:c r="D2747" s="168" t="str">
        <x:v>UC Gestora de Recursos</x:v>
      </x:c>
      <x:c r="E2747" s="168" t="str">
        <x:f>IFERROR(INDEX('Classif Gestoras'!$H$6:$H$462,MATCH(D2747,'Classif Gestoras'!$A$6:$A$462,0)),"Não classificada")</x:f>
        <x:v>Independente</x:v>
      </x:c>
      <x:c r="F2747" s="168" t="str">
        <x:v>QI DISTRIBUIDORA DE TITULOS E VALORES MOBILIARIOS LTDA</x:v>
      </x:c>
      <x:c r="G2747" s="168" t="str">
        <x:v>PLANNER CORRETORA DE VALORES S.A.</x:v>
      </x:c>
      <x:c r="H2747" s="168" t="str">
        <x:v>Outros</x:v>
      </x:c>
      <x:c r="I2747" s="168" t="str">
        <x:v>Crédito Consignado</x:v>
      </x:c>
      <x:c r="J2747" s="168" t="str">
        <x:v>CI</x:v>
      </x:c>
      <x:c r="K2747" s="174" t="n">
        <x:v>6</x:v>
      </x:c>
      <x:c r="L2747" s="187" t="str">
        <x:v>Não classificado</x:v>
      </x:c>
    </x:row>
    <x:row r="2748">
      <x:c r="A2748" s="177" t="str">
        <x:v>63.491.326/0001-89</x:v>
      </x:c>
      <x:c r="B2748" s="168" t="str">
        <x:v>AK INVESTIMENTOS FUNDO DE INVESTIMENTO EM DIREITOS CREDITÓRIOS</x:v>
      </x:c>
      <x:c r="C2748" s="190" t="n">
        <x:v>5951127.409999999</x:v>
      </x:c>
      <x:c r="D2748" s="168" t="str">
        <x:v>Redwood Asset Management</x:v>
      </x:c>
      <x:c r="E2748" s="168" t="str">
        <x:f>IFERROR(INDEX('Classif Gestoras'!$H$6:$H$462,MATCH(D2748,'Classif Gestoras'!$A$6:$A$462,0)),"Não classificada")</x:f>
        <x:v>Independente</x:v>
      </x:c>
      <x:c r="F2748" s="168" t="str">
        <x:v>PLANNER CV</x:v>
      </x:c>
      <x:c r="G2748" s="168" t="str">
        <x:v>PLANNER CORRETORA DE VALORES S.A.</x:v>
      </x:c>
      <x:c r="H2748" s="168" t="str">
        <x:v>Outros</x:v>
      </x:c>
      <x:c r="I2748" s="168" t="str">
        <x:v>Multicarteira Outros</x:v>
      </x:c>
      <x:c r="J2748" s="168" t="str">
        <x:v>CI</x:v>
      </x:c>
      <x:c r="K2748" s="174" t="n">
        <x:v>2</x:v>
      </x:c>
      <x:c r="L2748" s="187" t="str">
        <x:v>Proxy multicedente/multissacado — revisar</x:v>
      </x:c>
    </x:row>
    <x:row r="2749">
      <x:c r="A2749" s="177" t="str">
        <x:v>62.860.514/0001-74</x:v>
      </x:c>
      <x:c r="B2749" s="168" t="str">
        <x:v>ALLEGHE FUNDO DE INVESTIMENTO EM DIREITOS CREDITÓRIOS MULTISSEGMENTOS</x:v>
      </x:c>
      <x:c r="C2749" s="190" t="n">
        <x:v>5920488.15</x:v>
      </x:c>
      <x:c r="D2749" s="168" t="str">
        <x:v>Petra Capital</x:v>
      </x:c>
      <x:c r="E2749" s="168" t="str">
        <x:f>IFERROR(INDEX('Classif Gestoras'!$H$6:$H$462,MATCH(D2749,'Classif Gestoras'!$A$6:$A$462,0)),"Não classificada")</x:f>
        <x:v>Independente</x:v>
      </x:c>
      <x:c r="F2749" s="168" t="str">
        <x:v>Finaxis Corretora de Títulos e Valores Mobiliários S.A.</x:v>
      </x:c>
      <x:c r="G2749" s="168" t="str">
        <x:v>BANCO FINAXIS S.A.</x:v>
      </x:c>
      <x:c r="H2749" s="168" t="str">
        <x:v>Agro, Indústria e Comércio</x:v>
      </x:c>
      <x:c r="I2749" s="168" t="str">
        <x:v>Recebíveis Comerciais</x:v>
      </x:c>
      <x:c r="J2749" s="168" t="str">
        <x:v>CI</x:v>
      </x:c>
      <x:c r="K2749" s="174" t="n">
        <x:v>2</x:v>
      </x:c>
      <x:c r="L2749" s="187" t="str">
        <x:v>Não classificado</x:v>
      </x:c>
    </x:row>
    <x:row r="2750">
      <x:c r="A2750" s="177" t="str">
        <x:v>55.825.226/0001-13</x:v>
      </x:c>
      <x:c r="B2750" s="168" t="str">
        <x:v>FRAM CAPITAL VIGGO FUNDO DE INVESTIMENTO EM DIREITOS CREDITÓRIOS</x:v>
      </x:c>
      <x:c r="C2750" s="190" t="n">
        <x:v>5901954</x:v>
      </x:c>
      <x:c r="D2750" s="168" t="str">
        <x:v>Fram Capital Gestão de Ativos Ltda</x:v>
      </x:c>
      <x:c r="E2750" s="168" t="str">
        <x:f>IFERROR(INDEX('Classif Gestoras'!$H$6:$H$462,MATCH(D2750,'Classif Gestoras'!$A$6:$A$462,0)),"Não classificada")</x:f>
        <x:v>Independente</x:v>
      </x:c>
      <x:c r="F2750" s="168" t="str">
        <x:v>OSLO DTVM S. A.</x:v>
      </x:c>
      <x:c r="G2750" s="168" t="str">
        <x:v>OSLO CAPITAL DISTRIBUIDORA DE TITULOS E VALORES MOBILIARIOS S.A.</x:v>
      </x:c>
      <x:c r="H2750" s="168" t="str">
        <x:v>Outros</x:v>
      </x:c>
      <x:c r="I2750" s="168" t="str">
        <x:v>Multicarteira Outros</x:v>
      </x:c>
      <x:c r="J2750" s="168" t="str">
        <x:v>CI</x:v>
      </x:c>
      <x:c r="K2750" s="174" t="n">
        <x:v>6</x:v>
      </x:c>
      <x:c r="L2750" s="187" t="str">
        <x:v>Proxy multicedente/multissacado — revisar</x:v>
      </x:c>
    </x:row>
    <x:row r="2751">
      <x:c r="A2751" s="177" t="str">
        <x:v>58.599.510/0001-07</x:v>
      </x:c>
      <x:c r="B2751" s="168" t="str">
        <x:v>TRIO FUNDO DE INVESTIMENTO EM DIREITOS CREDITÓRIOS - RESPONSABILIDADE LIMITADA</x:v>
      </x:c>
      <x:c r="C2751" s="190" t="n">
        <x:v>5867403.86</x:v>
      </x:c>
      <x:c r="D2751" s="168" t="str">
        <x:v>OURO PRETO INVESTIMENTOS</x:v>
      </x:c>
      <x:c r="E2751" s="168" t="str">
        <x:f>IFERROR(INDEX('Classif Gestoras'!$H$6:$H$462,MATCH(D2751,'Classif Gestoras'!$A$6:$A$462,0)),"Não classificada")</x:f>
        <x:v>Independente</x:v>
      </x:c>
      <x:c r="F2751" s="168" t="str">
        <x:v>Limine Trust Distribuidora de Titulos e Valores Mobiliá</x:v>
      </x:c>
      <x:c r="G2751" s="168" t="str">
        <x:v>LIMINE TRUST DISTRIBUIDORA DE TITULOS E VALORES MOBILIARIOS LTDA.</x:v>
      </x:c>
      <x:c r="H2751" s="168" t="str">
        <x:v>Fomento Mercantil</x:v>
      </x:c>
      <x:c r="I2751" s="168" t="str">
        <x:v>Fomento Mercantil</x:v>
      </x:c>
      <x:c r="J2751" s="168" t="str">
        <x:v>CI</x:v>
      </x:c>
      <x:c r="K2751" s="174" t="n">
        <x:v>9</x:v>
      </x:c>
      <x:c r="L2751" s="187" t="str">
        <x:v>Não classificado</x:v>
      </x:c>
    </x:row>
    <x:row r="2752">
      <x:c r="A2752" s="177" t="str">
        <x:v>46.285.178/0001-27</x:v>
      </x:c>
      <x:c r="B2752" s="168" t="str">
        <x:v>INNOV FUNDO DE INVESTIMENTO EM DIREITOS CREDITÓRIOS</x:v>
      </x:c>
      <x:c r="C2752" s="190" t="n">
        <x:v>5856507.09</x:v>
      </x:c>
      <x:c r="D2752" s="168" t="str">
        <x:v>TERCON ASSET MANAGEMENT</x:v>
      </x:c>
      <x:c r="E2752" s="168" t="str">
        <x:f>IFERROR(INDEX('Classif Gestoras'!$H$6:$H$462,MATCH(D2752,'Classif Gestoras'!$A$6:$A$462,0)),"Não classificada")</x:f>
        <x:v>Independente</x:v>
      </x:c>
      <x:c r="F2752" s="168" t="str">
        <x:v>Singulare</x:v>
      </x:c>
      <x:c r="G2752" s="168" t="str">
        <x:v>QI CORRETORA DE TÍTULOS E VALORES MOBILIÁRIOS S.A.</x:v>
      </x:c>
      <x:c r="H2752" s="168" t="str">
        <x:v>Fomento Mercantil</x:v>
      </x:c>
      <x:c r="I2752" s="168" t="str">
        <x:v>Fomento Mercantil</x:v>
      </x:c>
      <x:c r="J2752" s="168" t="str">
        <x:v>CI</x:v>
      </x:c>
      <x:c r="K2752" s="174" t="n">
        <x:v>10</x:v>
      </x:c>
      <x:c r="L2752" s="187" t="str">
        <x:v>Não classificado</x:v>
      </x:c>
    </x:row>
    <x:row r="2753">
      <x:c r="A2753" s="177" t="str">
        <x:v>62.667.208/0001-16</x:v>
      </x:c>
      <x:c r="B2753" s="168" t="str">
        <x:v>FUNDO DE INVESTIMENTO EM DIREITOS CREDITÓRIOS ATIVOS SELECIONADOS 2 - RESPONSABILIDADE LIMITADA</x:v>
      </x:c>
      <x:c r="C2753" s="190" t="n">
        <x:v>5855442.140000001</x:v>
      </x:c>
      <x:c r="D2753" s="168" t="str">
        <x:v>ROOT CAPITAL</x:v>
      </x:c>
      <x:c r="E2753" s="168" t="str">
        <x:f>IFERROR(INDEX('Classif Gestoras'!$H$6:$H$462,MATCH(D2753,'Classif Gestoras'!$A$6:$A$462,0)),"Não classificada")</x:f>
        <x:v>Independente</x:v>
      </x:c>
      <x:c r="F2753" s="168" t="str">
        <x:v>BNY MELLON SERVICOS</x:v>
      </x:c>
      <x:c r="G2753" s="168" t="str">
        <x:v>BNY MELLON BANCO S.A.</x:v>
      </x:c>
      <x:c r="H2753" s="168" t="str">
        <x:v>Outros</x:v>
      </x:c>
      <x:c r="I2753" s="168" t="str">
        <x:v>Multicarteira Outros</x:v>
      </x:c>
      <x:c r="J2753" s="168" t="str">
        <x:v>CI</x:v>
      </x:c>
      <x:c r="K2753" s="174" t="n">
        <x:v>2</x:v>
      </x:c>
      <x:c r="L2753" s="187" t="str">
        <x:v>Proxy multicedente/multissacado — revisar</x:v>
      </x:c>
    </x:row>
    <x:row r="2754">
      <x:c r="A2754" s="177" t="str">
        <x:v>53.969.337/0001-78</x:v>
      </x:c>
      <x:c r="B2754" s="168" t="str">
        <x:v>DIAMANTE FUNDO DE INVESTIMENTO EM DIREITOS CREDITÓRIOS DE CLASSE ÚNICA FECHADA</x:v>
      </x:c>
      <x:c r="C2754" s="190" t="n">
        <x:v>5821234.99</x:v>
      </x:c>
      <x:c r="D2754" s="168" t="str">
        <x:v>CARMEL GESTORA DE ATIVOS LTDA</x:v>
      </x:c>
      <x:c r="E2754" s="168" t="str">
        <x:f>IFERROR(INDEX('Classif Gestoras'!$H$6:$H$462,MATCH(D2754,'Classif Gestoras'!$A$6:$A$462,0)),"Não classificada")</x:f>
        <x:v>Independente</x:v>
      </x:c>
      <x:c r="F2754" s="168" t="str">
        <x:v>Singulare</x:v>
      </x:c>
      <x:c r="G2754" s="168" t="str">
        <x:v>QI CORRETORA DE TÍTULOS E VALORES MOBILIÁRIOS S.A.</x:v>
      </x:c>
      <x:c r="H2754" s="168" t="str">
        <x:v>Financeiro</x:v>
      </x:c>
      <x:c r="I2754" s="168" t="str">
        <x:v>Crédito Imobiliário</x:v>
      </x:c>
      <x:c r="J2754" s="168" t="str">
        <x:v>CI</x:v>
      </x:c>
      <x:c r="K2754" s="174" t="n">
        <x:v>1</x:v>
      </x:c>
      <x:c r="L2754" s="187" t="str">
        <x:v>Não classificado</x:v>
      </x:c>
    </x:row>
    <x:row r="2755">
      <x:c r="A2755" s="177" t="str">
        <x:v>06.081.379/0001-98</x:v>
      </x:c>
      <x:c r="B2755" s="168" t="str">
        <x:v>KOL FUNDO DE INVESTIMENTO EM DIREITOS CREDITÓRIOS NÃO-PADRONIZADOS</x:v>
      </x:c>
      <x:c r="C2755" s="190" t="n">
        <x:v>5810594.12</x:v>
      </x:c>
      <x:c r="D2755" s="168" t="str">
        <x:v>RJI Investimentos</x:v>
      </x:c>
      <x:c r="E2755" s="168" t="str">
        <x:f>IFERROR(INDEX('Classif Gestoras'!$H$6:$H$462,MATCH(D2755,'Classif Gestoras'!$A$6:$A$462,0)),"Não classificada")</x:f>
        <x:v>Independente</x:v>
      </x:c>
      <x:c r="F2755" s="168" t="str">
        <x:v>RJI Investimentos</x:v>
      </x:c>
      <x:c r="G2755" s="168" t="str">
        <x:v>RJI CORRETORA DE TÍTULOS E VALORES MOBILIÁRIOS LTDA.</x:v>
      </x:c>
      <x:c r="H2755" s="168" t="str">
        <x:v>Financeiro</x:v>
      </x:c>
      <x:c r="I2755" s="168" t="str">
        <x:v>Crédito Imobiliário</x:v>
      </x:c>
      <x:c r="J2755" s="168" t="str">
        <x:v>CI</x:v>
      </x:c>
      <x:c r="K2755" s="174" t="n">
        <x:v>1</x:v>
      </x:c>
      <x:c r="L2755" s="187" t="str">
        <x:v>Não classificado</x:v>
      </x:c>
    </x:row>
    <x:row r="2756">
      <x:c r="A2756" s="177" t="str">
        <x:v>58.615.962/0001-35</x:v>
      </x:c>
      <x:c r="B2756" s="168" t="str">
        <x:v>ADVANCED II FUNDO DE INVESTIMENTOS EM DIREITOS CREDITORIOS</x:v>
      </x:c>
      <x:c r="C2756" s="190" t="n">
        <x:v>5799090.22</x:v>
      </x:c>
      <x:c r="D2756" s="168" t="str">
        <x:v>Hinov Capital</x:v>
      </x:c>
      <x:c r="E2756" s="168" t="str">
        <x:f>IFERROR(INDEX('Classif Gestoras'!$H$6:$H$462,MATCH(D2756,'Classif Gestoras'!$A$6:$A$462,0)),"Não classificada")</x:f>
        <x:v>Independente</x:v>
      </x:c>
      <x:c r="F2756" s="168" t="str">
        <x:v>ACTUAL DTVM</x:v>
      </x:c>
      <x:c r="G2756" s="168" t="str">
        <x:v>TRUSTEE DISTRIBUIDORA DE TITULOS E VALORES MOBILIARIOS LTDA.</x:v>
      </x:c>
      <x:c r="H2756" s="168" t="str">
        <x:v>Fomento Mercantil</x:v>
      </x:c>
      <x:c r="I2756" s="168" t="str">
        <x:v>Fomento Mercantil</x:v>
      </x:c>
      <x:c r="J2756" s="168" t="str">
        <x:v>CI</x:v>
      </x:c>
      <x:c r="K2756" s="174" t="n">
        <x:v>4</x:v>
      </x:c>
      <x:c r="L2756" s="187" t="str">
        <x:v>Não classificado</x:v>
      </x:c>
    </x:row>
    <x:row r="2757">
      <x:c r="A2757" s="177" t="str">
        <x:v>49.920.810/0001-55</x:v>
      </x:c>
      <x:c r="B2757" s="168" t="str">
        <x:v>FUNDO DE INVESTIMENTO EM DIREITOS CREDITÓRIOS TMX FINANCE</x:v>
      </x:c>
      <x:c r="C2757" s="190" t="n">
        <x:v>5786117.55</x:v>
      </x:c>
      <x:c r="D2757" s="168" t="str">
        <x:v>VALORA RENDA FIXA ESTRUTURADOS LTDA.</x:v>
      </x:c>
      <x:c r="E2757" s="168" t="str">
        <x:f>IFERROR(INDEX('Classif Gestoras'!$H$6:$H$462,MATCH(D2757,'Classif Gestoras'!$A$6:$A$462,0)),"Não classificada")</x:f>
        <x:v>Independente</x:v>
      </x:c>
      <x:c r="F2757" s="168" t="str">
        <x:v>BANCO DAYCOVAL S/A</x:v>
      </x:c>
      <x:c r="G2757" s="168" t="str">
        <x:v>BANCO DAYCOVAL S.A.</x:v>
      </x:c>
      <x:c r="H2757" s="168" t="str">
        <x:v>Financeiro</x:v>
      </x:c>
      <x:c r="I2757" s="168" t="str">
        <x:v>Multicarteira Financeiro</x:v>
      </x:c>
      <x:c r="J2757" s="168" t="str">
        <x:v>CI</x:v>
      </x:c>
      <x:c r="K2757" s="174" t="n">
        <x:v>8</x:v>
      </x:c>
      <x:c r="L2757" s="187" t="str">
        <x:v>Proxy multicedente/multissacado — revisar</x:v>
      </x:c>
    </x:row>
    <x:row r="2758">
      <x:c r="A2758" s="177" t="str">
        <x:v>53.095.984/0001-06</x:v>
      </x:c>
      <x:c r="B2758" s="168" t="str">
        <x:v>ROYAL CAPITAL GREEN FUNDO DE INVESTIMENTO EM DIREITOS CREDITÓRIOS CRÉDITO CORPORATIVO</x:v>
      </x:c>
      <x:c r="C2758" s="190" t="n">
        <x:v>5777949.47</x:v>
      </x:c>
      <x:c r="D2758" s="168" t="str">
        <x:v>Harbour Capital</x:v>
      </x:c>
      <x:c r="E2758" s="168" t="str">
        <x:f>IFERROR(INDEX('Classif Gestoras'!$H$6:$H$462,MATCH(D2758,'Classif Gestoras'!$A$6:$A$462,0)),"Não classificada")</x:f>
        <x:v>Independente</x:v>
      </x:c>
      <x:c r="F2758" s="168" t="str">
        <x:v>Singulare</x:v>
      </x:c>
      <x:c r="G2758" s="168" t="str">
        <x:v>QI CORRETORA DE TÍTULOS E VALORES MOBILIÁRIOS S.A.</x:v>
      </x:c>
      <x:c r="H2758" s="168" t="str">
        <x:v>Fomento Mercantil</x:v>
      </x:c>
      <x:c r="I2758" s="168" t="str">
        <x:v>Fomento Mercantil</x:v>
      </x:c>
      <x:c r="J2758" s="168" t="str">
        <x:v>CI</x:v>
      </x:c>
      <x:c r="K2758" s="174" t="n">
        <x:v>2</x:v>
      </x:c>
      <x:c r="L2758" s="187" t="str">
        <x:v>Não classificado</x:v>
      </x:c>
    </x:row>
    <x:row r="2759">
      <x:c r="A2759" s="177" t="str">
        <x:v>60.974.918/0001-63</x:v>
      </x:c>
      <x:c r="B2759" s="168" t="str">
        <x:v>LIVEN FUNDO DE INVESTIMENTO EM DIREITOS CREDITÓRIOS</x:v>
      </x:c>
      <x:c r="C2759" s="190" t="n">
        <x:v>5764264.46</x:v>
      </x:c>
      <x:c r="D2759" s="168" t="str">
        <x:v>OURO PRETO INVESTIMENTOS</x:v>
      </x:c>
      <x:c r="E2759" s="168" t="str">
        <x:f>IFERROR(INDEX('Classif Gestoras'!$H$6:$H$462,MATCH(D2759,'Classif Gestoras'!$A$6:$A$462,0)),"Não classificada")</x:f>
        <x:v>Independente</x:v>
      </x:c>
      <x:c r="F2759" s="168" t="str">
        <x:v>Limine Trust Distribuidora de Titulos e Valores Mobiliá</x:v>
      </x:c>
      <x:c r="G2759" s="168" t="str">
        <x:v>LIMINE TRUST DISTRIBUIDORA DE TITULOS E VALORES MOBILIARIOS LTDA.</x:v>
      </x:c>
      <x:c r="H2759" s="168" t="str">
        <x:v>Agro, Indústria e Comércio</x:v>
      </x:c>
      <x:c r="I2759" s="168" t="str">
        <x:v>Multicarteira Agro, Indústria e Comércio</x:v>
      </x:c>
      <x:c r="J2759" s="168" t="str">
        <x:v>CI</x:v>
      </x:c>
      <x:c r="K2759" s="174" t="n">
        <x:v>3</x:v>
      </x:c>
      <x:c r="L2759" s="187" t="str">
        <x:v>Proxy multicedente/multissacado — revisar</x:v>
      </x:c>
    </x:row>
    <x:row r="2760">
      <x:c r="A2760" s="177" t="str">
        <x:v>57.922.500/0001-06</x:v>
      </x:c>
      <x:c r="B2760" s="168" t="str">
        <x:v>AGGA PROSPERITAS FUNDO DE INVESTIMENTO EM DIREITOS CREDITÓRIOS</x:v>
      </x:c>
      <x:c r="C2760" s="190" t="n">
        <x:v>5747649.880000001</x:v>
      </x:c>
      <x:c r="D2760" s="168" t="str">
        <x:v>G5 Adm. de Recursos</x:v>
      </x:c>
      <x:c r="E2760" s="168" t="str">
        <x:f>IFERROR(INDEX('Classif Gestoras'!$H$6:$H$462,MATCH(D2760,'Classif Gestoras'!$A$6:$A$462,0)),"Não classificada")</x:f>
        <x:v>Independente</x:v>
      </x:c>
      <x:c r="F2760" s="168" t="str">
        <x:v>Singulare</x:v>
      </x:c>
      <x:c r="G2760" s="168" t="str">
        <x:v>QI CORRETORA DE TÍTULOS E VALORES MOBILIÁRIOS S.A.</x:v>
      </x:c>
      <x:c r="H2760" s="168" t="str">
        <x:v>Outros</x:v>
      </x:c>
      <x:c r="I2760" s="168" t="str">
        <x:v>Multicarteira Outros</x:v>
      </x:c>
      <x:c r="J2760" s="168" t="str">
        <x:v>CI</x:v>
      </x:c>
      <x:c r="K2760" s="174" t="n">
        <x:v>13</x:v>
      </x:c>
      <x:c r="L2760" s="187" t="str">
        <x:v>Proxy multicedente/multissacado — revisar</x:v>
      </x:c>
    </x:row>
    <x:row r="2761">
      <x:c r="A2761" s="177" t="str">
        <x:v>56.095.121/0001-19</x:v>
      </x:c>
      <x:c r="B2761" s="168" t="str">
        <x:v>HUNTER FUNDO DE INVESTIMENTO EM DIREITOS CREDITÓRIOS NÃO-PADRONIZADOS RESPONSABILIDADE LIMITADA</x:v>
      </x:c>
      <x:c r="C2761" s="190" t="n">
        <x:v>5684754.22</x:v>
      </x:c>
      <x:c r="D2761" s="168" t="str">
        <x:v>GESTORA DE RECURSOS ID - GRID LTDA.</x:v>
      </x:c>
      <x:c r="E2761" s="168" t="str">
        <x:f>IFERROR(INDEX('Classif Gestoras'!$H$6:$H$462,MATCH(D2761,'Classif Gestoras'!$A$6:$A$462,0)),"Não classificada")</x:f>
        <x:v>Independente</x:v>
      </x:c>
      <x:c r="F2761" s="168" t="str">
        <x:v>ID Corretora de Títulos e Valores Mobiliários S.A.</x:v>
      </x:c>
      <x:c r="G2761" s="168" t="str">
        <x:v>ID CORRETORA DE TITULOS E VALORES MOBILIARIOS S.A.</x:v>
      </x:c>
      <x:c r="H2761" s="168" t="str">
        <x:v>Outros</x:v>
      </x:c>
      <x:c r="I2761" s="168" t="str">
        <x:v>Multicarteira Outros</x:v>
      </x:c>
      <x:c r="J2761" s="168" t="str">
        <x:v>CI</x:v>
      </x:c>
      <x:c r="K2761" s="174" t="n">
        <x:v>2</x:v>
      </x:c>
      <x:c r="L2761" s="187" t="str">
        <x:v>Proxy multicedente/multissacado — revisar</x:v>
      </x:c>
    </x:row>
    <x:row r="2762">
      <x:c r="A2762" s="177" t="str">
        <x:v>57.420.245/0001-95</x:v>
      </x:c>
      <x:c r="B2762" s="168" t="str">
        <x:v>FEATBANK FUNDO DE INVESTIMENTO EM DIREITOS CREDITÓRIOS</x:v>
      </x:c>
      <x:c r="C2762" s="190" t="n">
        <x:v>5676141.4799999995</x:v>
      </x:c>
      <x:c r="D2762" s="168" t="str">
        <x:v>Featbank Asset Management</x:v>
      </x:c>
      <x:c r="E2762" s="168" t="str">
        <x:f>IFERROR(INDEX('Classif Gestoras'!$H$6:$H$462,MATCH(D2762,'Classif Gestoras'!$A$6:$A$462,0)),"Não classificada")</x:f>
        <x:v>Independente</x:v>
      </x:c>
      <x:c r="F2762" s="168" t="str">
        <x:v>FIDD DISTRIBUIDORA DE TITULOS E VALORES MOBILIARIOS LTD</x:v>
      </x:c>
      <x:c r="G2762" s="168" t="str">
        <x:v>FIDD DISTRIBUIDORA DE TITULOS E VALORES MOBILIARIOS LTDA.</x:v>
      </x:c>
      <x:c r="H2762" s="168" t="str">
        <x:v>Outros</x:v>
      </x:c>
      <x:c r="I2762" s="168" t="str">
        <x:v>Multicarteira Outros</x:v>
      </x:c>
      <x:c r="J2762" s="168" t="str">
        <x:v>CI</x:v>
      </x:c>
      <x:c r="K2762" s="174" t="n">
        <x:v>1</x:v>
      </x:c>
      <x:c r="L2762" s="187" t="str">
        <x:v>Proxy multicedente/multissacado — revisar</x:v>
      </x:c>
    </x:row>
    <x:row r="2763">
      <x:c r="A2763" s="177" t="str">
        <x:v>51.861.911/0001-44</x:v>
      </x:c>
      <x:c r="B2763" s="168" t="str">
        <x:v>VANGUARD II FUNDO DE INVESTIMENTO EM DIREITOS CREDITÓRIOS</x:v>
      </x:c>
      <x:c r="C2763" s="190" t="n">
        <x:v>5665216.38</x:v>
      </x:c>
      <x:c r="D2763" s="168" t="str">
        <x:v>Hinov Capital</x:v>
      </x:c>
      <x:c r="E2763" s="168" t="str">
        <x:f>IFERROR(INDEX('Classif Gestoras'!$H$6:$H$462,MATCH(D2763,'Classif Gestoras'!$A$6:$A$462,0)),"Não classificada")</x:f>
        <x:v>Independente</x:v>
      </x:c>
      <x:c r="F2763" s="168" t="str">
        <x:v>ACTUAL DTVM</x:v>
      </x:c>
      <x:c r="G2763" s="168" t="str">
        <x:v>TRUSTEE DISTRIBUIDORA DE TITULOS E VALORES MOBILIARIOS LTDA.</x:v>
      </x:c>
      <x:c r="H2763" s="168" t="str">
        <x:v>Fomento Mercantil</x:v>
      </x:c>
      <x:c r="I2763" s="168" t="str">
        <x:v>Fomento Mercantil</x:v>
      </x:c>
      <x:c r="J2763" s="168" t="str">
        <x:v>CI</x:v>
      </x:c>
      <x:c r="K2763" s="174" t="n">
        <x:v>18</x:v>
      </x:c>
      <x:c r="L2763" s="187" t="str">
        <x:v>Não classificado</x:v>
      </x:c>
    </x:row>
    <x:row r="2764">
      <x:c r="A2764" s="177" t="str">
        <x:v>35.765.949/0001-67</x:v>
      </x:c>
      <x:c r="B2764" s="168" t="str">
        <x:v>FRUIT CREEK CRÉDITOS JUDICIAIS FUNDO DE INVESTIMENTO EM DIREITOS CREDITÓRIOS</x:v>
      </x:c>
      <x:c r="C2764" s="190" t="n">
        <x:v>5640658.834099999</x:v>
      </x:c>
      <x:c r="D2764" s="168" t="str">
        <x:v>Quadra Gestão de Recursos S.A.</x:v>
      </x:c>
      <x:c r="E2764" s="168" t="str">
        <x:f>IFERROR(INDEX('Classif Gestoras'!$H$6:$H$462,MATCH(D2764,'Classif Gestoras'!$A$6:$A$462,0)),"Não classificada")</x:f>
        <x:v>Independente</x:v>
      </x:c>
      <x:c r="F2764" s="168" t="str">
        <x:v>BTG Pactual Servicos Financeiros S/A DTVM</x:v>
      </x:c>
      <x:c r="G2764" s="168" t="str">
        <x:v>BANCO BTG PACTUAL S/A</x:v>
      </x:c>
      <x:c r="H2764" s="168" t="str">
        <x:v>Outros</x:v>
      </x:c>
      <x:c r="I2764" s="168" t="str">
        <x:v>Multicarteira Outros</x:v>
      </x:c>
      <x:c r="J2764" s="168" t="str">
        <x:v>CI</x:v>
      </x:c>
      <x:c r="K2764" s="174" t="n">
        <x:v>3</x:v>
      </x:c>
      <x:c r="L2764" s="187" t="str">
        <x:v>Proxy multicedente/multissacado — revisar</x:v>
      </x:c>
    </x:row>
    <x:row r="2765">
      <x:c r="A2765" s="177" t="str">
        <x:v>60.646.521/0001-42</x:v>
      </x:c>
      <x:c r="B2765" s="168" t="str">
        <x:v>RIPRESA FUNDO DE INVESTIMENTO EM DIREITOS CREDITÓRIOS</x:v>
      </x:c>
      <x:c r="C2765" s="190" t="n">
        <x:v>5600665.880000001</x:v>
      </x:c>
      <x:c r="D2765" s="168" t="str">
        <x:v>B.Side Wealth</x:v>
      </x:c>
      <x:c r="E2765" s="168" t="str">
        <x:f>IFERROR(INDEX('Classif Gestoras'!$H$6:$H$462,MATCH(D2765,'Classif Gestoras'!$A$6:$A$462,0)),"Não classificada")</x:f>
        <x:v>Independente</x:v>
      </x:c>
      <x:c r="F2765" s="168" t="str">
        <x:v>MONETAR DISTRIBUIDORA DE TITUL</x:v>
      </x:c>
      <x:c r="G2765" s="168" t="str">
        <x:v>TERRA INVESTIMENTOS DISTRIBUIDORA DE TITULOS E VALORES MOBILIARIOS LTDA</x:v>
      </x:c>
      <x:c r="H2765" s="168" t="str">
        <x:v>Financeiro</x:v>
      </x:c>
      <x:c r="I2765" s="168" t="str">
        <x:v>Crédito Pessoal</x:v>
      </x:c>
      <x:c r="J2765" s="168" t="str">
        <x:v>CI</x:v>
      </x:c>
      <x:c r="K2765" s="174" t="n">
        <x:v>1</x:v>
      </x:c>
      <x:c r="L2765" s="187" t="str">
        <x:v>Não classificado</x:v>
      </x:c>
    </x:row>
    <x:row r="2766">
      <x:c r="A2766" s="177" t="str">
        <x:v>54.072.485/0001-58</x:v>
      </x:c>
      <x:c r="B2766" s="168" t="str">
        <x:v>GRUPO JC FUNDO DE INVESTIMENTO EM DIREITOS CREDITÓRIOS</x:v>
      </x:c>
      <x:c r="C2766" s="190" t="n">
        <x:v>5600230.920000001</x:v>
      </x:c>
      <x:c r="D2766" s="168" t="str">
        <x:v>BTG Pactual Asset</x:v>
      </x:c>
      <x:c r="E2766" s="168" t="str">
        <x:f>IFERROR(INDEX('Classif Gestoras'!$H$6:$H$462,MATCH(D2766,'Classif Gestoras'!$A$6:$A$462,0)),"Não classificada")</x:f>
        <x:v>Ligada a banco</x:v>
      </x:c>
      <x:c r="F2766" s="168" t="str">
        <x:v>BTG Pactual Servicos Financeiros S/A DTVM</x:v>
      </x:c>
      <x:c r="G2766" s="168" t="str">
        <x:v>BANCO BTG PACTUAL S/A</x:v>
      </x:c>
      <x:c r="H2766" s="168" t="str">
        <x:v>Outros</x:v>
      </x:c>
      <x:c r="I2766" s="168" t="str">
        <x:v>Multicarteira Outros</x:v>
      </x:c>
      <x:c r="J2766" s="168" t="str">
        <x:v>CI</x:v>
      </x:c>
      <x:c r="K2766" s="174" t="n">
        <x:v>7</x:v>
      </x:c>
      <x:c r="L2766" s="187" t="str">
        <x:v>Proxy multicedente/multissacado — revisar</x:v>
      </x:c>
    </x:row>
    <x:row r="2767">
      <x:c r="A2767" s="177" t="str">
        <x:v>12.956.543/0001-66</x:v>
      </x:c>
      <x:c r="B2767" s="168" t="str">
        <x:v>CAMBUI FINANÇAS FUNDO DE INVESTIMENTO EM DIREITOS CREDITÓRIOS MULTISSETORIAL LP</x:v>
      </x:c>
      <x:c r="C2767" s="190" t="n">
        <x:v>5574052.839999999</x:v>
      </x:c>
      <x:c r="D2767" s="168" t="str">
        <x:v>TERCON ASSET MANAGEMENT</x:v>
      </x:c>
      <x:c r="E2767" s="168" t="str">
        <x:f>IFERROR(INDEX('Classif Gestoras'!$H$6:$H$462,MATCH(D2767,'Classif Gestoras'!$A$6:$A$462,0)),"Não classificada")</x:f>
        <x:v>Independente</x:v>
      </x:c>
      <x:c r="F2767" s="168" t="str">
        <x:v>Singulare</x:v>
      </x:c>
      <x:c r="G2767" s="168" t="str">
        <x:v>QI CORRETORA DE TÍTULOS E VALORES MOBILIÁRIOS S.A.</x:v>
      </x:c>
      <x:c r="H2767" s="168" t="str">
        <x:v>Fomento Mercantil</x:v>
      </x:c>
      <x:c r="I2767" s="168" t="str">
        <x:v>Fomento Mercantil</x:v>
      </x:c>
      <x:c r="J2767" s="168" t="str">
        <x:v>CI</x:v>
      </x:c>
      <x:c r="K2767" s="174" t="n">
        <x:v>8</x:v>
      </x:c>
      <x:c r="L2767" s="187" t="str">
        <x:v>Não classificado</x:v>
      </x:c>
    </x:row>
    <x:row r="2768">
      <x:c r="A2768" s="177" t="str">
        <x:v>28.671.036/0001-16</x:v>
      </x:c>
      <x:c r="B2768" s="168" t="str">
        <x:v>WFR FUNDO DE INVESTIMENTO EM DIREITOS CREDITÓRIOS NÃO-PADRONIZADOS MULTISSETORIAL</x:v>
      </x:c>
      <x:c r="C2768" s="190" t="n">
        <x:v>5548910.819999999</x:v>
      </x:c>
      <x:c r="D2768" s="168" t="str">
        <x:v>OURO PRETO INVESTIMENTOS</x:v>
      </x:c>
      <x:c r="E2768" s="168" t="str">
        <x:f>IFERROR(INDEX('Classif Gestoras'!$H$6:$H$462,MATCH(D2768,'Classif Gestoras'!$A$6:$A$462,0)),"Não classificada")</x:f>
        <x:v>Independente</x:v>
      </x:c>
      <x:c r="F2768" s="168" t="str">
        <x:v>Singulare</x:v>
      </x:c>
      <x:c r="G2768" s="168" t="str">
        <x:v>QI CORRETORA DE TÍTULOS E VALORES MOBILIÁRIOS S.A.</x:v>
      </x:c>
      <x:c r="H2768" s="168" t="str">
        <x:v>Fomento Mercantil</x:v>
      </x:c>
      <x:c r="I2768" s="168" t="str">
        <x:v>Fomento Mercantil</x:v>
      </x:c>
      <x:c r="J2768" s="168" t="str">
        <x:v>CI</x:v>
      </x:c>
      <x:c r="K2768" s="174" t="n">
        <x:v>6</x:v>
      </x:c>
      <x:c r="L2768" s="187" t="str">
        <x:v>Não classificado</x:v>
      </x:c>
    </x:row>
    <x:row r="2769">
      <x:c r="A2769" s="177" t="str">
        <x:v>43.806.417/0001-59</x:v>
      </x:c>
      <x:c r="B2769" s="168" t="str">
        <x:v>RADIX TRIMARÃ FUNDO DE INVESTIMENTO EM DIREITOS CREDITÓRIOS - RESPONSABILIDADE LIMITADA</x:v>
      </x:c>
      <x:c r="C2769" s="190" t="n">
        <x:v>5536005.090000001</x:v>
      </x:c>
      <x:c r="D2769" s="168" t="str">
        <x:v>SOSU CAPITAL GESTÃO DE INVESTIMENTOS LTDA.</x:v>
      </x:c>
      <x:c r="E2769" s="168" t="str">
        <x:f>IFERROR(INDEX('Classif Gestoras'!$H$6:$H$462,MATCH(D2769,'Classif Gestoras'!$A$6:$A$462,0)),"Não classificada")</x:f>
        <x:v>Independente</x:v>
      </x:c>
      <x:c r="F2769" s="168" t="str">
        <x:v>BRL TRUST DTVM</x:v>
      </x:c>
      <x:c r="G2769" s="168" t="str">
        <x:v>BRL TRUST DISTRIBUIDORA DE TITULOS E VALORES MOBILIARIOS S.A.</x:v>
      </x:c>
      <x:c r="H2769" s="168" t="str">
        <x:v>Outros</x:v>
      </x:c>
      <x:c r="I2769" s="168" t="str">
        <x:v>Poder Público</x:v>
      </x:c>
      <x:c r="J2769" s="168" t="str">
        <x:v>CI</x:v>
      </x:c>
      <x:c r="K2769" s="174" t="n">
        <x:v>1</x:v>
      </x:c>
      <x:c r="L2769" s="187" t="str">
        <x:v>Não classificado</x:v>
      </x:c>
    </x:row>
    <x:row r="2770">
      <x:c r="A2770" s="177" t="str">
        <x:v>64.414.126/0001-95</x:v>
      </x:c>
      <x:c r="B2770" s="168" t="str">
        <x:v>ATLAS HUB II FUNDO DE INVESTIMENTO EM DIREITOS CREDITÓRIOS DE RESPONSABILIDADE LIMITADA</x:v>
      </x:c>
      <x:c r="C2770" s="190" t="n">
        <x:v>5513128.17</x:v>
      </x:c>
      <x:c r="D2770" s="168" t="str">
        <x:v>BRZ Gestão de Recursos</x:v>
      </x:c>
      <x:c r="E2770" s="168" t="str">
        <x:f>IFERROR(INDEX('Classif Gestoras'!$H$6:$H$462,MATCH(D2770,'Classif Gestoras'!$A$6:$A$462,0)),"Não classificada")</x:f>
        <x:v>Independente</x:v>
      </x:c>
      <x:c r="F2770" s="168" t="str">
        <x:v>BANCO DAYCOVAL S/A</x:v>
      </x:c>
      <x:c r="G2770" s="168" t="str">
        <x:v>BANCO DAYCOVAL S.A.</x:v>
      </x:c>
      <x:c r="H2770" s="168" t="str">
        <x:v>Outros</x:v>
      </x:c>
      <x:c r="I2770" s="168" t="str">
        <x:v>Multicarteira Outros</x:v>
      </x:c>
      <x:c r="J2770" s="168" t="str">
        <x:v>CI</x:v>
      </x:c>
      <x:c r="K2770" s="174" t="n">
        <x:v>10</x:v>
      </x:c>
      <x:c r="L2770" s="187" t="str">
        <x:v>Proxy multicedente/multissacado — revisar</x:v>
      </x:c>
    </x:row>
    <x:row r="2771">
      <x:c r="A2771" s="177" t="str">
        <x:v>63.219.990/0001-73</x:v>
      </x:c>
      <x:c r="B2771" s="168" t="str">
        <x:v>NEXA FUNDO DE INVESTIMENTO EM DIREITOS CREDITÓRIOS</x:v>
      </x:c>
      <x:c r="C2771" s="190" t="n">
        <x:v>5477055.15</x:v>
      </x:c>
      <x:c r="D2771" s="168" t="str">
        <x:v>ROCHA OPÇÕES DE INVESTIMENTOS</x:v>
      </x:c>
      <x:c r="E2771" s="168" t="str">
        <x:f>IFERROR(INDEX('Classif Gestoras'!$H$6:$H$462,MATCH(D2771,'Classif Gestoras'!$A$6:$A$462,0)),"Não classificada")</x:f>
        <x:v>Independente</x:v>
      </x:c>
      <x:c r="F2771" s="168" t="str">
        <x:v>SEFER DTVM</x:v>
      </x:c>
      <x:c r="G2771" s="168" t="str">
        <x:v>SEFER INVESTIMENTOS DISTRIBUIDORA DE TÍTULOS E VALORES MOBILIÁRIOS LTDA.</x:v>
      </x:c>
      <x:c r="H2771" s="168" t="str">
        <x:v>Outros</x:v>
      </x:c>
      <x:c r="I2771" s="168" t="str">
        <x:v>Multicarteira Outros</x:v>
      </x:c>
      <x:c r="J2771" s="168" t="str">
        <x:v>CI</x:v>
      </x:c>
      <x:c r="K2771" s="174" t="n">
        <x:v>0</x:v>
      </x:c>
      <x:c r="L2771" s="187" t="str">
        <x:v>Proxy multicedente/multissacado — revisar</x:v>
      </x:c>
    </x:row>
    <x:row r="2772">
      <x:c r="A2772" s="177" t="str">
        <x:v>45.853.950/0001-05</x:v>
      </x:c>
      <x:c r="B2772" s="168" t="str">
        <x:v>FUNDO DE INVESTIMENTO EM DIREITOS CREDITÓRIOS BEES BANK RESPONSABILIDADE LIMITADA</x:v>
      </x:c>
      <x:c r="C2772" s="190" t="n">
        <x:v>5473143.15</x:v>
      </x:c>
      <x:c r="D2772" s="168" t="str">
        <x:v>BRL TRUST DTVM</x:v>
      </x:c>
      <x:c r="E2772" s="168" t="str">
        <x:f>IFERROR(INDEX('Classif Gestoras'!$H$6:$H$462,MATCH(D2772,'Classif Gestoras'!$A$6:$A$462,0)),"Não classificada")</x:f>
        <x:v>Independente</x:v>
      </x:c>
      <x:c r="F2772" s="168" t="str">
        <x:v>BRL TRUST DTVM</x:v>
      </x:c>
      <x:c r="G2772" s="168" t="str">
        <x:v>BRL TRUST DISTRIBUIDORA DE TITULOS E VALORES MOBILIARIOS S.A.</x:v>
      </x:c>
      <x:c r="H2772" s="168" t="str">
        <x:v>Outros</x:v>
      </x:c>
      <x:c r="I2772" s="168" t="str">
        <x:v>Multicarteira Outros</x:v>
      </x:c>
      <x:c r="J2772" s="168" t="str">
        <x:v>CI</x:v>
      </x:c>
      <x:c r="K2772" s="174" t="n">
        <x:v>1</x:v>
      </x:c>
      <x:c r="L2772" s="187" t="str">
        <x:v>Proxy multicedente/multissacado — revisar</x:v>
      </x:c>
    </x:row>
    <x:row r="2773">
      <x:c r="A2773" s="177" t="str">
        <x:v>62.639.652/0001-28</x:v>
      </x:c>
      <x:c r="B2773" s="168" t="str">
        <x:v>PAYJOY II FUNDO DE INVESTIMENTO EM DIREITOS CREDITÓRIOS RECEBÍVEIS COMERCIAIS</x:v>
      </x:c>
      <x:c r="C2773" s="190" t="n">
        <x:v>5441105.32</x:v>
      </x:c>
      <x:c r="D2773" s="168" t="str">
        <x:v>Integral Investimentos</x:v>
      </x:c>
      <x:c r="E2773" s="168" t="str">
        <x:f>IFERROR(INDEX('Classif Gestoras'!$H$6:$H$462,MATCH(D2773,'Classif Gestoras'!$A$6:$A$462,0)),"Não classificada")</x:f>
        <x:v>Independente</x:v>
      </x:c>
      <x:c r="F2773" s="168" t="str">
        <x:v>INTEGRAL ACCESS DTVM</x:v>
      </x:c>
      <x:c r="G2773" s="168" t="str">
        <x:v>OSLO CAPITAL DISTRIBUIDORA DE TITULOS E VALORES MOBILIARIOS S.A.</x:v>
      </x:c>
      <x:c r="H2773" s="168" t="str">
        <x:v>Agro, Indústria e Comércio</x:v>
      </x:c>
      <x:c r="I2773" s="168" t="str">
        <x:v>Recebíveis Comerciais</x:v>
      </x:c>
      <x:c r="J2773" s="168" t="str">
        <x:v>CI</x:v>
      </x:c>
      <x:c r="K2773" s="174" t="n">
        <x:v>2</x:v>
      </x:c>
      <x:c r="L2773" s="187" t="str">
        <x:v>Não classificado</x:v>
      </x:c>
    </x:row>
    <x:row r="2774">
      <x:c r="A2774" s="177" t="str">
        <x:v>62.958.931/0001-54</x:v>
      </x:c>
      <x:c r="B2774" s="168" t="str">
        <x:v>BNVT ITA RENT FUNDO DE INVESTIMENTOS EM DIREITOS CREDITÓRIOS</x:v>
      </x:c>
      <x:c r="C2774" s="190" t="n">
        <x:v>5426777.85</x:v>
      </x:c>
      <x:c r="D2774" s="168" t="str">
        <x:v>BENAVENT ASSET LTDA</x:v>
      </x:c>
      <x:c r="E2774" s="168" t="str">
        <x:f>IFERROR(INDEX('Classif Gestoras'!$H$6:$H$462,MATCH(D2774,'Classif Gestoras'!$A$6:$A$462,0)),"Não classificada")</x:f>
        <x:v>Independente</x:v>
      </x:c>
      <x:c r="F2774" s="168" t="str">
        <x:v>PLANNER CV</x:v>
      </x:c>
      <x:c r="G2774" s="168" t="str">
        <x:v>PLANNER CORRETORA DE VALORES S.A.</x:v>
      </x:c>
      <x:c r="H2774" s="168" t="str">
        <x:v>Financeiro</x:v>
      </x:c>
      <x:c r="I2774" s="168" t="str">
        <x:v>Multicarteira Financeiro</x:v>
      </x:c>
      <x:c r="J2774" s="168" t="str">
        <x:v>CI</x:v>
      </x:c>
      <x:c r="K2774" s="174" t="n">
        <x:v>2</x:v>
      </x:c>
      <x:c r="L2774" s="187" t="str">
        <x:v>Proxy multicedente/multissacado — revisar</x:v>
      </x:c>
    </x:row>
    <x:row r="2775">
      <x:c r="A2775" s="177" t="str">
        <x:v>14.788.370/0001-40</x:v>
      </x:c>
      <x:c r="B2775" s="168" t="str">
        <x:v>FUNDO DE INVESTIMENTO EM DIREITOS CREDITÓRIOS HUNGRIA</x:v>
      </x:c>
      <x:c r="C2775" s="190" t="n">
        <x:v>5385036.180000001</x:v>
      </x:c>
      <x:c r="D2775" s="168" t="str">
        <x:v>Vila Rica Capital</x:v>
      </x:c>
      <x:c r="E2775" s="168" t="str">
        <x:f>IFERROR(INDEX('Classif Gestoras'!$H$6:$H$462,MATCH(D2775,'Classif Gestoras'!$A$6:$A$462,0)),"Não classificada")</x:f>
        <x:v>Independente</x:v>
      </x:c>
      <x:c r="F2775" s="168" t="str">
        <x:v>BRL TRUST DTVM</x:v>
      </x:c>
      <x:c r="G2775" s="168" t="str">
        <x:v>BRL TRUST DISTRIBUIDORA DE TITULOS E VALORES MOBILIARIOS S.A.</x:v>
      </x:c>
      <x:c r="H2775" s="168" t="str">
        <x:v>Outros</x:v>
      </x:c>
      <x:c r="I2775" s="168" t="str">
        <x:v>Multicarteira Outros</x:v>
      </x:c>
      <x:c r="J2775" s="168" t="str">
        <x:v>CI</x:v>
      </x:c>
      <x:c r="K2775" s="174" t="n">
        <x:v>1</x:v>
      </x:c>
      <x:c r="L2775" s="187" t="str">
        <x:v>Proxy multicedente/multissacado — revisar</x:v>
      </x:c>
    </x:row>
    <x:row r="2776">
      <x:c r="A2776" s="177" t="str">
        <x:v>38.134.439/0001-80</x:v>
      </x:c>
      <x:c r="B2776" s="168" t="str">
        <x:v>TCN FUNDO DE INVESTIMENTO EM DIREITOS CREDITÓRIOS NÃO-PADRONIZADOS RESPONSABILIDADE LIMITADA</x:v>
      </x:c>
      <x:c r="C2776" s="190" t="n">
        <x:v>5382976.21</x:v>
      </x:c>
      <x:c r="D2776" s="168" t="str">
        <x:v>Strivo Gestora de Recursos S/A</x:v>
      </x:c>
      <x:c r="E2776" s="168" t="str">
        <x:f>IFERROR(INDEX('Classif Gestoras'!$H$6:$H$462,MATCH(D2776,'Classif Gestoras'!$A$6:$A$462,0)),"Não classificada")</x:f>
        <x:v>Independente</x:v>
      </x:c>
      <x:c r="F2776" s="168" t="str">
        <x:v>ID Corretora de Títulos e Valores Mobiliários S.A.</x:v>
      </x:c>
      <x:c r="G2776" s="168" t="str">
        <x:v>ID CORRETORA DE TITULOS E VALORES MOBILIARIOS S.A.</x:v>
      </x:c>
      <x:c r="H2776" s="168" t="str">
        <x:v>Outros</x:v>
      </x:c>
      <x:c r="I2776" s="168" t="str">
        <x:v>Multicarteira Outros</x:v>
      </x:c>
      <x:c r="J2776" s="168" t="str">
        <x:v>CI</x:v>
      </x:c>
      <x:c r="K2776" s="174" t="n">
        <x:v>0</x:v>
      </x:c>
      <x:c r="L2776" s="187" t="str">
        <x:v>Proxy multicedente/multissacado — revisar</x:v>
      </x:c>
    </x:row>
    <x:row r="2777">
      <x:c r="A2777" s="177" t="str">
        <x:v>63.829.575/0001-31</x:v>
      </x:c>
      <x:c r="B2777" s="168" t="str">
        <x:v>ARION PRECATÓRIOS FUNDO DE INVESTIMENTO EM DIREITOS CREDITÓRIOS NÃO-PADRONIZADOS</x:v>
      </x:c>
      <x:c r="C2777" s="190" t="n">
        <x:v>5378773.260000001</x:v>
      </x:c>
      <x:c r="D2777" s="168" t="str">
        <x:v>OURO PRETO INVESTIMENTOS</x:v>
      </x:c>
      <x:c r="E2777" s="168" t="str">
        <x:f>IFERROR(INDEX('Classif Gestoras'!$H$6:$H$462,MATCH(D2777,'Classif Gestoras'!$A$6:$A$462,0)),"Não classificada")</x:f>
        <x:v>Independente</x:v>
      </x:c>
      <x:c r="F2777" s="168" t="str">
        <x:v>Singulare</x:v>
      </x:c>
      <x:c r="G2777" s="168" t="str">
        <x:v>QI CORRETORA DE TÍTULOS E VALORES MOBILIÁRIOS S.A.</x:v>
      </x:c>
      <x:c r="H2777" s="168" t="str">
        <x:v>Outros</x:v>
      </x:c>
      <x:c r="I2777" s="168" t="str">
        <x:v>Poder Público</x:v>
      </x:c>
      <x:c r="J2777" s="168" t="str">
        <x:v>CI</x:v>
      </x:c>
      <x:c r="K2777" s="174" t="n">
        <x:v>15</x:v>
      </x:c>
      <x:c r="L2777" s="187" t="str">
        <x:v>Não classificado</x:v>
      </x:c>
    </x:row>
    <x:row r="2778">
      <x:c r="A2778" s="177" t="str">
        <x:v>62.809.011/0001-74</x:v>
      </x:c>
      <x:c r="B2778" s="168" t="str">
        <x:v>VECTRO CAPITAL FUNDO DE INVESTIMENTO EM DIREITOS CREDITÓRIOS</x:v>
      </x:c>
      <x:c r="C2778" s="190" t="n">
        <x:v>5311876.87</x:v>
      </x:c>
      <x:c r="D2778" s="168" t="str">
        <x:v>XMS Investimentos</x:v>
      </x:c>
      <x:c r="E2778" s="168" t="str">
        <x:f>IFERROR(INDEX('Classif Gestoras'!$H$6:$H$462,MATCH(D2778,'Classif Gestoras'!$A$6:$A$462,0)),"Não classificada")</x:f>
        <x:v>Independente</x:v>
      </x:c>
      <x:c r="F2778" s="168" t="str">
        <x:v>MONETAR DISTRIBUIDORA DE TITUL</x:v>
      </x:c>
      <x:c r="G2778" s="168" t="str">
        <x:v>TERRA INVESTIMENTOS DISTRIBUIDORA DE TITULOS E VALORES MOBILIARIOS LTDA</x:v>
      </x:c>
      <x:c r="H2778" s="168" t="str">
        <x:v>Fomento Mercantil</x:v>
      </x:c>
      <x:c r="I2778" s="168" t="str">
        <x:v>Fomento Mercantil</x:v>
      </x:c>
      <x:c r="J2778" s="168" t="str">
        <x:v>CI</x:v>
      </x:c>
      <x:c r="K2778" s="174" t="n">
        <x:v>4</x:v>
      </x:c>
      <x:c r="L2778" s="187" t="str">
        <x:v>Não classificado</x:v>
      </x:c>
    </x:row>
    <x:row r="2779">
      <x:c r="A2779" s="177" t="str">
        <x:v>45.693.226/0001-53</x:v>
      </x:c>
      <x:c r="B2779" s="168" t="str">
        <x:v>CREDITO AGRO FUNDO DE INVESTIMENTO EM DIREITOS CREDITÓRIOS NÃO-PADRONIZADOS RESP LIMITADA</x:v>
      </x:c>
      <x:c r="C2779" s="190" t="n">
        <x:v>5294525.17</x:v>
      </x:c>
      <x:c r="D2779" s="168" t="str">
        <x:v>Oikos Capital</x:v>
      </x:c>
      <x:c r="E2779" s="168" t="str">
        <x:f>IFERROR(INDEX('Classif Gestoras'!$H$6:$H$462,MATCH(D2779,'Classif Gestoras'!$A$6:$A$462,0)),"Não classificada")</x:f>
        <x:v>Independente</x:v>
      </x:c>
      <x:c r="F2779" s="168" t="str">
        <x:v>ID Corretora de Títulos e Valores Mobiliários S.A.</x:v>
      </x:c>
      <x:c r="G2779" s="168" t="str">
        <x:v>ID CORRETORA DE TITULOS E VALORES MOBILIARIOS S.A.</x:v>
      </x:c>
      <x:c r="H2779" s="168" t="str">
        <x:v>Outros</x:v>
      </x:c>
      <x:c r="I2779" s="168" t="str">
        <x:v>Multicarteira Outros</x:v>
      </x:c>
      <x:c r="J2779" s="168" t="str">
        <x:v>CI</x:v>
      </x:c>
      <x:c r="K2779" s="174" t="n">
        <x:v>6</x:v>
      </x:c>
      <x:c r="L2779" s="187" t="str">
        <x:v>Proxy multicedente/multissacado — revisar</x:v>
      </x:c>
    </x:row>
    <x:row r="2780">
      <x:c r="A2780" s="177" t="str">
        <x:v>55.891.858/0001-85</x:v>
      </x:c>
      <x:c r="B2780" s="168" t="str">
        <x:v>DAYTONA FUNDO DE INVESTIMENTO EM DIREITOS CREDITÓRIOS NÃO-PADRONIZADOS RESPONSABILIDADE LIMITADA</x:v>
      </x:c>
      <x:c r="C2780" s="190" t="n">
        <x:v>5221642.87</x:v>
      </x:c>
      <x:c r="D2780" s="168" t="str">
        <x:v>GESTORA DE RECURSOS ID - GRID LTDA.</x:v>
      </x:c>
      <x:c r="E2780" s="168" t="str">
        <x:f>IFERROR(INDEX('Classif Gestoras'!$H$6:$H$462,MATCH(D2780,'Classif Gestoras'!$A$6:$A$462,0)),"Não classificada")</x:f>
        <x:v>Independente</x:v>
      </x:c>
      <x:c r="F2780" s="168" t="str">
        <x:v>ID Corretora de Títulos e Valores Mobiliários S.A.</x:v>
      </x:c>
      <x:c r="G2780" s="168" t="str">
        <x:v>ID CORRETORA DE TITULOS E VALORES MOBILIARIOS S.A.</x:v>
      </x:c>
      <x:c r="H2780" s="168" t="str">
        <x:v>Outros</x:v>
      </x:c>
      <x:c r="I2780" s="168" t="str">
        <x:v>Multicarteira Outros</x:v>
      </x:c>
      <x:c r="J2780" s="168" t="str">
        <x:v>CI</x:v>
      </x:c>
      <x:c r="K2780" s="174" t="n">
        <x:v>2</x:v>
      </x:c>
      <x:c r="L2780" s="187" t="str">
        <x:v>Proxy multicedente/multissacado — revisar</x:v>
      </x:c>
    </x:row>
    <x:row r="2781">
      <x:c r="A2781" s="177" t="str">
        <x:v>55.747.288/0001-54</x:v>
      </x:c>
      <x:c r="B2781" s="168" t="str">
        <x:v>TOP SETORIAL FUNDO DE INVESTIMENTO EM DIREITOS CREDITÓRIOS</x:v>
      </x:c>
      <x:c r="C2781" s="190" t="n">
        <x:v>5199575.59</x:v>
      </x:c>
      <x:c r="D2781" s="168" t="str">
        <x:v>ASSET MANAGEMENT</x:v>
      </x:c>
      <x:c r="E2781" s="168" t="str">
        <x:f>IFERROR(INDEX('Classif Gestoras'!$H$6:$H$462,MATCH(D2781,'Classif Gestoras'!$A$6:$A$462,0)),"Não classificada")</x:f>
        <x:v>Independente</x:v>
      </x:c>
      <x:c r="F2781" s="168" t="str">
        <x:v>AZUMI DISTRIBUIDORA DE TÍTULOS E VALORES MOBILIÁRIOS LT</x:v>
      </x:c>
      <x:c r="G2781" s="168" t="str">
        <x:v>AZUMI DISTRIBUIDORA DE TÍTULOS E VALORES MOBILIÁRIOS LTDA.</x:v>
      </x:c>
      <x:c r="H2781" s="168" t="str">
        <x:v>Outros</x:v>
      </x:c>
      <x:c r="I2781" s="168" t="str">
        <x:v>Multicarteira Outros</x:v>
      </x:c>
      <x:c r="J2781" s="168" t="str">
        <x:v>CI</x:v>
      </x:c>
      <x:c r="K2781" s="174" t="n">
        <x:v>6</x:v>
      </x:c>
      <x:c r="L2781" s="187" t="str">
        <x:v>Proxy multicedente/multissacado — revisar</x:v>
      </x:c>
    </x:row>
    <x:row r="2782">
      <x:c r="A2782" s="177" t="str">
        <x:v>45.425.498/0001-72</x:v>
      </x:c>
      <x:c r="B2782" s="168" t="str">
        <x:v>K-FINANCE FUNDO DE INVESTIMENTO EM DIREITOS CREDITORIOS NAO PADRONIZADOS</x:v>
      </x:c>
      <x:c r="C2782" s="190" t="n">
        <x:v>5164615.74</x:v>
      </x:c>
      <x:c r="D2782" s="168" t="str">
        <x:v>Menestys</x:v>
      </x:c>
      <x:c r="E2782" s="168" t="str">
        <x:f>IFERROR(INDEX('Classif Gestoras'!$H$6:$H$462,MATCH(D2782,'Classif Gestoras'!$A$6:$A$462,0)),"Não classificada")</x:f>
        <x:v>Independente</x:v>
      </x:c>
      <x:c r="F2782" s="168" t="str">
        <x:v>Qore DTVM</x:v>
      </x:c>
      <x:c r="G2782" s="168" t="str">
        <x:v>QORE DISTRIBUIDORA DE TÍTULOS E VALORES MOBILIÁRIOS LTDA.</x:v>
      </x:c>
      <x:c r="H2782" s="168" t="str">
        <x:v>Agro, Indústria e Comércio</x:v>
      </x:c>
      <x:c r="I2782" s="168" t="str">
        <x:v>Multicarteira Agro, Indústria e Comércio</x:v>
      </x:c>
      <x:c r="J2782" s="168" t="str">
        <x:v>CI</x:v>
      </x:c>
      <x:c r="K2782" s="174" t="n">
        <x:v>1</x:v>
      </x:c>
      <x:c r="L2782" s="187" t="str">
        <x:v>Proxy multicedente/multissacado — revisar</x:v>
      </x:c>
    </x:row>
    <x:row r="2783">
      <x:c r="A2783" s="177" t="str">
        <x:v>61.386.747/0001-14</x:v>
      </x:c>
      <x:c r="B2783" s="168" t="str">
        <x:v>FIDC VALE CONSIGNADO FINANCEIRO RESP LIMITADA</x:v>
      </x:c>
      <x:c r="C2783" s="190" t="n">
        <x:v>5157460.069999999</x:v>
      </x:c>
      <x:c r="D2783" s="168" t="str">
        <x:v>VALORA RENDA FIXA ESTRUTURADOS LTDA.</x:v>
      </x:c>
      <x:c r="E2783" s="168" t="str">
        <x:f>IFERROR(INDEX('Classif Gestoras'!$H$6:$H$462,MATCH(D2783,'Classif Gestoras'!$A$6:$A$462,0)),"Não classificada")</x:f>
        <x:v>Independente</x:v>
      </x:c>
      <x:c r="F2783" s="168" t="str">
        <x:v>BANCO DAYCOVAL S/A</x:v>
      </x:c>
      <x:c r="G2783" s="168" t="str">
        <x:v>BANCO DAYCOVAL S.A.</x:v>
      </x:c>
      <x:c r="H2783" s="168" t="str">
        <x:v>Financeiro</x:v>
      </x:c>
      <x:c r="I2783" s="168" t="str">
        <x:v>Multicarteira Financeiro</x:v>
      </x:c>
      <x:c r="J2783" s="168" t="str">
        <x:v>CI</x:v>
      </x:c>
      <x:c r="K2783" s="174" t="n">
        <x:v>13</x:v>
      </x:c>
      <x:c r="L2783" s="187" t="str">
        <x:v>Proxy multicedente/multissacado — revisar</x:v>
      </x:c>
    </x:row>
    <x:row r="2784">
      <x:c r="A2784" s="177" t="str">
        <x:v>64.041.032/0001-18</x:v>
      </x:c>
      <x:c r="B2784" s="168" t="str">
        <x:v>MTRIOS FUNDO DE INVESTIMENTO EM DIREITOS CREDITÓRIOS</x:v>
      </x:c>
      <x:c r="C2784" s="190" t="n">
        <x:v>5085158.5</x:v>
      </x:c>
      <x:c r="D2784" s="168" t="str">
        <x:v>CERES ASSET</x:v>
      </x:c>
      <x:c r="E2784" s="168" t="str">
        <x:f>IFERROR(INDEX('Classif Gestoras'!$H$6:$H$462,MATCH(D2784,'Classif Gestoras'!$A$6:$A$462,0)),"Não classificada")</x:f>
        <x:v>Independente</x:v>
      </x:c>
      <x:c r="F2784" s="168" t="str">
        <x:v>Singulare</x:v>
      </x:c>
      <x:c r="G2784" s="168" t="str">
        <x:v>QI CORRETORA DE TÍTULOS E VALORES MOBILIÁRIOS S.A.</x:v>
      </x:c>
      <x:c r="H2784" s="168" t="str">
        <x:v>Agro, Indústria e Comércio</x:v>
      </x:c>
      <x:c r="I2784" s="168" t="str">
        <x:v>Multicarteira Agro, Indústria e Comércio</x:v>
      </x:c>
      <x:c r="J2784" s="168" t="str">
        <x:v>CI</x:v>
      </x:c>
      <x:c r="K2784" s="174" t="n">
        <x:v>1</x:v>
      </x:c>
      <x:c r="L2784" s="187" t="str">
        <x:v>Proxy multicedente/multissacado — revisar</x:v>
      </x:c>
    </x:row>
    <x:row r="2785">
      <x:c r="A2785" s="177" t="str">
        <x:v>58.341.346/0001-33</x:v>
      </x:c>
      <x:c r="B2785" s="168" t="str">
        <x:v>SOLAR MONT BLANC FUNDO DE INVESTIMENTO EM DIREITOS CREDITÓRIOS</x:v>
      </x:c>
      <x:c r="C2785" s="190" t="n">
        <x:v>5068429.78</x:v>
      </x:c>
      <x:c r="D2785" s="168" t="str">
        <x:v>Iggy Investimentos</x:v>
      </x:c>
      <x:c r="E2785" s="168" t="str">
        <x:f>IFERROR(INDEX('Classif Gestoras'!$H$6:$H$462,MATCH(D2785,'Classif Gestoras'!$A$6:$A$462,0)),"Não classificada")</x:f>
        <x:v>Independente</x:v>
      </x:c>
      <x:c r="F2785" s="168" t="str">
        <x:v>Singulare</x:v>
      </x:c>
      <x:c r="G2785" s="168" t="str">
        <x:v>QI CORRETORA DE TÍTULOS E VALORES MOBILIÁRIOS S.A.</x:v>
      </x:c>
      <x:c r="H2785" s="168" t="str">
        <x:v>Fomento Mercantil</x:v>
      </x:c>
      <x:c r="I2785" s="168" t="str">
        <x:v>Fomento Mercantil</x:v>
      </x:c>
      <x:c r="J2785" s="168" t="str">
        <x:v>CI</x:v>
      </x:c>
      <x:c r="K2785" s="174" t="n">
        <x:v>4</x:v>
      </x:c>
      <x:c r="L2785" s="187" t="str">
        <x:v>Não classificado</x:v>
      </x:c>
    </x:row>
    <x:row r="2786">
      <x:c r="A2786" s="177" t="str">
        <x:v>47.984.230/0001-04</x:v>
      </x:c>
      <x:c r="B2786" s="168" t="str">
        <x:v>JUGIS I PRIVATE CLAIMS FUNDO DE INVESTIMENTO EM DIREITOS CREDITÓRIOS</x:v>
      </x:c>
      <x:c r="C2786" s="190" t="n">
        <x:v>5062213.220000001</x:v>
      </x:c>
      <x:c r="D2786" s="168" t="str">
        <x:v>JUGIS CAPITAL GESTÃO DE RECURSOS LTDA.</x:v>
      </x:c>
      <x:c r="E2786" s="168" t="str">
        <x:f>IFERROR(INDEX('Classif Gestoras'!$H$6:$H$462,MATCH(D2786,'Classif Gestoras'!$A$6:$A$462,0)),"Não classificada")</x:f>
        <x:v>Independente</x:v>
      </x:c>
      <x:c r="F2786" s="168" t="str">
        <x:v>MAF Distribuidora de Títulos e Valores Mobiliários S.A.</x:v>
      </x:c>
      <x:c r="G2786" s="168" t="str">
        <x:v>MAF DISTRIBUIDORA DE TITULOS E VALORES MOBILIARIOS S.A.</x:v>
      </x:c>
      <x:c r="H2786" s="168" t="str">
        <x:v>Outros</x:v>
      </x:c>
      <x:c r="I2786" s="168" t="str">
        <x:v>Multicarteira Outros</x:v>
      </x:c>
      <x:c r="J2786" s="168" t="str">
        <x:v>CI</x:v>
      </x:c>
      <x:c r="K2786" s="174" t="n">
        <x:v>1</x:v>
      </x:c>
      <x:c r="L2786" s="187" t="str">
        <x:v>Proxy multicedente/multissacado — revisar</x:v>
      </x:c>
    </x:row>
    <x:row r="2787">
      <x:c r="A2787" s="177" t="str">
        <x:v>41.970.123/0001-32</x:v>
      </x:c>
      <x:c r="B2787" s="168" t="str">
        <x:v>VECTOR EDGE FUNDO DE INVESTIMENTO EM DIREITOS CREDITORIOS</x:v>
      </x:c>
      <x:c r="C2787" s="190" t="n">
        <x:v>5006943.7700000005</x:v>
      </x:c>
      <x:c r="D2787" s="168" t="str">
        <x:v>POLÍGONO CAPITAL LTDA.</x:v>
      </x:c>
      <x:c r="E2787" s="168" t="str">
        <x:f>IFERROR(INDEX('Classif Gestoras'!$H$6:$H$462,MATCH(D2787,'Classif Gestoras'!$A$6:$A$462,0)),"Não classificada")</x:f>
        <x:v>Independente</x:v>
      </x:c>
      <x:c r="F2787" s="168" t="str">
        <x:v>Finvest Digital</x:v>
      </x:c>
      <x:c r="G2787" s="168" t="str">
        <x:v>FINVEST DISTRIBUIDORA DE TÍTULOS E VALORES MOBILIÁRIOS LTDA.</x:v>
      </x:c>
      <x:c r="H2787" s="168" t="str">
        <x:v>Financeiro</x:v>
      </x:c>
      <x:c r="I2787" s="168" t="str">
        <x:v>Multicarteira Financeiro</x:v>
      </x:c>
      <x:c r="J2787" s="168" t="str">
        <x:v>CI</x:v>
      </x:c>
      <x:c r="K2787" s="174" t="n">
        <x:v>2</x:v>
      </x:c>
      <x:c r="L2787" s="187" t="str">
        <x:v>Proxy multicedente/multissacado — revisar</x:v>
      </x:c>
    </x:row>
    <x:row r="2788">
      <x:c r="A2788" s="177" t="str">
        <x:v>66.572.273/0001-19</x:v>
      </x:c>
      <x:c r="B2788" s="168" t="str">
        <x:v>RIDOLFINVEST 3 FUNDO DE INVESTIMENTO EM DIREITOS CREDITÓRIOS</x:v>
      </x:c>
      <x:c r="C2788" s="190" t="n">
        <x:v>5004616.45</x:v>
      </x:c>
      <x:c r="D2788" s="168" t="str">
        <x:v>Leen Capital</x:v>
      </x:c>
      <x:c r="E2788" s="168" t="str">
        <x:f>IFERROR(INDEX('Classif Gestoras'!$H$6:$H$462,MATCH(D2788,'Classif Gestoras'!$A$6:$A$462,0)),"Não classificada")</x:f>
        <x:v>Independente</x:v>
      </x:c>
      <x:c r="F2788" s="168" t="str">
        <x:v>BRL TRUST DTVM</x:v>
      </x:c>
      <x:c r="G2788" s="168" t="str">
        <x:v>BRL TRUST DISTRIBUIDORA DE TITULOS E VALORES MOBILIARIOS S.A.</x:v>
      </x:c>
      <x:c r="H2788" s="168" t="str">
        <x:v>Outros</x:v>
      </x:c>
      <x:c r="I2788" s="168" t="str">
        <x:v>Poder Público</x:v>
      </x:c>
      <x:c r="J2788" s="168" t="str">
        <x:v>CI</x:v>
      </x:c>
      <x:c r="K2788" s="174" t="n">
        <x:v>1</x:v>
      </x:c>
      <x:c r="L2788" s="187" t="str">
        <x:v>Não classificado</x:v>
      </x:c>
    </x:row>
    <x:row r="2789">
      <x:c r="A2789" s="177" t="str">
        <x:v>61.279.682/0001-08</x:v>
      </x:c>
      <x:c r="B2789" s="168" t="str">
        <x:v>ESMERALDA FUNDO DE INVESTIMENTO EM DIREITOS CREDITÓRIOS NÃO-PADRONIZADOS</x:v>
      </x:c>
      <x:c r="C2789" s="190" t="n">
        <x:v>4984356.58</x:v>
      </x:c>
      <x:c r="D2789" s="168" t="str">
        <x:v>ASSET MANAGEMENT</x:v>
      </x:c>
      <x:c r="E2789" s="168" t="str">
        <x:f>IFERROR(INDEX('Classif Gestoras'!$H$6:$H$462,MATCH(D2789,'Classif Gestoras'!$A$6:$A$462,0)),"Não classificada")</x:f>
        <x:v>Independente</x:v>
      </x:c>
      <x:c r="F2789" s="168" t="str">
        <x:v>AZUMI DISTRIBUIDORA DE TÍTULOS E VALORES MOBILIÁRIOS LT</x:v>
      </x:c>
      <x:c r="G2789" s="168" t="str">
        <x:v>AZUMI DISTRIBUIDORA DE TÍTULOS E VALORES MOBILIÁRIOS LTDA.</x:v>
      </x:c>
      <x:c r="H2789" s="168" t="str">
        <x:v>Fomento Mercantil</x:v>
      </x:c>
      <x:c r="I2789" s="168" t="str">
        <x:v>Fomento Mercantil</x:v>
      </x:c>
      <x:c r="J2789" s="168" t="str">
        <x:v>CI</x:v>
      </x:c>
      <x:c r="K2789" s="174" t="n">
        <x:v>2</x:v>
      </x:c>
      <x:c r="L2789" s="187" t="str">
        <x:v>Não classificado</x:v>
      </x:c>
    </x:row>
    <x:row r="2790">
      <x:c r="A2790" s="177" t="str">
        <x:v>63.606.839/0001-98</x:v>
      </x:c>
      <x:c r="B2790" s="168" t="str">
        <x:v>FORTEZZA FUNDO DE INVESTIMENTO EM DIREITOS CREDITÓRIOS CRÉDITO CORPORATIVO</x:v>
      </x:c>
      <x:c r="C2790" s="190" t="n">
        <x:v>4975980.52</x:v>
      </x:c>
      <x:c r="D2790" s="168" t="str">
        <x:v>Harbour Capital</x:v>
      </x:c>
      <x:c r="E2790" s="168" t="str">
        <x:f>IFERROR(INDEX('Classif Gestoras'!$H$6:$H$462,MATCH(D2790,'Classif Gestoras'!$A$6:$A$462,0)),"Não classificada")</x:f>
        <x:v>Independente</x:v>
      </x:c>
      <x:c r="F2790" s="168" t="str">
        <x:v>AZUMI DISTRIBUIDORA DE TÍTULOS E VALORES MOBILIÁRIOS LT</x:v>
      </x:c>
      <x:c r="G2790" s="168" t="str">
        <x:v>AZUMI DISTRIBUIDORA DE TÍTULOS E VALORES MOBILIÁRIOS LTDA.</x:v>
      </x:c>
      <x:c r="H2790" s="168" t="str">
        <x:v>Fomento Mercantil</x:v>
      </x:c>
      <x:c r="I2790" s="168" t="str">
        <x:v>Fomento Mercantil</x:v>
      </x:c>
      <x:c r="J2790" s="168" t="str">
        <x:v>CI</x:v>
      </x:c>
      <x:c r="K2790" s="174" t="n">
        <x:v>3</x:v>
      </x:c>
      <x:c r="L2790" s="187" t="str">
        <x:v>Não classificado</x:v>
      </x:c>
    </x:row>
    <x:row r="2791">
      <x:c r="A2791" s="177" t="str">
        <x:v>56.975.898/0001-78</x:v>
      </x:c>
      <x:c r="B2791" s="168" t="str">
        <x:v>ESQUADRO FUNDO DE INVESTIMENTO EM DIREITOS CREDITÓRIOS</x:v>
      </x:c>
      <x:c r="C2791" s="190" t="n">
        <x:v>4964734.42</x:v>
      </x:c>
      <x:c r="D2791" s="168" t="str">
        <x:v>OURO PRETO INVESTIMENTOS</x:v>
      </x:c>
      <x:c r="E2791" s="168" t="str">
        <x:f>IFERROR(INDEX('Classif Gestoras'!$H$6:$H$462,MATCH(D2791,'Classif Gestoras'!$A$6:$A$462,0)),"Não classificada")</x:f>
        <x:v>Independente</x:v>
      </x:c>
      <x:c r="F2791" s="168" t="str">
        <x:v>Singulare</x:v>
      </x:c>
      <x:c r="G2791" s="168" t="str">
        <x:v>QI CORRETORA DE TÍTULOS E VALORES MOBILIÁRIOS S.A.</x:v>
      </x:c>
      <x:c r="H2791" s="168" t="str">
        <x:v>Fomento Mercantil</x:v>
      </x:c>
      <x:c r="I2791" s="168" t="str">
        <x:v>Fomento Mercantil</x:v>
      </x:c>
      <x:c r="J2791" s="168" t="str">
        <x:v>CI</x:v>
      </x:c>
      <x:c r="K2791" s="174" t="n">
        <x:v>5</x:v>
      </x:c>
      <x:c r="L2791" s="187" t="str">
        <x:v>Não classificado</x:v>
      </x:c>
    </x:row>
    <x:row r="2792">
      <x:c r="A2792" s="177" t="str">
        <x:v>62.543.489/0001-03</x:v>
      </x:c>
      <x:c r="B2792" s="168" t="str">
        <x:v>IALA FUNDO DE INVESTIMENTO EM DIREITOS CREDITÓRIOS</x:v>
      </x:c>
      <x:c r="C2792" s="190" t="n">
        <x:v>4950787.890000001</x:v>
      </x:c>
      <x:c r="D2792" s="168" t="str">
        <x:v>TERCON ASSET MANAGEMENT</x:v>
      </x:c>
      <x:c r="E2792" s="168" t="str">
        <x:f>IFERROR(INDEX('Classif Gestoras'!$H$6:$H$462,MATCH(D2792,'Classif Gestoras'!$A$6:$A$462,0)),"Não classificada")</x:f>
        <x:v>Independente</x:v>
      </x:c>
      <x:c r="F2792" s="168" t="str">
        <x:v>MONETAR DISTRIBUIDORA DE TITUL</x:v>
      </x:c>
      <x:c r="G2792" s="168" t="str">
        <x:v>TERRA INVESTIMENTOS DISTRIBUIDORA DE TITULOS E VALORES MOBILIARIOS LTDA</x:v>
      </x:c>
      <x:c r="H2792" s="168" t="str">
        <x:v>Fomento Mercantil</x:v>
      </x:c>
      <x:c r="I2792" s="168" t="str">
        <x:v>Fomento Mercantil</x:v>
      </x:c>
      <x:c r="J2792" s="168" t="str">
        <x:v>CI</x:v>
      </x:c>
      <x:c r="K2792" s="174" t="n">
        <x:v>2</x:v>
      </x:c>
      <x:c r="L2792" s="187" t="str">
        <x:v>Não classificado</x:v>
      </x:c>
    </x:row>
    <x:row r="2793">
      <x:c r="A2793" s="177" t="str">
        <x:v>64.656.407/0001-54</x:v>
      </x:c>
      <x:c r="B2793" s="168" t="str">
        <x:v>FUNDO DE INVESTIMENTO EM DIREITOS CREDITÓRIOS 360 CONSIGNADO</x:v>
      </x:c>
      <x:c r="C2793" s="190" t="n">
        <x:v>4915740.96</x:v>
      </x:c>
      <x:c r="D2793" s="168" t="str">
        <x:v>VALORA RENDA FIXA ESTRUTURADOS LTDA.</x:v>
      </x:c>
      <x:c r="E2793" s="168" t="str">
        <x:f>IFERROR(INDEX('Classif Gestoras'!$H$6:$H$462,MATCH(D2793,'Classif Gestoras'!$A$6:$A$462,0)),"Não classificada")</x:f>
        <x:v>Independente</x:v>
      </x:c>
      <x:c r="F2793" s="168" t="str">
        <x:v>BANCO DAYCOVAL S/A</x:v>
      </x:c>
      <x:c r="G2793" s="168" t="str">
        <x:v>BANCO DAYCOVAL S.A.</x:v>
      </x:c>
      <x:c r="H2793" s="168" t="str">
        <x:v>Financeiro</x:v>
      </x:c>
      <x:c r="I2793" s="168" t="str">
        <x:v>Crédito Consignado</x:v>
      </x:c>
      <x:c r="J2793" s="168" t="str">
        <x:v>CI</x:v>
      </x:c>
      <x:c r="K2793" s="174" t="n">
        <x:v>5</x:v>
      </x:c>
      <x:c r="L2793" s="187" t="str">
        <x:v>Não classificado</x:v>
      </x:c>
    </x:row>
    <x:row r="2794">
      <x:c r="A2794" s="177" t="str">
        <x:v>54.012.401/0001-90</x:v>
      </x:c>
      <x:c r="B2794" s="168" t="str">
        <x:v>MB JIVE INCOME FUND FUNDO DE INVESTIMENTO EM DIREITOS CREDITÓRIOS - RESPONSABILIDADE LIMITADA</x:v>
      </x:c>
      <x:c r="C2794" s="190" t="n">
        <x:v>4912058.109999999</x:v>
      </x:c>
      <x:c r="D2794" s="168" t="str">
        <x:v>JIVE INVESTMENTS</x:v>
      </x:c>
      <x:c r="E2794" s="168" t="str">
        <x:f>IFERROR(INDEX('Classif Gestoras'!$H$6:$H$462,MATCH(D2794,'Classif Gestoras'!$A$6:$A$462,0)),"Não classificada")</x:f>
        <x:v>Independente</x:v>
      </x:c>
      <x:c r="F2794" s="168" t="str">
        <x:v>MAF Distribuidora de Títulos e Valores Mobiliários S.A.</x:v>
      </x:c>
      <x:c r="G2794" s="168" t="str">
        <x:v>MAF DISTRIBUIDORA DE TITULOS E VALORES MOBILIARIOS S.A.</x:v>
      </x:c>
      <x:c r="H2794" s="168" t="str">
        <x:v>Outros</x:v>
      </x:c>
      <x:c r="I2794" s="168" t="str">
        <x:v>Poder Público</x:v>
      </x:c>
      <x:c r="J2794" s="168" t="str">
        <x:v>CI</x:v>
      </x:c>
      <x:c r="K2794" s="174" t="n">
        <x:v>2</x:v>
      </x:c>
      <x:c r="L2794" s="187" t="str">
        <x:v>Não classificado</x:v>
      </x:c>
    </x:row>
    <x:row r="2795">
      <x:c r="A2795" s="177" t="str">
        <x:v>08.845.618/0001-64</x:v>
      </x:c>
      <x:c r="B2795" s="168" t="str">
        <x:v>FIDC MULTISETORIAL MAXIMUM</x:v>
      </x:c>
      <x:c r="C2795" s="190" t="n">
        <x:v>4905112.620000001</x:v>
      </x:c>
      <x:c r="D2795" s="168" t="str">
        <x:v>BNY MELLON SERVICOS</x:v>
      </x:c>
      <x:c r="E2795" s="168" t="str">
        <x:f>IFERROR(INDEX('Classif Gestoras'!$H$6:$H$462,MATCH(D2795,'Classif Gestoras'!$A$6:$A$462,0)),"Não classificada")</x:f>
        <x:v>Independente</x:v>
      </x:c>
      <x:c r="F2795" s="168" t="str">
        <x:v>BNY MELLON SERVICOS</x:v>
      </x:c>
      <x:c r="G2795" s="168" t="str">
        <x:v>BNY MELLON BANCO S.A.</x:v>
      </x:c>
      <x:c r="H2795" s="168" t="str">
        <x:v>Fomento Mercantil</x:v>
      </x:c>
      <x:c r="I2795" s="168" t="str">
        <x:v>Fomento Mercantil</x:v>
      </x:c>
      <x:c r="J2795" s="168" t="str">
        <x:v>CI</x:v>
      </x:c>
      <x:c r="K2795" s="174" t="n">
        <x:v>478</x:v>
      </x:c>
      <x:c r="L2795" s="187" t="str">
        <x:v>Não classificado</x:v>
      </x:c>
    </x:row>
    <x:row r="2796">
      <x:c r="A2796" s="177" t="str">
        <x:v>58.570.039/0001-24</x:v>
      </x:c>
      <x:c r="B2796" s="168" t="str">
        <x:v>CACTUS FUNDO DE INVESTIMENTO EM DIREITOS CREDITÓRIOS</x:v>
      </x:c>
      <x:c r="C2796" s="190" t="n">
        <x:v>4850334.2</x:v>
      </x:c>
      <x:c r="D2796" s="168" t="str">
        <x:v>Iggy Investimentos</x:v>
      </x:c>
      <x:c r="E2796" s="168" t="str">
        <x:f>IFERROR(INDEX('Classif Gestoras'!$H$6:$H$462,MATCH(D2796,'Classif Gestoras'!$A$6:$A$462,0)),"Não classificada")</x:f>
        <x:v>Independente</x:v>
      </x:c>
      <x:c r="F2796" s="168" t="str">
        <x:v>Singulare</x:v>
      </x:c>
      <x:c r="G2796" s="168" t="str">
        <x:v>QI CORRETORA DE TÍTULOS E VALORES MOBILIÁRIOS S.A.</x:v>
      </x:c>
      <x:c r="H2796" s="168" t="str">
        <x:v>Fomento Mercantil</x:v>
      </x:c>
      <x:c r="I2796" s="168" t="str">
        <x:v>Fomento Mercantil</x:v>
      </x:c>
      <x:c r="J2796" s="168" t="str">
        <x:v>CI</x:v>
      </x:c>
      <x:c r="K2796" s="174" t="n">
        <x:v>3</x:v>
      </x:c>
      <x:c r="L2796" s="187" t="str">
        <x:v>Não classificado</x:v>
      </x:c>
    </x:row>
    <x:row r="2797">
      <x:c r="A2797" s="177" t="str">
        <x:v>42.866.928/0001-01</x:v>
      </x:c>
      <x:c r="B2797" s="168" t="str">
        <x:v>SETTE FUNDO DE INVESTIMENTO EM DIREITOS CREDITÓRIOS RESPONSABILIDADE LIMITADA</x:v>
      </x:c>
      <x:c r="C2797" s="190" t="n">
        <x:v>4784077.49</x:v>
      </x:c>
      <x:c r="D2797" s="168" t="str">
        <x:v>Libertas Asset</x:v>
      </x:c>
      <x:c r="E2797" s="168" t="str">
        <x:f>IFERROR(INDEX('Classif Gestoras'!$H$6:$H$462,MATCH(D2797,'Classif Gestoras'!$A$6:$A$462,0)),"Não classificada")</x:f>
        <x:v>Independente</x:v>
      </x:c>
      <x:c r="F2797" s="168" t="str">
        <x:v>ACTUAL DTVM</x:v>
      </x:c>
      <x:c r="G2797" s="168" t="str">
        <x:v>LASTRO RDV DTVM LTDA</x:v>
      </x:c>
      <x:c r="H2797" s="168" t="str">
        <x:v>Fomento Mercantil</x:v>
      </x:c>
      <x:c r="I2797" s="168" t="str">
        <x:v>Fomento Mercantil</x:v>
      </x:c>
      <x:c r="J2797" s="168" t="str">
        <x:v>CI</x:v>
      </x:c>
      <x:c r="K2797" s="174" t="n">
        <x:v>2</x:v>
      </x:c>
      <x:c r="L2797" s="187" t="str">
        <x:v>Não classificado</x:v>
      </x:c>
    </x:row>
    <x:row r="2798">
      <x:c r="A2798" s="177" t="str">
        <x:v>64.509.633/0001-02</x:v>
      </x:c>
      <x:c r="B2798" s="168" t="str">
        <x:v>AMETISTA CONSIGNADO III FUNDO DE INVESTIMENTO EM DIREITOS CREDITÓRIOS</x:v>
      </x:c>
      <x:c r="C2798" s="190" t="n">
        <x:v>4748561.579999999</x:v>
      </x:c>
      <x:c r="D2798" s="168" t="str">
        <x:v>FICTOR ASSET</x:v>
      </x:c>
      <x:c r="E2798" s="168" t="str">
        <x:f>IFERROR(INDEX('Classif Gestoras'!$H$6:$H$462,MATCH(D2798,'Classif Gestoras'!$A$6:$A$462,0)),"Não classificada")</x:f>
        <x:v>Independente</x:v>
      </x:c>
      <x:c r="F2798" s="168" t="str">
        <x:v>Qore DTVM</x:v>
      </x:c>
      <x:c r="G2798" s="168" t="str">
        <x:v>QORE DISTRIBUIDORA DE TÍTULOS E VALORES MOBILIÁRIOS LTDA.</x:v>
      </x:c>
      <x:c r="H2798" s="168" t="str">
        <x:v>Financeiro</x:v>
      </x:c>
      <x:c r="I2798" s="168" t="str">
        <x:v>Crédito Consignado</x:v>
      </x:c>
      <x:c r="J2798" s="168" t="str">
        <x:v>CI</x:v>
      </x:c>
      <x:c r="K2798" s="174" t="n">
        <x:v>1</x:v>
      </x:c>
      <x:c r="L2798" s="187" t="str">
        <x:v>Não classificado</x:v>
      </x:c>
    </x:row>
    <x:row r="2799">
      <x:c r="A2799" s="177" t="str">
        <x:v>19.832.159/0001-09</x:v>
      </x:c>
      <x:c r="B2799" s="168" t="str">
        <x:v>INX SSPI BONDS FUNDO DE INVESTIMENTO EM DIREITOS CREDITÓRIOS NÃO-PADRONIZADOS</x:v>
      </x:c>
      <x:c r="C2799" s="190" t="n">
        <x:v>4743578.210000001</x:v>
      </x:c>
      <x:c r="D2799" s="168" t="str">
        <x:v>Veritas Capital Management</x:v>
      </x:c>
      <x:c r="E2799" s="168" t="str">
        <x:f>IFERROR(INDEX('Classif Gestoras'!$H$6:$H$462,MATCH(D2799,'Classif Gestoras'!$A$6:$A$462,0)),"Não classificada")</x:f>
        <x:v>Independente</x:v>
      </x:c>
      <x:c r="F2799" s="168" t="str">
        <x:v>RJI Investimentos</x:v>
      </x:c>
      <x:c r="G2799" s="168" t="str">
        <x:v>RJI CORRETORA DE TÍTULOS E VALORES MOBILIÁRIOS LTDA.</x:v>
      </x:c>
      <x:c r="H2799" s="168" t="str">
        <x:v>Outros</x:v>
      </x:c>
      <x:c r="I2799" s="168" t="str">
        <x:v>Poder Público</x:v>
      </x:c>
      <x:c r="J2799" s="168" t="str">
        <x:v>CI</x:v>
      </x:c>
      <x:c r="K2799" s="174" t="n">
        <x:v>4</x:v>
      </x:c>
      <x:c r="L2799" s="187" t="str">
        <x:v>Não classificado</x:v>
      </x:c>
    </x:row>
    <x:row r="2800">
      <x:c r="A2800" s="177" t="str">
        <x:v>62.159.963/0001-90</x:v>
      </x:c>
      <x:c r="B2800" s="168" t="str">
        <x:v>GUARDIAN CONSIGNADO FEDERAL FIDC RESP LIMITADA</x:v>
      </x:c>
      <x:c r="C2800" s="190" t="n">
        <x:v>4735097.67</x:v>
      </x:c>
      <x:c r="D2800" s="168" t="str">
        <x:v>Guardian Crédito</x:v>
      </x:c>
      <x:c r="E2800" s="168" t="str">
        <x:f>IFERROR(INDEX('Classif Gestoras'!$H$6:$H$462,MATCH(D2800,'Classif Gestoras'!$A$6:$A$462,0)),"Não classificada")</x:f>
        <x:v>Independente</x:v>
      </x:c>
      <x:c r="F2800" s="168" t="str">
        <x:v>BANCO DAYCOVAL S/A</x:v>
      </x:c>
      <x:c r="G2800" s="168" t="str">
        <x:v>BANCO DAYCOVAL S.A.</x:v>
      </x:c>
      <x:c r="H2800" s="168" t="str">
        <x:v>Financeiro</x:v>
      </x:c>
      <x:c r="I2800" s="168" t="str">
        <x:v>Crédito Consignado</x:v>
      </x:c>
      <x:c r="J2800" s="168" t="str">
        <x:v>CI</x:v>
      </x:c>
      <x:c r="K2800" s="174" t="n">
        <x:v>1</x:v>
      </x:c>
      <x:c r="L2800" s="187" t="str">
        <x:v>Não classificado</x:v>
      </x:c>
    </x:row>
    <x:row r="2801">
      <x:c r="A2801" s="177" t="str">
        <x:v>39.703.077/0001-63</x:v>
      </x:c>
      <x:c r="B2801" s="168" t="str">
        <x:v>QANTIC IONIQ FUNDO DE INVESTIMENTO EM DIREITOS CREDITÓRIOS</x:v>
      </x:c>
      <x:c r="C2801" s="190" t="n">
        <x:v>4716581.88</x:v>
      </x:c>
      <x:c r="D2801" s="168" t="str">
        <x:v>GV ATACAMA CAPITAL LTDA.</x:v>
      </x:c>
      <x:c r="E2801" s="168" t="str">
        <x:f>IFERROR(INDEX('Classif Gestoras'!$H$6:$H$462,MATCH(D2801,'Classif Gestoras'!$A$6:$A$462,0)),"Não classificada")</x:f>
        <x:v>Independente</x:v>
      </x:c>
      <x:c r="F2801" s="168" t="str">
        <x:v>Singulare</x:v>
      </x:c>
      <x:c r="G2801" s="168" t="str">
        <x:v>QI CORRETORA DE TÍTULOS E VALORES MOBILIÁRIOS S.A.</x:v>
      </x:c>
      <x:c r="H2801" s="168" t="str">
        <x:v>Fomento Mercantil</x:v>
      </x:c>
      <x:c r="I2801" s="168" t="str">
        <x:v>Fomento Mercantil</x:v>
      </x:c>
      <x:c r="J2801" s="168" t="str">
        <x:v>CI</x:v>
      </x:c>
      <x:c r="K2801" s="174" t="n">
        <x:v>5</x:v>
      </x:c>
      <x:c r="L2801" s="187" t="str">
        <x:v>Não classificado</x:v>
      </x:c>
    </x:row>
    <x:row r="2802">
      <x:c r="A2802" s="177" t="str">
        <x:v>60.113.723/0001-29</x:v>
      </x:c>
      <x:c r="B2802" s="168" t="str">
        <x:v>FAIR DRIVE FUNDO DE INVESTIMENTO EM DIREITOS CREDITÓRIOS DE RESPONSABILIDADE LIMITADA</x:v>
      </x:c>
      <x:c r="C2802" s="190" t="n">
        <x:v>4710429.390000001</x:v>
      </x:c>
      <x:c r="D2802" s="168" t="str">
        <x:v>Horizonte Capital Gestão de Investimentos LTDA</x:v>
      </x:c>
      <x:c r="E2802" s="168" t="str">
        <x:f>IFERROR(INDEX('Classif Gestoras'!$H$6:$H$462,MATCH(D2802,'Classif Gestoras'!$A$6:$A$462,0)),"Não classificada")</x:f>
        <x:v>Independente</x:v>
      </x:c>
      <x:c r="F2802" s="168" t="str">
        <x:v>FIDD DISTRIBUIDORA DE TITULOS E VALORES MOBILIARIOS LTD</x:v>
      </x:c>
      <x:c r="G2802" s="168" t="str">
        <x:v>FIDD DISTRIBUIDORA DE TITULOS E VALORES MOBILIARIOS LTDA.</x:v>
      </x:c>
      <x:c r="H2802" s="168" t="str">
        <x:v>Agro, Indústria e Comércio</x:v>
      </x:c>
      <x:c r="I2802" s="168" t="str">
        <x:v>Crédito Corporativo</x:v>
      </x:c>
      <x:c r="J2802" s="168" t="str">
        <x:v>CI</x:v>
      </x:c>
      <x:c r="K2802" s="174" t="n">
        <x:v>5</x:v>
      </x:c>
      <x:c r="L2802" s="187" t="str">
        <x:v>Não classificado</x:v>
      </x:c>
    </x:row>
    <x:row r="2803">
      <x:c r="A2803" s="177" t="str">
        <x:v>65.276.225/0001-10</x:v>
      </x:c>
      <x:c r="B2803" s="168" t="str">
        <x:v>EP ACESS SOSU OPPORTUNITIES III FIDC RESPONSABILIDADE LIMITADA</x:v>
      </x:c>
      <x:c r="C2803" s="190" t="n">
        <x:v>4685859.29</x:v>
      </x:c>
      <x:c r="D2803" s="168" t="str">
        <x:v>Etti Partners</x:v>
      </x:c>
      <x:c r="E2803" s="168" t="str">
        <x:f>IFERROR(INDEX('Classif Gestoras'!$H$6:$H$462,MATCH(D2803,'Classif Gestoras'!$A$6:$A$462,0)),"Não classificada")</x:f>
        <x:v>Independente</x:v>
      </x:c>
      <x:c r="F2803" s="168" t="str">
        <x:v>BRL TRUST DTVM</x:v>
      </x:c>
      <x:c r="G2803" s="168" t="str">
        <x:v>BRL TRUST DISTRIBUIDORA DE TITULOS E VALORES MOBILIARIOS S.A.</x:v>
      </x:c>
      <x:c r="H2803" s="168" t="str">
        <x:v>Outros</x:v>
      </x:c>
      <x:c r="I2803" s="168" t="str">
        <x:v>Multicarteira Outros</x:v>
      </x:c>
      <x:c r="J2803" s="168" t="str">
        <x:v>CI</x:v>
      </x:c>
      <x:c r="K2803" s="174" t="n">
        <x:v>16</x:v>
      </x:c>
      <x:c r="L2803" s="187" t="str">
        <x:v>Proxy multicedente/multissacado — revisar</x:v>
      </x:c>
    </x:row>
    <x:row r="2804">
      <x:c r="A2804" s="177" t="str">
        <x:v>32.396.488/0001-04</x:v>
      </x:c>
      <x:c r="B2804" s="168" t="str">
        <x:v>CNPJ 32396488000104</x:v>
      </x:c>
      <x:c r="C2804" s="190" t="n">
        <x:v>4680729.46</x:v>
      </x:c>
      <x:c r="D2804" s="168" t="str">
        <x:v>WNT Gestora de Recursos Ltda.</x:v>
      </x:c>
      <x:c r="E2804" s="168" t="str">
        <x:f>IFERROR(INDEX('Classif Gestoras'!$H$6:$H$462,MATCH(D2804,'Classif Gestoras'!$A$6:$A$462,0)),"Não classificada")</x:f>
        <x:v>Independente</x:v>
      </x:c>
      <x:c r="F2804" s="168" t="str">
        <x:v>WNT DTVM</x:v>
      </x:c>
      <x:c r="G2804" s="168" t="str">
        <x:v>Não identificado</x:v>
      </x:c>
      <x:c r="H2804" s="168" t="str">
        <x:v>Financeiro</x:v>
      </x:c>
      <x:c r="I2804" s="168" t="str">
        <x:v>Crédito Pessoal</x:v>
      </x:c>
      <x:c r="J2804" s="168" t="str">
        <x:v>CI</x:v>
      </x:c>
      <x:c r="K2804" s="174"/>
      <x:c r="L2804" s="187" t="str">
        <x:v>Não classificado</x:v>
      </x:c>
    </x:row>
    <x:row r="2805">
      <x:c r="A2805" s="177" t="str">
        <x:v>53.808.205/0001-64</x:v>
      </x:c>
      <x:c r="B2805" s="168" t="str">
        <x:v>FUNDO DE INVESTIMENTO EM DIREITOS CREDITÓRIOS GYMCRED - RESPONSABILIDADE LIMITADA</x:v>
      </x:c>
      <x:c r="C2805" s="190" t="n">
        <x:v>4673388.26</x:v>
      </x:c>
      <x:c r="D2805" s="168" t="str">
        <x:v>Iron Capital</x:v>
      </x:c>
      <x:c r="E2805" s="168" t="str">
        <x:f>IFERROR(INDEX('Classif Gestoras'!$H$6:$H$462,MATCH(D2805,'Classif Gestoras'!$A$6:$A$462,0)),"Não classificada")</x:f>
        <x:v>Independente</x:v>
      </x:c>
      <x:c r="F2805" s="168" t="str">
        <x:v>ID Corretora de Títulos e Valores Mobiliários S.A.</x:v>
      </x:c>
      <x:c r="G2805" s="168" t="str">
        <x:v>ID CORRETORA DE TITULOS E VALORES MOBILIARIOS S.A.</x:v>
      </x:c>
      <x:c r="H2805" s="168" t="str">
        <x:v>Outros</x:v>
      </x:c>
      <x:c r="I2805" s="168" t="str">
        <x:v>Multicarteira Outros</x:v>
      </x:c>
      <x:c r="J2805" s="168" t="str">
        <x:v>CI</x:v>
      </x:c>
      <x:c r="K2805" s="174" t="n">
        <x:v>19</x:v>
      </x:c>
      <x:c r="L2805" s="187" t="str">
        <x:v>Proxy multicedente/multissacado — revisar</x:v>
      </x:c>
    </x:row>
    <x:row r="2806">
      <x:c r="A2806" s="177" t="str">
        <x:v>58.494.685/0001-50</x:v>
      </x:c>
      <x:c r="B2806" s="168" t="str">
        <x:v>PRINCIPIAPAY CRÉDITO EDUCAÇÃO FUNDO DE INVESTIMENTO EM DIREITOS CREDITÓRIOS FINANCEIROS RESPONSABILI</x:v>
      </x:c>
      <x:c r="C2806" s="190" t="n">
        <x:v>4665954.23</x:v>
      </x:c>
      <x:c r="D2806" s="168" t="str">
        <x:v>Milênio Capital</x:v>
      </x:c>
      <x:c r="E2806" s="168" t="str">
        <x:f>IFERROR(INDEX('Classif Gestoras'!$H$6:$H$462,MATCH(D2806,'Classif Gestoras'!$A$6:$A$462,0)),"Não classificada")</x:f>
        <x:v>Independente</x:v>
      </x:c>
      <x:c r="F2806" s="168" t="str">
        <x:v>VÓRTX DTVM</x:v>
      </x:c>
      <x:c r="G2806" s="168" t="str">
        <x:v>VORTX DISTRIBUIDORA DE TITULOS E VALORES MOBILIARIOS LTDA.</x:v>
      </x:c>
      <x:c r="H2806" s="168" t="str">
        <x:v>Financeiro</x:v>
      </x:c>
      <x:c r="I2806" s="168" t="str">
        <x:v>Crédito Pessoal</x:v>
      </x:c>
      <x:c r="J2806" s="168" t="str">
        <x:v>CI</x:v>
      </x:c>
      <x:c r="K2806" s="174" t="n">
        <x:v>12</x:v>
      </x:c>
      <x:c r="L2806" s="187" t="str">
        <x:v>Não classificado</x:v>
      </x:c>
    </x:row>
    <x:row r="2807">
      <x:c r="A2807" s="177" t="str">
        <x:v>63.680.237/0001-80</x:v>
      </x:c>
      <x:c r="B2807" s="168" t="str">
        <x:v>H2A FUNDO DE INVESTIMENTO EM DIREITOS CREDITÓRIOS MULTISSEGMENTOS</x:v>
      </x:c>
      <x:c r="C2807" s="190" t="n">
        <x:v>4654972.28</x:v>
      </x:c>
      <x:c r="D2807" s="168" t="str">
        <x:v>Petra Capital</x:v>
      </x:c>
      <x:c r="E2807" s="168" t="str">
        <x:f>IFERROR(INDEX('Classif Gestoras'!$H$6:$H$462,MATCH(D2807,'Classif Gestoras'!$A$6:$A$462,0)),"Não classificada")</x:f>
        <x:v>Independente</x:v>
      </x:c>
      <x:c r="F2807" s="168" t="str">
        <x:v>Finaxis Corretora de Títulos e Valores Mobiliários S.A.</x:v>
      </x:c>
      <x:c r="G2807" s="168" t="str">
        <x:v>BANCO FINAXIS S.A.</x:v>
      </x:c>
      <x:c r="H2807" s="168" t="str">
        <x:v>Outros</x:v>
      </x:c>
      <x:c r="I2807" s="168" t="str">
        <x:v>Multicarteira Outros</x:v>
      </x:c>
      <x:c r="J2807" s="168" t="str">
        <x:v>CI</x:v>
      </x:c>
      <x:c r="K2807" s="174" t="n">
        <x:v>6</x:v>
      </x:c>
      <x:c r="L2807" s="187" t="str">
        <x:v>Proxy multicedente/multissacado — revisar</x:v>
      </x:c>
    </x:row>
    <x:row r="2808">
      <x:c r="A2808" s="177" t="str">
        <x:v>56.265.097/0001-19</x:v>
      </x:c>
      <x:c r="B2808" s="168" t="str">
        <x:v>ORIZ JUS II FUNDO DE INVESTIMENTO EM DIREITOS CREDITÓRIOS</x:v>
      </x:c>
      <x:c r="C2808" s="190" t="n">
        <x:v>4649886.779999999</x:v>
      </x:c>
      <x:c r="D2808" s="168" t="str">
        <x:v>ORIZ ASSET MANAGEMENT LTDA.</x:v>
      </x:c>
      <x:c r="E2808" s="168" t="str">
        <x:f>IFERROR(INDEX('Classif Gestoras'!$H$6:$H$462,MATCH(D2808,'Classif Gestoras'!$A$6:$A$462,0)),"Não classificada")</x:f>
        <x:v>Independente</x:v>
      </x:c>
      <x:c r="F2808" s="168" t="str">
        <x:v>BANCO DAYCOVAL S/A</x:v>
      </x:c>
      <x:c r="G2808" s="168" t="str">
        <x:v>BANCO DAYCOVAL S.A.</x:v>
      </x:c>
      <x:c r="H2808" s="168" t="str">
        <x:v>Outros</x:v>
      </x:c>
      <x:c r="I2808" s="168" t="str">
        <x:v>Poder Público</x:v>
      </x:c>
      <x:c r="J2808" s="168" t="str">
        <x:v>CI</x:v>
      </x:c>
      <x:c r="K2808" s="174" t="n">
        <x:v>3</x:v>
      </x:c>
      <x:c r="L2808" s="187" t="str">
        <x:v>Não classificado</x:v>
      </x:c>
    </x:row>
    <x:row r="2809">
      <x:c r="A2809" s="177" t="str">
        <x:v>45.144.799/0001-28</x:v>
      </x:c>
      <x:c r="B2809" s="168" t="str">
        <x:v>TOMORROW NOW FUNDO DE INVESTIMENTO EM DIREITOS CREDITÓRIOS DE RESPONSABILIDADE LIMITADA</x:v>
      </x:c>
      <x:c r="C2809" s="190" t="n">
        <x:v>4583548.04</x:v>
      </x:c>
      <x:c r="D2809" s="168" t="str">
        <x:v>Aventis Asset</x:v>
      </x:c>
      <x:c r="E2809" s="168" t="str">
        <x:f>IFERROR(INDEX('Classif Gestoras'!$H$6:$H$462,MATCH(D2809,'Classif Gestoras'!$A$6:$A$462,0)),"Não classificada")</x:f>
        <x:v>Independente</x:v>
      </x:c>
      <x:c r="F2809" s="168" t="str">
        <x:v>BANCO DAYCOVAL S/A</x:v>
      </x:c>
      <x:c r="G2809" s="168" t="str">
        <x:v>BANCO DAYCOVAL S.A.</x:v>
      </x:c>
      <x:c r="H2809" s="168" t="str">
        <x:v>Agro, Indústria e Comércio</x:v>
      </x:c>
      <x:c r="I2809" s="168" t="str">
        <x:v>Recebíveis Comerciais</x:v>
      </x:c>
      <x:c r="J2809" s="168" t="str">
        <x:v>CI</x:v>
      </x:c>
      <x:c r="K2809" s="174" t="n">
        <x:v>1</x:v>
      </x:c>
      <x:c r="L2809" s="187" t="str">
        <x:v>Não classificado</x:v>
      </x:c>
    </x:row>
    <x:row r="2810">
      <x:c r="A2810" s="177" t="str">
        <x:v>43.271.544/0001-09</x:v>
      </x:c>
      <x:c r="B2810" s="168" t="str">
        <x:v>CBZ I FUNDO DE INVESTIMENTO EM DIREITOS CREDITORIOS</x:v>
      </x:c>
      <x:c r="C2810" s="190" t="n">
        <x:v>4548189.91</x:v>
      </x:c>
      <x:c r="D2810" s="168" t="str">
        <x:v>SKADE Capital</x:v>
      </x:c>
      <x:c r="E2810" s="168" t="str">
        <x:f>IFERROR(INDEX('Classif Gestoras'!$H$6:$H$462,MATCH(D2810,'Classif Gestoras'!$A$6:$A$462,0)),"Não classificada")</x:f>
        <x:v>Independente</x:v>
      </x:c>
      <x:c r="F2810" s="168" t="str">
        <x:v>LASTRO RDV DIST. DE</x:v>
      </x:c>
      <x:c r="G2810" s="168" t="str">
        <x:v>LASTRO RDV DTVM LTDA</x:v>
      </x:c>
      <x:c r="H2810" s="168" t="str">
        <x:v>Fomento Mercantil</x:v>
      </x:c>
      <x:c r="I2810" s="168" t="str">
        <x:v>Fomento Mercantil</x:v>
      </x:c>
      <x:c r="J2810" s="168" t="str">
        <x:v>CI</x:v>
      </x:c>
      <x:c r="K2810" s="174" t="n">
        <x:v>1</x:v>
      </x:c>
      <x:c r="L2810" s="187" t="str">
        <x:v>Não classificado</x:v>
      </x:c>
    </x:row>
    <x:row r="2811">
      <x:c r="A2811" s="177" t="str">
        <x:v>31.523.773/0001-86</x:v>
      </x:c>
      <x:c r="B2811" s="168" t="str">
        <x:v>FUNDO DE INVESTIMENTO EM DIREITOS CREDITÓRIOS ALI CRÉDITO</x:v>
      </x:c>
      <x:c r="C2811" s="190" t="n">
        <x:v>4507174.73</x:v>
      </x:c>
      <x:c r="D2811" s="168" t="str">
        <x:v>Solis</x:v>
      </x:c>
      <x:c r="E2811" s="168" t="str">
        <x:f>IFERROR(INDEX('Classif Gestoras'!$H$6:$H$462,MATCH(D2811,'Classif Gestoras'!$A$6:$A$462,0)),"Não classificada")</x:f>
        <x:v>Independente</x:v>
      </x:c>
      <x:c r="F2811" s="168" t="str">
        <x:v>HEMERA DTVM</x:v>
      </x:c>
      <x:c r="G2811" s="168" t="str">
        <x:v>HEMERA DISTRIBUIDORA DE TITULOS E VALORES MOBILIARIOS LTDA</x:v>
      </x:c>
      <x:c r="H2811" s="168" t="str">
        <x:v>Financeiro</x:v>
      </x:c>
      <x:c r="I2811" s="168" t="str">
        <x:v>Multicarteira Financeiro</x:v>
      </x:c>
      <x:c r="J2811" s="168" t="str">
        <x:v>CI</x:v>
      </x:c>
      <x:c r="K2811" s="174" t="n">
        <x:v>1</x:v>
      </x:c>
      <x:c r="L2811" s="187" t="str">
        <x:v>Proxy multicedente/multissacado — revisar</x:v>
      </x:c>
    </x:row>
    <x:row r="2812">
      <x:c r="A2812" s="177" t="str">
        <x:v>65.100.186/0001-04</x:v>
      </x:c>
      <x:c r="B2812" s="168" t="str">
        <x:v>SALAMANDER FUNDO DE INVESTIMENTO EM DIREITOS CREDITÓRIOS CRÉDITO CONSIGNADO PRIVADO - RESP. LIMITADA</x:v>
      </x:c>
      <x:c r="C2812" s="190" t="n">
        <x:v>4493503.64</x:v>
      </x:c>
      <x:c r="D2812" s="168" t="str">
        <x:v>Strata Capital</x:v>
      </x:c>
      <x:c r="E2812" s="168" t="str">
        <x:f>IFERROR(INDEX('Classif Gestoras'!$H$6:$H$462,MATCH(D2812,'Classif Gestoras'!$A$6:$A$462,0)),"Não classificada")</x:f>
        <x:v>Independente</x:v>
      </x:c>
      <x:c r="F2812" s="168" t="str">
        <x:v>VERT Distribuidora de Títulos e Valores Mobiliários Ltd</x:v>
      </x:c>
      <x:c r="G2812" s="168" t="str">
        <x:v>VERT DISTRIBUIDORA DE TÍTULOS E VALORES MOBILIÁRIOS LTDA.</x:v>
      </x:c>
      <x:c r="H2812" s="168" t="str">
        <x:v>Financeiro</x:v>
      </x:c>
      <x:c r="I2812" s="168" t="str">
        <x:v>Crédito Consignado</x:v>
      </x:c>
      <x:c r="J2812" s="168" t="str">
        <x:v>CI</x:v>
      </x:c>
      <x:c r="K2812" s="174" t="n">
        <x:v>1</x:v>
      </x:c>
      <x:c r="L2812" s="187" t="str">
        <x:v>Não classificado</x:v>
      </x:c>
    </x:row>
    <x:row r="2813">
      <x:c r="A2813" s="177" t="str">
        <x:v>45.512.077/0001-89</x:v>
      </x:c>
      <x:c r="B2813" s="168" t="str">
        <x:v>ALEVI FUNDO DE INVESTIMENTO EM DIREITOS CREDITÓRIOS</x:v>
      </x:c>
      <x:c r="C2813" s="190" t="n">
        <x:v>4431361.5200000005</x:v>
      </x:c>
      <x:c r="D2813" s="168" t="str">
        <x:v>Redwood Asset Management</x:v>
      </x:c>
      <x:c r="E2813" s="168" t="str">
        <x:f>IFERROR(INDEX('Classif Gestoras'!$H$6:$H$462,MATCH(D2813,'Classif Gestoras'!$A$6:$A$462,0)),"Não classificada")</x:f>
        <x:v>Independente</x:v>
      </x:c>
      <x:c r="F2813" s="168" t="str">
        <x:v>PLANNER CV</x:v>
      </x:c>
      <x:c r="G2813" s="168" t="str">
        <x:v>PLANNER CORRETORA DE VALORES S.A.</x:v>
      </x:c>
      <x:c r="H2813" s="168" t="str">
        <x:v>Fomento Mercantil</x:v>
      </x:c>
      <x:c r="I2813" s="168" t="str">
        <x:v>Fomento Mercantil</x:v>
      </x:c>
      <x:c r="J2813" s="168" t="str">
        <x:v>CI</x:v>
      </x:c>
      <x:c r="K2813" s="174" t="n">
        <x:v>1</x:v>
      </x:c>
      <x:c r="L2813" s="187" t="str">
        <x:v>Não classificado</x:v>
      </x:c>
    </x:row>
    <x:row r="2814">
      <x:c r="A2814" s="177" t="str">
        <x:v>49.999.307/0001-37</x:v>
      </x:c>
      <x:c r="B2814" s="168" t="str">
        <x:v>ATIVOS ESTRATÉGICOS LOCAIS FUNDO DE INVESTIMENTO EM DIREITOS CREDITÓRIOS</x:v>
      </x:c>
      <x:c r="C2814" s="190" t="n">
        <x:v>4393498.8</x:v>
      </x:c>
      <x:c r="D2814" s="168" t="str">
        <x:v>FIDD Administração de Recursos Ltda.</x:v>
      </x:c>
      <x:c r="E2814" s="168" t="str">
        <x:f>IFERROR(INDEX('Classif Gestoras'!$H$6:$H$462,MATCH(D2814,'Classif Gestoras'!$A$6:$A$462,0)),"Não classificada")</x:f>
        <x:v>Independente</x:v>
      </x:c>
      <x:c r="F2814" s="168" t="str">
        <x:v>FIDD DISTRIBUIDORA DE TITULOS E VALORES MOBILIARIOS LTD</x:v>
      </x:c>
      <x:c r="G2814" s="168" t="str">
        <x:v>FIDD DISTRIBUIDORA DE TITULOS E VALORES MOBILIARIOS LTDA.</x:v>
      </x:c>
      <x:c r="H2814" s="168" t="str">
        <x:v>Agro, Indústria e Comércio</x:v>
      </x:c>
      <x:c r="I2814" s="168" t="str">
        <x:v>Crédito Corporativo</x:v>
      </x:c>
      <x:c r="J2814" s="168" t="str">
        <x:v>CI</x:v>
      </x:c>
      <x:c r="K2814" s="174" t="n">
        <x:v>1</x:v>
      </x:c>
      <x:c r="L2814" s="187" t="str">
        <x:v>Não classificado</x:v>
      </x:c>
    </x:row>
    <x:row r="2815">
      <x:c r="A2815" s="177" t="str">
        <x:v>62.705.336/0001-07</x:v>
      </x:c>
      <x:c r="B2815" s="168" t="str">
        <x:v>SALVADOR FUNDO DE INVESTIMENTO EM DIREITOS CREDITÓRIOS CRÉDITO CONSIGNADO RESPONSABILIDADE LIMITADA</x:v>
      </x:c>
      <x:c r="C2815" s="190" t="n">
        <x:v>4361899.15</x:v>
      </x:c>
      <x:c r="D2815" s="168" t="str">
        <x:v>VERT Gestora de Recursos Financeiros Ltda.</x:v>
      </x:c>
      <x:c r="E2815" s="168" t="str">
        <x:f>IFERROR(INDEX('Classif Gestoras'!$H$6:$H$462,MATCH(D2815,'Classif Gestoras'!$A$6:$A$462,0)),"Não classificada")</x:f>
        <x:v>Independente</x:v>
      </x:c>
      <x:c r="F2815" s="168" t="str">
        <x:v>VERT Distribuidora de Títulos e Valores Mobiliários Ltd</x:v>
      </x:c>
      <x:c r="G2815" s="168" t="str">
        <x:v>VERT DISTRIBUIDORA DE TÍTULOS E VALORES MOBILIÁRIOS LTDA.</x:v>
      </x:c>
      <x:c r="H2815" s="168" t="str">
        <x:v>Financeiro</x:v>
      </x:c>
      <x:c r="I2815" s="168" t="str">
        <x:v>Multicarteira Financeiro</x:v>
      </x:c>
      <x:c r="J2815" s="168" t="str">
        <x:v>CI</x:v>
      </x:c>
      <x:c r="K2815" s="174" t="n">
        <x:v>17</x:v>
      </x:c>
      <x:c r="L2815" s="187" t="str">
        <x:v>Proxy multicedente/multissacado — revisar</x:v>
      </x:c>
    </x:row>
    <x:row r="2816">
      <x:c r="A2816" s="177" t="str">
        <x:v>61.043.596/0001-00</x:v>
      </x:c>
      <x:c r="B2816" s="168" t="str">
        <x:v>LA VIE PFO FUNDO DE INVESTIMENTO EM DIREITOS CREDITÓRIOS</x:v>
      </x:c>
      <x:c r="C2816" s="190" t="n">
        <x:v>4359323.29</x:v>
      </x:c>
      <x:c r="D2816" s="168" t="str">
        <x:v>Redwood Asset Management</x:v>
      </x:c>
      <x:c r="E2816" s="168" t="str">
        <x:f>IFERROR(INDEX('Classif Gestoras'!$H$6:$H$462,MATCH(D2816,'Classif Gestoras'!$A$6:$A$462,0)),"Não classificada")</x:f>
        <x:v>Independente</x:v>
      </x:c>
      <x:c r="F2816" s="168" t="str">
        <x:v>PLANNER CV</x:v>
      </x:c>
      <x:c r="G2816" s="168" t="str">
        <x:v>PLANNER CORRETORA DE VALORES S.A.</x:v>
      </x:c>
      <x:c r="H2816" s="168" t="str">
        <x:v>Outros</x:v>
      </x:c>
      <x:c r="I2816" s="168" t="str">
        <x:v>Multicarteira Outros</x:v>
      </x:c>
      <x:c r="J2816" s="168" t="str">
        <x:v>CI</x:v>
      </x:c>
      <x:c r="K2816" s="174" t="n">
        <x:v>2</x:v>
      </x:c>
      <x:c r="L2816" s="187" t="str">
        <x:v>Proxy multicedente/multissacado — revisar</x:v>
      </x:c>
    </x:row>
    <x:row r="2817">
      <x:c r="A2817" s="177" t="str">
        <x:v>64.167.223/0001-20</x:v>
      </x:c>
      <x:c r="B2817" s="168" t="str">
        <x:v>FUNDO DE INVESTIMENTO EM DIREITOS CREDITÓRIOS BRAVE SHIELD RESPONSABILIDADE LIMITADA</x:v>
      </x:c>
      <x:c r="C2817" s="190" t="n">
        <x:v>4342620.13</x:v>
      </x:c>
      <x:c r="D2817" s="168" t="str">
        <x:v>Brave Asset</x:v>
      </x:c>
      <x:c r="E2817" s="168" t="str">
        <x:f>IFERROR(INDEX('Classif Gestoras'!$H$6:$H$462,MATCH(D2817,'Classif Gestoras'!$A$6:$A$462,0)),"Não classificada")</x:f>
        <x:v>Independente</x:v>
      </x:c>
      <x:c r="F2817" s="168" t="str">
        <x:v>VÓRTX DTVM</x:v>
      </x:c>
      <x:c r="G2817" s="168" t="str">
        <x:v>VORTX DISTRIBUIDORA DE TITULOS E VALORES MOBILIARIOS LTDA.</x:v>
      </x:c>
      <x:c r="H2817" s="168" t="str">
        <x:v>Outros</x:v>
      </x:c>
      <x:c r="I2817" s="168" t="str">
        <x:v>Crédito Imobiliário</x:v>
      </x:c>
      <x:c r="J2817" s="168" t="str">
        <x:v>CI</x:v>
      </x:c>
      <x:c r="K2817" s="174" t="n">
        <x:v>6</x:v>
      </x:c>
      <x:c r="L2817" s="187" t="str">
        <x:v>Não classificado</x:v>
      </x:c>
    </x:row>
    <x:row r="2818">
      <x:c r="A2818" s="177" t="str">
        <x:v>43.648.593/0001-00</x:v>
      </x:c>
      <x:c r="B2818" s="168" t="str">
        <x:v>FC MONEY FUNDO DE INVESTIMENTO EM DIREITOS CREDITÓRIOS RESPONSABILIDADE LIMITADA</x:v>
      </x:c>
      <x:c r="C2818" s="190" t="n">
        <x:v>4328364.87</x:v>
      </x:c>
      <x:c r="D2818" s="168" t="str">
        <x:v>CONTEA CAPITAL</x:v>
      </x:c>
      <x:c r="E2818" s="168" t="str">
        <x:f>IFERROR(INDEX('Classif Gestoras'!$H$6:$H$462,MATCH(D2818,'Classif Gestoras'!$A$6:$A$462,0)),"Não classificada")</x:f>
        <x:v>Independente</x:v>
      </x:c>
      <x:c r="F2818" s="168" t="str">
        <x:v>ID Corretora de Títulos e Valores Mobiliários S.A.</x:v>
      </x:c>
      <x:c r="G2818" s="168" t="str">
        <x:v>ID CORRETORA DE TITULOS E VALORES MOBILIARIOS S.A.</x:v>
      </x:c>
      <x:c r="H2818" s="168" t="str">
        <x:v>Outros</x:v>
      </x:c>
      <x:c r="I2818" s="168" t="str">
        <x:v>Multicarteira Outros</x:v>
      </x:c>
      <x:c r="J2818" s="168" t="str">
        <x:v>CI</x:v>
      </x:c>
      <x:c r="K2818" s="174" t="n">
        <x:v>10</x:v>
      </x:c>
      <x:c r="L2818" s="187" t="str">
        <x:v>Proxy multicedente/multissacado — revisar</x:v>
      </x:c>
    </x:row>
    <x:row r="2819">
      <x:c r="A2819" s="177" t="str">
        <x:v>55.330.962/0001-09</x:v>
      </x:c>
      <x:c r="B2819" s="168" t="str">
        <x:v>LEGATUS FUNDO DE INVESTIMENTO EM DIREITOS CREDITÓRIOS</x:v>
      </x:c>
      <x:c r="C2819" s="190" t="n">
        <x:v>4322707.11</x:v>
      </x:c>
      <x:c r="D2819" s="168" t="str">
        <x:v>Legatus Asset Management</x:v>
      </x:c>
      <x:c r="E2819" s="168" t="str">
        <x:f>IFERROR(INDEX('Classif Gestoras'!$H$6:$H$462,MATCH(D2819,'Classif Gestoras'!$A$6:$A$462,0)),"Não classificada")</x:f>
        <x:v>Independente</x:v>
      </x:c>
      <x:c r="F2819" s="168" t="str">
        <x:v>PLANNER CV</x:v>
      </x:c>
      <x:c r="G2819" s="168" t="str">
        <x:v>PLANNER CORRETORA DE VALORES S.A.</x:v>
      </x:c>
      <x:c r="H2819" s="168" t="str">
        <x:v>Outros</x:v>
      </x:c>
      <x:c r="I2819" s="168" t="str">
        <x:v>Multicarteira Outros</x:v>
      </x:c>
      <x:c r="J2819" s="168" t="str">
        <x:v>CI</x:v>
      </x:c>
      <x:c r="K2819" s="174" t="n">
        <x:v>11</x:v>
      </x:c>
      <x:c r="L2819" s="187" t="str">
        <x:v>Proxy multicedente/multissacado — revisar</x:v>
      </x:c>
    </x:row>
    <x:row r="2820">
      <x:c r="A2820" s="177" t="str">
        <x:v>54.246.795/0001-41</x:v>
      </x:c>
      <x:c r="B2820" s="168" t="str">
        <x:v>LOGÍSTICA BR I FUNDO DE INVESTIMENTO EM DIREITOS CREDITÓRIOS DE RESPONSABILIDADE ILIMITADA - LONGO P</x:v>
      </x:c>
      <x:c r="C2820" s="190" t="n">
        <x:v>4292766.220000001</x:v>
      </x:c>
      <x:c r="D2820" s="168" t="str">
        <x:v>ASAROCK ASSET MANAGEMENT</x:v>
      </x:c>
      <x:c r="E2820" s="168" t="str">
        <x:f>IFERROR(INDEX('Classif Gestoras'!$H$6:$H$462,MATCH(D2820,'Classif Gestoras'!$A$6:$A$462,0)),"Não classificada")</x:f>
        <x:v>Independente</x:v>
      </x:c>
      <x:c r="F2820" s="168" t="str">
        <x:v>ID Corretora de Títulos e Valores Mobiliários S.A.</x:v>
      </x:c>
      <x:c r="G2820" s="168" t="str">
        <x:v>ID CORRETORA DE TITULOS E VALORES MOBILIARIOS S.A.</x:v>
      </x:c>
      <x:c r="H2820" s="168" t="str">
        <x:v>Outros</x:v>
      </x:c>
      <x:c r="I2820" s="168" t="str">
        <x:v>Multicarteira Outros</x:v>
      </x:c>
      <x:c r="J2820" s="168" t="str">
        <x:v>CI</x:v>
      </x:c>
      <x:c r="K2820" s="174" t="n">
        <x:v>4</x:v>
      </x:c>
      <x:c r="L2820" s="187" t="str">
        <x:v>Proxy multicedente/multissacado — revisar</x:v>
      </x:c>
    </x:row>
    <x:row r="2821">
      <x:c r="A2821" s="177" t="str">
        <x:v>60.371.387/0001-14</x:v>
      </x:c>
      <x:c r="B2821" s="168" t="str">
        <x:v>FUNDO DE INVESTIMENTO EM DIREITOS CREDITÓRIOS NEXT CONSIG</x:v>
      </x:c>
      <x:c r="C2821" s="190" t="n">
        <x:v>4270639.06</x:v>
      </x:c>
      <x:c r="D2821" s="168" t="str">
        <x:v>ELLO ASSET MANAGEMENT</x:v>
      </x:c>
      <x:c r="E2821" s="168" t="str">
        <x:f>IFERROR(INDEX('Classif Gestoras'!$H$6:$H$462,MATCH(D2821,'Classif Gestoras'!$A$6:$A$462,0)),"Não classificada")</x:f>
        <x:v>Independente</x:v>
      </x:c>
      <x:c r="F2821" s="168" t="str">
        <x:v>ACTUAL DTVM</x:v>
      </x:c>
      <x:c r="G2821" s="168" t="str">
        <x:v>LASTRO RDV DTVM LTDA</x:v>
      </x:c>
      <x:c r="H2821" s="168" t="str">
        <x:v>Fomento Mercantil</x:v>
      </x:c>
      <x:c r="I2821" s="168" t="str">
        <x:v>Fomento Mercantil</x:v>
      </x:c>
      <x:c r="J2821" s="168" t="str">
        <x:v>CI</x:v>
      </x:c>
      <x:c r="K2821" s="174" t="n">
        <x:v>2</x:v>
      </x:c>
      <x:c r="L2821" s="187" t="str">
        <x:v>Não classificado</x:v>
      </x:c>
    </x:row>
    <x:row r="2822">
      <x:c r="A2822" s="177" t="str">
        <x:v>63.672.361/0001-02</x:v>
      </x:c>
      <x:c r="B2822" s="168" t="str">
        <x:v>GUARDIAN WAREHOUSE III FUNDO DE INVESTIMENTO EM DIREITOS CREDITÓRIOS RESPONSABILIDADE LIMITADA</x:v>
      </x:c>
      <x:c r="C2822" s="190" t="n">
        <x:v>4259415.25</x:v>
      </x:c>
      <x:c r="D2822" s="168" t="str">
        <x:v>Guardian Crédito</x:v>
      </x:c>
      <x:c r="E2822" s="168" t="str">
        <x:f>IFERROR(INDEX('Classif Gestoras'!$H$6:$H$462,MATCH(D2822,'Classif Gestoras'!$A$6:$A$462,0)),"Não classificada")</x:f>
        <x:v>Independente</x:v>
      </x:c>
      <x:c r="F2822" s="168" t="str">
        <x:v>BANCO DAYCOVAL S/A</x:v>
      </x:c>
      <x:c r="G2822" s="168" t="str">
        <x:v>BANCO DAYCOVAL S.A.</x:v>
      </x:c>
      <x:c r="H2822" s="168" t="str">
        <x:v>Financeiro</x:v>
      </x:c>
      <x:c r="I2822" s="168" t="str">
        <x:v>Crédito Consignado</x:v>
      </x:c>
      <x:c r="J2822" s="168" t="str">
        <x:v>CI</x:v>
      </x:c>
      <x:c r="K2822" s="174" t="n">
        <x:v>1</x:v>
      </x:c>
      <x:c r="L2822" s="187" t="str">
        <x:v>Não classificado</x:v>
      </x:c>
    </x:row>
    <x:row r="2823">
      <x:c r="A2823" s="177" t="str">
        <x:v>61.228.553/0001-90</x:v>
      </x:c>
      <x:c r="B2823" s="168" t="str">
        <x:v>BDM FUNDO DE INVESTIMENTO EM DIREITOS CREDITÓRIOS RESPONSABILIDADE LIMITADA</x:v>
      </x:c>
      <x:c r="C2823" s="190" t="n">
        <x:v>4236074.94</x:v>
      </x:c>
      <x:c r="D2823" s="168" t="str">
        <x:v>Hyperion</x:v>
      </x:c>
      <x:c r="E2823" s="168" t="str">
        <x:f>IFERROR(INDEX('Classif Gestoras'!$H$6:$H$462,MATCH(D2823,'Classif Gestoras'!$A$6:$A$462,0)),"Não classificada")</x:f>
        <x:v>Independente</x:v>
      </x:c>
      <x:c r="F2823" s="168" t="str">
        <x:v>ID Corretora de Títulos e Valores Mobiliários S.A.</x:v>
      </x:c>
      <x:c r="G2823" s="168" t="str">
        <x:v>ID CORRETORA DE TITULOS E VALORES MOBILIARIOS S.A.</x:v>
      </x:c>
      <x:c r="H2823" s="168" t="str">
        <x:v>Outros</x:v>
      </x:c>
      <x:c r="I2823" s="168" t="str">
        <x:v>Multicarteira Outros</x:v>
      </x:c>
      <x:c r="J2823" s="168" t="str">
        <x:v>CI</x:v>
      </x:c>
      <x:c r="K2823" s="174" t="n">
        <x:v>1</x:v>
      </x:c>
      <x:c r="L2823" s="187" t="str">
        <x:v>Proxy multicedente/multissacado — revisar</x:v>
      </x:c>
    </x:row>
    <x:row r="2824">
      <x:c r="A2824" s="177" t="str">
        <x:v>57.941.435/0001-58</x:v>
      </x:c>
      <x:c r="B2824" s="168" t="str">
        <x:v>EJM FUNDO DE INVESTIMENTO EM DIREITOS CREDITÓRIOS DE RESPONSABILIDADE LIMITADA</x:v>
      </x:c>
      <x:c r="C2824" s="190" t="n">
        <x:v>4223682.92</x:v>
      </x:c>
      <x:c r="D2824" s="168" t="str">
        <x:v>Catálise Investimentos</x:v>
      </x:c>
      <x:c r="E2824" s="168" t="str">
        <x:f>IFERROR(INDEX('Classif Gestoras'!$H$6:$H$462,MATCH(D2824,'Classif Gestoras'!$A$6:$A$462,0)),"Não classificada")</x:f>
        <x:v>Independente</x:v>
      </x:c>
      <x:c r="F2824" s="168" t="str">
        <x:v>CATÁLISE DTVM</x:v>
      </x:c>
      <x:c r="G2824" s="168" t="str">
        <x:v>BANCO DAYCOVAL S.A.</x:v>
      </x:c>
      <x:c r="H2824" s="168" t="str">
        <x:v>Agro, Indústria e Comércio</x:v>
      </x:c>
      <x:c r="I2824" s="168" t="str">
        <x:v>Recebíveis Comerciais</x:v>
      </x:c>
      <x:c r="J2824" s="168" t="str">
        <x:v>CI</x:v>
      </x:c>
      <x:c r="K2824" s="174" t="n">
        <x:v>2</x:v>
      </x:c>
      <x:c r="L2824" s="187" t="str">
        <x:v>Não classificado</x:v>
      </x:c>
    </x:row>
    <x:row r="2825">
      <x:c r="A2825" s="177" t="str">
        <x:v>51.199.121/0001-45</x:v>
      </x:c>
      <x:c r="B2825" s="168" t="str">
        <x:v>2MONEY FUNDO DE INVESTIMENTO EM DIREITOS CREDITÓRIOS NÃO-PADRONIZADOS RESPONSABILIDADE LIMITADA</x:v>
      </x:c>
      <x:c r="C2825" s="190" t="n">
        <x:v>4217809.109999999</x:v>
      </x:c>
      <x:c r="D2825" s="168" t="str">
        <x:v>GESTORA DE RECURSOS ID - GRID LTDA.</x:v>
      </x:c>
      <x:c r="E2825" s="168" t="str">
        <x:f>IFERROR(INDEX('Classif Gestoras'!$H$6:$H$462,MATCH(D2825,'Classif Gestoras'!$A$6:$A$462,0)),"Não classificada")</x:f>
        <x:v>Independente</x:v>
      </x:c>
      <x:c r="F2825" s="168" t="str">
        <x:v>ID Corretora de Títulos e Valores Mobiliários S.A.</x:v>
      </x:c>
      <x:c r="G2825" s="168" t="str">
        <x:v>ID CORRETORA DE TITULOS E VALORES MOBILIARIOS S.A.</x:v>
      </x:c>
      <x:c r="H2825" s="168" t="str">
        <x:v>Outros</x:v>
      </x:c>
      <x:c r="I2825" s="168" t="str">
        <x:v>Multicarteira Outros</x:v>
      </x:c>
      <x:c r="J2825" s="168" t="str">
        <x:v>CI</x:v>
      </x:c>
      <x:c r="K2825" s="174" t="n">
        <x:v>4</x:v>
      </x:c>
      <x:c r="L2825" s="187" t="str">
        <x:v>Proxy multicedente/multissacado — revisar</x:v>
      </x:c>
    </x:row>
    <x:row r="2826">
      <x:c r="A2826" s="177" t="str">
        <x:v>37.703.020/0001-39</x:v>
      </x:c>
      <x:c r="B2826" s="168" t="str">
        <x:v>VIOLIN 8432 CRÉDITOS JUDICIAIS FUNDO DE INVESTIMENTO EM DIREITOS CREDITÓRIOS</x:v>
      </x:c>
      <x:c r="C2826" s="190" t="n">
        <x:v>4198703.76</x:v>
      </x:c>
      <x:c r="D2826" s="168" t="str">
        <x:v>LASS CAPITAL</x:v>
      </x:c>
      <x:c r="E2826" s="168" t="str">
        <x:f>IFERROR(INDEX('Classif Gestoras'!$H$6:$H$462,MATCH(D2826,'Classif Gestoras'!$A$6:$A$462,0)),"Não classificada")</x:f>
        <x:v>Independente</x:v>
      </x:c>
      <x:c r="F2826" s="168" t="str">
        <x:v>BTG Pactual Servicos Financeiros S/A DTVM</x:v>
      </x:c>
      <x:c r="G2826" s="168" t="str">
        <x:v>BANCO BTG PACTUAL S/A</x:v>
      </x:c>
      <x:c r="H2826" s="168" t="str">
        <x:v>Outros</x:v>
      </x:c>
      <x:c r="I2826" s="168" t="str">
        <x:v>Poder Público</x:v>
      </x:c>
      <x:c r="J2826" s="168" t="str">
        <x:v>CI</x:v>
      </x:c>
      <x:c r="K2826" s="174" t="n">
        <x:v>4</x:v>
      </x:c>
      <x:c r="L2826" s="187" t="str">
        <x:v>Não classificado</x:v>
      </x:c>
    </x:row>
    <x:row r="2827">
      <x:c r="A2827" s="177" t="str">
        <x:v>64.039.601/0001-90</x:v>
      </x:c>
      <x:c r="B2827" s="168" t="str">
        <x:v>ATRIUM FINANCE FUNDO DE INVESTIMENTO EM DIREITOS CREDITÓRIOS RESPONSABILIDADE LIMITADA</x:v>
      </x:c>
      <x:c r="C2827" s="190" t="n">
        <x:v>4183643.91</x:v>
      </x:c>
      <x:c r="D2827" s="168" t="str">
        <x:v>XVI Capital</x:v>
      </x:c>
      <x:c r="E2827" s="168" t="str">
        <x:f>IFERROR(INDEX('Classif Gestoras'!$H$6:$H$462,MATCH(D2827,'Classif Gestoras'!$A$6:$A$462,0)),"Não classificada")</x:f>
        <x:v>Independente</x:v>
      </x:c>
      <x:c r="F2827" s="168" t="str">
        <x:v>LASTRO RDV DIST. DE</x:v>
      </x:c>
      <x:c r="G2827" s="168" t="str">
        <x:v>LASTRO RDV DTVM LTDA</x:v>
      </x:c>
      <x:c r="H2827" s="168" t="str">
        <x:v>Outros</x:v>
      </x:c>
      <x:c r="I2827" s="168" t="str">
        <x:v>Multicarteira Outros</x:v>
      </x:c>
      <x:c r="J2827" s="168" t="str">
        <x:v>CI</x:v>
      </x:c>
      <x:c r="K2827" s="174" t="n">
        <x:v>2</x:v>
      </x:c>
      <x:c r="L2827" s="187" t="str">
        <x:v>Proxy multicedente/multissacado — revisar</x:v>
      </x:c>
    </x:row>
    <x:row r="2828">
      <x:c r="A2828" s="177" t="str">
        <x:v>65.324.403/0001-31</x:v>
      </x:c>
      <x:c r="B2828" s="168" t="str">
        <x:v>BLACK RIVER FUNDO DE INVESTIMENTO EM DIREITOS CREDITÓRIOS</x:v>
      </x:c>
      <x:c r="C2828" s="190" t="n">
        <x:v>4130568.68</x:v>
      </x:c>
      <x:c r="D2828" s="168" t="str">
        <x:v>TERCON ASSET MANAGEMENT</x:v>
      </x:c>
      <x:c r="E2828" s="168" t="str">
        <x:f>IFERROR(INDEX('Classif Gestoras'!$H$6:$H$462,MATCH(D2828,'Classif Gestoras'!$A$6:$A$462,0)),"Não classificada")</x:f>
        <x:v>Independente</x:v>
      </x:c>
      <x:c r="F2828" s="168" t="str">
        <x:v>Limine Trust Distribuidora de Titulos e Valores Mobiliá</x:v>
      </x:c>
      <x:c r="G2828" s="168" t="str">
        <x:v>LIMINE TRUST DISTRIBUIDORA DE TITULOS E VALORES MOBILIARIOS LTDA.</x:v>
      </x:c>
      <x:c r="H2828" s="168" t="str">
        <x:v>Fomento Mercantil</x:v>
      </x:c>
      <x:c r="I2828" s="168" t="str">
        <x:v>Fomento Mercantil</x:v>
      </x:c>
      <x:c r="J2828" s="168" t="str">
        <x:v>CI</x:v>
      </x:c>
      <x:c r="K2828" s="174" t="n">
        <x:v>8</x:v>
      </x:c>
      <x:c r="L2828" s="187" t="str">
        <x:v>Não classificado</x:v>
      </x:c>
    </x:row>
    <x:row r="2829">
      <x:c r="A2829" s="177" t="str">
        <x:v>61.228.249/0001-43</x:v>
      </x:c>
      <x:c r="B2829" s="168" t="str">
        <x:v>BS PLUS 2 FUNDO DE INVESTIMENTO EM DIREITOS CREDITÓRIOS</x:v>
      </x:c>
      <x:c r="C2829" s="190" t="n">
        <x:v>4127320.37</x:v>
      </x:c>
      <x:c r="D2829" s="168" t="str">
        <x:v>V8 Capital</x:v>
      </x:c>
      <x:c r="E2829" s="168" t="str">
        <x:f>IFERROR(INDEX('Classif Gestoras'!$H$6:$H$462,MATCH(D2829,'Classif Gestoras'!$A$6:$A$462,0)),"Não classificada")</x:f>
        <x:v>Independente</x:v>
      </x:c>
      <x:c r="F2829" s="168" t="str">
        <x:v>Singulare</x:v>
      </x:c>
      <x:c r="G2829" s="168" t="str">
        <x:v>QI CORRETORA DE TÍTULOS E VALORES MOBILIÁRIOS S.A.</x:v>
      </x:c>
      <x:c r="H2829" s="168" t="str">
        <x:v>Outros</x:v>
      </x:c>
      <x:c r="I2829" s="168" t="str">
        <x:v>Multicarteira Outros</x:v>
      </x:c>
      <x:c r="J2829" s="168" t="str">
        <x:v>CI</x:v>
      </x:c>
      <x:c r="K2829" s="174" t="n">
        <x:v>1</x:v>
      </x:c>
      <x:c r="L2829" s="187" t="str">
        <x:v>Proxy multicedente/multissacado — revisar</x:v>
      </x:c>
    </x:row>
    <x:row r="2830">
      <x:c r="A2830" s="177" t="str">
        <x:v>60.776.251/0001-94</x:v>
      </x:c>
      <x:c r="B2830" s="168" t="str">
        <x:v>MACRO FUNDO DE INVESTIMENTO EM DIREITOS CREDITORIOS</x:v>
      </x:c>
      <x:c r="C2830" s="190" t="n">
        <x:v>4125245.01</x:v>
      </x:c>
      <x:c r="D2830" s="168" t="str">
        <x:v>Libertas Asset</x:v>
      </x:c>
      <x:c r="E2830" s="168" t="str">
        <x:f>IFERROR(INDEX('Classif Gestoras'!$H$6:$H$462,MATCH(D2830,'Classif Gestoras'!$A$6:$A$462,0)),"Não classificada")</x:f>
        <x:v>Independente</x:v>
      </x:c>
      <x:c r="F2830" s="168" t="str">
        <x:v>ACTUAL DTVM</x:v>
      </x:c>
      <x:c r="G2830" s="168" t="str">
        <x:v>TRUSTEE DISTRIBUIDORA DE TITULOS E VALORES MOBILIARIOS LTDA.</x:v>
      </x:c>
      <x:c r="H2830" s="168" t="str">
        <x:v>Fomento Mercantil</x:v>
      </x:c>
      <x:c r="I2830" s="168" t="str">
        <x:v>Fomento Mercantil</x:v>
      </x:c>
      <x:c r="J2830" s="168" t="str">
        <x:v>CI</x:v>
      </x:c>
      <x:c r="K2830" s="174" t="n">
        <x:v>1</x:v>
      </x:c>
      <x:c r="L2830" s="187" t="str">
        <x:v>Não classificado</x:v>
      </x:c>
    </x:row>
    <x:row r="2831">
      <x:c r="A2831" s="177" t="str">
        <x:v>10.896.292/0001-46</x:v>
      </x:c>
      <x:c r="B2831" s="168" t="str">
        <x:v>INCENTIVO MULTISETORIAL I - FIDC</x:v>
      </x:c>
      <x:c r="C2831" s="190" t="n">
        <x:v>4123941.82</x:v>
      </x:c>
      <x:c r="D2831" s="168" t="str">
        <x:v>GENIAL GESTÃO LTDA.</x:v>
      </x:c>
      <x:c r="E2831" s="168" t="str">
        <x:f>IFERROR(INDEX('Classif Gestoras'!$H$6:$H$462,MATCH(D2831,'Classif Gestoras'!$A$6:$A$462,0)),"Não classificada")</x:f>
        <x:v>Ligada a banco</x:v>
      </x:c>
      <x:c r="F2831" s="168" t="str">
        <x:v>RJI Investimentos</x:v>
      </x:c>
      <x:c r="G2831" s="168" t="str">
        <x:v>RJI CORRETORA DE TÍTULOS E VALORES MOBILIÁRIOS LTDA.</x:v>
      </x:c>
      <x:c r="H2831" s="168" t="str">
        <x:v>Outros</x:v>
      </x:c>
      <x:c r="I2831" s="168" t="str">
        <x:v>Multicarteira Outros</x:v>
      </x:c>
      <x:c r="J2831" s="168" t="str">
        <x:v>CI</x:v>
      </x:c>
      <x:c r="K2831" s="174" t="n">
        <x:v>20</x:v>
      </x:c>
      <x:c r="L2831" s="187" t="str">
        <x:v>Proxy multicedente/multissacado — revisar</x:v>
      </x:c>
    </x:row>
    <x:row r="2832">
      <x:c r="A2832" s="177" t="str">
        <x:v>51.764.889/0001-14</x:v>
      </x:c>
      <x:c r="B2832" s="168" t="str">
        <x:v>BIGTRADE SUNO FUNDO DE INVESTIMENTO - RESP LIMITADA - DIREITOS CREDITÓRIOS</x:v>
      </x:c>
      <x:c r="C2832" s="190" t="n">
        <x:v>4086976.18</x:v>
      </x:c>
      <x:c r="D2832" s="168" t="str">
        <x:v>SUNO ASSET MANAGEMENT</x:v>
      </x:c>
      <x:c r="E2832" s="168" t="str">
        <x:f>IFERROR(INDEX('Classif Gestoras'!$H$6:$H$462,MATCH(D2832,'Classif Gestoras'!$A$6:$A$462,0)),"Não classificada")</x:f>
        <x:v>Independente</x:v>
      </x:c>
      <x:c r="F2832" s="168" t="str">
        <x:v>BANCO DAYCOVAL S/A</x:v>
      </x:c>
      <x:c r="G2832" s="168" t="str">
        <x:v>BANCO DAYCOVAL S.A.</x:v>
      </x:c>
      <x:c r="H2832" s="168" t="str">
        <x:v>Agro, Indústria e Comércio</x:v>
      </x:c>
      <x:c r="I2832" s="168" t="str">
        <x:v>Agronegócio</x:v>
      </x:c>
      <x:c r="J2832" s="168" t="str">
        <x:v>CI</x:v>
      </x:c>
      <x:c r="K2832" s="174" t="n">
        <x:v>2</x:v>
      </x:c>
      <x:c r="L2832" s="187" t="str">
        <x:v>Não classificado</x:v>
      </x:c>
    </x:row>
    <x:row r="2833">
      <x:c r="A2833" s="177" t="str">
        <x:v>23.273.905/0001-30</x:v>
      </x:c>
      <x:c r="B2833" s="168" t="str">
        <x:v>CREDSHOW FUNDO DE INVESTIMENTO EM DIREITOS CREDITÓRIOS NÃO-PADRONIZADOS VAREJO</x:v>
      </x:c>
      <x:c r="C2833" s="190" t="n">
        <x:v>4013023.58</x:v>
      </x:c>
      <x:c r="D2833" s="168" t="str">
        <x:v>OURO PRETO INVESTIMENTOS</x:v>
      </x:c>
      <x:c r="E2833" s="168" t="str">
        <x:f>IFERROR(INDEX('Classif Gestoras'!$H$6:$H$462,MATCH(D2833,'Classif Gestoras'!$A$6:$A$462,0)),"Não classificada")</x:f>
        <x:v>Independente</x:v>
      </x:c>
      <x:c r="F2833" s="168" t="str">
        <x:v>Singulare</x:v>
      </x:c>
      <x:c r="G2833" s="168" t="str">
        <x:v>QI CORRETORA DE TÍTULOS E VALORES MOBILIÁRIOS S.A.</x:v>
      </x:c>
      <x:c r="H2833" s="168" t="str">
        <x:v>Fomento Mercantil</x:v>
      </x:c>
      <x:c r="I2833" s="168" t="str">
        <x:v>Fomento Mercantil</x:v>
      </x:c>
      <x:c r="J2833" s="168" t="str">
        <x:v>CI</x:v>
      </x:c>
      <x:c r="K2833" s="174" t="n">
        <x:v>4</x:v>
      </x:c>
      <x:c r="L2833" s="187" t="str">
        <x:v>Não classificado</x:v>
      </x:c>
    </x:row>
    <x:row r="2834">
      <x:c r="A2834" s="177" t="str">
        <x:v>64.111.898/0001-58</x:v>
      </x:c>
      <x:c r="B2834" s="168" t="str">
        <x:v>4L FUNDO DE INVESTIMENTO EM DIREITOS CREDITÓRIOS DE CLASSE ÚNICA FECHADA</x:v>
      </x:c>
      <x:c r="C2834" s="190" t="n">
        <x:v>3989436.94</x:v>
      </x:c>
      <x:c r="D2834" s="168" t="str">
        <x:v>CARMEL GESTORA DE ATIVOS LTDA</x:v>
      </x:c>
      <x:c r="E2834" s="168" t="str">
        <x:f>IFERROR(INDEX('Classif Gestoras'!$H$6:$H$462,MATCH(D2834,'Classif Gestoras'!$A$6:$A$462,0)),"Não classificada")</x:f>
        <x:v>Independente</x:v>
      </x:c>
      <x:c r="F2834" s="168" t="str">
        <x:v>BRL TRUST DTVM</x:v>
      </x:c>
      <x:c r="G2834" s="168" t="str">
        <x:v>BRL TRUST DISTRIBUIDORA DE TITULOS E VALORES MOBILIARIOS S.A.</x:v>
      </x:c>
      <x:c r="H2834" s="168" t="str">
        <x:v>Agro, Indústria e Comércio</x:v>
      </x:c>
      <x:c r="I2834" s="168" t="str">
        <x:v>Multicarteira Agro, Indústria e Comércio</x:v>
      </x:c>
      <x:c r="J2834" s="168" t="str">
        <x:v>CI</x:v>
      </x:c>
      <x:c r="K2834" s="174" t="n">
        <x:v>4</x:v>
      </x:c>
      <x:c r="L2834" s="187" t="str">
        <x:v>Proxy multicedente/multissacado — revisar</x:v>
      </x:c>
    </x:row>
    <x:row r="2835">
      <x:c r="A2835" s="177" t="str">
        <x:v>63.974.556/0001-07</x:v>
      </x:c>
      <x:c r="B2835" s="168" t="str">
        <x:v>EVOLUTION FUNDO DE INVESTIMENTO EM DIREITOS CREDITÓRIOS</x:v>
      </x:c>
      <x:c r="C2835" s="190" t="n">
        <x:v>3951476.59</x:v>
      </x:c>
      <x:c r="D2835" s="168" t="str">
        <x:v>Iggy Investimentos</x:v>
      </x:c>
      <x:c r="E2835" s="168" t="str">
        <x:f>IFERROR(INDEX('Classif Gestoras'!$H$6:$H$462,MATCH(D2835,'Classif Gestoras'!$A$6:$A$462,0)),"Não classificada")</x:f>
        <x:v>Independente</x:v>
      </x:c>
      <x:c r="F2835" s="168" t="str">
        <x:v>MONETAR DISTRIBUIDORA DE TITUL</x:v>
      </x:c>
      <x:c r="G2835" s="168" t="str">
        <x:v>TERRA INVESTIMENTOS DISTRIBUIDORA DE TITULOS E VALORES MOBILIARIOS LTDA</x:v>
      </x:c>
      <x:c r="H2835" s="168" t="str">
        <x:v>Outros</x:v>
      </x:c>
      <x:c r="I2835" s="168" t="str">
        <x:v>Multicarteira Outros</x:v>
      </x:c>
      <x:c r="J2835" s="168" t="str">
        <x:v>CI</x:v>
      </x:c>
      <x:c r="K2835" s="174" t="n">
        <x:v>9</x:v>
      </x:c>
      <x:c r="L2835" s="187" t="str">
        <x:v>Proxy multicedente/multissacado — revisar</x:v>
      </x:c>
    </x:row>
    <x:row r="2836">
      <x:c r="A2836" s="177" t="str">
        <x:v>58.113.703/0001-06</x:v>
      </x:c>
      <x:c r="B2836" s="168" t="str">
        <x:v>IDEAL FUNDO DE INVESTIMENTO EM DIREITOS CREDITÓRIOS</x:v>
      </x:c>
      <x:c r="C2836" s="190" t="n">
        <x:v>3871425.51</x:v>
      </x:c>
      <x:c r="D2836" s="168" t="str">
        <x:v>TERCON ASSET MANAGEMENT</x:v>
      </x:c>
      <x:c r="E2836" s="168" t="str">
        <x:f>IFERROR(INDEX('Classif Gestoras'!$H$6:$H$462,MATCH(D2836,'Classif Gestoras'!$A$6:$A$462,0)),"Não classificada")</x:f>
        <x:v>Independente</x:v>
      </x:c>
      <x:c r="F2836" s="168" t="str">
        <x:v>Singulare</x:v>
      </x:c>
      <x:c r="G2836" s="168" t="str">
        <x:v>QI CORRETORA DE TÍTULOS E VALORES MOBILIÁRIOS S.A.</x:v>
      </x:c>
      <x:c r="H2836" s="168" t="str">
        <x:v>Fomento Mercantil</x:v>
      </x:c>
      <x:c r="I2836" s="168" t="str">
        <x:v>Fomento Mercantil</x:v>
      </x:c>
      <x:c r="J2836" s="168" t="str">
        <x:v>CI</x:v>
      </x:c>
      <x:c r="K2836" s="174" t="n">
        <x:v>1</x:v>
      </x:c>
      <x:c r="L2836" s="187" t="str">
        <x:v>Não classificado</x:v>
      </x:c>
    </x:row>
    <x:row r="2837">
      <x:c r="A2837" s="177" t="str">
        <x:v>66.193.864/0001-85</x:v>
      </x:c>
      <x:c r="B2837" s="168" t="str">
        <x:v>BLACK STONE FUNDO DE INVESTIMENTO EM DIREITOS CREDITÓRIOS RESPONSABILIDADE LIMITADA</x:v>
      </x:c>
      <x:c r="C2837" s="190" t="n">
        <x:v>3808327.44</x:v>
      </x:c>
      <x:c r="D2837" s="168" t="str">
        <x:v>AWR Gestão de Recursos</x:v>
      </x:c>
      <x:c r="E2837" s="168" t="str">
        <x:f>IFERROR(INDEX('Classif Gestoras'!$H$6:$H$462,MATCH(D2837,'Classif Gestoras'!$A$6:$A$462,0)),"Não classificada")</x:f>
        <x:v>Independente</x:v>
      </x:c>
      <x:c r="F2837" s="168" t="str">
        <x:v>Oliveira Trust DTVM</x:v>
      </x:c>
      <x:c r="G2837" s="168" t="str">
        <x:v>OLIVEIRA TRUST DTVM S.A.</x:v>
      </x:c>
      <x:c r="H2837" s="168" t="str">
        <x:v>Agro, Indústria e Comércio</x:v>
      </x:c>
      <x:c r="I2837" s="168" t="str">
        <x:v>Recebíveis Comerciais</x:v>
      </x:c>
      <x:c r="J2837" s="168" t="str">
        <x:v>CI</x:v>
      </x:c>
      <x:c r="K2837" s="174" t="n">
        <x:v>1</x:v>
      </x:c>
      <x:c r="L2837" s="187" t="str">
        <x:v>Não classificado</x:v>
      </x:c>
    </x:row>
    <x:row r="2838">
      <x:c r="A2838" s="177" t="str">
        <x:v>49.788.461/0001-60</x:v>
      </x:c>
      <x:c r="B2838" s="168" t="str">
        <x:v>NICE FUNDO DE INVESTIMENTO EM DIREITOS CREDITÓRIOS NÃO PADRONIZADOS</x:v>
      </x:c>
      <x:c r="C2838" s="190" t="n">
        <x:v>3806927.88</x:v>
      </x:c>
      <x:c r="D2838" s="168" t="str">
        <x:v>Terra Asset Management</x:v>
      </x:c>
      <x:c r="E2838" s="168" t="str">
        <x:f>IFERROR(INDEX('Classif Gestoras'!$H$6:$H$462,MATCH(D2838,'Classif Gestoras'!$A$6:$A$462,0)),"Não classificada")</x:f>
        <x:v>Independente</x:v>
      </x:c>
      <x:c r="F2838" s="168" t="str">
        <x:v>MONETAR DISTRIBUIDORA DE TITUL</x:v>
      </x:c>
      <x:c r="G2838" s="168" t="str">
        <x:v>TERRA INVESTIMENTOS DISTRIBUIDORA DE TITULOS E VALORES MOBILIARIOS LTDA</x:v>
      </x:c>
      <x:c r="H2838" s="168" t="str">
        <x:v>Outros</x:v>
      </x:c>
      <x:c r="I2838" s="168" t="str">
        <x:v>Multicarteira Outros</x:v>
      </x:c>
      <x:c r="J2838" s="168" t="str">
        <x:v>CI</x:v>
      </x:c>
      <x:c r="K2838" s="174" t="n">
        <x:v>1</x:v>
      </x:c>
      <x:c r="L2838" s="187" t="str">
        <x:v>Proxy multicedente/multissacado — revisar</x:v>
      </x:c>
    </x:row>
    <x:row r="2839">
      <x:c r="A2839" s="177" t="str">
        <x:v>26.913.775/0001-41</x:v>
      </x:c>
      <x:c r="B2839" s="168" t="str">
        <x:v>LESTE ARBITRAGEM FUNDO DE INVESTIMENTO EM DIREITOS CREDITÓRIOS DE RESPONSABILIDADE LIMITADA</x:v>
      </x:c>
      <x:c r="C2839" s="190" t="n">
        <x:v>3798345.42</x:v>
      </x:c>
      <x:c r="D2839" s="168" t="str">
        <x:v>VM Consultoria Empresarial Ltd</x:v>
      </x:c>
      <x:c r="E2839" s="168" t="str">
        <x:f>IFERROR(INDEX('Classif Gestoras'!$H$6:$H$462,MATCH(D2839,'Classif Gestoras'!$A$6:$A$462,0)),"Não classificada")</x:f>
        <x:v>Independente</x:v>
      </x:c>
      <x:c r="F2839" s="168" t="str">
        <x:v>Banco Genial S.A.</x:v>
      </x:c>
      <x:c r="G2839" s="168" t="str">
        <x:v>BANCO GENIAL S.A.</x:v>
      </x:c>
      <x:c r="H2839" s="168" t="str">
        <x:v>Outros</x:v>
      </x:c>
      <x:c r="I2839" s="168" t="str">
        <x:v>Multicarteira Outros</x:v>
      </x:c>
      <x:c r="J2839" s="168" t="str">
        <x:v>CI</x:v>
      </x:c>
      <x:c r="K2839" s="174" t="n">
        <x:v>1</x:v>
      </x:c>
      <x:c r="L2839" s="187" t="str">
        <x:v>Proxy multicedente/multissacado — revisar</x:v>
      </x:c>
    </x:row>
    <x:row r="2840">
      <x:c r="A2840" s="177" t="str">
        <x:v>36.814.213/0001-02</x:v>
      </x:c>
      <x:c r="B2840" s="168" t="str">
        <x:v>LINCOLN FUNDO DE INVESTIMENTO EM DIREITOS CREDITÓRIOS NÃO-PADRONIZADOS</x:v>
      </x:c>
      <x:c r="C2840" s="190" t="n">
        <x:v>3785892.68</x:v>
      </x:c>
      <x:c r="D2840" s="168" t="str">
        <x:v>WNT Gestora de Recursos Ltda.</x:v>
      </x:c>
      <x:c r="E2840" s="168" t="str">
        <x:f>IFERROR(INDEX('Classif Gestoras'!$H$6:$H$462,MATCH(D2840,'Classif Gestoras'!$A$6:$A$462,0)),"Não classificada")</x:f>
        <x:v>Independente</x:v>
      </x:c>
      <x:c r="F2840" s="168" t="str">
        <x:v>WNT DTVM</x:v>
      </x:c>
      <x:c r="G2840" s="168" t="str">
        <x:v>WNT CAPITAL DISTRIBUIDORA DE TITULOS E VALORES MOBILIARIOS S.A.</x:v>
      </x:c>
      <x:c r="H2840" s="168" t="str">
        <x:v>Outros</x:v>
      </x:c>
      <x:c r="I2840" s="168" t="str">
        <x:v>Multicarteira Outros</x:v>
      </x:c>
      <x:c r="J2840" s="168" t="str">
        <x:v>CI</x:v>
      </x:c>
      <x:c r="K2840" s="174" t="n">
        <x:v>5</x:v>
      </x:c>
      <x:c r="L2840" s="187" t="str">
        <x:v>Proxy multicedente/multissacado — revisar</x:v>
      </x:c>
    </x:row>
    <x:row r="2841">
      <x:c r="A2841" s="177" t="str">
        <x:v>13.554.539/0001-34</x:v>
      </x:c>
      <x:c r="B2841" s="168" t="str">
        <x:v>MARIN FUNDO DE INVESTIMENTO EM DIREITOS CREDITÓRIOS MULTISSETORIAL</x:v>
      </x:c>
      <x:c r="C2841" s="190" t="n">
        <x:v>3784822.37</x:v>
      </x:c>
      <x:c r="D2841" s="168" t="str">
        <x:v>MARIN INVESTIMENTOS</x:v>
      </x:c>
      <x:c r="E2841" s="168" t="str">
        <x:f>IFERROR(INDEX('Classif Gestoras'!$H$6:$H$462,MATCH(D2841,'Classif Gestoras'!$A$6:$A$462,0)),"Não classificada")</x:f>
        <x:v>Independente</x:v>
      </x:c>
      <x:c r="F2841" s="168" t="str">
        <x:v>PLANNER CV</x:v>
      </x:c>
      <x:c r="G2841" s="168" t="str">
        <x:v>PLANNER CORRETORA DE VALORES S.A.</x:v>
      </x:c>
      <x:c r="H2841" s="168" t="str">
        <x:v>Fomento Mercantil</x:v>
      </x:c>
      <x:c r="I2841" s="168" t="str">
        <x:v>Fomento Mercantil</x:v>
      </x:c>
      <x:c r="J2841" s="168" t="str">
        <x:v>CI</x:v>
      </x:c>
      <x:c r="K2841" s="174" t="n">
        <x:v>6</x:v>
      </x:c>
      <x:c r="L2841" s="187" t="str">
        <x:v>Não classificado</x:v>
      </x:c>
    </x:row>
    <x:row r="2842">
      <x:c r="A2842" s="177" t="str">
        <x:v>55.070.804/0001-59</x:v>
      </x:c>
      <x:c r="B2842" s="168" t="str">
        <x:v>ESTRATÉGIA VINCULADA II FUNDO DE INVESTIMENTO EM DIREITOS CREDITÓRIOS - RESPONSABILIDADE LIMITADA</x:v>
      </x:c>
      <x:c r="C2842" s="190" t="n">
        <x:v>3779533.19</x:v>
      </x:c>
      <x:c r="D2842" s="168" t="str">
        <x:v>Oliveira Trust Servicer</x:v>
      </x:c>
      <x:c r="E2842" s="168" t="str">
        <x:f>IFERROR(INDEX('Classif Gestoras'!$H$6:$H$462,MATCH(D2842,'Classif Gestoras'!$A$6:$A$462,0)),"Não classificada")</x:f>
        <x:v>Independente</x:v>
      </x:c>
      <x:c r="F2842" s="168" t="str">
        <x:v>Oliveira Trust DTVM</x:v>
      </x:c>
      <x:c r="G2842" s="168" t="str">
        <x:v>OLIVEIRA TRUST DTVM S.A.</x:v>
      </x:c>
      <x:c r="H2842" s="168" t="str">
        <x:v>Financeiro</x:v>
      </x:c>
      <x:c r="I2842" s="168" t="str">
        <x:v>Multicarteira Financeiro</x:v>
      </x:c>
      <x:c r="J2842" s="168" t="str">
        <x:v>CI</x:v>
      </x:c>
      <x:c r="K2842" s="174" t="n">
        <x:v>14</x:v>
      </x:c>
      <x:c r="L2842" s="187" t="str">
        <x:v>Proxy multicedente/multissacado — revisar</x:v>
      </x:c>
    </x:row>
    <x:row r="2843">
      <x:c r="A2843" s="177" t="str">
        <x:v>60.681.487/0001-47</x:v>
      </x:c>
      <x:c r="B2843" s="168" t="str">
        <x:v>SIM FUNDO DE INVESTIMENTO EM DIREITOS CREDITÓRIOS</x:v>
      </x:c>
      <x:c r="C2843" s="190" t="n">
        <x:v>3776431.41</x:v>
      </x:c>
      <x:c r="D2843" s="168" t="str">
        <x:v>TERCON ASSET MANAGEMENT</x:v>
      </x:c>
      <x:c r="E2843" s="168" t="str">
        <x:f>IFERROR(INDEX('Classif Gestoras'!$H$6:$H$462,MATCH(D2843,'Classif Gestoras'!$A$6:$A$462,0)),"Não classificada")</x:f>
        <x:v>Independente</x:v>
      </x:c>
      <x:c r="F2843" s="168" t="str">
        <x:v>Limine Trust Distribuidora de Titulos e Valores Mobiliá</x:v>
      </x:c>
      <x:c r="G2843" s="168" t="str">
        <x:v>LIMINE TRUST DISTRIBUIDORA DE TITULOS E VALORES MOBILIARIOS LTDA.</x:v>
      </x:c>
      <x:c r="H2843" s="168" t="str">
        <x:v>Fomento Mercantil</x:v>
      </x:c>
      <x:c r="I2843" s="168" t="str">
        <x:v>Fomento Mercantil</x:v>
      </x:c>
      <x:c r="J2843" s="168" t="str">
        <x:v>CI</x:v>
      </x:c>
      <x:c r="K2843" s="174" t="n">
        <x:v>1</x:v>
      </x:c>
      <x:c r="L2843" s="187" t="str">
        <x:v>Não classificado</x:v>
      </x:c>
    </x:row>
    <x:row r="2844">
      <x:c r="A2844" s="177" t="str">
        <x:v>56.320.097/0001-74</x:v>
      </x:c>
      <x:c r="B2844" s="168" t="str">
        <x:v>VERAXS THERAS FUNDO DE INVESTIMENTO EM DIREITOS CREDITÓRIOS NÃO PADRONIZADO DE RESP LIMITADA</x:v>
      </x:c>
      <x:c r="C2844" s="190" t="n">
        <x:v>3696418.65</x:v>
      </x:c>
      <x:c r="D2844" s="168" t="str">
        <x:v>EAGLE CAPITAL</x:v>
      </x:c>
      <x:c r="E2844" s="168" t="str">
        <x:f>IFERROR(INDEX('Classif Gestoras'!$H$6:$H$462,MATCH(D2844,'Classif Gestoras'!$A$6:$A$462,0)),"Não classificada")</x:f>
        <x:v>Independente</x:v>
      </x:c>
      <x:c r="F2844" s="168" t="str">
        <x:v>MONETAR DISTRIBUIDORA DE TITUL</x:v>
      </x:c>
      <x:c r="G2844" s="168" t="str">
        <x:v>TERRA INVESTIMENTOS DISTRIBUIDORA DE TITULOS E VALORES MOBILIARIOS LTDA</x:v>
      </x:c>
      <x:c r="H2844" s="168" t="str">
        <x:v>Outros</x:v>
      </x:c>
      <x:c r="I2844" s="168" t="str">
        <x:v>Multicarteira Outros</x:v>
      </x:c>
      <x:c r="J2844" s="168" t="str">
        <x:v>CI</x:v>
      </x:c>
      <x:c r="K2844" s="174" t="n">
        <x:v>16</x:v>
      </x:c>
      <x:c r="L2844" s="187" t="str">
        <x:v>Proxy multicedente/multissacado — revisar</x:v>
      </x:c>
    </x:row>
    <x:row r="2845">
      <x:c r="A2845" s="177" t="str">
        <x:v>65.835.536/0001-72</x:v>
      </x:c>
      <x:c r="B2845" s="168" t="str">
        <x:v>XLP FUNDO DE INVESTIMENTO EM DIREITOS CREDITÓRIOS</x:v>
      </x:c>
      <x:c r="C2845" s="190" t="n">
        <x:v>3639296.24</x:v>
      </x:c>
      <x:c r="D2845" s="168" t="str">
        <x:v>FIDD Administração de Recursos Ltda.</x:v>
      </x:c>
      <x:c r="E2845" s="168" t="str">
        <x:f>IFERROR(INDEX('Classif Gestoras'!$H$6:$H$462,MATCH(D2845,'Classif Gestoras'!$A$6:$A$462,0)),"Não classificada")</x:f>
        <x:v>Independente</x:v>
      </x:c>
      <x:c r="F2845" s="168" t="str">
        <x:v>FIDD DISTRIBUIDORA DE TITULOS E VALORES MOBILIARIOS LTD</x:v>
      </x:c>
      <x:c r="G2845" s="168" t="str">
        <x:v>FIDD DISTRIBUIDORA DE TITULOS E VALORES MOBILIARIOS LTDA.</x:v>
      </x:c>
      <x:c r="H2845" s="168" t="str">
        <x:v>Outros</x:v>
      </x:c>
      <x:c r="I2845" s="168" t="str">
        <x:v>Recuperação</x:v>
      </x:c>
      <x:c r="J2845" s="168" t="str">
        <x:v>CI</x:v>
      </x:c>
      <x:c r="K2845" s="174" t="n">
        <x:v>1</x:v>
      </x:c>
      <x:c r="L2845" s="187" t="str">
        <x:v>Não classificado</x:v>
      </x:c>
    </x:row>
    <x:row r="2846">
      <x:c r="A2846" s="177" t="str">
        <x:v>49.853.069/0001-57</x:v>
      </x:c>
      <x:c r="B2846" s="168" t="str">
        <x:v>INTERTRADE FUNDO DE INVESTIMENTO EM DIREITOS CRÉDITÓRIOS</x:v>
      </x:c>
      <x:c r="C2846" s="190" t="n">
        <x:v>3629773.65</x:v>
      </x:c>
      <x:c r="D2846" s="168" t="str">
        <x:v>RJI Investimentos</x:v>
      </x:c>
      <x:c r="E2846" s="168" t="str">
        <x:f>IFERROR(INDEX('Classif Gestoras'!$H$6:$H$462,MATCH(D2846,'Classif Gestoras'!$A$6:$A$462,0)),"Não classificada")</x:f>
        <x:v>Independente</x:v>
      </x:c>
      <x:c r="F2846" s="168" t="str">
        <x:v>RJI Investimentos</x:v>
      </x:c>
      <x:c r="G2846" s="168" t="str">
        <x:v>RJI CORRETORA DE TÍTULOS E VALORES MOBILIÁRIOS LTDA.</x:v>
      </x:c>
      <x:c r="H2846" s="168" t="str">
        <x:v>Agro, Indústria e Comércio</x:v>
      </x:c>
      <x:c r="I2846" s="168" t="str">
        <x:v>Multicarteira Agro, Indústria e Comércio</x:v>
      </x:c>
      <x:c r="J2846" s="168" t="str">
        <x:v>CI</x:v>
      </x:c>
      <x:c r="K2846" s="174" t="n">
        <x:v>4</x:v>
      </x:c>
      <x:c r="L2846" s="187" t="str">
        <x:v>Proxy multicedente/multissacado — revisar</x:v>
      </x:c>
    </x:row>
    <x:row r="2847">
      <x:c r="A2847" s="177" t="str">
        <x:v>50.692.376/0001-82</x:v>
      </x:c>
      <x:c r="B2847" s="168" t="str">
        <x:v>BOLSA DE CRÉDITOS FUNDO DE INVESTIMENTO EM DIREITOS CREDITÓRIOS</x:v>
      </x:c>
      <x:c r="C2847" s="190" t="n">
        <x:v>3625105.55</x:v>
      </x:c>
      <x:c r="D2847" s="168" t="str">
        <x:v>OURO PRETO INVESTIMENTOS</x:v>
      </x:c>
      <x:c r="E2847" s="168" t="str">
        <x:f>IFERROR(INDEX('Classif Gestoras'!$H$6:$H$462,MATCH(D2847,'Classif Gestoras'!$A$6:$A$462,0)),"Não classificada")</x:f>
        <x:v>Independente</x:v>
      </x:c>
      <x:c r="F2847" s="168" t="str">
        <x:v>Limine Trust Distribuidora de Titulos e Valores Mobiliá</x:v>
      </x:c>
      <x:c r="G2847" s="168" t="str">
        <x:v>LIMINE TRUST DISTRIBUIDORA DE TITULOS E VALORES MOBILIARIOS LTDA.</x:v>
      </x:c>
      <x:c r="H2847" s="168" t="str">
        <x:v>Outros</x:v>
      </x:c>
      <x:c r="I2847" s="168" t="str">
        <x:v>Multicarteira Outros</x:v>
      </x:c>
      <x:c r="J2847" s="168" t="str">
        <x:v>CI</x:v>
      </x:c>
      <x:c r="K2847" s="174" t="n">
        <x:v>4</x:v>
      </x:c>
      <x:c r="L2847" s="187" t="str">
        <x:v>Proxy multicedente/multissacado — revisar</x:v>
      </x:c>
    </x:row>
    <x:row r="2848">
      <x:c r="A2848" s="177" t="str">
        <x:v>64.439.483/0001-08</x:v>
      </x:c>
      <x:c r="B2848" s="168" t="str">
        <x:v>THE STANDARD FUND - FUNDO DE INVESTIMENTO EM DIREITOS CREDITÓRIOS - RESPONSABILIDADE LIMITADA</x:v>
      </x:c>
      <x:c r="C2848" s="190" t="n">
        <x:v>3591260.37</x:v>
      </x:c>
      <x:c r="D2848" s="168" t="str">
        <x:v>BURITI INVESTIMENTOS</x:v>
      </x:c>
      <x:c r="E2848" s="168" t="str">
        <x:f>IFERROR(INDEX('Classif Gestoras'!$H$6:$H$462,MATCH(D2848,'Classif Gestoras'!$A$6:$A$462,0)),"Não classificada")</x:f>
        <x:v>Independente</x:v>
      </x:c>
      <x:c r="F2848" s="168" t="str">
        <x:v>Baru DTVM</x:v>
      </x:c>
      <x:c r="G2848" s="168" t="str">
        <x:v>BARU DISTRIBUIDORA DE TÍTULOS E VALORES MOBILIÁRIOS LTDA.</x:v>
      </x:c>
      <x:c r="H2848" s="168" t="str">
        <x:v>Outros</x:v>
      </x:c>
      <x:c r="I2848" s="168" t="str">
        <x:v>Multicarteira Outros</x:v>
      </x:c>
      <x:c r="J2848" s="168" t="str">
        <x:v>CI</x:v>
      </x:c>
      <x:c r="K2848" s="174" t="n">
        <x:v>2</x:v>
      </x:c>
      <x:c r="L2848" s="187" t="str">
        <x:v>Proxy multicedente/multissacado — revisar</x:v>
      </x:c>
    </x:row>
    <x:row r="2849">
      <x:c r="A2849" s="177" t="str">
        <x:v>41.609.997/0001-69</x:v>
      </x:c>
      <x:c r="B2849" s="168" t="str">
        <x:v>ACERTO GRUPO INTER - FUNDO DE INVESTIMENTO EM DIREITOS CREDITÓRIOS - NÃO PADRONIZADOS</x:v>
      </x:c>
      <x:c r="C2849" s="190" t="n">
        <x:v>3578397.31</x:v>
      </x:c>
      <x:c r="D2849" s="168" t="str">
        <x:v>PRISMA PRIVATE CREDIT</x:v>
      </x:c>
      <x:c r="E2849" s="168" t="str">
        <x:f>IFERROR(INDEX('Classif Gestoras'!$H$6:$H$462,MATCH(D2849,'Classif Gestoras'!$A$6:$A$462,0)),"Não classificada")</x:f>
        <x:v>Independente</x:v>
      </x:c>
      <x:c r="F2849" s="168" t="str">
        <x:v>Singulare</x:v>
      </x:c>
      <x:c r="G2849" s="168" t="str">
        <x:v>QI CORRETORA DE TÍTULOS E VALORES MOBILIÁRIOS S.A.</x:v>
      </x:c>
      <x:c r="H2849" s="168" t="str">
        <x:v>Outros</x:v>
      </x:c>
      <x:c r="I2849" s="168" t="str">
        <x:v>Multicarteira Outros</x:v>
      </x:c>
      <x:c r="J2849" s="168" t="str">
        <x:v>CI</x:v>
      </x:c>
      <x:c r="K2849" s="174" t="n">
        <x:v>5</x:v>
      </x:c>
      <x:c r="L2849" s="187" t="str">
        <x:v>Proxy multicedente/multissacado — revisar</x:v>
      </x:c>
    </x:row>
    <x:row r="2850">
      <x:c r="A2850" s="177" t="str">
        <x:v>53.323.047/0001-52</x:v>
      </x:c>
      <x:c r="B2850" s="168" t="str">
        <x:v>EDUCBANK FUNDO DE INVESTIMENTO EM DIREITOS CREDITÓRIOS</x:v>
      </x:c>
      <x:c r="C2850" s="190" t="n">
        <x:v>3555170.25</x:v>
      </x:c>
      <x:c r="D2850" s="168" t="str">
        <x:v>CONTEA CAPITAL</x:v>
      </x:c>
      <x:c r="E2850" s="168" t="str">
        <x:f>IFERROR(INDEX('Classif Gestoras'!$H$6:$H$462,MATCH(D2850,'Classif Gestoras'!$A$6:$A$462,0)),"Não classificada")</x:f>
        <x:v>Independente</x:v>
      </x:c>
      <x:c r="F2850" s="168" t="str">
        <x:v>VÓRTX DTVM</x:v>
      </x:c>
      <x:c r="G2850" s="168" t="str">
        <x:v>VORTX DISTRIBUIDORA DE TITULOS E VALORES MOBILIARIOS LTDA.</x:v>
      </x:c>
      <x:c r="H2850" s="168" t="str">
        <x:v>Fomento Mercantil</x:v>
      </x:c>
      <x:c r="I2850" s="168" t="str">
        <x:v>Fomento Mercantil</x:v>
      </x:c>
      <x:c r="J2850" s="168" t="str">
        <x:v>CI</x:v>
      </x:c>
      <x:c r="K2850" s="174" t="n">
        <x:v>8</x:v>
      </x:c>
      <x:c r="L2850" s="187" t="str">
        <x:v>Não classificado</x:v>
      </x:c>
    </x:row>
    <x:row r="2851">
      <x:c r="A2851" s="177" t="str">
        <x:v>39.863.075/0001-31</x:v>
      </x:c>
      <x:c r="B2851" s="168" t="str">
        <x:v>FINANZA PRIME FUNDO DE INVESTIMENTO EM DIREITOS CREDITORIOS</x:v>
      </x:c>
      <x:c r="C2851" s="190" t="n">
        <x:v>3538415.3099999996</x:v>
      </x:c>
      <x:c r="D2851" s="168" t="str">
        <x:v>TERCON ASSET MANAGEMENT</x:v>
      </x:c>
      <x:c r="E2851" s="168" t="str">
        <x:f>IFERROR(INDEX('Classif Gestoras'!$H$6:$H$462,MATCH(D2851,'Classif Gestoras'!$A$6:$A$462,0)),"Não classificada")</x:f>
        <x:v>Independente</x:v>
      </x:c>
      <x:c r="F2851" s="168" t="str">
        <x:v>Singulare</x:v>
      </x:c>
      <x:c r="G2851" s="168" t="str">
        <x:v>QI CORRETORA DE TÍTULOS E VALORES MOBILIÁRIOS S.A.</x:v>
      </x:c>
      <x:c r="H2851" s="168" t="str">
        <x:v>Fomento Mercantil</x:v>
      </x:c>
      <x:c r="I2851" s="168" t="str">
        <x:v>Fomento Mercantil</x:v>
      </x:c>
      <x:c r="J2851" s="168" t="str">
        <x:v>CI</x:v>
      </x:c>
      <x:c r="K2851" s="174" t="n">
        <x:v>1</x:v>
      </x:c>
      <x:c r="L2851" s="187" t="str">
        <x:v>Não classificado</x:v>
      </x:c>
    </x:row>
    <x:row r="2852">
      <x:c r="A2852" s="177" t="str">
        <x:v>38.455.405/0001-97</x:v>
      </x:c>
      <x:c r="B2852" s="168" t="str">
        <x:v>WELLESLEY II FUNDO DE INVESTIMENTO EM DIREITOS CREDITÓRIOS</x:v>
      </x:c>
      <x:c r="C2852" s="190" t="n">
        <x:v>3532567.1500000004</x:v>
      </x:c>
      <x:c r="D2852" s="168" t="str">
        <x:v>PACTUAL CAPITAL PART</x:v>
      </x:c>
      <x:c r="E2852" s="168" t="str">
        <x:f>IFERROR(INDEX('Classif Gestoras'!$H$6:$H$462,MATCH(D2852,'Classif Gestoras'!$A$6:$A$462,0)),"Não classificada")</x:f>
        <x:v>Independente</x:v>
      </x:c>
      <x:c r="F2852" s="168" t="str">
        <x:v>BTG Pactual Servicos Financeiros S/A DTVM</x:v>
      </x:c>
      <x:c r="G2852" s="168" t="str">
        <x:v>BANCO BTG PACTUAL S/A</x:v>
      </x:c>
      <x:c r="H2852" s="168" t="str">
        <x:v>Outros</x:v>
      </x:c>
      <x:c r="I2852" s="168" t="str">
        <x:v>Multicarteira Outros</x:v>
      </x:c>
      <x:c r="J2852" s="168" t="str">
        <x:v>CI</x:v>
      </x:c>
      <x:c r="K2852" s="174" t="n">
        <x:v>1</x:v>
      </x:c>
      <x:c r="L2852" s="187" t="str">
        <x:v>Proxy multicedente/multissacado — revisar</x:v>
      </x:c>
    </x:row>
    <x:row r="2853">
      <x:c r="A2853" s="177" t="str">
        <x:v>40.996.065/0001-53</x:v>
      </x:c>
      <x:c r="B2853" s="168" t="str">
        <x:v>FARMTECH FUNDO DE INVESTIMENTO EM DIREITOS CREDITÓRIOS DO AGRONEGÓCIO - RESPONSABILIDADE LIMITADA</x:v>
      </x:c>
      <x:c r="C2853" s="190" t="n">
        <x:v>3519445.29</x:v>
      </x:c>
      <x:c r="D2853" s="168" t="str">
        <x:v>Farmtech Gestão de Recursos Ltda.</x:v>
      </x:c>
      <x:c r="E2853" s="168" t="str">
        <x:f>IFERROR(INDEX('Classif Gestoras'!$H$6:$H$462,MATCH(D2853,'Classif Gestoras'!$A$6:$A$462,0)),"Não classificada")</x:f>
        <x:v>Independente</x:v>
      </x:c>
      <x:c r="F2853" s="168" t="str">
        <x:v>Oliveira Trust DTVM</x:v>
      </x:c>
      <x:c r="G2853" s="168" t="str">
        <x:v>OLIVEIRA TRUST DTVM S.A.</x:v>
      </x:c>
      <x:c r="H2853" s="168" t="str">
        <x:v>Agro, Indústria e Comércio</x:v>
      </x:c>
      <x:c r="I2853" s="168" t="str">
        <x:v>Recebíveis Comerciais</x:v>
      </x:c>
      <x:c r="J2853" s="168" t="str">
        <x:v>CI</x:v>
      </x:c>
      <x:c r="K2853" s="174" t="n">
        <x:v>3</x:v>
      </x:c>
      <x:c r="L2853" s="187" t="str">
        <x:v>Não classificado</x:v>
      </x:c>
    </x:row>
    <x:row r="2854">
      <x:c r="A2854" s="177" t="str">
        <x:v>26.812.976/0001-52</x:v>
      </x:c>
      <x:c r="B2854" s="168" t="str">
        <x:v>FUNDO DE INVESTIMENTO EM DIREITOS CREDITÓRIOS EMPÍRICA IMOBILIÁRIO MULTI</x:v>
      </x:c>
      <x:c r="C2854" s="190" t="n">
        <x:v>3492479.28</x:v>
      </x:c>
      <x:c r="D2854" s="168" t="str">
        <x:v>REAG GESTÃO DE CRÉDITO</x:v>
      </x:c>
      <x:c r="E2854" s="168" t="str">
        <x:f>IFERROR(INDEX('Classif Gestoras'!$H$6:$H$462,MATCH(D2854,'Classif Gestoras'!$A$6:$A$462,0)),"Não classificada")</x:f>
        <x:v>Independente</x:v>
      </x:c>
      <x:c r="F2854" s="168" t="str">
        <x:v>REAG DTVM</x:v>
      </x:c>
      <x:c r="G2854" s="168" t="str">
        <x:v>FIDD DISTRIBUIDORA DE TITULOS E VALORES MOBILIARIOS LTDA.</x:v>
      </x:c>
      <x:c r="H2854" s="168" t="str">
        <x:v>Financeiro</x:v>
      </x:c>
      <x:c r="I2854" s="168" t="str">
        <x:v>Crédito Imobiliário</x:v>
      </x:c>
      <x:c r="J2854" s="168" t="str">
        <x:v>CI</x:v>
      </x:c>
      <x:c r="K2854" s="174" t="n">
        <x:v>3</x:v>
      </x:c>
      <x:c r="L2854" s="187" t="str">
        <x:v>Não classificado</x:v>
      </x:c>
    </x:row>
    <x:row r="2855">
      <x:c r="A2855" s="177" t="str">
        <x:v>54.827.590/0001-50</x:v>
      </x:c>
      <x:c r="B2855" s="168" t="str">
        <x:v>GUARDIAN MULTI CONSIGNADO IX FUNDO DE INVESTIMENTO EM DIREITOS CREDITÓRIOS RESPONSABILIDADE LIMITADA</x:v>
      </x:c>
      <x:c r="C2855" s="190" t="n">
        <x:v>3431007.7800000003</x:v>
      </x:c>
      <x:c r="D2855" s="168" t="str">
        <x:v>Guardian Gestora</x:v>
      </x:c>
      <x:c r="E2855" s="168" t="str">
        <x:f>IFERROR(INDEX('Classif Gestoras'!$H$6:$H$462,MATCH(D2855,'Classif Gestoras'!$A$6:$A$462,0)),"Não classificada")</x:f>
        <x:v>Independente</x:v>
      </x:c>
      <x:c r="F2855" s="168" t="str">
        <x:v>BANCO DAYCOVAL S/A</x:v>
      </x:c>
      <x:c r="G2855" s="168" t="str">
        <x:v>BANCO DAYCOVAL S.A.</x:v>
      </x:c>
      <x:c r="H2855" s="168" t="str">
        <x:v>Financeiro</x:v>
      </x:c>
      <x:c r="I2855" s="168" t="str">
        <x:v>Crédito Consignado</x:v>
      </x:c>
      <x:c r="J2855" s="168" t="str">
        <x:v>CI</x:v>
      </x:c>
      <x:c r="K2855" s="174" t="n">
        <x:v>5</x:v>
      </x:c>
      <x:c r="L2855" s="187" t="str">
        <x:v>Não classificado</x:v>
      </x:c>
    </x:row>
    <x:row r="2856">
      <x:c r="A2856" s="177" t="str">
        <x:v>63.565.588/0001-40</x:v>
      </x:c>
      <x:c r="B2856" s="168" t="str">
        <x:v>VIVO PAY III FUNDO DE INVESTIMENTO EM DIREITOS CREDITÓRIOS RESPONSABILIDADE LIMITADA</x:v>
      </x:c>
      <x:c r="C2856" s="190" t="n">
        <x:v>3424955.8</x:v>
      </x:c>
      <x:c r="D2856" s="168" t="str">
        <x:v>QI GESTAO DE RECURSOS LTDA</x:v>
      </x:c>
      <x:c r="E2856" s="168" t="str">
        <x:f>IFERROR(INDEX('Classif Gestoras'!$H$6:$H$462,MATCH(D2856,'Classif Gestoras'!$A$6:$A$462,0)),"Não classificada")</x:f>
        <x:v>Independente</x:v>
      </x:c>
      <x:c r="F2856" s="168" t="str">
        <x:v>Singulare</x:v>
      </x:c>
      <x:c r="G2856" s="168" t="str">
        <x:v>Não identificado</x:v>
      </x:c>
      <x:c r="H2856" s="168" t="str">
        <x:v>Financeiro</x:v>
      </x:c>
      <x:c r="I2856" s="168" t="str">
        <x:v>Multicarteira Financeiro</x:v>
      </x:c>
      <x:c r="J2856" s="168" t="str">
        <x:v>CI</x:v>
      </x:c>
      <x:c r="K2856" s="174" t="n">
        <x:v>1</x:v>
      </x:c>
      <x:c r="L2856" s="187" t="str">
        <x:v>Proxy multicedente/multissacado — revisar</x:v>
      </x:c>
    </x:row>
    <x:row r="2857">
      <x:c r="A2857" s="177" t="str">
        <x:v>58.051.964/0001-49</x:v>
      </x:c>
      <x:c r="B2857" s="168" t="str">
        <x:v>ENE2 LEGAL CLAIMS FUNDO DE INVESTIMENTO EM DIREITOS CREDITÓRIOS DE CLASSE ÚNICA FECHADA</x:v>
      </x:c>
      <x:c r="C2857" s="190" t="n">
        <x:v>3409475.8699999996</x:v>
      </x:c>
      <x:c r="D2857" s="168" t="str">
        <x:v>CARMEL GESTORA DE ATIVOS LTDA</x:v>
      </x:c>
      <x:c r="E2857" s="168" t="str">
        <x:f>IFERROR(INDEX('Classif Gestoras'!$H$6:$H$462,MATCH(D2857,'Classif Gestoras'!$A$6:$A$462,0)),"Não classificada")</x:f>
        <x:v>Independente</x:v>
      </x:c>
      <x:c r="F2857" s="168" t="str">
        <x:v>BRL TRUST DTVM</x:v>
      </x:c>
      <x:c r="G2857" s="168" t="str">
        <x:v>BRL TRUST DISTRIBUIDORA DE TITULOS E VALORES MOBILIARIOS S.A.</x:v>
      </x:c>
      <x:c r="H2857" s="168" t="str">
        <x:v>Outros</x:v>
      </x:c>
      <x:c r="I2857" s="168" t="str">
        <x:v>Multicarteira Outros</x:v>
      </x:c>
      <x:c r="J2857" s="168" t="str">
        <x:v>CI</x:v>
      </x:c>
      <x:c r="K2857" s="174" t="n">
        <x:v>5</x:v>
      </x:c>
      <x:c r="L2857" s="187" t="str">
        <x:v>Proxy multicedente/multissacado — revisar</x:v>
      </x:c>
    </x:row>
    <x:row r="2858">
      <x:c r="A2858" s="177" t="str">
        <x:v>61.690.116/0001-94</x:v>
      </x:c>
      <x:c r="B2858" s="168" t="str">
        <x:v>XC CAPITAL FUNDO DE INVESTIMENTO EM DIREITOS CREDITÓRIOS</x:v>
      </x:c>
      <x:c r="C2858" s="190" t="n">
        <x:v>3334728.5</x:v>
      </x:c>
      <x:c r="D2858" s="168" t="str">
        <x:v>ASSET MANAGEMENT</x:v>
      </x:c>
      <x:c r="E2858" s="168" t="str">
        <x:f>IFERROR(INDEX('Classif Gestoras'!$H$6:$H$462,MATCH(D2858,'Classif Gestoras'!$A$6:$A$462,0)),"Não classificada")</x:f>
        <x:v>Independente</x:v>
      </x:c>
      <x:c r="F2858" s="168" t="str">
        <x:v>AZUMI DISTRIBUIDORA DE TÍTULOS E VALORES MOBILIÁRIOS LT</x:v>
      </x:c>
      <x:c r="G2858" s="168" t="str">
        <x:v>AZUMI DISTRIBUIDORA DE TÍTULOS E VALORES MOBILIÁRIOS LTDA.</x:v>
      </x:c>
      <x:c r="H2858" s="168" t="str">
        <x:v>Fomento Mercantil</x:v>
      </x:c>
      <x:c r="I2858" s="168" t="str">
        <x:v>Fomento Mercantil</x:v>
      </x:c>
      <x:c r="J2858" s="168" t="str">
        <x:v>CI</x:v>
      </x:c>
      <x:c r="K2858" s="174" t="n">
        <x:v>1</x:v>
      </x:c>
      <x:c r="L2858" s="187" t="str">
        <x:v>Não classificado</x:v>
      </x:c>
    </x:row>
    <x:row r="2859">
      <x:c r="A2859" s="177" t="str">
        <x:v>10.759.034/0001-18</x:v>
      </x:c>
      <x:c r="B2859" s="168" t="str">
        <x:v>PC FUNDO DE INVESTIMENTO EM DIREITOS CREDITÓRIOS - RESPONSABILIDADE LIMITADA</x:v>
      </x:c>
      <x:c r="C2859" s="190" t="n">
        <x:v>3327412.0600000005</x:v>
      </x:c>
      <x:c r="D2859" s="168" t="str">
        <x:v>Pátria Investimentos Ltda.</x:v>
      </x:c>
      <x:c r="E2859" s="168" t="str">
        <x:f>IFERROR(INDEX('Classif Gestoras'!$H$6:$H$462,MATCH(D2859,'Classif Gestoras'!$A$6:$A$462,0)),"Não classificada")</x:f>
        <x:v>Independente</x:v>
      </x:c>
      <x:c r="F2859" s="168" t="str">
        <x:v>Banvox DTVM</x:v>
      </x:c>
      <x:c r="G2859" s="168" t="str">
        <x:v>BANVOX DISTRIBUIDORA DE TITULOS E VALORES MOBILIARIOS LTDA</x:v>
      </x:c>
      <x:c r="H2859" s="168" t="str">
        <x:v>Outros</x:v>
      </x:c>
      <x:c r="I2859" s="168" t="str">
        <x:v>Multicarteira Outros</x:v>
      </x:c>
      <x:c r="J2859" s="168" t="str">
        <x:v>CI</x:v>
      </x:c>
      <x:c r="K2859" s="174" t="n">
        <x:v>5</x:v>
      </x:c>
      <x:c r="L2859" s="187" t="str">
        <x:v>Proxy multicedente/multissacado — revisar</x:v>
      </x:c>
    </x:row>
    <x:row r="2860">
      <x:c r="A2860" s="177" t="str">
        <x:v>51.250.816/0001-04</x:v>
      </x:c>
      <x:c r="B2860" s="168" t="str">
        <x:v>SATOSHINOMIKS FUNDO DE INVESTIMENTO EM DIREITOS CREDITÓRIOS</x:v>
      </x:c>
      <x:c r="C2860" s="190" t="n">
        <x:v>3292261.27</x:v>
      </x:c>
      <x:c r="D2860" s="168" t="str">
        <x:v>Iggy Investimentos</x:v>
      </x:c>
      <x:c r="E2860" s="168" t="str">
        <x:f>IFERROR(INDEX('Classif Gestoras'!$H$6:$H$462,MATCH(D2860,'Classif Gestoras'!$A$6:$A$462,0)),"Não classificada")</x:f>
        <x:v>Independente</x:v>
      </x:c>
      <x:c r="F2860" s="168" t="str">
        <x:v>Banvox DTVM</x:v>
      </x:c>
      <x:c r="G2860" s="168" t="str">
        <x:v>BANVOX DISTRIBUIDORA DE TITULOS E VALORES MOBILIARIOS LTDA</x:v>
      </x:c>
      <x:c r="H2860" s="168" t="str">
        <x:v>Outros</x:v>
      </x:c>
      <x:c r="I2860" s="168" t="str">
        <x:v>Multicarteira Outros</x:v>
      </x:c>
      <x:c r="J2860" s="168" t="str">
        <x:v>CI</x:v>
      </x:c>
      <x:c r="K2860" s="174" t="n">
        <x:v>2</x:v>
      </x:c>
      <x:c r="L2860" s="187" t="str">
        <x:v>Proxy multicedente/multissacado — revisar</x:v>
      </x:c>
    </x:row>
    <x:row r="2861">
      <x:c r="A2861" s="177" t="str">
        <x:v>60.209.130/0001-60</x:v>
      </x:c>
      <x:c r="B2861" s="168" t="str">
        <x:v>WFOUR FUNDO DE INVESTIMENTO EM DIREITOS CREDITORIOS</x:v>
      </x:c>
      <x:c r="C2861" s="190" t="n">
        <x:v>3276448.87</x:v>
      </x:c>
      <x:c r="D2861" s="168" t="str">
        <x:v>Libertas Asset</x:v>
      </x:c>
      <x:c r="E2861" s="168" t="str">
        <x:f>IFERROR(INDEX('Classif Gestoras'!$H$6:$H$462,MATCH(D2861,'Classif Gestoras'!$A$6:$A$462,0)),"Não classificada")</x:f>
        <x:v>Independente</x:v>
      </x:c>
      <x:c r="F2861" s="168" t="str">
        <x:v>ACTUAL DTVM</x:v>
      </x:c>
      <x:c r="G2861" s="168" t="str">
        <x:v>TRUSTEE DISTRIBUIDORA DE TITULOS E VALORES MOBILIARIOS LTDA.</x:v>
      </x:c>
      <x:c r="H2861" s="168" t="str">
        <x:v>Fomento Mercantil</x:v>
      </x:c>
      <x:c r="I2861" s="168" t="str">
        <x:v>Fomento Mercantil</x:v>
      </x:c>
      <x:c r="J2861" s="168" t="str">
        <x:v>CI</x:v>
      </x:c>
      <x:c r="K2861" s="174" t="n">
        <x:v>1</x:v>
      </x:c>
      <x:c r="L2861" s="187" t="str">
        <x:v>Não classificado</x:v>
      </x:c>
    </x:row>
    <x:row r="2862">
      <x:c r="A2862" s="177" t="str">
        <x:v>61.119.767/0001-29</x:v>
      </x:c>
      <x:c r="B2862" s="168" t="str">
        <x:v>JUD 01 FUNDO DE INVESTIMENTOS EM DIREITOS CREDITÓRIOS NÃO PADRONIZADOS RESPONSABILIDADE LIMITADA</x:v>
      </x:c>
      <x:c r="C2862" s="190" t="n">
        <x:v>3274023.02</x:v>
      </x:c>
      <x:c r="D2862" s="168" t="str">
        <x:v>HÍBRIDO PARTNERS GESTORA DE RECURSOS LTDA.</x:v>
      </x:c>
      <x:c r="E2862" s="168" t="str">
        <x:f>IFERROR(INDEX('Classif Gestoras'!$H$6:$H$462,MATCH(D2862,'Classif Gestoras'!$A$6:$A$462,0)),"Não classificada")</x:f>
        <x:v>Independente</x:v>
      </x:c>
      <x:c r="F2862" s="168" t="str">
        <x:v>ID Corretora de Títulos e Valores Mobiliários S.A.</x:v>
      </x:c>
      <x:c r="G2862" s="168" t="str">
        <x:v>ID CORRETORA DE TITULOS E VALORES MOBILIARIOS S.A.</x:v>
      </x:c>
      <x:c r="H2862" s="168" t="str">
        <x:v>Outros</x:v>
      </x:c>
      <x:c r="I2862" s="168" t="str">
        <x:v>Multicarteira Outros</x:v>
      </x:c>
      <x:c r="J2862" s="168" t="str">
        <x:v>CI</x:v>
      </x:c>
      <x:c r="K2862" s="174" t="n">
        <x:v>1</x:v>
      </x:c>
      <x:c r="L2862" s="187" t="str">
        <x:v>Proxy multicedente/multissacado — revisar</x:v>
      </x:c>
    </x:row>
    <x:row r="2863">
      <x:c r="A2863" s="177" t="str">
        <x:v>61.220.673/0001-41</x:v>
      </x:c>
      <x:c r="B2863" s="168" t="str">
        <x:v>VISION FIDC - CRÉDITOS EM RECUPERAÇÃO JUDICIAL - RESP LIMITADA</x:v>
      </x:c>
      <x:c r="C2863" s="190" t="n">
        <x:v>3262904.3899999997</x:v>
      </x:c>
      <x:c r="D2863" s="168" t="str">
        <x:v>Vision Brazil</x:v>
      </x:c>
      <x:c r="E2863" s="168" t="str">
        <x:f>IFERROR(INDEX('Classif Gestoras'!$H$6:$H$462,MATCH(D2863,'Classif Gestoras'!$A$6:$A$462,0)),"Não classificada")</x:f>
        <x:v>Independente</x:v>
      </x:c>
      <x:c r="F2863" s="168" t="str">
        <x:v>BANCO DAYCOVAL S/A</x:v>
      </x:c>
      <x:c r="G2863" s="168" t="str">
        <x:v>BANCO DAYCOVAL S.A.</x:v>
      </x:c>
      <x:c r="H2863" s="168" t="str">
        <x:v>Outros</x:v>
      </x:c>
      <x:c r="I2863" s="168" t="str">
        <x:v>Recuperação</x:v>
      </x:c>
      <x:c r="J2863" s="168" t="str">
        <x:v>CI</x:v>
      </x:c>
      <x:c r="K2863" s="174" t="n">
        <x:v>2</x:v>
      </x:c>
      <x:c r="L2863" s="187" t="str">
        <x:v>Não classificado</x:v>
      </x:c>
    </x:row>
    <x:row r="2864">
      <x:c r="A2864" s="177" t="str">
        <x:v>64.406.642/0001-78</x:v>
      </x:c>
      <x:c r="B2864" s="168" t="str">
        <x:v>PASSAÚNA FUNDO DE INVESTIMENTO EM COTAS DE FUNDOS DE INVESTIMENTO EM DIREITOS CREDITÓRIOS RESP LIMIT</x:v>
      </x:c>
      <x:c r="C2864" s="190" t="n">
        <x:v>3243368.8600000003</x:v>
      </x:c>
      <x:c r="D2864" s="168" t="str">
        <x:v>Harbour Capital</x:v>
      </x:c>
      <x:c r="E2864" s="168" t="str">
        <x:f>IFERROR(INDEX('Classif Gestoras'!$H$6:$H$462,MATCH(D2864,'Classif Gestoras'!$A$6:$A$462,0)),"Não classificada")</x:f>
        <x:v>Independente</x:v>
      </x:c>
      <x:c r="F2864" s="168" t="str">
        <x:v>AZUMI DISTRIBUIDORA DE TÍTULOS E VALORES MOBILIÁRIOS LT</x:v>
      </x:c>
      <x:c r="G2864" s="168" t="str">
        <x:v>AZUMI DISTRIBUIDORA DE TÍTULOS E VALORES MOBILIÁRIOS LTDA.</x:v>
      </x:c>
      <x:c r="H2864" s="168" t="str">
        <x:v>Financeiro</x:v>
      </x:c>
      <x:c r="I2864" s="168" t="str">
        <x:v>Multicarteira Financeiro</x:v>
      </x:c>
      <x:c r="J2864" s="168" t="str">
        <x:v>CI</x:v>
      </x:c>
      <x:c r="K2864" s="174" t="n">
        <x:v>1</x:v>
      </x:c>
      <x:c r="L2864" s="187" t="str">
        <x:v>Proxy multicedente/multissacado — revisar</x:v>
      </x:c>
    </x:row>
    <x:row r="2865">
      <x:c r="A2865" s="177" t="str">
        <x:v>33.736.744/0001-28</x:v>
      </x:c>
      <x:c r="B2865" s="168" t="str">
        <x:v>VOLPATO - FUNDO DE INVESTIMENTO EM DIREITOS CREDITÓRIOS</x:v>
      </x:c>
      <x:c r="C2865" s="190" t="n">
        <x:v>3231953.65</x:v>
      </x:c>
      <x:c r="D2865" s="168" t="str">
        <x:v>Iron Capital</x:v>
      </x:c>
      <x:c r="E2865" s="168" t="str">
        <x:f>IFERROR(INDEX('Classif Gestoras'!$H$6:$H$462,MATCH(D2865,'Classif Gestoras'!$A$6:$A$462,0)),"Não classificada")</x:f>
        <x:v>Independente</x:v>
      </x:c>
      <x:c r="F2865" s="168" t="str">
        <x:v>VÓRTX DTVM</x:v>
      </x:c>
      <x:c r="G2865" s="168" t="str">
        <x:v>VORTX DISTRIBUIDORA DE TITULOS E VALORES MOBILIARIOS LTDA.</x:v>
      </x:c>
      <x:c r="H2865" s="168" t="str">
        <x:v>Fomento Mercantil</x:v>
      </x:c>
      <x:c r="I2865" s="168" t="str">
        <x:v>Fomento Mercantil</x:v>
      </x:c>
      <x:c r="J2865" s="168" t="str">
        <x:v>CI</x:v>
      </x:c>
      <x:c r="K2865" s="174" t="n">
        <x:v>2</x:v>
      </x:c>
      <x:c r="L2865" s="187" t="str">
        <x:v>Não classificado</x:v>
      </x:c>
    </x:row>
    <x:row r="2866">
      <x:c r="A2866" s="177" t="str">
        <x:v>53.327.560/0001-11</x:v>
      </x:c>
      <x:c r="B2866" s="168" t="str">
        <x:v>LEVANTE - MICROCRÉDITO FUNDO DE INVESTIMENTO EM DIREITOS CREDITÓRIOS</x:v>
      </x:c>
      <x:c r="C2866" s="190" t="n">
        <x:v>3229682.060000001</x:v>
      </x:c>
      <x:c r="D2866" s="168" t="str">
        <x:v>3J Gestora de Recursos Ltda.</x:v>
      </x:c>
      <x:c r="E2866" s="168" t="str">
        <x:f>IFERROR(INDEX('Classif Gestoras'!$H$6:$H$462,MATCH(D2866,'Classif Gestoras'!$A$6:$A$462,0)),"Não classificada")</x:f>
        <x:v>Independente</x:v>
      </x:c>
      <x:c r="F2866" s="168" t="str">
        <x:v>Singulare</x:v>
      </x:c>
      <x:c r="G2866" s="168" t="str">
        <x:v>VERT DISTRIBUIDORA DE TÍTULOS E VALORES MOBILIÁRIOS LTDA.</x:v>
      </x:c>
      <x:c r="H2866" s="168" t="str">
        <x:v>Outros</x:v>
      </x:c>
      <x:c r="I2866" s="168" t="str">
        <x:v>Multicarteira Outros</x:v>
      </x:c>
      <x:c r="J2866" s="168" t="str">
        <x:v>CI</x:v>
      </x:c>
      <x:c r="K2866" s="174" t="n">
        <x:v>40</x:v>
      </x:c>
      <x:c r="L2866" s="187" t="str">
        <x:v>Proxy multicedente/multissacado — revisar</x:v>
      </x:c>
    </x:row>
    <x:row r="2867">
      <x:c r="A2867" s="177" t="str">
        <x:v>55.626.024/0001-42</x:v>
      </x:c>
      <x:c r="B2867" s="168" t="str">
        <x:v>INSOL FUNDO DE INVESTIMENTO EM DIREITOS CREDITÓRIOS DE RESPONSABILIDADE LIMITADA</x:v>
      </x:c>
      <x:c r="C2867" s="190" t="n">
        <x:v>3199595.12</x:v>
      </x:c>
      <x:c r="D2867" s="168" t="str">
        <x:v>Merito DTVM</x:v>
      </x:c>
      <x:c r="E2867" s="168" t="str">
        <x:f>IFERROR(INDEX('Classif Gestoras'!$H$6:$H$462,MATCH(D2867,'Classif Gestoras'!$A$6:$A$462,0)),"Não classificada")</x:f>
        <x:v>Independente</x:v>
      </x:c>
      <x:c r="F2867" s="168" t="str">
        <x:v>Merito DTVM</x:v>
      </x:c>
      <x:c r="G2867" s="168" t="str">
        <x:v>MERITO DISTRIBUIDORA DE TITULOS E VALORES MOBILIARIOS LTDA.</x:v>
      </x:c>
      <x:c r="H2867" s="168" t="str">
        <x:v>Outros</x:v>
      </x:c>
      <x:c r="I2867" s="168" t="str">
        <x:v>Multicarteira Outros</x:v>
      </x:c>
      <x:c r="J2867" s="168" t="str">
        <x:v>CI</x:v>
      </x:c>
      <x:c r="K2867" s="174" t="n">
        <x:v>4</x:v>
      </x:c>
      <x:c r="L2867" s="187" t="str">
        <x:v>Proxy multicedente/multissacado — revisar</x:v>
      </x:c>
    </x:row>
    <x:row r="2868">
      <x:c r="A2868" s="177" t="str">
        <x:v>62.741.028/0001-37</x:v>
      </x:c>
      <x:c r="B2868" s="168" t="str">
        <x:v>CO FUNDO DE INVESTIMENTOS EM DIREITOS CREDITORIOS</x:v>
      </x:c>
      <x:c r="C2868" s="190" t="n">
        <x:v>3190149.01</x:v>
      </x:c>
      <x:c r="D2868" s="168" t="str">
        <x:v>ASSET MANAGEMENT</x:v>
      </x:c>
      <x:c r="E2868" s="168" t="str">
        <x:f>IFERROR(INDEX('Classif Gestoras'!$H$6:$H$462,MATCH(D2868,'Classif Gestoras'!$A$6:$A$462,0)),"Não classificada")</x:f>
        <x:v>Independente</x:v>
      </x:c>
      <x:c r="F2868" s="168" t="str">
        <x:v>AZUMI DISTRIBUIDORA DE TÍTULOS E VALORES MOBILIÁRIOS LT</x:v>
      </x:c>
      <x:c r="G2868" s="168" t="str">
        <x:v>AZUMI DISTRIBUIDORA DE TÍTULOS E VALORES MOBILIÁRIOS LTDA.</x:v>
      </x:c>
      <x:c r="H2868" s="168" t="str">
        <x:v>Fomento Mercantil</x:v>
      </x:c>
      <x:c r="I2868" s="168" t="str">
        <x:v>Fomento Mercantil</x:v>
      </x:c>
      <x:c r="J2868" s="168" t="str">
        <x:v>CI</x:v>
      </x:c>
      <x:c r="K2868" s="174" t="n">
        <x:v>2</x:v>
      </x:c>
      <x:c r="L2868" s="187" t="str">
        <x:v>Não classificado</x:v>
      </x:c>
    </x:row>
    <x:row r="2869">
      <x:c r="A2869" s="177" t="str">
        <x:v>52.430.088/0001-85</x:v>
      </x:c>
      <x:c r="B2869" s="168" t="str">
        <x:v>GUARDIAN MULTI CONSIGNADO V FUNDO DE INVESTIMENTO EM DIREITOS CREDITÓRIOS-RESPONSABILIDADE LIMITADA</x:v>
      </x:c>
      <x:c r="C2869" s="190" t="n">
        <x:v>3141668.94</x:v>
      </x:c>
      <x:c r="D2869" s="168" t="str">
        <x:v>Guardian Gestora</x:v>
      </x:c>
      <x:c r="E2869" s="168" t="str">
        <x:f>IFERROR(INDEX('Classif Gestoras'!$H$6:$H$462,MATCH(D2869,'Classif Gestoras'!$A$6:$A$462,0)),"Não classificada")</x:f>
        <x:v>Independente</x:v>
      </x:c>
      <x:c r="F2869" s="168" t="str">
        <x:v>QI DISTRIBUIDORA DE TITULOS E VALORES MOBILIARIOS LTDA</x:v>
      </x:c>
      <x:c r="G2869" s="168" t="str">
        <x:v>LASTRO RDV DTVM LTDA</x:v>
      </x:c>
      <x:c r="H2869" s="168" t="str">
        <x:v>Financeiro</x:v>
      </x:c>
      <x:c r="I2869" s="168" t="str">
        <x:v>Crédito Pessoal</x:v>
      </x:c>
      <x:c r="J2869" s="168" t="str">
        <x:v>CI</x:v>
      </x:c>
      <x:c r="K2869" s="174" t="n">
        <x:v>1</x:v>
      </x:c>
      <x:c r="L2869" s="187" t="str">
        <x:v>Não classificado</x:v>
      </x:c>
    </x:row>
    <x:row r="2870">
      <x:c r="A2870" s="177" t="str">
        <x:v>63.995.636/0001-30</x:v>
      </x:c>
      <x:c r="B2870" s="168" t="str">
        <x:v>CREDPACK FUNDO DE INVESTIMENTO EM DIREITOS CREDITÓRIOS</x:v>
      </x:c>
      <x:c r="C2870" s="190" t="n">
        <x:v>3091287.6599999997</x:v>
      </x:c>
      <x:c r="D2870" s="168" t="str">
        <x:v>OKEAN INVEST</x:v>
      </x:c>
      <x:c r="E2870" s="168" t="str">
        <x:f>IFERROR(INDEX('Classif Gestoras'!$H$6:$H$462,MATCH(D2870,'Classif Gestoras'!$A$6:$A$462,0)),"Não classificada")</x:f>
        <x:v>Independente</x:v>
      </x:c>
      <x:c r="F2870" s="168" t="str">
        <x:v>Finvest Digital</x:v>
      </x:c>
      <x:c r="G2870" s="168" t="str">
        <x:v>FINVEST DISTRIBUIDORA DE TÍTULOS E VALORES MOBILIÁRIOS LTDA.</x:v>
      </x:c>
      <x:c r="H2870" s="168" t="str">
        <x:v>Fomento Mercantil</x:v>
      </x:c>
      <x:c r="I2870" s="168" t="str">
        <x:v>Fomento Mercantil</x:v>
      </x:c>
      <x:c r="J2870" s="168" t="str">
        <x:v>CI</x:v>
      </x:c>
      <x:c r="K2870" s="174" t="n">
        <x:v>1</x:v>
      </x:c>
      <x:c r="L2870" s="187" t="str">
        <x:v>Não classificado</x:v>
      </x:c>
    </x:row>
    <x:row r="2871">
      <x:c r="A2871" s="177" t="str">
        <x:v>55.790.739/0001-36</x:v>
      </x:c>
      <x:c r="B2871" s="168" t="str">
        <x:v>PAZ FUNDO DE INVESTIMENTO EM DIREITOS CREDITÓRIOS RESPONSABILIDADE LIMITADA</x:v>
      </x:c>
      <x:c r="C2871" s="190" t="n">
        <x:v>3073008.83</x:v>
      </x:c>
      <x:c r="D2871" s="168" t="str">
        <x:v>Lumina</x:v>
      </x:c>
      <x:c r="E2871" s="168" t="str">
        <x:f>IFERROR(INDEX('Classif Gestoras'!$H$6:$H$462,MATCH(D2871,'Classif Gestoras'!$A$6:$A$462,0)),"Não classificada")</x:f>
        <x:v>Independente</x:v>
      </x:c>
      <x:c r="F2871" s="168" t="str">
        <x:v>Singulare</x:v>
      </x:c>
      <x:c r="G2871" s="168" t="str">
        <x:v>QI CORRETORA DE TÍTULOS E VALORES MOBILIÁRIOS S.A.</x:v>
      </x:c>
      <x:c r="H2871" s="168" t="str">
        <x:v>Outros</x:v>
      </x:c>
      <x:c r="I2871" s="168" t="str">
        <x:v>Multicarteira Outros</x:v>
      </x:c>
      <x:c r="J2871" s="168" t="str">
        <x:v>CI</x:v>
      </x:c>
      <x:c r="K2871" s="174" t="n">
        <x:v>7</x:v>
      </x:c>
      <x:c r="L2871" s="187" t="str">
        <x:v>Proxy multicedente/multissacado — revisar</x:v>
      </x:c>
    </x:row>
    <x:row r="2872">
      <x:c r="A2872" s="177" t="str">
        <x:v>64.432.874/0001-09</x:v>
      </x:c>
      <x:c r="B2872" s="168" t="str">
        <x:v>TEC BRASIL CAPITAL FUNDO DE INVESTIMENTO EM DIREITOS CREDITORIOS</x:v>
      </x:c>
      <x:c r="C2872" s="190" t="n">
        <x:v>3062860.21</x:v>
      </x:c>
      <x:c r="D2872" s="168" t="str">
        <x:v>VESTRA CAPITAL</x:v>
      </x:c>
      <x:c r="E2872" s="168" t="str">
        <x:f>IFERROR(INDEX('Classif Gestoras'!$H$6:$H$462,MATCH(D2872,'Classif Gestoras'!$A$6:$A$462,0)),"Não classificada")</x:f>
        <x:v>Independente</x:v>
      </x:c>
      <x:c r="F2872" s="168" t="str">
        <x:v>AZUMI DISTRIBUIDORA DE TÍTULOS E VALORES MOBILIÁRIOS LT</x:v>
      </x:c>
      <x:c r="G2872" s="168" t="str">
        <x:v>AZUMI DISTRIBUIDORA DE TÍTULOS E VALORES MOBILIÁRIOS LTDA.</x:v>
      </x:c>
      <x:c r="H2872" s="168" t="str">
        <x:v>Outros</x:v>
      </x:c>
      <x:c r="I2872" s="168" t="str">
        <x:v>Multicarteira Outros</x:v>
      </x:c>
      <x:c r="J2872" s="168" t="str">
        <x:v>CI</x:v>
      </x:c>
      <x:c r="K2872" s="174" t="n">
        <x:v>3</x:v>
      </x:c>
      <x:c r="L2872" s="187" t="str">
        <x:v>Proxy multicedente/multissacado — revisar</x:v>
      </x:c>
    </x:row>
    <x:row r="2873">
      <x:c r="A2873" s="177" t="str">
        <x:v>63.653.518/0001-44</x:v>
      </x:c>
      <x:c r="B2873" s="168" t="str">
        <x:v>BANREG FUNDO DE INVESTIMENTO EM DIREITOS CREDITÓRIOS</x:v>
      </x:c>
      <x:c r="C2873" s="190" t="n">
        <x:v>3061310.44</x:v>
      </x:c>
      <x:c r="D2873" s="168" t="str">
        <x:v>QUAESTUS GESTÃO DE INVESTIMENTOS LTDA.</x:v>
      </x:c>
      <x:c r="E2873" s="168" t="str">
        <x:f>IFERROR(INDEX('Classif Gestoras'!$H$6:$H$462,MATCH(D2873,'Classif Gestoras'!$A$6:$A$462,0)),"Não classificada")</x:f>
        <x:v>Independente</x:v>
      </x:c>
      <x:c r="F2873" s="168" t="str">
        <x:v>MONETAR DISTRIBUIDORA DE TITUL</x:v>
      </x:c>
      <x:c r="G2873" s="168" t="str">
        <x:v>TERRA INVESTIMENTOS DISTRIBUIDORA DE TITULOS E VALORES MOBILIARIOS LTDA</x:v>
      </x:c>
      <x:c r="H2873" s="168" t="str">
        <x:v>Fomento Mercantil</x:v>
      </x:c>
      <x:c r="I2873" s="168" t="str">
        <x:v>Fomento Mercantil</x:v>
      </x:c>
      <x:c r="J2873" s="168" t="str">
        <x:v>CI</x:v>
      </x:c>
      <x:c r="K2873" s="174" t="n">
        <x:v>2</x:v>
      </x:c>
      <x:c r="L2873" s="187" t="str">
        <x:v>Não classificado</x:v>
      </x:c>
    </x:row>
    <x:row r="2874">
      <x:c r="A2874" s="177" t="str">
        <x:v>59.665.305/0001-65</x:v>
      </x:c>
      <x:c r="B2874" s="168" t="str">
        <x:v>SATYA FUNDO DE INVESTIMENTO EM DIREITOS CREDITÓRIOS DE RESPONSABILIDADE LIMITADA</x:v>
      </x:c>
      <x:c r="C2874" s="190" t="n">
        <x:v>3031777.5500000003</x:v>
      </x:c>
      <x:c r="D2874" s="168" t="str">
        <x:v>Catálise Investimentos</x:v>
      </x:c>
      <x:c r="E2874" s="168" t="str">
        <x:f>IFERROR(INDEX('Classif Gestoras'!$H$6:$H$462,MATCH(D2874,'Classif Gestoras'!$A$6:$A$462,0)),"Não classificada")</x:f>
        <x:v>Independente</x:v>
      </x:c>
      <x:c r="F2874" s="168" t="str">
        <x:v>BANCO DAYCOVAL S/A</x:v>
      </x:c>
      <x:c r="G2874" s="168" t="str">
        <x:v>BANCO DAYCOVAL S.A.</x:v>
      </x:c>
      <x:c r="H2874" s="168" t="str">
        <x:v>Financeiro</x:v>
      </x:c>
      <x:c r="I2874" s="168" t="str">
        <x:v>Multicarteira Financeiro</x:v>
      </x:c>
      <x:c r="J2874" s="168" t="str">
        <x:v>CI</x:v>
      </x:c>
      <x:c r="K2874" s="174" t="n">
        <x:v>1</x:v>
      </x:c>
      <x:c r="L2874" s="187" t="str">
        <x:v>Proxy multicedente/multissacado — revisar</x:v>
      </x:c>
    </x:row>
    <x:row r="2875">
      <x:c r="A2875" s="177" t="str">
        <x:v>26.000.055/0001-95</x:v>
      </x:c>
      <x:c r="B2875" s="168" t="str">
        <x:v>SILVER STONE FUNDO DE INVESTIMENTO EM DIREITOS CREDITÓRIOS MULTISSETORIAL</x:v>
      </x:c>
      <x:c r="C2875" s="190" t="n">
        <x:v>3025264.4</x:v>
      </x:c>
      <x:c r="D2875" s="168" t="str">
        <x:v>OURO PRETO INVESTIMENTOS</x:v>
      </x:c>
      <x:c r="E2875" s="168" t="str">
        <x:f>IFERROR(INDEX('Classif Gestoras'!$H$6:$H$462,MATCH(D2875,'Classif Gestoras'!$A$6:$A$462,0)),"Não classificada")</x:f>
        <x:v>Independente</x:v>
      </x:c>
      <x:c r="F2875" s="168" t="str">
        <x:v>Limine Trust Distribuidora de Titulos e Valores Mobiliá</x:v>
      </x:c>
      <x:c r="G2875" s="168" t="str">
        <x:v>LIMINE TRUST DISTRIBUIDORA DE TITULOS E VALORES MOBILIARIOS LTDA.</x:v>
      </x:c>
      <x:c r="H2875" s="168" t="str">
        <x:v>Outros</x:v>
      </x:c>
      <x:c r="I2875" s="168" t="str">
        <x:v>Multicarteira Outros</x:v>
      </x:c>
      <x:c r="J2875" s="168" t="str">
        <x:v>CI</x:v>
      </x:c>
      <x:c r="K2875" s="174" t="n">
        <x:v>1</x:v>
      </x:c>
      <x:c r="L2875" s="187" t="str">
        <x:v>Proxy multicedente/multissacado — revisar</x:v>
      </x:c>
    </x:row>
    <x:row r="2876">
      <x:c r="A2876" s="177" t="str">
        <x:v>57.671.358/0001-63</x:v>
      </x:c>
      <x:c r="B2876" s="168" t="str">
        <x:v>ASTRO SAÚDE FUNDO DE INVESTIMENTO EM DIREITOS CREDITÓRIOS DE RESPONSABILIDADE LIMITADA</x:v>
      </x:c>
      <x:c r="C2876" s="190" t="n">
        <x:v>3024959.39</x:v>
      </x:c>
      <x:c r="D2876" s="168" t="str">
        <x:v>Kuará Capital</x:v>
      </x:c>
      <x:c r="E2876" s="168" t="str">
        <x:f>IFERROR(INDEX('Classif Gestoras'!$H$6:$H$462,MATCH(D2876,'Classif Gestoras'!$A$6:$A$462,0)),"Não classificada")</x:f>
        <x:v>Independente</x:v>
      </x:c>
      <x:c r="F2876" s="168" t="str">
        <x:v>MONETAR DISTRIBUIDORA DE TITUL</x:v>
      </x:c>
      <x:c r="G2876" s="168" t="str">
        <x:v>TERRA INVESTIMENTOS DISTRIBUIDORA DE TITULOS E VALORES MOBILIARIOS LTDA</x:v>
      </x:c>
      <x:c r="H2876" s="168" t="str">
        <x:v>Outros</x:v>
      </x:c>
      <x:c r="I2876" s="168" t="str">
        <x:v>Multicarteira Outros</x:v>
      </x:c>
      <x:c r="J2876" s="168" t="str">
        <x:v>CI</x:v>
      </x:c>
      <x:c r="K2876" s="174" t="n">
        <x:v>10</x:v>
      </x:c>
      <x:c r="L2876" s="187" t="str">
        <x:v>Proxy multicedente/multissacado — revisar</x:v>
      </x:c>
    </x:row>
    <x:row r="2877">
      <x:c r="A2877" s="177" t="str">
        <x:v>54.990.152/0001-08</x:v>
      </x:c>
      <x:c r="B2877" s="168" t="str">
        <x:v>FUNDO DE INVESTIMENTO EM DIREITOS CREDITÓRIOS K8 CONSIGNADOS - RESPONSABILIDADE LIMITADA</x:v>
      </x:c>
      <x:c r="C2877" s="190" t="n">
        <x:v>3018031.71</x:v>
      </x:c>
      <x:c r="D2877" s="168" t="str">
        <x:v>Iter</x:v>
      </x:c>
      <x:c r="E2877" s="168" t="str">
        <x:f>IFERROR(INDEX('Classif Gestoras'!$H$6:$H$462,MATCH(D2877,'Classif Gestoras'!$A$6:$A$462,0)),"Não classificada")</x:f>
        <x:v>Independente</x:v>
      </x:c>
      <x:c r="F2877" s="168" t="str">
        <x:v>Banvox DTVM</x:v>
      </x:c>
      <x:c r="G2877" s="168" t="str">
        <x:v>BANVOX DISTRIBUIDORA DE TITULOS E VALORES MOBILIARIOS LTDA</x:v>
      </x:c>
      <x:c r="H2877" s="168" t="str">
        <x:v>Financeiro</x:v>
      </x:c>
      <x:c r="I2877" s="168" t="str">
        <x:v>Crédito Consignado</x:v>
      </x:c>
      <x:c r="J2877" s="168" t="str">
        <x:v>CI</x:v>
      </x:c>
      <x:c r="K2877" s="174" t="n">
        <x:v>10</x:v>
      </x:c>
      <x:c r="L2877" s="187" t="str">
        <x:v>Não classificado</x:v>
      </x:c>
    </x:row>
    <x:row r="2878">
      <x:c r="A2878" s="177" t="str">
        <x:v>62.682.407/0001-01</x:v>
      </x:c>
      <x:c r="B2878" s="168" t="str">
        <x:v>PURUNÃ FUNDO DE INVESTIMENTO EM DIREITOS CREDITÓRIOS DE RESPONSABILIDADE LIMITADA</x:v>
      </x:c>
      <x:c r="C2878" s="190" t="n">
        <x:v>3007885.19</x:v>
      </x:c>
      <x:c r="D2878" s="168" t="str">
        <x:v>Catálise Investimentos</x:v>
      </x:c>
      <x:c r="E2878" s="168" t="str">
        <x:f>IFERROR(INDEX('Classif Gestoras'!$H$6:$H$462,MATCH(D2878,'Classif Gestoras'!$A$6:$A$462,0)),"Não classificada")</x:f>
        <x:v>Independente</x:v>
      </x:c>
      <x:c r="F2878" s="168" t="str">
        <x:v>CATÁLISE DTVM</x:v>
      </x:c>
      <x:c r="G2878" s="168" t="str">
        <x:v>BANCO DAYCOVAL S.A.</x:v>
      </x:c>
      <x:c r="H2878" s="168" t="str">
        <x:v>Agro, Indústria e Comércio</x:v>
      </x:c>
      <x:c r="I2878" s="168" t="str">
        <x:v>Recebíveis Comerciais</x:v>
      </x:c>
      <x:c r="J2878" s="168" t="str">
        <x:v>CI</x:v>
      </x:c>
      <x:c r="K2878" s="174" t="n">
        <x:v>1</x:v>
      </x:c>
      <x:c r="L2878" s="187" t="str">
        <x:v>Não classificado</x:v>
      </x:c>
    </x:row>
    <x:row r="2879">
      <x:c r="A2879" s="177" t="str">
        <x:v>51.596.429/0001-24</x:v>
      </x:c>
      <x:c r="B2879" s="168" t="str">
        <x:v>LC I FUNDO DE INVESTIMENTO EM DIREITOS CREDITÓRIOS</x:v>
      </x:c>
      <x:c r="C2879" s="190" t="n">
        <x:v>2993794.29</x:v>
      </x:c>
      <x:c r="D2879" s="168" t="str">
        <x:v>Legatus Asset Management</x:v>
      </x:c>
      <x:c r="E2879" s="168" t="str">
        <x:f>IFERROR(INDEX('Classif Gestoras'!$H$6:$H$462,MATCH(D2879,'Classif Gestoras'!$A$6:$A$462,0)),"Não classificada")</x:f>
        <x:v>Independente</x:v>
      </x:c>
      <x:c r="F2879" s="168" t="str">
        <x:v>PLANNER CV</x:v>
      </x:c>
      <x:c r="G2879" s="168" t="str">
        <x:v>PLANNER CORRETORA DE VALORES S.A.</x:v>
      </x:c>
      <x:c r="H2879" s="168" t="str">
        <x:v>Outros</x:v>
      </x:c>
      <x:c r="I2879" s="168" t="str">
        <x:v>Multicarteira Outros</x:v>
      </x:c>
      <x:c r="J2879" s="168" t="str">
        <x:v>CI</x:v>
      </x:c>
      <x:c r="K2879" s="174" t="n">
        <x:v>10</x:v>
      </x:c>
      <x:c r="L2879" s="187" t="str">
        <x:v>Proxy multicedente/multissacado — revisar</x:v>
      </x:c>
    </x:row>
    <x:row r="2880">
      <x:c r="A2880" s="177" t="str">
        <x:v>24.237.625/0001-30</x:v>
      </x:c>
      <x:c r="B2880" s="168" t="str">
        <x:v>TERRA NOVA FUNDO DE INVESTIMENTO EM DIREITOS CREDITORIOS</x:v>
      </x:c>
      <x:c r="C2880" s="190" t="n">
        <x:v>2991520.37</x:v>
      </x:c>
      <x:c r="D2880" s="168" t="str">
        <x:v>Bless Capital Gestora de Recursos Ltda.</x:v>
      </x:c>
      <x:c r="E2880" s="168" t="str">
        <x:f>IFERROR(INDEX('Classif Gestoras'!$H$6:$H$462,MATCH(D2880,'Classif Gestoras'!$A$6:$A$462,0)),"Não classificada")</x:f>
        <x:v>Independente</x:v>
      </x:c>
      <x:c r="F2880" s="168" t="str">
        <x:v>ID Corretora de Títulos e Valores Mobiliários S.A.</x:v>
      </x:c>
      <x:c r="G2880" s="168" t="str">
        <x:v>ID CORRETORA DE TITULOS E VALORES MOBILIARIOS S.A.</x:v>
      </x:c>
      <x:c r="H2880" s="168" t="str">
        <x:v>Fomento Mercantil</x:v>
      </x:c>
      <x:c r="I2880" s="168" t="str">
        <x:v>Fomento Mercantil</x:v>
      </x:c>
      <x:c r="J2880" s="168" t="str">
        <x:v>CI</x:v>
      </x:c>
      <x:c r="K2880" s="174" t="n">
        <x:v>1</x:v>
      </x:c>
      <x:c r="L2880" s="187" t="str">
        <x:v>Não classificado</x:v>
      </x:c>
    </x:row>
    <x:row r="2881">
      <x:c r="A2881" s="177" t="str">
        <x:v>65.804.305/0001-00</x:v>
      </x:c>
      <x:c r="B2881" s="168" t="str">
        <x:v>TAG SS II FIDC RESPONSABILIDADE LIMITADA</x:v>
      </x:c>
      <x:c r="C2881" s="190" t="n">
        <x:v>2991383.24</x:v>
      </x:c>
      <x:c r="D2881" s="168" t="str">
        <x:v>TAG Investimentos</x:v>
      </x:c>
      <x:c r="E2881" s="168" t="str">
        <x:f>IFERROR(INDEX('Classif Gestoras'!$H$6:$H$462,MATCH(D2881,'Classif Gestoras'!$A$6:$A$462,0)),"Não classificada")</x:f>
        <x:v>Independente</x:v>
      </x:c>
      <x:c r="F2881" s="168" t="str">
        <x:v>BANCO DAYCOVAL S/A</x:v>
      </x:c>
      <x:c r="G2881" s="168" t="str">
        <x:v>BANCO DAYCOVAL S.A.</x:v>
      </x:c>
      <x:c r="H2881" s="168" t="str">
        <x:v>Outros</x:v>
      </x:c>
      <x:c r="I2881" s="168" t="str">
        <x:v>Poder Público</x:v>
      </x:c>
      <x:c r="J2881" s="168" t="str">
        <x:v>CI</x:v>
      </x:c>
      <x:c r="K2881" s="174" t="n">
        <x:v>1</x:v>
      </x:c>
      <x:c r="L2881" s="187" t="str">
        <x:v>Não classificado</x:v>
      </x:c>
    </x:row>
    <x:row r="2882">
      <x:c r="A2882" s="177" t="str">
        <x:v>66.320.254/0001-03</x:v>
      </x:c>
      <x:c r="B2882" s="168" t="str">
        <x:v>FUNDO DE INVESTIMENTO EM DIREITOS CREDITÓRIOS SOLVERA VAREJO RESPONSABILIDADE LIMITADA</x:v>
      </x:c>
      <x:c r="C2882" s="190" t="n">
        <x:v>2988081.8099999996</x:v>
      </x:c>
      <x:c r="D2882" s="168" t="str">
        <x:v>Rio das Pedras Investimentos</x:v>
      </x:c>
      <x:c r="E2882" s="168" t="str">
        <x:f>IFERROR(INDEX('Classif Gestoras'!$H$6:$H$462,MATCH(D2882,'Classif Gestoras'!$A$6:$A$462,0)),"Não classificada")</x:f>
        <x:v>Independente</x:v>
      </x:c>
      <x:c r="F2882" s="168" t="str">
        <x:v>Singulare</x:v>
      </x:c>
      <x:c r="G2882" s="168" t="str">
        <x:v>QI CORRETORA DE TÍTULOS E VALORES MOBILIÁRIOS S.A.</x:v>
      </x:c>
      <x:c r="H2882" s="168" t="str">
        <x:v>Financeiro</x:v>
      </x:c>
      <x:c r="I2882" s="168" t="str">
        <x:v>Multicarteira Financeiro</x:v>
      </x:c>
      <x:c r="J2882" s="168" t="str">
        <x:v>CI</x:v>
      </x:c>
      <x:c r="K2882" s="174" t="n">
        <x:v>1</x:v>
      </x:c>
      <x:c r="L2882" s="187" t="str">
        <x:v>Proxy multicedente/multissacado — revisar</x:v>
      </x:c>
    </x:row>
    <x:row r="2883">
      <x:c r="A2883" s="177" t="str">
        <x:v>64.191.286/0001-12</x:v>
      </x:c>
      <x:c r="B2883" s="168" t="str">
        <x:v>FUNDESTAP FUNDO DE INVESTIMENTO EM DIREITOS CREDITÓRIOS</x:v>
      </x:c>
      <x:c r="C2883" s="190" t="n">
        <x:v>2970090.06</x:v>
      </x:c>
      <x:c r="D2883" s="168" t="str">
        <x:v>Veritas Capital Management</x:v>
      </x:c>
      <x:c r="E2883" s="168" t="str">
        <x:f>IFERROR(INDEX('Classif Gestoras'!$H$6:$H$462,MATCH(D2883,'Classif Gestoras'!$A$6:$A$462,0)),"Não classificada")</x:f>
        <x:v>Independente</x:v>
      </x:c>
      <x:c r="F2883" s="168" t="str">
        <x:v>PLANNER CV</x:v>
      </x:c>
      <x:c r="G2883" s="168" t="str">
        <x:v>PLANNER CORRETORA DE VALORES S.A.</x:v>
      </x:c>
      <x:c r="H2883" s="168" t="str">
        <x:v>Outros</x:v>
      </x:c>
      <x:c r="I2883" s="168" t="str">
        <x:v>Multicarteira Outros</x:v>
      </x:c>
      <x:c r="J2883" s="168" t="str">
        <x:v>CI</x:v>
      </x:c>
      <x:c r="K2883" s="174" t="n">
        <x:v>3</x:v>
      </x:c>
      <x:c r="L2883" s="187" t="str">
        <x:v>Proxy multicedente/multissacado — revisar</x:v>
      </x:c>
    </x:row>
    <x:row r="2884">
      <x:c r="A2884" s="177" t="str">
        <x:v>63.244.964/0001-03</x:v>
      </x:c>
      <x:c r="B2884" s="168" t="str">
        <x:v>CHAPADA FUNDO DE INVESTIMENTO EM DIREITOS CREDITÓRIOS RESPONSABILIDADE LIMITADA</x:v>
      </x:c>
      <x:c r="C2884" s="190" t="n">
        <x:v>2968544.94</x:v>
      </x:c>
      <x:c r="D2884" s="168" t="str">
        <x:v>Renova Gestora</x:v>
      </x:c>
      <x:c r="E2884" s="168" t="str">
        <x:f>IFERROR(INDEX('Classif Gestoras'!$H$6:$H$462,MATCH(D2884,'Classif Gestoras'!$A$6:$A$462,0)),"Não classificada")</x:f>
        <x:v>Independente</x:v>
      </x:c>
      <x:c r="F2884" s="168" t="str">
        <x:v>MONETAR DISTRIBUIDORA DE TITUL</x:v>
      </x:c>
      <x:c r="G2884" s="168" t="str">
        <x:v>TERRA INVESTIMENTOS DISTRIBUIDORA DE TITULOS E VALORES MOBILIARIOS LTDA</x:v>
      </x:c>
      <x:c r="H2884" s="168" t="str">
        <x:v>Outros</x:v>
      </x:c>
      <x:c r="I2884" s="168" t="str">
        <x:v>Multicarteira Outros</x:v>
      </x:c>
      <x:c r="J2884" s="168" t="str">
        <x:v>CI</x:v>
      </x:c>
      <x:c r="K2884" s="174" t="n">
        <x:v>4</x:v>
      </x:c>
      <x:c r="L2884" s="187" t="str">
        <x:v>Proxy multicedente/multissacado — revisar</x:v>
      </x:c>
    </x:row>
    <x:row r="2885">
      <x:c r="A2885" s="177" t="str">
        <x:v>41.218.800/0001-60</x:v>
      </x:c>
      <x:c r="B2885" s="168" t="str">
        <x:v>FUNDO DE INVESTIMENTO EM DIREITOS CREDITÓRIOS VALYSSPI</x:v>
      </x:c>
      <x:c r="C2885" s="190" t="n">
        <x:v>2944116.2399999993</x:v>
      </x:c>
      <x:c r="D2885" s="168" t="str">
        <x:v>VALORA RENDA FIXA ESTRUTURADOS LTDA.</x:v>
      </x:c>
      <x:c r="E2885" s="168" t="str">
        <x:f>IFERROR(INDEX('Classif Gestoras'!$H$6:$H$462,MATCH(D2885,'Classif Gestoras'!$A$6:$A$462,0)),"Não classificada")</x:f>
        <x:v>Independente</x:v>
      </x:c>
      <x:c r="F2885" s="168" t="str">
        <x:v>BANCO DAYCOVAL S/A</x:v>
      </x:c>
      <x:c r="G2885" s="168" t="str">
        <x:v>BANCO DAYCOVAL S.A.</x:v>
      </x:c>
      <x:c r="H2885" s="168" t="str">
        <x:v>Outros</x:v>
      </x:c>
      <x:c r="I2885" s="168" t="str">
        <x:v>Poder Público</x:v>
      </x:c>
      <x:c r="J2885" s="168" t="str">
        <x:v>CI</x:v>
      </x:c>
      <x:c r="K2885" s="174" t="n">
        <x:v>9</x:v>
      </x:c>
      <x:c r="L2885" s="187" t="str">
        <x:v>Não classificado</x:v>
      </x:c>
    </x:row>
    <x:row r="2886">
      <x:c r="A2886" s="177" t="str">
        <x:v>61.281.837/0001-40</x:v>
      </x:c>
      <x:c r="B2886" s="168" t="str">
        <x:v>HCAM PETRO FUNDO DE INVESTIMENTO EM DIREITOS CREDITÓRIOS</x:v>
      </x:c>
      <x:c r="C2886" s="190" t="n">
        <x:v>2931685.97</x:v>
      </x:c>
      <x:c r="D2886" s="168" t="str">
        <x:v>HCAM LTDA.</x:v>
      </x:c>
      <x:c r="E2886" s="168" t="str">
        <x:f>IFERROR(INDEX('Classif Gestoras'!$H$6:$H$462,MATCH(D2886,'Classif Gestoras'!$A$6:$A$462,0)),"Não classificada")</x:f>
        <x:v>Independente</x:v>
      </x:c>
      <x:c r="F2886" s="168" t="str">
        <x:v>Limine Trust Distribuidora de Titulos e Valores Mobiliá</x:v>
      </x:c>
      <x:c r="G2886" s="168" t="str">
        <x:v>LIMINE TRUST DISTRIBUIDORA DE TITULOS E VALORES MOBILIARIOS LTDA.</x:v>
      </x:c>
      <x:c r="H2886" s="168" t="str">
        <x:v>Fomento Mercantil</x:v>
      </x:c>
      <x:c r="I2886" s="168" t="str">
        <x:v>Fomento Mercantil</x:v>
      </x:c>
      <x:c r="J2886" s="168" t="str">
        <x:v>CI</x:v>
      </x:c>
      <x:c r="K2886" s="174" t="n">
        <x:v>13</x:v>
      </x:c>
      <x:c r="L2886" s="187" t="str">
        <x:v>Não classificado</x:v>
      </x:c>
    </x:row>
    <x:row r="2887">
      <x:c r="A2887" s="177" t="str">
        <x:v>61.084.525/0001-47</x:v>
      </x:c>
      <x:c r="B2887" s="168" t="str">
        <x:v>GARRA FUNDO DE INVESTIMENTO EM DIREITOS CREDITÓRIOS</x:v>
      </x:c>
      <x:c r="C2887" s="190" t="n">
        <x:v>2908491.89</x:v>
      </x:c>
      <x:c r="D2887" s="168" t="str">
        <x:v>Harbour Capital</x:v>
      </x:c>
      <x:c r="E2887" s="168" t="str">
        <x:f>IFERROR(INDEX('Classif Gestoras'!$H$6:$H$462,MATCH(D2887,'Classif Gestoras'!$A$6:$A$462,0)),"Não classificada")</x:f>
        <x:v>Independente</x:v>
      </x:c>
      <x:c r="F2887" s="168" t="str">
        <x:v>AZUMI DISTRIBUIDORA DE TÍTULOS E VALORES MOBILIÁRIOS LT</x:v>
      </x:c>
      <x:c r="G2887" s="168" t="str">
        <x:v>AZUMI DISTRIBUIDORA DE TÍTULOS E VALORES MOBILIÁRIOS LTDA.</x:v>
      </x:c>
      <x:c r="H2887" s="168" t="str">
        <x:v>Outros</x:v>
      </x:c>
      <x:c r="I2887" s="168" t="str">
        <x:v>Multicarteira Outros</x:v>
      </x:c>
      <x:c r="J2887" s="168" t="str">
        <x:v>CI</x:v>
      </x:c>
      <x:c r="K2887" s="174" t="n">
        <x:v>2</x:v>
      </x:c>
      <x:c r="L2887" s="187" t="str">
        <x:v>Proxy multicedente/multissacado — revisar</x:v>
      </x:c>
    </x:row>
    <x:row r="2888">
      <x:c r="A2888" s="177" t="str">
        <x:v>47.425.860/0001-30</x:v>
      </x:c>
      <x:c r="B2888" s="168" t="str">
        <x:v>ATICCA DIGITAL FUNDO DE INVESTIMENTO EM DIREITOS CREDITÓRIOS</x:v>
      </x:c>
      <x:c r="C2888" s="190" t="n">
        <x:v>2893141.35</x:v>
      </x:c>
      <x:c r="D2888" s="168" t="str">
        <x:v>OURO PRETO INVESTIMENTOS</x:v>
      </x:c>
      <x:c r="E2888" s="168" t="str">
        <x:f>IFERROR(INDEX('Classif Gestoras'!$H$6:$H$462,MATCH(D2888,'Classif Gestoras'!$A$6:$A$462,0)),"Não classificada")</x:f>
        <x:v>Independente</x:v>
      </x:c>
      <x:c r="F2888" s="168" t="str">
        <x:v>Limine Trust Distribuidora de Titulos e Valores Mobiliá</x:v>
      </x:c>
      <x:c r="G2888" s="168" t="str">
        <x:v>LIMINE TRUST DISTRIBUIDORA DE TITULOS E VALORES MOBILIARIOS LTDA.</x:v>
      </x:c>
      <x:c r="H2888" s="168" t="str">
        <x:v>Fomento Mercantil</x:v>
      </x:c>
      <x:c r="I2888" s="168" t="str">
        <x:v>Fomento Mercantil</x:v>
      </x:c>
      <x:c r="J2888" s="168" t="str">
        <x:v>CI</x:v>
      </x:c>
      <x:c r="K2888" s="174" t="n">
        <x:v>2</x:v>
      </x:c>
      <x:c r="L2888" s="187" t="str">
        <x:v>Não classificado</x:v>
      </x:c>
    </x:row>
    <x:row r="2889">
      <x:c r="A2889" s="177" t="str">
        <x:v>62.540.865/0001-06</x:v>
      </x:c>
      <x:c r="B2889" s="168" t="str">
        <x:v>BARAC FUNDO DE INVESTIMENTO EM DIREITOS CREDITÓRIOS</x:v>
      </x:c>
      <x:c r="C2889" s="190" t="n">
        <x:v>2887637.99</x:v>
      </x:c>
      <x:c r="D2889" s="168" t="str">
        <x:v>Moka Gestora de Recursos de Terceiros LTDA.</x:v>
      </x:c>
      <x:c r="E2889" s="168" t="str">
        <x:f>IFERROR(INDEX('Classif Gestoras'!$H$6:$H$462,MATCH(D2889,'Classif Gestoras'!$A$6:$A$462,0)),"Não classificada")</x:f>
        <x:v>Independente</x:v>
      </x:c>
      <x:c r="F2889" s="168" t="str">
        <x:v>Singulare</x:v>
      </x:c>
      <x:c r="G2889" s="168" t="str">
        <x:v>QI CORRETORA DE TÍTULOS E VALORES MOBILIÁRIOS S.A.</x:v>
      </x:c>
      <x:c r="H2889" s="168" t="str">
        <x:v>Outros</x:v>
      </x:c>
      <x:c r="I2889" s="168" t="str">
        <x:v>Multicarteira Outros</x:v>
      </x:c>
      <x:c r="J2889" s="168" t="str">
        <x:v>CI</x:v>
      </x:c>
      <x:c r="K2889" s="174" t="n">
        <x:v>4</x:v>
      </x:c>
      <x:c r="L2889" s="187" t="str">
        <x:v>Proxy multicedente/multissacado — revisar</x:v>
      </x:c>
    </x:row>
    <x:row r="2890">
      <x:c r="A2890" s="177" t="str">
        <x:v>60.306.067/0001-80</x:v>
      </x:c>
      <x:c r="B2890" s="168" t="str">
        <x:v>CASH FUNDO DE INVESTIMENTO EM DIREITOS CREDITORIOS</x:v>
      </x:c>
      <x:c r="C2890" s="190" t="n">
        <x:v>2884353.16</x:v>
      </x:c>
      <x:c r="D2890" s="168" t="str">
        <x:v>Libertas Asset</x:v>
      </x:c>
      <x:c r="E2890" s="168" t="str">
        <x:f>IFERROR(INDEX('Classif Gestoras'!$H$6:$H$462,MATCH(D2890,'Classif Gestoras'!$A$6:$A$462,0)),"Não classificada")</x:f>
        <x:v>Independente</x:v>
      </x:c>
      <x:c r="F2890" s="168" t="str">
        <x:v>ACTUAL DTVM</x:v>
      </x:c>
      <x:c r="G2890" s="168" t="str">
        <x:v>TRUSTEE DISTRIBUIDORA DE TITULOS E VALORES MOBILIARIOS LTDA.</x:v>
      </x:c>
      <x:c r="H2890" s="168" t="str">
        <x:v>Fomento Mercantil</x:v>
      </x:c>
      <x:c r="I2890" s="168" t="str">
        <x:v>Fomento Mercantil</x:v>
      </x:c>
      <x:c r="J2890" s="168" t="str">
        <x:v>CI</x:v>
      </x:c>
      <x:c r="K2890" s="174" t="n">
        <x:v>6</x:v>
      </x:c>
      <x:c r="L2890" s="187" t="str">
        <x:v>Não classificado</x:v>
      </x:c>
    </x:row>
    <x:row r="2891">
      <x:c r="A2891" s="177" t="str">
        <x:v>60.864.701/0001-09</x:v>
      </x:c>
      <x:c r="B2891" s="168" t="str">
        <x:v>NEXUS TRADE FUNDO DE INVESTIMENTO EM DIREITOS CREDITORIOS</x:v>
      </x:c>
      <x:c r="C2891" s="190" t="n">
        <x:v>2879261.2699999996</x:v>
      </x:c>
      <x:c r="D2891" s="168" t="str">
        <x:v>Quartzo Invest</x:v>
      </x:c>
      <x:c r="E2891" s="168" t="str">
        <x:f>IFERROR(INDEX('Classif Gestoras'!$H$6:$H$462,MATCH(D2891,'Classif Gestoras'!$A$6:$A$462,0)),"Não classificada")</x:f>
        <x:v>Independente</x:v>
      </x:c>
      <x:c r="F2891" s="168" t="str">
        <x:v>ACTUAL DTVM</x:v>
      </x:c>
      <x:c r="G2891" s="168" t="str">
        <x:v>TRUSTEE DISTRIBUIDORA DE TITULOS E VALORES MOBILIARIOS LTDA.</x:v>
      </x:c>
      <x:c r="H2891" s="168" t="str">
        <x:v>Outros</x:v>
      </x:c>
      <x:c r="I2891" s="168" t="str">
        <x:v>Multicarteira Outros</x:v>
      </x:c>
      <x:c r="J2891" s="168" t="str">
        <x:v>CI</x:v>
      </x:c>
      <x:c r="K2891" s="174" t="n">
        <x:v>1</x:v>
      </x:c>
      <x:c r="L2891" s="187" t="str">
        <x:v>Proxy multicedente/multissacado — revisar</x:v>
      </x:c>
    </x:row>
    <x:row r="2892">
      <x:c r="A2892" s="177" t="str">
        <x:v>64.023.072/0001-37</x:v>
      </x:c>
      <x:c r="B2892" s="168" t="str">
        <x:v>AXEN BANK FUNDO DE INVESTIMENTO EM DIREITOS CREDITÓRIOS</x:v>
      </x:c>
      <x:c r="C2892" s="190" t="n">
        <x:v>2878423.6100000003</x:v>
      </x:c>
      <x:c r="D2892" s="168" t="str">
        <x:v>Redwood Asset Management</x:v>
      </x:c>
      <x:c r="E2892" s="168" t="str">
        <x:f>IFERROR(INDEX('Classif Gestoras'!$H$6:$H$462,MATCH(D2892,'Classif Gestoras'!$A$6:$A$462,0)),"Não classificada")</x:f>
        <x:v>Independente</x:v>
      </x:c>
      <x:c r="F2892" s="168" t="str">
        <x:v>PLANNER CV</x:v>
      </x:c>
      <x:c r="G2892" s="168" t="str">
        <x:v>PLANNER CORRETORA DE VALORES S.A.</x:v>
      </x:c>
      <x:c r="H2892" s="168" t="str">
        <x:v>Outros</x:v>
      </x:c>
      <x:c r="I2892" s="168" t="str">
        <x:v>Multicarteira Outros</x:v>
      </x:c>
      <x:c r="J2892" s="168" t="str">
        <x:v>CI</x:v>
      </x:c>
      <x:c r="K2892" s="174" t="n">
        <x:v>1</x:v>
      </x:c>
      <x:c r="L2892" s="187" t="str">
        <x:v>Proxy multicedente/multissacado — revisar</x:v>
      </x:c>
    </x:row>
    <x:row r="2893">
      <x:c r="A2893" s="177" t="str">
        <x:v>43.866.327/0001-53</x:v>
      </x:c>
      <x:c r="B2893" s="168" t="str">
        <x:v>FG NOW FUNDO DE INVESTIMENTO EM DIREITOS CREDITÓRIOS</x:v>
      </x:c>
      <x:c r="C2893" s="190" t="n">
        <x:v>2817349.56</x:v>
      </x:c>
      <x:c r="D2893" s="168" t="str">
        <x:v>Solis</x:v>
      </x:c>
      <x:c r="E2893" s="168" t="str">
        <x:f>IFERROR(INDEX('Classif Gestoras'!$H$6:$H$462,MATCH(D2893,'Classif Gestoras'!$A$6:$A$462,0)),"Não classificada")</x:f>
        <x:v>Independente</x:v>
      </x:c>
      <x:c r="F2893" s="168" t="str">
        <x:v>VÓRTX DTVM</x:v>
      </x:c>
      <x:c r="G2893" s="168" t="str">
        <x:v>VORTX DISTRIBUIDORA DE TITULOS E VALORES MOBILIARIOS LTDA.</x:v>
      </x:c>
      <x:c r="H2893" s="168" t="str">
        <x:v>Financeiro</x:v>
      </x:c>
      <x:c r="I2893" s="168" t="str">
        <x:v>Crédito Pessoal</x:v>
      </x:c>
      <x:c r="J2893" s="168" t="str">
        <x:v>CI</x:v>
      </x:c>
      <x:c r="K2893" s="174" t="n">
        <x:v>5</x:v>
      </x:c>
      <x:c r="L2893" s="187" t="str">
        <x:v>Não classificado</x:v>
      </x:c>
    </x:row>
    <x:row r="2894">
      <x:c r="A2894" s="177" t="str">
        <x:v>53.323.818/0001-01</x:v>
      </x:c>
      <x:c r="B2894" s="168" t="str">
        <x:v>JAFFA II FUNDO DE INVESTIMENTO EM DIREITOS CREDITÓRIOS NÃO PADRONIZADOS</x:v>
      </x:c>
      <x:c r="C2894" s="190" t="n">
        <x:v>2808013.0300000003</x:v>
      </x:c>
      <x:c r="D2894" s="168" t="str">
        <x:v>Bless Capital Gestora de Recursos Ltda.</x:v>
      </x:c>
      <x:c r="E2894" s="168" t="str">
        <x:f>IFERROR(INDEX('Classif Gestoras'!$H$6:$H$462,MATCH(D2894,'Classif Gestoras'!$A$6:$A$462,0)),"Não classificada")</x:f>
        <x:v>Independente</x:v>
      </x:c>
      <x:c r="F2894" s="168" t="str">
        <x:v>ID Corretora de Títulos e Valores Mobiliários S.A.</x:v>
      </x:c>
      <x:c r="G2894" s="168" t="str">
        <x:v>ID CORRETORA DE TITULOS E VALORES MOBILIARIOS S.A.</x:v>
      </x:c>
      <x:c r="H2894" s="168" t="str">
        <x:v>Fomento Mercantil</x:v>
      </x:c>
      <x:c r="I2894" s="168" t="str">
        <x:v>Fomento Mercantil</x:v>
      </x:c>
      <x:c r="J2894" s="168" t="str">
        <x:v>CI</x:v>
      </x:c>
      <x:c r="K2894" s="174" t="n">
        <x:v>1</x:v>
      </x:c>
      <x:c r="L2894" s="187" t="str">
        <x:v>Não classificado</x:v>
      </x:c>
    </x:row>
    <x:row r="2895">
      <x:c r="A2895" s="177" t="str">
        <x:v>57.993.612/0001-40</x:v>
      </x:c>
      <x:c r="B2895" s="168" t="str">
        <x:v>D&amp;C JUDICIAIS II - FUNDO DE INVESTIMENTO EM DIREITOS CREDITÓRIOS RECUPERAÇÃO DE CRÉDITO</x:v>
      </x:c>
      <x:c r="C2895" s="190" t="n">
        <x:v>2807482.15</x:v>
      </x:c>
      <x:c r="D2895" s="168" t="str">
        <x:v>Iggy Investimentos</x:v>
      </x:c>
      <x:c r="E2895" s="168" t="str">
        <x:f>IFERROR(INDEX('Classif Gestoras'!$H$6:$H$462,MATCH(D2895,'Classif Gestoras'!$A$6:$A$462,0)),"Não classificada")</x:f>
        <x:v>Independente</x:v>
      </x:c>
      <x:c r="F2895" s="168" t="str">
        <x:v>Banvox DTVM</x:v>
      </x:c>
      <x:c r="G2895" s="168" t="str">
        <x:v>BANVOX DISTRIBUIDORA DE TITULOS E VALORES MOBILIARIOS LTDA</x:v>
      </x:c>
      <x:c r="H2895" s="168" t="str">
        <x:v>Outros</x:v>
      </x:c>
      <x:c r="I2895" s="168" t="str">
        <x:v>Recuperação</x:v>
      </x:c>
      <x:c r="J2895" s="168" t="str">
        <x:v>CI</x:v>
      </x:c>
      <x:c r="K2895" s="174" t="n">
        <x:v>1</x:v>
      </x:c>
      <x:c r="L2895" s="187" t="str">
        <x:v>Não classificado</x:v>
      </x:c>
    </x:row>
    <x:row r="2896">
      <x:c r="A2896" s="177" t="str">
        <x:v>65.343.842/0001-91</x:v>
      </x:c>
      <x:c r="B2896" s="168" t="str">
        <x:v>CONECTEPOWER FUNDO DE INVESTIMENTO EM DIREITOS CREDITÓRIOS RESPONSABILIDADE LIMITADA</x:v>
      </x:c>
      <x:c r="C2896" s="190" t="n">
        <x:v>2795828.04</x:v>
      </x:c>
      <x:c r="D2896" s="168" t="str">
        <x:v>AUGME CAPITAL GESTÃO DE RECURSOS LTDA.</x:v>
      </x:c>
      <x:c r="E2896" s="168" t="str">
        <x:f>IFERROR(INDEX('Classif Gestoras'!$H$6:$H$462,MATCH(D2896,'Classif Gestoras'!$A$6:$A$462,0)),"Não classificada")</x:f>
        <x:v>Independente</x:v>
      </x:c>
      <x:c r="F2896" s="168" t="str">
        <x:v>BANCO DAYCOVAL S/A</x:v>
      </x:c>
      <x:c r="G2896" s="168" t="str">
        <x:v>BANCO DAYCOVAL S.A.</x:v>
      </x:c>
      <x:c r="H2896" s="168" t="str">
        <x:v>Outros</x:v>
      </x:c>
      <x:c r="I2896" s="168" t="str">
        <x:v>Multicarteira Outros</x:v>
      </x:c>
      <x:c r="J2896" s="168" t="str">
        <x:v>CI</x:v>
      </x:c>
      <x:c r="K2896" s="174" t="n">
        <x:v>2</x:v>
      </x:c>
      <x:c r="L2896" s="187" t="str">
        <x:v>Proxy multicedente/multissacado — revisar</x:v>
      </x:c>
    </x:row>
    <x:row r="2897">
      <x:c r="A2897" s="177" t="str">
        <x:v>11.468.192/0001-81</x:v>
      </x:c>
      <x:c r="B2897" s="168" t="str">
        <x:v>DEL CRED NP FUNDO DE INVESTIMENTO EM DIREITOS CREDITÓRIOS NÃO PADRONIZADOS MULTISSETORIAL</x:v>
      </x:c>
      <x:c r="C2897" s="190" t="n">
        <x:v>2791852.3000000003</x:v>
      </x:c>
      <x:c r="D2897" s="168" t="str">
        <x:v>TERCON ASSET MANAGEMENT</x:v>
      </x:c>
      <x:c r="E2897" s="168" t="str">
        <x:f>IFERROR(INDEX('Classif Gestoras'!$H$6:$H$462,MATCH(D2897,'Classif Gestoras'!$A$6:$A$462,0)),"Não classificada")</x:f>
        <x:v>Independente</x:v>
      </x:c>
      <x:c r="F2897" s="168" t="str">
        <x:v>Limine Trust Distribuidora de Titulos e Valores Mobiliá</x:v>
      </x:c>
      <x:c r="G2897" s="168" t="str">
        <x:v>LIMINE TRUST DISTRIBUIDORA DE TITULOS E VALORES MOBILIARIOS LTDA.</x:v>
      </x:c>
      <x:c r="H2897" s="168" t="str">
        <x:v>Fomento Mercantil</x:v>
      </x:c>
      <x:c r="I2897" s="168" t="str">
        <x:v>Fomento Mercantil</x:v>
      </x:c>
      <x:c r="J2897" s="168" t="str">
        <x:v>CI</x:v>
      </x:c>
      <x:c r="K2897" s="174" t="n">
        <x:v>3</x:v>
      </x:c>
      <x:c r="L2897" s="187" t="str">
        <x:v>Não classificado</x:v>
      </x:c>
    </x:row>
    <x:row r="2898">
      <x:c r="A2898" s="177" t="str">
        <x:v>37.266.557/0001-89</x:v>
      </x:c>
      <x:c r="B2898" s="168" t="str">
        <x:v>FUNDO DE INVESTIMENTO EM DIREITOS CREDITÓRIOS TM II RESPONSABILIDADE LIMITADA</x:v>
      </x:c>
      <x:c r="C2898" s="190" t="n">
        <x:v>2763443.0599999996</x:v>
      </x:c>
      <x:c r="D2898" s="168" t="str">
        <x:v>Oliveira Trust Servicer</x:v>
      </x:c>
      <x:c r="E2898" s="168" t="str">
        <x:f>IFERROR(INDEX('Classif Gestoras'!$H$6:$H$462,MATCH(D2898,'Classif Gestoras'!$A$6:$A$462,0)),"Não classificada")</x:f>
        <x:v>Independente</x:v>
      </x:c>
      <x:c r="F2898" s="168" t="str">
        <x:v>Oliveira Trust DTVM</x:v>
      </x:c>
      <x:c r="G2898" s="168" t="str">
        <x:v>OLIVEIRA TRUST DTVM S.A.</x:v>
      </x:c>
      <x:c r="H2898" s="168" t="str">
        <x:v>Fomento Mercantil</x:v>
      </x:c>
      <x:c r="I2898" s="168" t="str">
        <x:v>Fomento Mercantil</x:v>
      </x:c>
      <x:c r="J2898" s="168" t="str">
        <x:v>CI</x:v>
      </x:c>
      <x:c r="K2898" s="174" t="n">
        <x:v>2</x:v>
      </x:c>
      <x:c r="L2898" s="187" t="str">
        <x:v>Não classificado</x:v>
      </x:c>
    </x:row>
    <x:row r="2899">
      <x:c r="A2899" s="177" t="str">
        <x:v>43.076.377/0001-37</x:v>
      </x:c>
      <x:c r="B2899" s="168" t="str">
        <x:v>MAX FINANCEIRA FUNDO DE INVESTIMENTO EM DIREITOS CREDITORIOS</x:v>
      </x:c>
      <x:c r="C2899" s="190" t="n">
        <x:v>2734072.1</x:v>
      </x:c>
      <x:c r="D2899" s="168" t="str">
        <x:v>Libertas Asset</x:v>
      </x:c>
      <x:c r="E2899" s="168" t="str">
        <x:f>IFERROR(INDEX('Classif Gestoras'!$H$6:$H$462,MATCH(D2899,'Classif Gestoras'!$A$6:$A$462,0)),"Não classificada")</x:f>
        <x:v>Independente</x:v>
      </x:c>
      <x:c r="F2899" s="168" t="str">
        <x:v>ACTUAL DTVM</x:v>
      </x:c>
      <x:c r="G2899" s="168" t="str">
        <x:v>TRUSTEE DISTRIBUIDORA DE TITULOS E VALORES MOBILIARIOS LTDA.</x:v>
      </x:c>
      <x:c r="H2899" s="168" t="str">
        <x:v>Fomento Mercantil</x:v>
      </x:c>
      <x:c r="I2899" s="168" t="str">
        <x:v>Fomento Mercantil</x:v>
      </x:c>
      <x:c r="J2899" s="168" t="str">
        <x:v>CI</x:v>
      </x:c>
      <x:c r="K2899" s="174" t="n">
        <x:v>4</x:v>
      </x:c>
      <x:c r="L2899" s="187" t="str">
        <x:v>Não classificado</x:v>
      </x:c>
    </x:row>
    <x:row r="2900">
      <x:c r="A2900" s="177" t="str">
        <x:v>47.669.160/0001-91</x:v>
      </x:c>
      <x:c r="B2900" s="168" t="str">
        <x:v>XAMA! FUNDO DE INVESTIMENTO EM DIREITOS CREDITÓRIOS NÃO-PADRONIZADOS</x:v>
      </x:c>
      <x:c r="C2900" s="190" t="n">
        <x:v>2733901.14</x:v>
      </x:c>
      <x:c r="D2900" s="168" t="str">
        <x:v>Planalto Capital</x:v>
      </x:c>
      <x:c r="E2900" s="168" t="str">
        <x:f>IFERROR(INDEX('Classif Gestoras'!$H$6:$H$462,MATCH(D2900,'Classif Gestoras'!$A$6:$A$462,0)),"Não classificada")</x:f>
        <x:v>Independente</x:v>
      </x:c>
      <x:c r="F2900" s="168" t="str">
        <x:v>AZUMI DISTRIBUIDORA DE TÍTULOS E VALORES MOBILIÁRIOS LT</x:v>
      </x:c>
      <x:c r="G2900" s="168" t="str">
        <x:v>AZUMI DISTRIBUIDORA DE TÍTULOS E VALORES MOBILIÁRIOS LTDA.</x:v>
      </x:c>
      <x:c r="H2900" s="168" t="str">
        <x:v>Outros</x:v>
      </x:c>
      <x:c r="I2900" s="168" t="str">
        <x:v>Multicarteira Outros</x:v>
      </x:c>
      <x:c r="J2900" s="168" t="str">
        <x:v>CI</x:v>
      </x:c>
      <x:c r="K2900" s="174" t="n">
        <x:v>11</x:v>
      </x:c>
      <x:c r="L2900" s="187" t="str">
        <x:v>Proxy multicedente/multissacado — revisar</x:v>
      </x:c>
    </x:row>
    <x:row r="2901">
      <x:c r="A2901" s="177" t="str">
        <x:v>32.287.668/0001-58</x:v>
      </x:c>
      <x:c r="B2901" s="168" t="str">
        <x:v>ARKOS FUNDO DE INVESTIMENTO EM COTAS DE FUNDOS DE INVESTIMENTO EM DIREITOS CREDITÓRIOS</x:v>
      </x:c>
      <x:c r="C2901" s="190" t="n">
        <x:v>2720037.72</x:v>
      </x:c>
      <x:c r="D2901" s="168" t="str">
        <x:v>H2 CAPITAL</x:v>
      </x:c>
      <x:c r="E2901" s="168" t="str">
        <x:f>IFERROR(INDEX('Classif Gestoras'!$H$6:$H$462,MATCH(D2901,'Classif Gestoras'!$A$6:$A$462,0)),"Não classificada")</x:f>
        <x:v>Independente</x:v>
      </x:c>
      <x:c r="F2901" s="168" t="str">
        <x:v>FIDD DISTRIBUIDORA DE TITULOS E VALORES MOBILIARIOS LTD</x:v>
      </x:c>
      <x:c r="G2901" s="168" t="str">
        <x:v>FIDD DISTRIBUIDORA DE TITULOS E VALORES MOBILIARIOS LTDA.</x:v>
      </x:c>
      <x:c r="H2901" s="168" t="str">
        <x:v>Outros</x:v>
      </x:c>
      <x:c r="I2901" s="168" t="str">
        <x:v>Multicarteira Outros</x:v>
      </x:c>
      <x:c r="J2901" s="168" t="str">
        <x:v>CI</x:v>
      </x:c>
      <x:c r="K2901" s="174" t="n">
        <x:v>5</x:v>
      </x:c>
      <x:c r="L2901" s="187" t="str">
        <x:v>Proxy multicedente/multissacado — revisar</x:v>
      </x:c>
    </x:row>
    <x:row r="2902">
      <x:c r="A2902" s="177" t="str">
        <x:v>10.740.479/0001-56</x:v>
      </x:c>
      <x:c r="B2902" s="168" t="str">
        <x:v>FUNDO DE INVESTIMENTO EM DIREITOS CREDITÓRIOS CAIXA HABITAÇÃO</x:v>
      </x:c>
      <x:c r="C2902" s="190" t="n">
        <x:v>2685323.86</x:v>
      </x:c>
      <x:c r="D2902" s="168" t="str">
        <x:v>Caixa Econ. Federal</x:v>
      </x:c>
      <x:c r="E2902" s="168" t="str">
        <x:f>IFERROR(INDEX('Classif Gestoras'!$H$6:$H$462,MATCH(D2902,'Classif Gestoras'!$A$6:$A$462,0)),"Não classificada")</x:f>
        <x:v>Ligada a banco</x:v>
      </x:c>
      <x:c r="F2902" s="168" t="str">
        <x:v>Caixa Econ. Federal</x:v>
      </x:c>
      <x:c r="G2902" s="168" t="str">
        <x:v>BRL TRUST DISTRIBUIDORA DE TITULOS E VALORES MOBILIARIOS S.A.</x:v>
      </x:c>
      <x:c r="H2902" s="168" t="str">
        <x:v>Financeiro</x:v>
      </x:c>
      <x:c r="I2902" s="168" t="str">
        <x:v>Crédito Imobiliário</x:v>
      </x:c>
      <x:c r="J2902" s="168" t="str">
        <x:v>CI</x:v>
      </x:c>
      <x:c r="K2902" s="174" t="n">
        <x:v>1</x:v>
      </x:c>
      <x:c r="L2902" s="187" t="str">
        <x:v>Não classificado</x:v>
      </x:c>
    </x:row>
    <x:row r="2903">
      <x:c r="A2903" s="177" t="str">
        <x:v>61.594.518/0001-95</x:v>
      </x:c>
      <x:c r="B2903" s="168" t="str">
        <x:v>BUCKS FUNDO DE INVESTIMENTO EM DIREITOS CREDITÓRIOS</x:v>
      </x:c>
      <x:c r="C2903" s="190" t="n">
        <x:v>2681293.75</x:v>
      </x:c>
      <x:c r="D2903" s="168" t="str">
        <x:v>Perenne Investimentos</x:v>
      </x:c>
      <x:c r="E2903" s="168" t="str">
        <x:f>IFERROR(INDEX('Classif Gestoras'!$H$6:$H$462,MATCH(D2903,'Classif Gestoras'!$A$6:$A$462,0)),"Não classificada")</x:f>
        <x:v>Independente</x:v>
      </x:c>
      <x:c r="F2903" s="168" t="str">
        <x:v>BTG Pactual Servicos Financeiros S/A DTVM</x:v>
      </x:c>
      <x:c r="G2903" s="168" t="str">
        <x:v>BANCO BTG PACTUAL S/A</x:v>
      </x:c>
      <x:c r="H2903" s="168" t="str">
        <x:v>Outros</x:v>
      </x:c>
      <x:c r="I2903" s="168" t="str">
        <x:v>Multicarteira Outros</x:v>
      </x:c>
      <x:c r="J2903" s="168" t="str">
        <x:v>CI</x:v>
      </x:c>
      <x:c r="K2903" s="174" t="n">
        <x:v>3</x:v>
      </x:c>
      <x:c r="L2903" s="187" t="str">
        <x:v>Proxy multicedente/multissacado — revisar</x:v>
      </x:c>
    </x:row>
    <x:row r="2904">
      <x:c r="A2904" s="177" t="str">
        <x:v>64.868.438/0001-79</x:v>
      </x:c>
      <x:c r="B2904" s="168" t="str">
        <x:v>FXN FUNDO DE INVESTIMENTO EM DIREITOS CREDITÓRIOS EDUCACIONAIS - RESPONSABILIDADE LIMITADA</x:v>
      </x:c>
      <x:c r="C2904" s="190" t="n">
        <x:v>2600058.63</x:v>
      </x:c>
      <x:c r="D2904" s="168" t="str">
        <x:v>Intrabank Asset</x:v>
      </x:c>
      <x:c r="E2904" s="168" t="str">
        <x:f>IFERROR(INDEX('Classif Gestoras'!$H$6:$H$462,MATCH(D2904,'Classif Gestoras'!$A$6:$A$462,0)),"Não classificada")</x:f>
        <x:v>Independente</x:v>
      </x:c>
      <x:c r="F2904" s="168" t="str">
        <x:v>HEMERA DTVM</x:v>
      </x:c>
      <x:c r="G2904" s="168" t="str">
        <x:v>HEMERA DISTRIBUIDORA DE TITULOS E VALORES MOBILIARIOS LTDA</x:v>
      </x:c>
      <x:c r="H2904" s="168" t="str">
        <x:v>Outros</x:v>
      </x:c>
      <x:c r="I2904" s="168" t="str">
        <x:v>Multicarteira Outros</x:v>
      </x:c>
      <x:c r="J2904" s="168" t="str">
        <x:v>CI</x:v>
      </x:c>
      <x:c r="K2904" s="174" t="n">
        <x:v>2</x:v>
      </x:c>
      <x:c r="L2904" s="187" t="str">
        <x:v>Proxy multicedente/multissacado — revisar</x:v>
      </x:c>
    </x:row>
    <x:row r="2905">
      <x:c r="A2905" s="177" t="str">
        <x:v>34.691.300/0001-86</x:v>
      </x:c>
      <x:c r="B2905" s="168" t="str">
        <x:v>ALPHA CRÉDITO - FUNDO DE INVESTIMENTO EM DIREITOS CREDITÓRIOS</x:v>
      </x:c>
      <x:c r="C2905" s="190" t="n">
        <x:v>2586543.4800000004</x:v>
      </x:c>
      <x:c r="D2905" s="168" t="str">
        <x:v>Legatus Asset Management</x:v>
      </x:c>
      <x:c r="E2905" s="168" t="str">
        <x:f>IFERROR(INDEX('Classif Gestoras'!$H$6:$H$462,MATCH(D2905,'Classif Gestoras'!$A$6:$A$462,0)),"Não classificada")</x:f>
        <x:v>Independente</x:v>
      </x:c>
      <x:c r="F2905" s="168" t="str">
        <x:v>ID Corretora de Títulos e Valores Mobiliários S.A.</x:v>
      </x:c>
      <x:c r="G2905" s="168" t="str">
        <x:v>ID CORRETORA DE TITULOS E VALORES MOBILIARIOS S.A.</x:v>
      </x:c>
      <x:c r="H2905" s="168" t="str">
        <x:v>Agro, Indústria e Comércio</x:v>
      </x:c>
      <x:c r="I2905" s="168" t="str">
        <x:v>Multicarteira Agro, Indústria e Comércio</x:v>
      </x:c>
      <x:c r="J2905" s="168" t="str">
        <x:v>CI</x:v>
      </x:c>
      <x:c r="K2905" s="174" t="n">
        <x:v>67</x:v>
      </x:c>
      <x:c r="L2905" s="187" t="str">
        <x:v>Proxy multicedente/multissacado — revisar</x:v>
      </x:c>
    </x:row>
    <x:row r="2906">
      <x:c r="A2906" s="177" t="str">
        <x:v>59.079.987/0001-24</x:v>
      </x:c>
      <x:c r="B2906" s="168" t="str">
        <x:v>CONCRETO II FUNDO DE INVESTIMENTO EM DIREITOS CREDITÓRIOS NÃO-PADRONIZADOS RESP LIMITADA</x:v>
      </x:c>
      <x:c r="C2906" s="190" t="n">
        <x:v>2578185.83</x:v>
      </x:c>
      <x:c r="D2906" s="168" t="str">
        <x:v>Bless Capital Gestora de Recursos Ltda.</x:v>
      </x:c>
      <x:c r="E2906" s="168" t="str">
        <x:f>IFERROR(INDEX('Classif Gestoras'!$H$6:$H$462,MATCH(D2906,'Classif Gestoras'!$A$6:$A$462,0)),"Não classificada")</x:f>
        <x:v>Independente</x:v>
      </x:c>
      <x:c r="F2906" s="168" t="str">
        <x:v>ID Corretora de Títulos e Valores Mobiliários S.A.</x:v>
      </x:c>
      <x:c r="G2906" s="168" t="str">
        <x:v>ID CORRETORA DE TITULOS E VALORES MOBILIARIOS S.A.</x:v>
      </x:c>
      <x:c r="H2906" s="168" t="str">
        <x:v>Outros</x:v>
      </x:c>
      <x:c r="I2906" s="168" t="str">
        <x:v>Multicarteira Outros</x:v>
      </x:c>
      <x:c r="J2906" s="168" t="str">
        <x:v>CI</x:v>
      </x:c>
      <x:c r="K2906" s="174" t="n">
        <x:v>45</x:v>
      </x:c>
      <x:c r="L2906" s="187" t="str">
        <x:v>Proxy multicedente/multissacado — revisar</x:v>
      </x:c>
    </x:row>
    <x:row r="2907">
      <x:c r="A2907" s="177" t="str">
        <x:v>45.383.797/0001-91</x:v>
      </x:c>
      <x:c r="B2907" s="168" t="str">
        <x:v>NICE 2TM FUNDO DE INVESTIMENTO EM DIREITOS CREDITÓRIOS</x:v>
      </x:c>
      <x:c r="C2907" s="190" t="n">
        <x:v>2571394.78</x:v>
      </x:c>
      <x:c r="D2907" s="168" t="str">
        <x:v>Iggy Investimentos</x:v>
      </x:c>
      <x:c r="E2907" s="168" t="str">
        <x:f>IFERROR(INDEX('Classif Gestoras'!$H$6:$H$462,MATCH(D2907,'Classif Gestoras'!$A$6:$A$462,0)),"Não classificada")</x:f>
        <x:v>Independente</x:v>
      </x:c>
      <x:c r="F2907" s="168" t="str">
        <x:v>Banvox DTVM</x:v>
      </x:c>
      <x:c r="G2907" s="168" t="str">
        <x:v>BANVOX DISTRIBUIDORA DE TITULOS E VALORES MOBILIARIOS LTDA</x:v>
      </x:c>
      <x:c r="H2907" s="168" t="str">
        <x:v>Fomento Mercantil</x:v>
      </x:c>
      <x:c r="I2907" s="168" t="str">
        <x:v>Fomento Mercantil</x:v>
      </x:c>
      <x:c r="J2907" s="168" t="str">
        <x:v>CI</x:v>
      </x:c>
      <x:c r="K2907" s="174" t="n">
        <x:v>1</x:v>
      </x:c>
      <x:c r="L2907" s="187" t="str">
        <x:v>Não classificado</x:v>
      </x:c>
    </x:row>
    <x:row r="2908">
      <x:c r="A2908" s="177" t="str">
        <x:v>64.127.465/0001-90</x:v>
      </x:c>
      <x:c r="B2908" s="168" t="str">
        <x:v>VF AUTO FUNDO DE INVESTIMENTO EM DIREITOS CREDITÓRIOS - RESPONSABILIDADE LIMITADA</x:v>
      </x:c>
      <x:c r="C2908" s="190" t="n">
        <x:v>2557075.88</x:v>
      </x:c>
      <x:c r="D2908" s="168" t="str">
        <x:v>BLUEWAVE ASSET LTDA</x:v>
      </x:c>
      <x:c r="E2908" s="168" t="str">
        <x:f>IFERROR(INDEX('Classif Gestoras'!$H$6:$H$462,MATCH(D2908,'Classif Gestoras'!$A$6:$A$462,0)),"Não classificada")</x:f>
        <x:v>Independente</x:v>
      </x:c>
      <x:c r="F2908" s="168" t="str">
        <x:v>Finvest Digital</x:v>
      </x:c>
      <x:c r="G2908" s="168" t="str">
        <x:v>FINVEST DISTRIBUIDORA DE TÍTULOS E VALORES MOBILIÁRIOS LTDA.</x:v>
      </x:c>
      <x:c r="H2908" s="168" t="str">
        <x:v>Outros</x:v>
      </x:c>
      <x:c r="I2908" s="168" t="str">
        <x:v>Multicarteira Outros</x:v>
      </x:c>
      <x:c r="J2908" s="168" t="str">
        <x:v>CI</x:v>
      </x:c>
      <x:c r="K2908" s="174" t="n">
        <x:v>2</x:v>
      </x:c>
      <x:c r="L2908" s="187" t="str">
        <x:v>Proxy multicedente/multissacado — revisar</x:v>
      </x:c>
    </x:row>
    <x:row r="2909">
      <x:c r="A2909" s="177" t="str">
        <x:v>62.628.909/0001-46</x:v>
      </x:c>
      <x:c r="B2909" s="168" t="str">
        <x:v>SPT CAPITAL FUNDO DE INVESTIMENTO EM DIREITOS CREDITORIOS</x:v>
      </x:c>
      <x:c r="C2909" s="190" t="n">
        <x:v>2548258.23</x:v>
      </x:c>
      <x:c r="D2909" s="168" t="str">
        <x:v>Hinov Capital</x:v>
      </x:c>
      <x:c r="E2909" s="168" t="str">
        <x:f>IFERROR(INDEX('Classif Gestoras'!$H$6:$H$462,MATCH(D2909,'Classif Gestoras'!$A$6:$A$462,0)),"Não classificada")</x:f>
        <x:v>Independente</x:v>
      </x:c>
      <x:c r="F2909" s="168" t="str">
        <x:v>ACTUAL DTVM</x:v>
      </x:c>
      <x:c r="G2909" s="168" t="str">
        <x:v>TRUSTEE DISTRIBUIDORA DE TITULOS E VALORES MOBILIARIOS LTDA.</x:v>
      </x:c>
      <x:c r="H2909" s="168" t="str">
        <x:v>Outros</x:v>
      </x:c>
      <x:c r="I2909" s="168" t="str">
        <x:v>Multicarteira Outros</x:v>
      </x:c>
      <x:c r="J2909" s="168" t="str">
        <x:v>CI</x:v>
      </x:c>
      <x:c r="K2909" s="174" t="n">
        <x:v>3</x:v>
      </x:c>
      <x:c r="L2909" s="187" t="str">
        <x:v>Proxy multicedente/multissacado — revisar</x:v>
      </x:c>
    </x:row>
    <x:row r="2910">
      <x:c r="A2910" s="177" t="str">
        <x:v>61.171.158/0001-19</x:v>
      </x:c>
      <x:c r="B2910" s="168" t="str">
        <x:v>BLUE OPPORTUNITY PLUS FUNDO DE INVESTIMENTO EM DIREITOS CREDITÓRIOS - CLASSE A</x:v>
      </x:c>
      <x:c r="C2910" s="190" t="n">
        <x:v>2538350.8499999996</x:v>
      </x:c>
      <x:c r="D2910" s="168" t="str">
        <x:v>Blue Solutions</x:v>
      </x:c>
      <x:c r="E2910" s="168" t="str">
        <x:f>IFERROR(INDEX('Classif Gestoras'!$H$6:$H$462,MATCH(D2910,'Classif Gestoras'!$A$6:$A$462,0)),"Não classificada")</x:f>
        <x:v>Independente</x:v>
      </x:c>
      <x:c r="F2910" s="168" t="str">
        <x:v>Banvox DTVM</x:v>
      </x:c>
      <x:c r="G2910" s="168" t="str">
        <x:v>BANVOX DISTRIBUIDORA DE TITULOS E VALORES MOBILIARIOS LTDA</x:v>
      </x:c>
      <x:c r="H2910" s="168" t="str">
        <x:v>Outros</x:v>
      </x:c>
      <x:c r="I2910" s="168" t="str">
        <x:v>Multicarteira Outros</x:v>
      </x:c>
      <x:c r="J2910" s="168" t="str">
        <x:v>CI</x:v>
      </x:c>
      <x:c r="K2910" s="174" t="n">
        <x:v>2</x:v>
      </x:c>
      <x:c r="L2910" s="187" t="str">
        <x:v>Proxy multicedente/multissacado — revisar</x:v>
      </x:c>
    </x:row>
    <x:row r="2911">
      <x:c r="A2911" s="177" t="str">
        <x:v>63.241.235/0001-95</x:v>
      </x:c>
      <x:c r="B2911" s="168" t="str">
        <x:v>CONDOCASH III FUNDO DE INVESTIMENTO EM DIREITOS CREDITÓRIOS</x:v>
      </x:c>
      <x:c r="C2911" s="190" t="n">
        <x:v>2514504.11</x:v>
      </x:c>
      <x:c r="D2911" s="168" t="str">
        <x:v>REAG SPECIAL SITUATIONS</x:v>
      </x:c>
      <x:c r="E2911" s="168" t="str">
        <x:f>IFERROR(INDEX('Classif Gestoras'!$H$6:$H$462,MATCH(D2911,'Classif Gestoras'!$A$6:$A$462,0)),"Não classificada")</x:f>
        <x:v>Independente</x:v>
      </x:c>
      <x:c r="F2911" s="168" t="str">
        <x:v>Finvest Digital</x:v>
      </x:c>
      <x:c r="G2911" s="168" t="str">
        <x:v>FINVEST DISTRIBUIDORA DE TÍTULOS E VALORES MOBILIÁRIOS LTDA.</x:v>
      </x:c>
      <x:c r="H2911" s="168" t="str">
        <x:v>Fomento Mercantil</x:v>
      </x:c>
      <x:c r="I2911" s="168" t="str">
        <x:v>Fomento Mercantil</x:v>
      </x:c>
      <x:c r="J2911" s="168" t="str">
        <x:v>CI</x:v>
      </x:c>
      <x:c r="K2911" s="174" t="n">
        <x:v>3</x:v>
      </x:c>
      <x:c r="L2911" s="187" t="str">
        <x:v>Não classificado</x:v>
      </x:c>
    </x:row>
    <x:row r="2912">
      <x:c r="A2912" s="177" t="str">
        <x:v>62.782.703/0001-76</x:v>
      </x:c>
      <x:c r="B2912" s="168" t="str">
        <x:v>PORTI FUNDO DE INVESTIMENTO EM DIREITOS CREDITÓRIOS</x:v>
      </x:c>
      <x:c r="C2912" s="190" t="n">
        <x:v>2506282.45</x:v>
      </x:c>
      <x:c r="D2912" s="168" t="str">
        <x:v>D3 Capital</x:v>
      </x:c>
      <x:c r="E2912" s="168" t="str">
        <x:f>IFERROR(INDEX('Classif Gestoras'!$H$6:$H$462,MATCH(D2912,'Classif Gestoras'!$A$6:$A$462,0)),"Não classificada")</x:f>
        <x:v>Independente</x:v>
      </x:c>
      <x:c r="F2912" s="168" t="str">
        <x:v>MONETAR DISTRIBUIDORA DE TITUL</x:v>
      </x:c>
      <x:c r="G2912" s="168" t="str">
        <x:v>TERRA INVESTIMENTOS DISTRIBUIDORA DE TITULOS E VALORES MOBILIARIOS LTDA</x:v>
      </x:c>
      <x:c r="H2912" s="168" t="str">
        <x:v>Outros</x:v>
      </x:c>
      <x:c r="I2912" s="168" t="str">
        <x:v>Multicarteira Outros</x:v>
      </x:c>
      <x:c r="J2912" s="168" t="str">
        <x:v>CI</x:v>
      </x:c>
      <x:c r="K2912" s="174" t="n">
        <x:v>6</x:v>
      </x:c>
      <x:c r="L2912" s="187" t="str">
        <x:v>Proxy multicedente/multissacado — revisar</x:v>
      </x:c>
    </x:row>
    <x:row r="2913">
      <x:c r="A2913" s="177" t="str">
        <x:v>23.077.070/0001-43</x:v>
      </x:c>
      <x:c r="B2913" s="168" t="str">
        <x:v>CHEHOHA FUNDO DE INVESTIMENTO EM DIREITOS CREDITÓRIOS MULTISEGMENTOS</x:v>
      </x:c>
      <x:c r="C2913" s="190" t="n">
        <x:v>2504728.87</x:v>
      </x:c>
      <x:c r="D2913" s="168" t="str">
        <x:v>Petra Capital</x:v>
      </x:c>
      <x:c r="E2913" s="168" t="str">
        <x:f>IFERROR(INDEX('Classif Gestoras'!$H$6:$H$462,MATCH(D2913,'Classif Gestoras'!$A$6:$A$462,0)),"Não classificada")</x:f>
        <x:v>Independente</x:v>
      </x:c>
      <x:c r="F2913" s="168" t="str">
        <x:v>Finaxis Corretora de Títulos e Valores Mobiliários S.A.</x:v>
      </x:c>
      <x:c r="G2913" s="168" t="str">
        <x:v>BANCO FINAXIS S.A.</x:v>
      </x:c>
      <x:c r="H2913" s="168" t="str">
        <x:v>Outros</x:v>
      </x:c>
      <x:c r="I2913" s="168" t="str">
        <x:v>Multicarteira Outros</x:v>
      </x:c>
      <x:c r="J2913" s="168" t="str">
        <x:v>CI</x:v>
      </x:c>
      <x:c r="K2913" s="174" t="n">
        <x:v>1</x:v>
      </x:c>
      <x:c r="L2913" s="187" t="str">
        <x:v>Proxy multicedente/multissacado — revisar</x:v>
      </x:c>
    </x:row>
    <x:row r="2914">
      <x:c r="A2914" s="177" t="str">
        <x:v>14.330.038/0001-37</x:v>
      </x:c>
      <x:c r="B2914" s="168" t="str">
        <x:v>FUNDO DE INVESTIMENTO EM DIREITOS CREDITÓRIOS F ACB - FINANCEIRO</x:v>
      </x:c>
      <x:c r="C2914" s="190" t="n">
        <x:v>2492691.93</x:v>
      </x:c>
      <x:c r="D2914" s="168" t="str">
        <x:v>Bradesco Asset</x:v>
      </x:c>
      <x:c r="E2914" s="168" t="str">
        <x:f>IFERROR(INDEX('Classif Gestoras'!$H$6:$H$462,MATCH(D2914,'Classif Gestoras'!$A$6:$A$462,0)),"Não classificada")</x:f>
        <x:v>Ligada a banco</x:v>
      </x:c>
      <x:c r="F2914" s="168" t="str">
        <x:v>BEM - DIST. DE TÍTUL</x:v>
      </x:c>
      <x:c r="G2914" s="168" t="str">
        <x:v>Não identificado</x:v>
      </x:c>
      <x:c r="H2914" s="168" t="str">
        <x:v>Financeiro</x:v>
      </x:c>
      <x:c r="I2914" s="168" t="str">
        <x:v>Crédito Consignado</x:v>
      </x:c>
      <x:c r="J2914" s="168" t="str">
        <x:v>CI</x:v>
      </x:c>
      <x:c r="K2914" s="174" t="n">
        <x:v>2</x:v>
      </x:c>
      <x:c r="L2914" s="187" t="str">
        <x:v>Não classificado</x:v>
      </x:c>
    </x:row>
    <x:row r="2915">
      <x:c r="A2915" s="177" t="str">
        <x:v>41.391.264/0001-09</x:v>
      </x:c>
      <x:c r="B2915" s="168" t="str">
        <x:v>ULEND FUNDO DE INVESTIMENTO EM DIREITOS CREDITORIOS</x:v>
      </x:c>
      <x:c r="C2915" s="190" t="n">
        <x:v>2489415.4699999997</x:v>
      </x:c>
      <x:c r="D2915" s="168" t="str">
        <x:v>Solis</x:v>
      </x:c>
      <x:c r="E2915" s="168" t="str">
        <x:f>IFERROR(INDEX('Classif Gestoras'!$H$6:$H$462,MATCH(D2915,'Classif Gestoras'!$A$6:$A$462,0)),"Não classificada")</x:f>
        <x:v>Independente</x:v>
      </x:c>
      <x:c r="F2915" s="168" t="str">
        <x:v>FIDD DISTRIBUIDORA DE TITULOS E VALORES MOBILIARIOS LTD</x:v>
      </x:c>
      <x:c r="G2915" s="168" t="str">
        <x:v>FIDD DISTRIBUIDORA DE TITULOS E VALORES MOBILIARIOS LTDA.</x:v>
      </x:c>
      <x:c r="H2915" s="168" t="str">
        <x:v>Agro, Indústria e Comércio</x:v>
      </x:c>
      <x:c r="I2915" s="168" t="str">
        <x:v>Crédito Corporativo</x:v>
      </x:c>
      <x:c r="J2915" s="168" t="str">
        <x:v>CI</x:v>
      </x:c>
      <x:c r="K2915" s="174" t="n">
        <x:v>2</x:v>
      </x:c>
      <x:c r="L2915" s="187" t="str">
        <x:v>Não classificado</x:v>
      </x:c>
    </x:row>
    <x:row r="2916">
      <x:c r="A2916" s="177" t="str">
        <x:v>63.249.135/0001-05</x:v>
      </x:c>
      <x:c r="B2916" s="168" t="str">
        <x:v>TRUST FORT FUNDO DE INVESTIMENTO EM DIREITOS CREDITÓRIOS</x:v>
      </x:c>
      <x:c r="C2916" s="190" t="n">
        <x:v>2450648.4499999997</x:v>
      </x:c>
      <x:c r="D2916" s="168" t="str">
        <x:v>ASSET MANAGEMENT</x:v>
      </x:c>
      <x:c r="E2916" s="168" t="str">
        <x:f>IFERROR(INDEX('Classif Gestoras'!$H$6:$H$462,MATCH(D2916,'Classif Gestoras'!$A$6:$A$462,0)),"Não classificada")</x:f>
        <x:v>Independente</x:v>
      </x:c>
      <x:c r="F2916" s="168" t="str">
        <x:v>AZUMI DISTRIBUIDORA DE TÍTULOS E VALORES MOBILIÁRIOS LT</x:v>
      </x:c>
      <x:c r="G2916" s="168" t="str">
        <x:v>AZUMI DISTRIBUIDORA DE TÍTULOS E VALORES MOBILIÁRIOS LTDA.</x:v>
      </x:c>
      <x:c r="H2916" s="168" t="str">
        <x:v>Fomento Mercantil</x:v>
      </x:c>
      <x:c r="I2916" s="168" t="str">
        <x:v>Fomento Mercantil</x:v>
      </x:c>
      <x:c r="J2916" s="168" t="str">
        <x:v>CI</x:v>
      </x:c>
      <x:c r="K2916" s="174" t="n">
        <x:v>2</x:v>
      </x:c>
      <x:c r="L2916" s="187" t="str">
        <x:v>Não classificado</x:v>
      </x:c>
    </x:row>
    <x:row r="2917">
      <x:c r="A2917" s="177" t="str">
        <x:v>51.507.981/0001-07</x:v>
      </x:c>
      <x:c r="B2917" s="168" t="str">
        <x:v>EVEN CREDIT FUNDO DE INVESTIMENTO EM DIREITOS CREDITÓRIOS - RESPONSABILIDADE LIMITADA</x:v>
      </x:c>
      <x:c r="C2917" s="190" t="n">
        <x:v>2447080.0200000005</x:v>
      </x:c>
      <x:c r="D2917" s="168" t="str">
        <x:v>F3 ROCK</x:v>
      </x:c>
      <x:c r="E2917" s="168" t="str">
        <x:f>IFERROR(INDEX('Classif Gestoras'!$H$6:$H$462,MATCH(D2917,'Classif Gestoras'!$A$6:$A$462,0)),"Não classificada")</x:f>
        <x:v>Independente</x:v>
      </x:c>
      <x:c r="F2917" s="168" t="str">
        <x:v>PLANNER CV</x:v>
      </x:c>
      <x:c r="G2917" s="168" t="str">
        <x:v>PLANNER CORRETORA DE VALORES S.A.</x:v>
      </x:c>
      <x:c r="H2917" s="168" t="str">
        <x:v>Outros</x:v>
      </x:c>
      <x:c r="I2917" s="168" t="str">
        <x:v>Multicarteira Outros</x:v>
      </x:c>
      <x:c r="J2917" s="168" t="str">
        <x:v>CI</x:v>
      </x:c>
      <x:c r="K2917" s="174" t="n">
        <x:v>2</x:v>
      </x:c>
      <x:c r="L2917" s="187" t="str">
        <x:v>Proxy multicedente/multissacado — revisar</x:v>
      </x:c>
    </x:row>
    <x:row r="2918">
      <x:c r="A2918" s="177" t="str">
        <x:v>60.761.188/0001-12</x:v>
      </x:c>
      <x:c r="B2918" s="168" t="str">
        <x:v>FUNDO DE INVESTIMENTO EM DIREITOS CREDITÓRIOS SEMEAR EMPRESAS - RESPONSABILIDADE LIMITADA</x:v>
      </x:c>
      <x:c r="C2918" s="190" t="n">
        <x:v>2413675.74</x:v>
      </x:c>
      <x:c r="D2918" s="168" t="str">
        <x:v>SKADE Capital</x:v>
      </x:c>
      <x:c r="E2918" s="168" t="str">
        <x:f>IFERROR(INDEX('Classif Gestoras'!$H$6:$H$462,MATCH(D2918,'Classif Gestoras'!$A$6:$A$462,0)),"Não classificada")</x:f>
        <x:v>Independente</x:v>
      </x:c>
      <x:c r="F2918" s="168" t="str">
        <x:v>LASTRO RDV DIST. DE</x:v>
      </x:c>
      <x:c r="G2918" s="168" t="str">
        <x:v>LASTRO RDV DTVM LTDA</x:v>
      </x:c>
      <x:c r="H2918" s="168" t="str">
        <x:v>Fomento Mercantil</x:v>
      </x:c>
      <x:c r="I2918" s="168" t="str">
        <x:v>Fomento Mercantil</x:v>
      </x:c>
      <x:c r="J2918" s="168" t="str">
        <x:v>CI</x:v>
      </x:c>
      <x:c r="K2918" s="174" t="n">
        <x:v>2</x:v>
      </x:c>
      <x:c r="L2918" s="187" t="str">
        <x:v>Não classificado</x:v>
      </x:c>
    </x:row>
    <x:row r="2919">
      <x:c r="A2919" s="177" t="str">
        <x:v>47.669.241/0001-91</x:v>
      </x:c>
      <x:c r="B2919" s="168" t="str">
        <x:v>FIGURATI FUNDO DE INVESTIMENTO EM DIREITOS CREDITÓRIOS NÃO-PADRONIZADOS</x:v>
      </x:c>
      <x:c r="C2919" s="190" t="n">
        <x:v>2411311.76</x:v>
      </x:c>
      <x:c r="D2919" s="168" t="str">
        <x:v>AZUMI ASSET</x:v>
      </x:c>
      <x:c r="E2919" s="168" t="str">
        <x:f>IFERROR(INDEX('Classif Gestoras'!$H$6:$H$462,MATCH(D2919,'Classif Gestoras'!$A$6:$A$462,0)),"Não classificada")</x:f>
        <x:v>Independente</x:v>
      </x:c>
      <x:c r="F2919" s="168" t="str">
        <x:v>AZUMI DISTRIBUIDORA DE TÍTULOS E VALORES MOBILIÁRIOS LT</x:v>
      </x:c>
      <x:c r="G2919" s="168" t="str">
        <x:v>AZUMI DISTRIBUIDORA DE TÍTULOS E VALORES MOBILIÁRIOS LTDA.</x:v>
      </x:c>
      <x:c r="H2919" s="168" t="str">
        <x:v>Outros</x:v>
      </x:c>
      <x:c r="I2919" s="168" t="str">
        <x:v>Multicarteira Outros</x:v>
      </x:c>
      <x:c r="J2919" s="168" t="str">
        <x:v>CI</x:v>
      </x:c>
      <x:c r="K2919" s="174" t="n">
        <x:v>1</x:v>
      </x:c>
      <x:c r="L2919" s="187" t="str">
        <x:v>Proxy multicedente/multissacado — revisar</x:v>
      </x:c>
    </x:row>
    <x:row r="2920">
      <x:c r="A2920" s="177" t="str">
        <x:v>59.548.957/0001-10</x:v>
      </x:c>
      <x:c r="B2920" s="168" t="str">
        <x:v>MAVERICK FUNDO DE INVESTIMENTO EM DIREITOS CREDITÓRIOS RESPONSABILIDADE LIMITADA</x:v>
      </x:c>
      <x:c r="C2920" s="190" t="n">
        <x:v>2367468.16</x:v>
      </x:c>
      <x:c r="D2920" s="168" t="str">
        <x:v>Hyperion</x:v>
      </x:c>
      <x:c r="E2920" s="168" t="str">
        <x:f>IFERROR(INDEX('Classif Gestoras'!$H$6:$H$462,MATCH(D2920,'Classif Gestoras'!$A$6:$A$462,0)),"Não classificada")</x:f>
        <x:v>Independente</x:v>
      </x:c>
      <x:c r="F2920" s="168" t="str">
        <x:v>ID Corretora de Títulos e Valores Mobiliários S.A.</x:v>
      </x:c>
      <x:c r="G2920" s="168" t="str">
        <x:v>ID CORRETORA DE TITULOS E VALORES MOBILIARIOS S.A.</x:v>
      </x:c>
      <x:c r="H2920" s="168" t="str">
        <x:v>Outros</x:v>
      </x:c>
      <x:c r="I2920" s="168" t="str">
        <x:v>Multicarteira Outros</x:v>
      </x:c>
      <x:c r="J2920" s="168" t="str">
        <x:v>CI</x:v>
      </x:c>
      <x:c r="K2920" s="174" t="n">
        <x:v>10</x:v>
      </x:c>
      <x:c r="L2920" s="187" t="str">
        <x:v>Proxy multicedente/multissacado — revisar</x:v>
      </x:c>
    </x:row>
    <x:row r="2921">
      <x:c r="A2921" s="177" t="str">
        <x:v>59.871.316/0001-00</x:v>
      </x:c>
      <x:c r="B2921" s="168" t="str">
        <x:v>UNION CAPITAL FUNDO DE INVESTIMENTO EM DIREITOS CREDITÓRIOS</x:v>
      </x:c>
      <x:c r="C2921" s="190" t="n">
        <x:v>2365855.41</x:v>
      </x:c>
      <x:c r="D2921" s="168" t="str">
        <x:v>ICON CAPITAL</x:v>
      </x:c>
      <x:c r="E2921" s="168" t="str">
        <x:f>IFERROR(INDEX('Classif Gestoras'!$H$6:$H$462,MATCH(D2921,'Classif Gestoras'!$A$6:$A$462,0)),"Não classificada")</x:f>
        <x:v>Independente</x:v>
      </x:c>
      <x:c r="F2921" s="168" t="str">
        <x:v>REAG DTVM</x:v>
      </x:c>
      <x:c r="G2921" s="168" t="str">
        <x:v>FIDD DISTRIBUIDORA DE TITULOS E VALORES MOBILIARIOS LTDA.</x:v>
      </x:c>
      <x:c r="H2921" s="168" t="str">
        <x:v>Outros</x:v>
      </x:c>
      <x:c r="I2921" s="168" t="str">
        <x:v>Multicarteira Outros</x:v>
      </x:c>
      <x:c r="J2921" s="168" t="str">
        <x:v>CI</x:v>
      </x:c>
      <x:c r="K2921" s="174" t="n">
        <x:v>5</x:v>
      </x:c>
      <x:c r="L2921" s="187" t="str">
        <x:v>Proxy multicedente/multissacado — revisar</x:v>
      </x:c>
    </x:row>
    <x:row r="2922">
      <x:c r="A2922" s="177" t="str">
        <x:v>28.254.193/0001-26</x:v>
      </x:c>
      <x:c r="B2922" s="168" t="str">
        <x:v>BLP PRECATÓRIO III-FUNDO DE INVESTIMENTO EM DIREITOS CREDITÓRIOS NÃO-PADRONIZADOS DE RESP. LIMITADA</x:v>
      </x:c>
      <x:c r="C2922" s="190" t="n">
        <x:v>2359410.47</x:v>
      </x:c>
      <x:c r="D2922" s="168" t="str">
        <x:v>BLP CAPITAL</x:v>
      </x:c>
      <x:c r="E2922" s="168" t="str">
        <x:f>IFERROR(INDEX('Classif Gestoras'!$H$6:$H$462,MATCH(D2922,'Classif Gestoras'!$A$6:$A$462,0)),"Não classificada")</x:f>
        <x:v>Independente</x:v>
      </x:c>
      <x:c r="F2922" s="168" t="str">
        <x:v>TRUSTEE DTVM</x:v>
      </x:c>
      <x:c r="G2922" s="168" t="str">
        <x:v>TRUSTEE DISTRIBUIDORA DE TITULOS E VALORES MOBILIARIOS LTDA.</x:v>
      </x:c>
      <x:c r="H2922" s="168" t="str">
        <x:v>Outros</x:v>
      </x:c>
      <x:c r="I2922" s="168" t="str">
        <x:v>Poder Público</x:v>
      </x:c>
      <x:c r="J2922" s="168" t="str">
        <x:v>CI</x:v>
      </x:c>
      <x:c r="K2922" s="174" t="n">
        <x:v>25</x:v>
      </x:c>
      <x:c r="L2922" s="187" t="str">
        <x:v>Não classificado</x:v>
      </x:c>
    </x:row>
    <x:row r="2923">
      <x:c r="A2923" s="177" t="str">
        <x:v>49.829.816/0001-11</x:v>
      </x:c>
      <x:c r="B2923" s="168" t="str">
        <x:v>FUNDO DE INVESTIMENTO EM DIREITOS CREDITÓRIOS 800</x:v>
      </x:c>
      <x:c r="C2923" s="190" t="n">
        <x:v>2356990.38</x:v>
      </x:c>
      <x:c r="D2923" s="168" t="str">
        <x:v>H2 CAPITAL</x:v>
      </x:c>
      <x:c r="E2923" s="168" t="str">
        <x:f>IFERROR(INDEX('Classif Gestoras'!$H$6:$H$462,MATCH(D2923,'Classif Gestoras'!$A$6:$A$462,0)),"Não classificada")</x:f>
        <x:v>Independente</x:v>
      </x:c>
      <x:c r="F2923" s="168" t="str">
        <x:v>BANCO DAYCOVAL S/A</x:v>
      </x:c>
      <x:c r="G2923" s="168" t="str">
        <x:v>BANCO DAYCOVAL S.A.</x:v>
      </x:c>
      <x:c r="H2923" s="168" t="str">
        <x:v>Agro, Indústria e Comércio</x:v>
      </x:c>
      <x:c r="I2923" s="168" t="str">
        <x:v>Recebíveis Comerciais</x:v>
      </x:c>
      <x:c r="J2923" s="168" t="str">
        <x:v>CI</x:v>
      </x:c>
      <x:c r="K2923" s="174" t="n">
        <x:v>1</x:v>
      </x:c>
      <x:c r="L2923" s="187" t="str">
        <x:v>Não classificado</x:v>
      </x:c>
    </x:row>
    <x:row r="2924">
      <x:c r="A2924" s="177" t="str">
        <x:v>55.913.770/0001-17</x:v>
      </x:c>
      <x:c r="B2924" s="168" t="str">
        <x:v>JUNTOS PELO RS FUNDO DE INVESTIMENTO EM DIREITOS CREDITÓRIOS</x:v>
      </x:c>
      <x:c r="C2924" s="190" t="n">
        <x:v>2329108.03</x:v>
      </x:c>
      <x:c r="D2924" s="168" t="str">
        <x:v>BTG Pactual Asset</x:v>
      </x:c>
      <x:c r="E2924" s="168" t="str">
        <x:f>IFERROR(INDEX('Classif Gestoras'!$H$6:$H$462,MATCH(D2924,'Classif Gestoras'!$A$6:$A$462,0)),"Não classificada")</x:f>
        <x:v>Ligada a banco</x:v>
      </x:c>
      <x:c r="F2924" s="168" t="str">
        <x:v>BTG Pactual Servicos Financeiros S/A DTVM</x:v>
      </x:c>
      <x:c r="G2924" s="168" t="str">
        <x:v>BANCO BTG PACTUAL S/A</x:v>
      </x:c>
      <x:c r="H2924" s="168" t="str">
        <x:v>Outros</x:v>
      </x:c>
      <x:c r="I2924" s="168" t="str">
        <x:v>Multicarteira Outros</x:v>
      </x:c>
      <x:c r="J2924" s="168" t="str">
        <x:v>CI</x:v>
      </x:c>
      <x:c r="K2924" s="174" t="n">
        <x:v>1</x:v>
      </x:c>
      <x:c r="L2924" s="187" t="str">
        <x:v>Proxy multicedente/multissacado — revisar</x:v>
      </x:c>
    </x:row>
    <x:row r="2925">
      <x:c r="A2925" s="177" t="str">
        <x:v>45.355.605/0001-33</x:v>
      </x:c>
      <x:c r="B2925" s="168" t="str">
        <x:v>NEB II FUNDO DE INVESTIMENTO EM DIREITOS CREDITÓRIOS RESPONSABILIDADE LIMITADA</x:v>
      </x:c>
      <x:c r="C2925" s="190" t="n">
        <x:v>2317161.8</x:v>
      </x:c>
      <x:c r="D2925" s="168" t="str">
        <x:v>JIVE INVESTMENTS</x:v>
      </x:c>
      <x:c r="E2925" s="168" t="str">
        <x:f>IFERROR(INDEX('Classif Gestoras'!$H$6:$H$462,MATCH(D2925,'Classif Gestoras'!$A$6:$A$462,0)),"Não classificada")</x:f>
        <x:v>Independente</x:v>
      </x:c>
      <x:c r="F2925" s="168" t="str">
        <x:v>BTG Pactual Servicos Financeiros S/A DTVM</x:v>
      </x:c>
      <x:c r="G2925" s="168" t="str">
        <x:v>BANCO BTG PACTUAL S/A</x:v>
      </x:c>
      <x:c r="H2925" s="168" t="str">
        <x:v>Outros</x:v>
      </x:c>
      <x:c r="I2925" s="168" t="str">
        <x:v>Poder Público</x:v>
      </x:c>
      <x:c r="J2925" s="168" t="str">
        <x:v>CI</x:v>
      </x:c>
      <x:c r="K2925" s="174" t="n">
        <x:v>4</x:v>
      </x:c>
      <x:c r="L2925" s="187" t="str">
        <x:v>Não classificado</x:v>
      </x:c>
    </x:row>
    <x:row r="2926">
      <x:c r="A2926" s="177" t="str">
        <x:v>57.391.695/0001-05</x:v>
      </x:c>
      <x:c r="B2926" s="168" t="str">
        <x:v>SIMPLIX FGTS FUNDO DE INVESTIMENTO EM DIREITOS CREDITÓRIOS FINANCEIROS DE RESPONSABILIDADE LIMITADA</x:v>
      </x:c>
      <x:c r="C2926" s="190" t="n">
        <x:v>2293645.08</x:v>
      </x:c>
      <x:c r="D2926" s="168" t="str">
        <x:v>SIMPLIX ASSET MANAGEMENT LTDA.</x:v>
      </x:c>
      <x:c r="E2926" s="168" t="str">
        <x:f>IFERROR(INDEX('Classif Gestoras'!$H$6:$H$462,MATCH(D2926,'Classif Gestoras'!$A$6:$A$462,0)),"Não classificada")</x:f>
        <x:v>Independente</x:v>
      </x:c>
      <x:c r="F2926" s="168" t="str">
        <x:v>BANCO DAYCOVAL S/A</x:v>
      </x:c>
      <x:c r="G2926" s="168" t="str">
        <x:v>BANCO DAYCOVAL S.A.</x:v>
      </x:c>
      <x:c r="H2926" s="168" t="str">
        <x:v>Financeiro</x:v>
      </x:c>
      <x:c r="I2926" s="168" t="str">
        <x:v>Crédito Pessoal</x:v>
      </x:c>
      <x:c r="J2926" s="168" t="str">
        <x:v>CI</x:v>
      </x:c>
      <x:c r="K2926" s="174" t="n">
        <x:v>5</x:v>
      </x:c>
      <x:c r="L2926" s="187" t="str">
        <x:v>Não classificado</x:v>
      </x:c>
    </x:row>
    <x:row r="2927">
      <x:c r="A2927" s="177" t="str">
        <x:v>63.983.416/0001-97</x:v>
      </x:c>
      <x:c r="B2927" s="168" t="str">
        <x:v>MS SAÚDE I FUNDO DE INVESTIMENTO EM DIREITOS CREDITÓRIOS</x:v>
      </x:c>
      <x:c r="C2927" s="190" t="n">
        <x:v>2283597.56</x:v>
      </x:c>
      <x:c r="D2927" s="168" t="str">
        <x:v>BTG Pactual Asset</x:v>
      </x:c>
      <x:c r="E2927" s="168" t="str">
        <x:f>IFERROR(INDEX('Classif Gestoras'!$H$6:$H$462,MATCH(D2927,'Classif Gestoras'!$A$6:$A$462,0)),"Não classificada")</x:f>
        <x:v>Ligada a banco</x:v>
      </x:c>
      <x:c r="F2927" s="168" t="str">
        <x:v>BTG Pactual Servicos Financeiros S/A DTVM</x:v>
      </x:c>
      <x:c r="G2927" s="168" t="str">
        <x:v>BANCO BTG PACTUAL S/A</x:v>
      </x:c>
      <x:c r="H2927" s="168" t="str">
        <x:v>Outros</x:v>
      </x:c>
      <x:c r="I2927" s="168" t="str">
        <x:v>Multicarteira Outros</x:v>
      </x:c>
      <x:c r="J2927" s="168" t="str">
        <x:v>CI</x:v>
      </x:c>
      <x:c r="K2927" s="174" t="n">
        <x:v>0</x:v>
      </x:c>
      <x:c r="L2927" s="187" t="str">
        <x:v>Proxy multicedente/multissacado — revisar</x:v>
      </x:c>
    </x:row>
    <x:row r="2928">
      <x:c r="A2928" s="177" t="str">
        <x:v>64.438.386/0001-09</x:v>
      </x:c>
      <x:c r="B2928" s="168" t="str">
        <x:v>HEAD CRÉDITO AO TRABALHADOR FUNDO DE INVESTIMENTO EM DIREITOS CREDITÓRIOS RESP LIMITADA</x:v>
      </x:c>
      <x:c r="C2928" s="190" t="n">
        <x:v>2279409.94</x:v>
      </x:c>
      <x:c r="D2928" s="168" t="str">
        <x:v>HEADINVEST ASSET</x:v>
      </x:c>
      <x:c r="E2928" s="168" t="str">
        <x:f>IFERROR(INDEX('Classif Gestoras'!$H$6:$H$462,MATCH(D2928,'Classif Gestoras'!$A$6:$A$462,0)),"Não classificada")</x:f>
        <x:v>Independente</x:v>
      </x:c>
      <x:c r="F2928" s="168" t="str">
        <x:v>Oliveira Trust DTVM</x:v>
      </x:c>
      <x:c r="G2928" s="168" t="str">
        <x:v>OLIVEIRA TRUST DTVM S.A.</x:v>
      </x:c>
      <x:c r="H2928" s="168" t="str">
        <x:v>Financeiro</x:v>
      </x:c>
      <x:c r="I2928" s="168" t="str">
        <x:v>Crédito Consignado</x:v>
      </x:c>
      <x:c r="J2928" s="168" t="str">
        <x:v>CI</x:v>
      </x:c>
      <x:c r="K2928" s="174" t="n">
        <x:v>1</x:v>
      </x:c>
      <x:c r="L2928" s="187" t="str">
        <x:v>Não classificado</x:v>
      </x:c>
    </x:row>
    <x:row r="2929">
      <x:c r="A2929" s="177" t="str">
        <x:v>62.339.639/0001-53</x:v>
      </x:c>
      <x:c r="B2929" s="168" t="str">
        <x:v>M SKY FUNDO DE INVESTIMENTO EM DIREITOS CREDITÓRIOS DE RESPONSABILIDADE LIMITADA</x:v>
      </x:c>
      <x:c r="C2929" s="190" t="n">
        <x:v>2277360.66</x:v>
      </x:c>
      <x:c r="D2929" s="168" t="str">
        <x:v>Multinvest Capital</x:v>
      </x:c>
      <x:c r="E2929" s="168" t="str">
        <x:f>IFERROR(INDEX('Classif Gestoras'!$H$6:$H$462,MATCH(D2929,'Classif Gestoras'!$A$6:$A$462,0)),"Não classificada")</x:f>
        <x:v>Independente</x:v>
      </x:c>
      <x:c r="F2929" s="168" t="str">
        <x:v>BANCO DAYCOVAL S/A</x:v>
      </x:c>
      <x:c r="G2929" s="168" t="str">
        <x:v>BANCO DAYCOVAL S.A.</x:v>
      </x:c>
      <x:c r="H2929" s="168" t="str">
        <x:v>Outros</x:v>
      </x:c>
      <x:c r="I2929" s="168" t="str">
        <x:v>Multicarteira Outros</x:v>
      </x:c>
      <x:c r="J2929" s="168" t="str">
        <x:v>CI</x:v>
      </x:c>
      <x:c r="K2929" s="174" t="n">
        <x:v>14</x:v>
      </x:c>
      <x:c r="L2929" s="187" t="str">
        <x:v>Proxy multicedente/multissacado — revisar</x:v>
      </x:c>
    </x:row>
    <x:row r="2930">
      <x:c r="A2930" s="177" t="str">
        <x:v>44.273.371/0001-12</x:v>
      </x:c>
      <x:c r="B2930" s="168" t="str">
        <x:v>GRYPHON FUNDO DE INVESTIMENTO EM DIREITOS CREDITÓRIOS NÃO PADRONIZADOS</x:v>
      </x:c>
      <x:c r="C2930" s="190" t="n">
        <x:v>2258700.56</x:v>
      </x:c>
      <x:c r="D2930" s="168" t="str">
        <x:v>BURITI INVESTIMENTOS</x:v>
      </x:c>
      <x:c r="E2930" s="168" t="str">
        <x:f>IFERROR(INDEX('Classif Gestoras'!$H$6:$H$462,MATCH(D2930,'Classif Gestoras'!$A$6:$A$462,0)),"Não classificada")</x:f>
        <x:v>Independente</x:v>
      </x:c>
      <x:c r="F2930" s="168" t="str">
        <x:v>Singulare</x:v>
      </x:c>
      <x:c r="G2930" s="168" t="str">
        <x:v>QI CORRETORA DE TÍTULOS E VALORES MOBILIÁRIOS S.A.</x:v>
      </x:c>
      <x:c r="H2930" s="168" t="str">
        <x:v>Outros</x:v>
      </x:c>
      <x:c r="I2930" s="168" t="str">
        <x:v>Multicarteira Outros</x:v>
      </x:c>
      <x:c r="J2930" s="168" t="str">
        <x:v>CI</x:v>
      </x:c>
      <x:c r="K2930" s="174" t="n">
        <x:v>7</x:v>
      </x:c>
      <x:c r="L2930" s="187" t="str">
        <x:v>Proxy multicedente/multissacado — revisar</x:v>
      </x:c>
    </x:row>
    <x:row r="2931">
      <x:c r="A2931" s="177" t="str">
        <x:v>61.784.056/0001-79</x:v>
      </x:c>
      <x:c r="B2931" s="168" t="str">
        <x:v>TV LAR FUNDO DE INVESTIMENTO EM DIREITOS CREDITÓRIOS PADRONIZADOS RESPONSABILIDADE LIMITADA</x:v>
      </x:c>
      <x:c r="C2931" s="190" t="n">
        <x:v>2250677.64</x:v>
      </x:c>
      <x:c r="D2931" s="168" t="str">
        <x:v>Tyr Gestao de Recursos Ltda</x:v>
      </x:c>
      <x:c r="E2931" s="168" t="str">
        <x:f>IFERROR(INDEX('Classif Gestoras'!$H$6:$H$462,MATCH(D2931,'Classif Gestoras'!$A$6:$A$462,0)),"Não classificada")</x:f>
        <x:v>Independente</x:v>
      </x:c>
      <x:c r="F2931" s="168" t="str">
        <x:v>ID Corretora de Títulos e Valores Mobiliários S.A.</x:v>
      </x:c>
      <x:c r="G2931" s="168" t="str">
        <x:v>ID CORRETORA DE TITULOS E VALORES MOBILIARIOS S.A.</x:v>
      </x:c>
      <x:c r="H2931" s="168" t="str">
        <x:v>Outros</x:v>
      </x:c>
      <x:c r="I2931" s="168" t="str">
        <x:v>Multicarteira Outros</x:v>
      </x:c>
      <x:c r="J2931" s="168" t="str">
        <x:v>CI</x:v>
      </x:c>
      <x:c r="K2931" s="174" t="n">
        <x:v>1</x:v>
      </x:c>
      <x:c r="L2931" s="187" t="str">
        <x:v>Proxy multicedente/multissacado — revisar</x:v>
      </x:c>
    </x:row>
    <x:row r="2932">
      <x:c r="A2932" s="177" t="str">
        <x:v>65.014.891/0001-80</x:v>
      </x:c>
      <x:c r="B2932" s="168" t="str">
        <x:v>VIA MOBIL FUNDO DE INVESTIMENTO EM DIREITOS CREDITÓRIOS</x:v>
      </x:c>
      <x:c r="C2932" s="190" t="n">
        <x:v>2223063.06</x:v>
      </x:c>
      <x:c r="D2932" s="168" t="str">
        <x:v>ASSET MANAGEMENT</x:v>
      </x:c>
      <x:c r="E2932" s="168" t="str">
        <x:f>IFERROR(INDEX('Classif Gestoras'!$H$6:$H$462,MATCH(D2932,'Classif Gestoras'!$A$6:$A$462,0)),"Não classificada")</x:f>
        <x:v>Independente</x:v>
      </x:c>
      <x:c r="F2932" s="168" t="str">
        <x:v>AZUMI DISTRIBUIDORA DE TÍTULOS E VALORES MOBILIÁRIOS LT</x:v>
      </x:c>
      <x:c r="G2932" s="168" t="str">
        <x:v>AZUMI DISTRIBUIDORA DE TÍTULOS E VALORES MOBILIÁRIOS LTDA.</x:v>
      </x:c>
      <x:c r="H2932" s="168" t="str">
        <x:v>Fomento Mercantil</x:v>
      </x:c>
      <x:c r="I2932" s="168" t="str">
        <x:v>Fomento Mercantil</x:v>
      </x:c>
      <x:c r="J2932" s="168" t="str">
        <x:v>CI</x:v>
      </x:c>
      <x:c r="K2932" s="174" t="n">
        <x:v>2</x:v>
      </x:c>
      <x:c r="L2932" s="187" t="str">
        <x:v>Não classificado</x:v>
      </x:c>
    </x:row>
    <x:row r="2933">
      <x:c r="A2933" s="177" t="str">
        <x:v>58.114.447/0001-71</x:v>
      </x:c>
      <x:c r="B2933" s="168" t="str">
        <x:v>ADIGITAL FUNDO DE INVESTIMENTO EM DIREITOS CREDITÓRIOS RESPONSABILIDADE LIMITADA</x:v>
      </x:c>
      <x:c r="C2933" s="190" t="n">
        <x:v>2222664.82</x:v>
      </x:c>
      <x:c r="D2933" s="168" t="str">
        <x:v>GESTORA DE RECURSOS ID - GRID LTDA.</x:v>
      </x:c>
      <x:c r="E2933" s="168" t="str">
        <x:f>IFERROR(INDEX('Classif Gestoras'!$H$6:$H$462,MATCH(D2933,'Classif Gestoras'!$A$6:$A$462,0)),"Não classificada")</x:f>
        <x:v>Independente</x:v>
      </x:c>
      <x:c r="F2933" s="168" t="str">
        <x:v>ID Corretora de Títulos e Valores Mobiliários S.A.</x:v>
      </x:c>
      <x:c r="G2933" s="168" t="str">
        <x:v>ID CORRETORA DE TITULOS E VALORES MOBILIARIOS S.A.</x:v>
      </x:c>
      <x:c r="H2933" s="168" t="str">
        <x:v>Outros</x:v>
      </x:c>
      <x:c r="I2933" s="168" t="str">
        <x:v>Multicarteira Outros</x:v>
      </x:c>
      <x:c r="J2933" s="168" t="str">
        <x:v>CI</x:v>
      </x:c>
      <x:c r="K2933" s="174" t="n">
        <x:v>0</x:v>
      </x:c>
      <x:c r="L2933" s="187" t="str">
        <x:v>Proxy multicedente/multissacado — revisar</x:v>
      </x:c>
    </x:row>
    <x:row r="2934">
      <x:c r="A2934" s="177" t="str">
        <x:v>51.253.601/0001-47</x:v>
      </x:c>
      <x:c r="B2934" s="168" t="str">
        <x:v>AID BANK FUNDO DE INVESTIMENTO EM DIREITOS CREDITÓRIOS MULTISSETORIAL</x:v>
      </x:c>
      <x:c r="C2934" s="190" t="n">
        <x:v>2172872.01</x:v>
      </x:c>
      <x:c r="D2934" s="168" t="str">
        <x:v>OURO PRETO INVESTIMENTOS</x:v>
      </x:c>
      <x:c r="E2934" s="168" t="str">
        <x:f>IFERROR(INDEX('Classif Gestoras'!$H$6:$H$462,MATCH(D2934,'Classif Gestoras'!$A$6:$A$462,0)),"Não classificada")</x:f>
        <x:v>Independente</x:v>
      </x:c>
      <x:c r="F2934" s="168" t="str">
        <x:v>Limine Trust Distribuidora de Titulos e Valores Mobiliá</x:v>
      </x:c>
      <x:c r="G2934" s="168" t="str">
        <x:v>LIMINE TRUST DISTRIBUIDORA DE TITULOS E VALORES MOBILIARIOS LTDA.</x:v>
      </x:c>
      <x:c r="H2934" s="168" t="str">
        <x:v>Outros</x:v>
      </x:c>
      <x:c r="I2934" s="168" t="str">
        <x:v>Multicarteira Outros</x:v>
      </x:c>
      <x:c r="J2934" s="168" t="str">
        <x:v>CI</x:v>
      </x:c>
      <x:c r="K2934" s="174" t="n">
        <x:v>6</x:v>
      </x:c>
      <x:c r="L2934" s="187" t="str">
        <x:v>Proxy multicedente/multissacado — revisar</x:v>
      </x:c>
    </x:row>
    <x:row r="2935">
      <x:c r="A2935" s="177" t="str">
        <x:v>61.079.347/0001-66</x:v>
      </x:c>
      <x:c r="B2935" s="168" t="str">
        <x:v>VERITAS FUNDO DE INVESTIMENTO EM DIREITOS CREDITÓRIOS</x:v>
      </x:c>
      <x:c r="C2935" s="190" t="n">
        <x:v>2140980.79</x:v>
      </x:c>
      <x:c r="D2935" s="168" t="str">
        <x:v>ERFOLG</x:v>
      </x:c>
      <x:c r="E2935" s="168" t="str">
        <x:f>IFERROR(INDEX('Classif Gestoras'!$H$6:$H$462,MATCH(D2935,'Classif Gestoras'!$A$6:$A$462,0)),"Não classificada")</x:f>
        <x:v>Independente</x:v>
      </x:c>
      <x:c r="F2935" s="168" t="str">
        <x:v>PLANNER CV</x:v>
      </x:c>
      <x:c r="G2935" s="168" t="str">
        <x:v>PLANNER CORRETORA DE VALORES S.A.</x:v>
      </x:c>
      <x:c r="H2935" s="168" t="str">
        <x:v>Outros</x:v>
      </x:c>
      <x:c r="I2935" s="168" t="str">
        <x:v>Multicarteira Outros</x:v>
      </x:c>
      <x:c r="J2935" s="168" t="str">
        <x:v>CI</x:v>
      </x:c>
      <x:c r="K2935" s="174" t="n">
        <x:v>2</x:v>
      </x:c>
      <x:c r="L2935" s="187" t="str">
        <x:v>Proxy multicedente/multissacado — revisar</x:v>
      </x:c>
    </x:row>
    <x:row r="2936">
      <x:c r="A2936" s="177" t="str">
        <x:v>61.515.560/0001-73</x:v>
      </x:c>
      <x:c r="B2936" s="168" t="str">
        <x:v>WECAR I FUNDO DE INVESTIMENTO EM DIREITOS CREDITÓRIOS RESPONSABILIDADE LIMITADA</x:v>
      </x:c>
      <x:c r="C2936" s="190" t="n">
        <x:v>2100515.27</x:v>
      </x:c>
      <x:c r="D2936" s="168" t="str">
        <x:v>Mosaico Gestora de Recursos Ltda.</x:v>
      </x:c>
      <x:c r="E2936" s="168" t="str">
        <x:f>IFERROR(INDEX('Classif Gestoras'!$H$6:$H$462,MATCH(D2936,'Classif Gestoras'!$A$6:$A$462,0)),"Não classificada")</x:f>
        <x:v>Independente</x:v>
      </x:c>
      <x:c r="F2936" s="168" t="str">
        <x:v>PLANNER CV</x:v>
      </x:c>
      <x:c r="G2936" s="168" t="str">
        <x:v>PLANNER CORRETORA DE VALORES S.A.</x:v>
      </x:c>
      <x:c r="H2936" s="168" t="str">
        <x:v>Outros</x:v>
      </x:c>
      <x:c r="I2936" s="168" t="str">
        <x:v>Multicarteira Outros</x:v>
      </x:c>
      <x:c r="J2936" s="168" t="str">
        <x:v>CI</x:v>
      </x:c>
      <x:c r="K2936" s="174" t="n">
        <x:v>8</x:v>
      </x:c>
      <x:c r="L2936" s="187" t="str">
        <x:v>Proxy multicedente/multissacado — revisar</x:v>
      </x:c>
    </x:row>
    <x:row r="2937">
      <x:c r="A2937" s="177" t="str">
        <x:v>63.947.096/0001-10</x:v>
      </x:c>
      <x:c r="B2937" s="168" t="str">
        <x:v>STT2 FUNDO DE INVESTIMENTO EM DIREITOS CREDITÓRIOS</x:v>
      </x:c>
      <x:c r="C2937" s="190" t="n">
        <x:v>2092706.17</x:v>
      </x:c>
      <x:c r="D2937" s="168" t="str">
        <x:v>Strata Capital</x:v>
      </x:c>
      <x:c r="E2937" s="168" t="str">
        <x:f>IFERROR(INDEX('Classif Gestoras'!$H$6:$H$462,MATCH(D2937,'Classif Gestoras'!$A$6:$A$462,0)),"Não classificada")</x:f>
        <x:v>Independente</x:v>
      </x:c>
      <x:c r="F2937" s="168" t="str">
        <x:v>BANCO DAYCOVAL S/A</x:v>
      </x:c>
      <x:c r="G2937" s="168" t="str">
        <x:v>BANCO DAYCOVAL S.A.</x:v>
      </x:c>
      <x:c r="H2937" s="168" t="str">
        <x:v>Outros</x:v>
      </x:c>
      <x:c r="I2937" s="168" t="str">
        <x:v>Multicarteira Outros</x:v>
      </x:c>
      <x:c r="J2937" s="168" t="str">
        <x:v>CI</x:v>
      </x:c>
      <x:c r="K2937" s="174" t="n">
        <x:v>1</x:v>
      </x:c>
      <x:c r="L2937" s="187" t="str">
        <x:v>Proxy multicedente/multissacado — revisar</x:v>
      </x:c>
    </x:row>
    <x:row r="2938">
      <x:c r="A2938" s="177" t="str">
        <x:v>57.090.601/0001-50</x:v>
      </x:c>
      <x:c r="B2938" s="168" t="str">
        <x:v>MACCA FUNDO DE INVESTIMENTO EM DIREITOS CREDITÓRIOS RESPONSABILIDADE LIMITADA</x:v>
      </x:c>
      <x:c r="C2938" s="190" t="n">
        <x:v>2083377.6</x:v>
      </x:c>
      <x:c r="D2938" s="168" t="str">
        <x:v>Fronteira Invest</x:v>
      </x:c>
      <x:c r="E2938" s="168" t="str">
        <x:f>IFERROR(INDEX('Classif Gestoras'!$H$6:$H$462,MATCH(D2938,'Classif Gestoras'!$A$6:$A$462,0)),"Não classificada")</x:f>
        <x:v>Independente</x:v>
      </x:c>
      <x:c r="F2938" s="168" t="str">
        <x:v>Baru DTVM</x:v>
      </x:c>
      <x:c r="G2938" s="168" t="str">
        <x:v>BARU DISTRIBUIDORA DE TÍTULOS E VALORES MOBILIÁRIOS LTDA.</x:v>
      </x:c>
      <x:c r="H2938" s="168" t="str">
        <x:v>Financeiro</x:v>
      </x:c>
      <x:c r="I2938" s="168" t="str">
        <x:v>Crédito Consignado</x:v>
      </x:c>
      <x:c r="J2938" s="168" t="str">
        <x:v>CI</x:v>
      </x:c>
      <x:c r="K2938" s="174" t="n">
        <x:v>1</x:v>
      </x:c>
      <x:c r="L2938" s="187" t="str">
        <x:v>Não classificado</x:v>
      </x:c>
    </x:row>
    <x:row r="2939">
      <x:c r="A2939" s="177" t="str">
        <x:v>52.327.088/0001-54</x:v>
      </x:c>
      <x:c r="B2939" s="168" t="str">
        <x:v>CNPJ 52327088000154</x:v>
      </x:c>
      <x:c r="C2939" s="190" t="n">
        <x:v>2060687.43</x:v>
      </x:c>
      <x:c r="D2939" s="168" t="str">
        <x:v>GENIAL GESTÃO LTDA.</x:v>
      </x:c>
      <x:c r="E2939" s="168" t="str">
        <x:f>IFERROR(INDEX('Classif Gestoras'!$H$6:$H$462,MATCH(D2939,'Classif Gestoras'!$A$6:$A$462,0)),"Não classificada")</x:f>
        <x:v>Ligada a banco</x:v>
      </x:c>
      <x:c r="F2939" s="168" t="str">
        <x:v>Banco Genial S.A.</x:v>
      </x:c>
      <x:c r="G2939" s="168" t="str">
        <x:v>Não identificado</x:v>
      </x:c>
      <x:c r="H2939" s="168" t="str">
        <x:v>Outros</x:v>
      </x:c>
      <x:c r="I2939" s="168" t="str">
        <x:v>Multicarteira Outros</x:v>
      </x:c>
      <x:c r="J2939" s="168" t="str">
        <x:v>CI</x:v>
      </x:c>
      <x:c r="K2939" s="174"/>
      <x:c r="L2939" s="187" t="str">
        <x:v>Proxy multicedente/multissacado — revisar</x:v>
      </x:c>
    </x:row>
    <x:row r="2940">
      <x:c r="A2940" s="177" t="str">
        <x:v>60.811.152/0001-04</x:v>
      </x:c>
      <x:c r="B2940" s="168" t="str">
        <x:v>ITAÚNA MULTI TESES FUNDO DE INVESTIMENTO EM DIREITOS CREDITÓRIOS RESPONSABILIDADE LIMITADA</x:v>
      </x:c>
      <x:c r="C2940" s="190" t="n">
        <x:v>2058100.07</x:v>
      </x:c>
      <x:c r="D2940" s="168" t="str">
        <x:v>ITAÚNA CAPITAL LTDA.</x:v>
      </x:c>
      <x:c r="E2940" s="168" t="str">
        <x:f>IFERROR(INDEX('Classif Gestoras'!$H$6:$H$462,MATCH(D2940,'Classif Gestoras'!$A$6:$A$462,0)),"Não classificada")</x:f>
        <x:v>Ligada a banco</x:v>
      </x:c>
      <x:c r="F2940" s="168" t="str">
        <x:v>VÓRTX DTVM</x:v>
      </x:c>
      <x:c r="G2940" s="168" t="str">
        <x:v>VORTX DISTRIBUIDORA DE TITULOS E VALORES MOBILIARIOS LTDA.</x:v>
      </x:c>
      <x:c r="H2940" s="168" t="str">
        <x:v>Outros</x:v>
      </x:c>
      <x:c r="I2940" s="168" t="str">
        <x:v>Multicarteira Outros</x:v>
      </x:c>
      <x:c r="J2940" s="168" t="str">
        <x:v>CI</x:v>
      </x:c>
      <x:c r="K2940" s="174" t="n">
        <x:v>32</x:v>
      </x:c>
      <x:c r="L2940" s="187" t="str">
        <x:v>Proxy multicedente/multissacado — revisar</x:v>
      </x:c>
    </x:row>
    <x:row r="2941">
      <x:c r="A2941" s="177" t="str">
        <x:v>55.690.923/0001-04</x:v>
      </x:c>
      <x:c r="B2941" s="168" t="str">
        <x:v>CAPITAL DIRETO FUNDO DE INVESTIMENTO EM DIREITOS CREDITÓRIOS NÃO PADRONIZADO</x:v>
      </x:c>
      <x:c r="C2941" s="190" t="n">
        <x:v>1993897.22</x:v>
      </x:c>
      <x:c r="D2941" s="168" t="str">
        <x:v>ASSET MANAGEMENT</x:v>
      </x:c>
      <x:c r="E2941" s="168" t="str">
        <x:f>IFERROR(INDEX('Classif Gestoras'!$H$6:$H$462,MATCH(D2941,'Classif Gestoras'!$A$6:$A$462,0)),"Não classificada")</x:f>
        <x:v>Independente</x:v>
      </x:c>
      <x:c r="F2941" s="168" t="str">
        <x:v>AZUMI DISTRIBUIDORA DE TÍTULOS E VALORES MOBILIÁRIOS LT</x:v>
      </x:c>
      <x:c r="G2941" s="168" t="str">
        <x:v>AZUMI DISTRIBUIDORA DE TÍTULOS E VALORES MOBILIÁRIOS LTDA.</x:v>
      </x:c>
      <x:c r="H2941" s="168" t="str">
        <x:v>Fomento Mercantil</x:v>
      </x:c>
      <x:c r="I2941" s="168" t="str">
        <x:v>Fomento Mercantil</x:v>
      </x:c>
      <x:c r="J2941" s="168" t="str">
        <x:v>CI</x:v>
      </x:c>
      <x:c r="K2941" s="174" t="n">
        <x:v>4</x:v>
      </x:c>
      <x:c r="L2941" s="187" t="str">
        <x:v>Não classificado</x:v>
      </x:c>
    </x:row>
    <x:row r="2942">
      <x:c r="A2942" s="177" t="str">
        <x:v>47.669.281/0001-33</x:v>
      </x:c>
      <x:c r="B2942" s="168" t="str">
        <x:v>AGAZZII FUNDO DE INVESTIMENTO EM DIREITOS CREDITORIOS NÃO-PADRONIZADOS</x:v>
      </x:c>
      <x:c r="C2942" s="190" t="n">
        <x:v>1993280.46</x:v>
      </x:c>
      <x:c r="D2942" s="168" t="str">
        <x:v>Harbour Capital</x:v>
      </x:c>
      <x:c r="E2942" s="168" t="str">
        <x:f>IFERROR(INDEX('Classif Gestoras'!$H$6:$H$462,MATCH(D2942,'Classif Gestoras'!$A$6:$A$462,0)),"Não classificada")</x:f>
        <x:v>Independente</x:v>
      </x:c>
      <x:c r="F2942" s="168" t="str">
        <x:v>AZUMI DISTRIBUIDORA DE TÍTULOS E VALORES MOBILIÁRIOS LT</x:v>
      </x:c>
      <x:c r="G2942" s="168" t="str">
        <x:v>AZUMI DISTRIBUIDORA DE TÍTULOS E VALORES MOBILIÁRIOS LTDA.</x:v>
      </x:c>
      <x:c r="H2942" s="168" t="str">
        <x:v>Outros</x:v>
      </x:c>
      <x:c r="I2942" s="168" t="str">
        <x:v>Multicarteira Outros</x:v>
      </x:c>
      <x:c r="J2942" s="168" t="str">
        <x:v>CI</x:v>
      </x:c>
      <x:c r="K2942" s="174" t="n">
        <x:v>2</x:v>
      </x:c>
      <x:c r="L2942" s="187" t="str">
        <x:v>Proxy multicedente/multissacado — revisar</x:v>
      </x:c>
    </x:row>
    <x:row r="2943">
      <x:c r="A2943" s="177" t="str">
        <x:v>65.536.925/0001-05</x:v>
      </x:c>
      <x:c r="B2943" s="168" t="str">
        <x:v>IMPPAR FUNDO DE INVESTIMENTO EM DIREITOS CREDITÓRIOS</x:v>
      </x:c>
      <x:c r="C2943" s="190" t="n">
        <x:v>1991748.42</x:v>
      </x:c>
      <x:c r="D2943" s="168" t="str">
        <x:v>Redwood Asset Management</x:v>
      </x:c>
      <x:c r="E2943" s="168" t="str">
        <x:f>IFERROR(INDEX('Classif Gestoras'!$H$6:$H$462,MATCH(D2943,'Classif Gestoras'!$A$6:$A$462,0)),"Não classificada")</x:f>
        <x:v>Independente</x:v>
      </x:c>
      <x:c r="F2943" s="168" t="str">
        <x:v>PLANNER CV</x:v>
      </x:c>
      <x:c r="G2943" s="168" t="str">
        <x:v>PLANNER CORRETORA DE VALORES S.A.</x:v>
      </x:c>
      <x:c r="H2943" s="168" t="str">
        <x:v>Outros</x:v>
      </x:c>
      <x:c r="I2943" s="168" t="str">
        <x:v>Multicarteira Outros</x:v>
      </x:c>
      <x:c r="J2943" s="168" t="str">
        <x:v>CI</x:v>
      </x:c>
      <x:c r="K2943" s="174" t="n">
        <x:v>1</x:v>
      </x:c>
      <x:c r="L2943" s="187" t="str">
        <x:v>Proxy multicedente/multissacado — revisar</x:v>
      </x:c>
    </x:row>
    <x:row r="2944">
      <x:c r="A2944" s="177" t="str">
        <x:v>66.107.567/0001-70</x:v>
      </x:c>
      <x:c r="B2944" s="168" t="str">
        <x:v>ATLAS PARTNERS FUNDO DE INVESTIMENTO EM DIREITOS CREDITÓRIOS CRÉDITO CORPORATIVO</x:v>
      </x:c>
      <x:c r="C2944" s="190" t="n">
        <x:v>1981546.06</x:v>
      </x:c>
      <x:c r="D2944" s="168" t="str">
        <x:v>Harbour Capital</x:v>
      </x:c>
      <x:c r="E2944" s="168" t="str">
        <x:f>IFERROR(INDEX('Classif Gestoras'!$H$6:$H$462,MATCH(D2944,'Classif Gestoras'!$A$6:$A$462,0)),"Não classificada")</x:f>
        <x:v>Independente</x:v>
      </x:c>
      <x:c r="F2944" s="168" t="str">
        <x:v>AZUMI DISTRIBUIDORA DE TÍTULOS E VALORES MOBILIÁRIOS LT</x:v>
      </x:c>
      <x:c r="G2944" s="168" t="str">
        <x:v>AZUMI DISTRIBUIDORA DE TÍTULOS E VALORES MOBILIÁRIOS LTDA.</x:v>
      </x:c>
      <x:c r="H2944" s="168" t="str">
        <x:v>Fomento Mercantil</x:v>
      </x:c>
      <x:c r="I2944" s="168" t="str">
        <x:v>Fomento Mercantil</x:v>
      </x:c>
      <x:c r="J2944" s="168" t="str">
        <x:v>CI</x:v>
      </x:c>
      <x:c r="K2944" s="174" t="n">
        <x:v>1</x:v>
      </x:c>
      <x:c r="L2944" s="187" t="str">
        <x:v>Não classificado</x:v>
      </x:c>
    </x:row>
    <x:row r="2945">
      <x:c r="A2945" s="177" t="str">
        <x:v>54.760.649/0001-30</x:v>
      </x:c>
      <x:c r="B2945" s="168" t="str">
        <x:v>IMPULSE CREDIT I FUNDO DE INVESTIMENTO EM DIREITOS CREDITÓRIOS NÃO PADRONIZADOS</x:v>
      </x:c>
      <x:c r="C2945" s="190" t="n">
        <x:v>1971623.77</x:v>
      </x:c>
      <x:c r="D2945" s="168" t="str">
        <x:v>BLUEWAVE ASSET LTDA</x:v>
      </x:c>
      <x:c r="E2945" s="168" t="str">
        <x:f>IFERROR(INDEX('Classif Gestoras'!$H$6:$H$462,MATCH(D2945,'Classif Gestoras'!$A$6:$A$462,0)),"Não classificada")</x:f>
        <x:v>Independente</x:v>
      </x:c>
      <x:c r="F2945" s="168" t="str">
        <x:v>MONETAR DISTRIBUIDORA DE TITUL</x:v>
      </x:c>
      <x:c r="G2945" s="168" t="str">
        <x:v>TERRA INVESTIMENTOS DISTRIBUIDORA DE TITULOS E VALORES MOBILIARIOS LTDA</x:v>
      </x:c>
      <x:c r="H2945" s="168" t="str">
        <x:v>Outros</x:v>
      </x:c>
      <x:c r="I2945" s="168" t="str">
        <x:v>Multicarteira Outros</x:v>
      </x:c>
      <x:c r="J2945" s="168" t="str">
        <x:v>CI</x:v>
      </x:c>
      <x:c r="K2945" s="174" t="n">
        <x:v>13</x:v>
      </x:c>
      <x:c r="L2945" s="187" t="str">
        <x:v>Proxy multicedente/multissacado — revisar</x:v>
      </x:c>
    </x:row>
    <x:row r="2946">
      <x:c r="A2946" s="177" t="str">
        <x:v>64.078.580/0001-12</x:v>
      </x:c>
      <x:c r="B2946" s="168" t="str">
        <x:v>NTZ ALPHA PARTNERS FUNDO DE INVESTIMENTO EM DIREITOS CREDITÓRIOS - RESPONSABILIDADE LIMITADA</x:v>
      </x:c>
      <x:c r="C2946" s="190" t="n">
        <x:v>1968482.92</x:v>
      </x:c>
      <x:c r="D2946" s="168" t="str">
        <x:v>Netz Asset</x:v>
      </x:c>
      <x:c r="E2946" s="168" t="str">
        <x:f>IFERROR(INDEX('Classif Gestoras'!$H$6:$H$462,MATCH(D2946,'Classif Gestoras'!$A$6:$A$462,0)),"Não classificada")</x:f>
        <x:v>Independente</x:v>
      </x:c>
      <x:c r="F2946" s="168" t="str">
        <x:v>VÓRTX DTVM</x:v>
      </x:c>
      <x:c r="G2946" s="168" t="str">
        <x:v>VORTX DISTRIBUIDORA DE TITULOS E VALORES MOBILIARIOS LTDA.</x:v>
      </x:c>
      <x:c r="H2946" s="168" t="str">
        <x:v>Outros</x:v>
      </x:c>
      <x:c r="I2946" s="168" t="str">
        <x:v>Multicarteira Outros</x:v>
      </x:c>
      <x:c r="J2946" s="168" t="str">
        <x:v>CI</x:v>
      </x:c>
      <x:c r="K2946" s="174" t="n">
        <x:v>23</x:v>
      </x:c>
      <x:c r="L2946" s="187" t="str">
        <x:v>Proxy multicedente/multissacado — revisar</x:v>
      </x:c>
    </x:row>
    <x:row r="2947">
      <x:c r="A2947" s="177" t="str">
        <x:v>42.196.346/0001-57</x:v>
      </x:c>
      <x:c r="B2947" s="168" t="str">
        <x:v>VIA CAPITAL ADAMANTUS FUNDO DE INVESTIMENTO EM DIREITOS CREDITORIOS MULTISSETORIAL</x:v>
      </x:c>
      <x:c r="C2947" s="190" t="n">
        <x:v>1943061.33</x:v>
      </x:c>
      <x:c r="D2947" s="168" t="str">
        <x:v>OURO PRETO INVESTIMENTOS</x:v>
      </x:c>
      <x:c r="E2947" s="168" t="str">
        <x:f>IFERROR(INDEX('Classif Gestoras'!$H$6:$H$462,MATCH(D2947,'Classif Gestoras'!$A$6:$A$462,0)),"Não classificada")</x:f>
        <x:v>Independente</x:v>
      </x:c>
      <x:c r="F2947" s="168" t="str">
        <x:v>ID Corretora de Títulos e Valores Mobiliários S.A.</x:v>
      </x:c>
      <x:c r="G2947" s="168" t="str">
        <x:v>ID CORRETORA DE TITULOS E VALORES MOBILIARIOS S.A.</x:v>
      </x:c>
      <x:c r="H2947" s="168" t="str">
        <x:v>Outros</x:v>
      </x:c>
      <x:c r="I2947" s="168" t="str">
        <x:v>Multicarteira Outros</x:v>
      </x:c>
      <x:c r="J2947" s="168" t="str">
        <x:v>CI</x:v>
      </x:c>
      <x:c r="K2947" s="174" t="n">
        <x:v>9</x:v>
      </x:c>
      <x:c r="L2947" s="187" t="str">
        <x:v>Proxy multicedente/multissacado — revisar</x:v>
      </x:c>
    </x:row>
    <x:row r="2948">
      <x:c r="A2948" s="177" t="str">
        <x:v>27.984.909/0001-88</x:v>
      </x:c>
      <x:c r="B2948" s="168" t="str">
        <x:v>FUNDO DE INVESTIMENTO EM DIREITOS CREDITÓRIOS CONSORCIEI I - RESPONSABILIDADE LIMITADA</x:v>
      </x:c>
      <x:c r="C2948" s="190" t="n">
        <x:v>1942306.81</x:v>
      </x:c>
      <x:c r="D2948" s="168" t="str">
        <x:v>TERA CAPITAL</x:v>
      </x:c>
      <x:c r="E2948" s="168" t="str">
        <x:f>IFERROR(INDEX('Classif Gestoras'!$H$6:$H$462,MATCH(D2948,'Classif Gestoras'!$A$6:$A$462,0)),"Não classificada")</x:f>
        <x:v>Independente</x:v>
      </x:c>
      <x:c r="F2948" s="168" t="str">
        <x:v>BANCO DAYCOVAL S/A</x:v>
      </x:c>
      <x:c r="G2948" s="168" t="str">
        <x:v>BANCO DAYCOVAL S.A.</x:v>
      </x:c>
      <x:c r="H2948" s="168" t="str">
        <x:v>Outros</x:v>
      </x:c>
      <x:c r="I2948" s="168" t="str">
        <x:v>Multicarteira Outros</x:v>
      </x:c>
      <x:c r="J2948" s="168" t="str">
        <x:v>CI</x:v>
      </x:c>
      <x:c r="K2948" s="174" t="n">
        <x:v>28</x:v>
      </x:c>
      <x:c r="L2948" s="187" t="str">
        <x:v>Proxy multicedente/multissacado — revisar</x:v>
      </x:c>
    </x:row>
    <x:row r="2949">
      <x:c r="A2949" s="177" t="str">
        <x:v>55.581.309/0001-04</x:v>
      </x:c>
      <x:c r="B2949" s="168" t="str">
        <x:v>ESÓDIMA FUNDO DE INVESTIMENTO EM DIREITOS CREDITÓRIOS - RESPONSABILIDADE LIMITADA</x:v>
      </x:c>
      <x:c r="C2949" s="190" t="n">
        <x:v>1927210.6999999995</x:v>
      </x:c>
      <x:c r="D2949" s="168" t="str">
        <x:v>ANTHARUS GESTORA DE RECURSOS LTDA</x:v>
      </x:c>
      <x:c r="E2949" s="168" t="str">
        <x:f>IFERROR(INDEX('Classif Gestoras'!$H$6:$H$462,MATCH(D2949,'Classif Gestoras'!$A$6:$A$462,0)),"Não classificada")</x:f>
        <x:v>Independente</x:v>
      </x:c>
      <x:c r="F2949" s="168" t="str">
        <x:v>HEMERA DTVM</x:v>
      </x:c>
      <x:c r="G2949" s="168" t="str">
        <x:v>HEMERA DISTRIBUIDORA DE TITULOS E VALORES MOBILIARIOS LTDA</x:v>
      </x:c>
      <x:c r="H2949" s="168" t="str">
        <x:v>Outros</x:v>
      </x:c>
      <x:c r="I2949" s="168" t="str">
        <x:v>Multicarteira Outros</x:v>
      </x:c>
      <x:c r="J2949" s="168" t="str">
        <x:v>CI</x:v>
      </x:c>
      <x:c r="K2949" s="174" t="n">
        <x:v>9</x:v>
      </x:c>
      <x:c r="L2949" s="187" t="str">
        <x:v>Proxy multicedente/multissacado — revisar</x:v>
      </x:c>
    </x:row>
    <x:row r="2950">
      <x:c r="A2950" s="177" t="str">
        <x:v>47.117.740/0001-76</x:v>
      </x:c>
      <x:c r="B2950" s="168" t="str">
        <x:v>ELLEVE NPL FUNDO DE INVESTIMENTO EM DIREITOS CREDITÓRIOS - RESPONSABILIDADE LIMITADA</x:v>
      </x:c>
      <x:c r="C2950" s="190" t="n">
        <x:v>1920339.86</x:v>
      </x:c>
      <x:c r="D2950" s="168" t="str">
        <x:v>Solis</x:v>
      </x:c>
      <x:c r="E2950" s="168" t="str">
        <x:f>IFERROR(INDEX('Classif Gestoras'!$H$6:$H$462,MATCH(D2950,'Classif Gestoras'!$A$6:$A$462,0)),"Não classificada")</x:f>
        <x:v>Independente</x:v>
      </x:c>
      <x:c r="F2950" s="168" t="str">
        <x:v>HEMERA DTVM</x:v>
      </x:c>
      <x:c r="G2950" s="168" t="str">
        <x:v>HEMERA DISTRIBUIDORA DE TITULOS E VALORES MOBILIARIOS LTDA</x:v>
      </x:c>
      <x:c r="H2950" s="168" t="str">
        <x:v>Outros</x:v>
      </x:c>
      <x:c r="I2950" s="168" t="str">
        <x:v>Recuperação</x:v>
      </x:c>
      <x:c r="J2950" s="168" t="str">
        <x:v>CI</x:v>
      </x:c>
      <x:c r="K2950" s="174" t="n">
        <x:v>7</x:v>
      </x:c>
      <x:c r="L2950" s="187" t="str">
        <x:v>Não classificado</x:v>
      </x:c>
    </x:row>
    <x:row r="2951">
      <x:c r="A2951" s="177" t="str">
        <x:v>65.425.932/0001-21</x:v>
      </x:c>
      <x:c r="B2951" s="168" t="str">
        <x:v>KESH FUNDO DE INVESTIMENTO EM DIREITOS CREDITÓRIOS FINANCEIRO DE RESPONSABILIDADE LIMITADA</x:v>
      </x:c>
      <x:c r="C2951" s="190" t="n">
        <x:v>1870637.23</x:v>
      </x:c>
      <x:c r="D2951" s="168" t="str">
        <x:v>VM Consultoria Empresarial Ltd</x:v>
      </x:c>
      <x:c r="E2951" s="168" t="str">
        <x:f>IFERROR(INDEX('Classif Gestoras'!$H$6:$H$462,MATCH(D2951,'Classif Gestoras'!$A$6:$A$462,0)),"Não classificada")</x:f>
        <x:v>Independente</x:v>
      </x:c>
      <x:c r="F2951" s="168" t="str">
        <x:v>Genial Investimentos Corretora de Valores Mobiliários S.A.</x:v>
      </x:c>
      <x:c r="G2951" s="168" t="str">
        <x:v>BANCO GENIAL S.A.</x:v>
      </x:c>
      <x:c r="H2951" s="168" t="str">
        <x:v>Financeiro</x:v>
      </x:c>
      <x:c r="I2951" s="168" t="str">
        <x:v>Multicarteira Financeiro</x:v>
      </x:c>
      <x:c r="J2951" s="168" t="str">
        <x:v>CI</x:v>
      </x:c>
      <x:c r="K2951" s="174" t="n">
        <x:v>1</x:v>
      </x:c>
      <x:c r="L2951" s="187" t="str">
        <x:v>Proxy multicedente/multissacado — revisar</x:v>
      </x:c>
    </x:row>
    <x:row r="2952">
      <x:c r="A2952" s="177" t="str">
        <x:v>45.359.065/0001-66</x:v>
      </x:c>
      <x:c r="B2952" s="168" t="str">
        <x:v>JCI IV B - FUNDO DE INVESTIMENTO EM DIREITOS CREDITÓRIOS RESPONSABILIDADE LIMITADA</x:v>
      </x:c>
      <x:c r="C2952" s="190" t="n">
        <x:v>1854254.05</x:v>
      </x:c>
      <x:c r="D2952" s="168" t="str">
        <x:v>JIVE INVESTMENTS</x:v>
      </x:c>
      <x:c r="E2952" s="168" t="str">
        <x:f>IFERROR(INDEX('Classif Gestoras'!$H$6:$H$462,MATCH(D2952,'Classif Gestoras'!$A$6:$A$462,0)),"Não classificada")</x:f>
        <x:v>Independente</x:v>
      </x:c>
      <x:c r="F2952" s="168" t="str">
        <x:v>XPI CCTVM S/A</x:v>
      </x:c>
      <x:c r="G2952" s="168" t="str">
        <x:v>OLIVEIRA TRUST DTVM S.A.</x:v>
      </x:c>
      <x:c r="H2952" s="168" t="str">
        <x:v>Outros</x:v>
      </x:c>
      <x:c r="I2952" s="168" t="str">
        <x:v>Multicarteira Outros</x:v>
      </x:c>
      <x:c r="J2952" s="168" t="str">
        <x:v>CI</x:v>
      </x:c>
      <x:c r="K2952" s="174" t="n">
        <x:v>1</x:v>
      </x:c>
      <x:c r="L2952" s="187" t="str">
        <x:v>Proxy multicedente/multissacado — revisar</x:v>
      </x:c>
    </x:row>
    <x:row r="2953">
      <x:c r="A2953" s="177" t="str">
        <x:v>60.079.965/0001-43</x:v>
      </x:c>
      <x:c r="B2953" s="168" t="str">
        <x:v>AXXIS FUNDO DE INVESTIMENTO EM DIREITOS CREDITÓRIOS</x:v>
      </x:c>
      <x:c r="C2953" s="190" t="n">
        <x:v>1851714.55</x:v>
      </x:c>
      <x:c r="D2953" s="168" t="str">
        <x:v>ASSET MANAGEMENT</x:v>
      </x:c>
      <x:c r="E2953" s="168" t="str">
        <x:f>IFERROR(INDEX('Classif Gestoras'!$H$6:$H$462,MATCH(D2953,'Classif Gestoras'!$A$6:$A$462,0)),"Não classificada")</x:f>
        <x:v>Independente</x:v>
      </x:c>
      <x:c r="F2953" s="168" t="str">
        <x:v>AZUMI DISTRIBUIDORA DE TÍTULOS E VALORES MOBILIÁRIOS LT</x:v>
      </x:c>
      <x:c r="G2953" s="168" t="str">
        <x:v>AZUMI DISTRIBUIDORA DE TÍTULOS E VALORES MOBILIÁRIOS LTDA.</x:v>
      </x:c>
      <x:c r="H2953" s="168" t="str">
        <x:v>Fomento Mercantil</x:v>
      </x:c>
      <x:c r="I2953" s="168" t="str">
        <x:v>Fomento Mercantil</x:v>
      </x:c>
      <x:c r="J2953" s="168" t="str">
        <x:v>CI</x:v>
      </x:c>
      <x:c r="K2953" s="174" t="n">
        <x:v>2</x:v>
      </x:c>
      <x:c r="L2953" s="187" t="str">
        <x:v>Não classificado</x:v>
      </x:c>
    </x:row>
    <x:row r="2954">
      <x:c r="A2954" s="177" t="str">
        <x:v>26.286.853/0001-25</x:v>
      </x:c>
      <x:c r="B2954" s="168" t="str">
        <x:v>MILAS FUNDO DE INVESTIMENTO EM DIREITOS CREDITÓRIOS NÃO PADRONIZADOS RESPONSABILIDADE LIMITADA</x:v>
      </x:c>
      <x:c r="C2954" s="190" t="n">
        <x:v>1846476.54</x:v>
      </x:c>
      <x:c r="D2954" s="168" t="str">
        <x:v>Quadra Gestão de Recursos S.A.</x:v>
      </x:c>
      <x:c r="E2954" s="168" t="str">
        <x:f>IFERROR(INDEX('Classif Gestoras'!$H$6:$H$462,MATCH(D2954,'Classif Gestoras'!$A$6:$A$462,0)),"Não classificada")</x:f>
        <x:v>Independente</x:v>
      </x:c>
      <x:c r="F2954" s="168" t="str">
        <x:v>Oliveira Trust DTVM</x:v>
      </x:c>
      <x:c r="G2954" s="168" t="str">
        <x:v>OLIVEIRA TRUST DTVM S.A.</x:v>
      </x:c>
      <x:c r="H2954" s="168" t="str">
        <x:v>Outros</x:v>
      </x:c>
      <x:c r="I2954" s="168" t="str">
        <x:v>Multicarteira Outros</x:v>
      </x:c>
      <x:c r="J2954" s="168" t="str">
        <x:v>CI</x:v>
      </x:c>
      <x:c r="K2954" s="174" t="n">
        <x:v>42</x:v>
      </x:c>
      <x:c r="L2954" s="187" t="str">
        <x:v>Proxy multicedente/multissacado — revisar</x:v>
      </x:c>
    </x:row>
    <x:row r="2955">
      <x:c r="A2955" s="177" t="str">
        <x:v>22.061.694/0001-00</x:v>
      </x:c>
      <x:c r="B2955" s="168" t="str">
        <x:v>FUNDO DE INVESTIMENTO EM DIREITOS CREDITÓRIOS BREOF REAL ESTATE CREDIT RESPONSABILIDADE LIMITADA</x:v>
      </x:c>
      <x:c r="C2955" s="190" t="n">
        <x:v>1841163.96</x:v>
      </x:c>
      <x:c r="D2955" s="168" t="str">
        <x:v>Pátria VBI Real Estate Gestão de Carteiras S.A.</x:v>
      </x:c>
      <x:c r="E2955" s="168" t="str">
        <x:f>IFERROR(INDEX('Classif Gestoras'!$H$6:$H$462,MATCH(D2955,'Classif Gestoras'!$A$6:$A$462,0)),"Não classificada")</x:f>
        <x:v>Independente</x:v>
      </x:c>
      <x:c r="F2955" s="168" t="str">
        <x:v>BRL TRUST DTVM</x:v>
      </x:c>
      <x:c r="G2955" s="168" t="str">
        <x:v>BRL TRUST DISTRIBUIDORA DE TITULOS E VALORES MOBILIARIOS S.A.</x:v>
      </x:c>
      <x:c r="H2955" s="168" t="str">
        <x:v>Outros</x:v>
      </x:c>
      <x:c r="I2955" s="168" t="str">
        <x:v>Multicarteira Outros</x:v>
      </x:c>
      <x:c r="J2955" s="168" t="str">
        <x:v>CI</x:v>
      </x:c>
      <x:c r="K2955" s="174" t="n">
        <x:v>6</x:v>
      </x:c>
      <x:c r="L2955" s="187" t="str">
        <x:v>Proxy multicedente/multissacado — revisar</x:v>
      </x:c>
    </x:row>
    <x:row r="2956">
      <x:c r="A2956" s="177" t="str">
        <x:v>53.273.245/0001-59</x:v>
      </x:c>
      <x:c r="B2956" s="168" t="str">
        <x:v>RECARGAPAY MILENIO VD II FUNDO DE INVESTIMENTO EM DIREITOS CREDITÓRIOS FINANCEIROS</x:v>
      </x:c>
      <x:c r="C2956" s="190" t="n">
        <x:v>1820280.29</x:v>
      </x:c>
      <x:c r="D2956" s="168" t="str">
        <x:v>Milênio Capital</x:v>
      </x:c>
      <x:c r="E2956" s="168" t="str">
        <x:f>IFERROR(INDEX('Classif Gestoras'!$H$6:$H$462,MATCH(D2956,'Classif Gestoras'!$A$6:$A$462,0)),"Não classificada")</x:f>
        <x:v>Independente</x:v>
      </x:c>
      <x:c r="F2956" s="168" t="str">
        <x:v>Singulare</x:v>
      </x:c>
      <x:c r="G2956" s="168" t="str">
        <x:v>QI CORRETORA DE TÍTULOS E VALORES MOBILIÁRIOS S.A.</x:v>
      </x:c>
      <x:c r="H2956" s="168" t="str">
        <x:v>Financeiro</x:v>
      </x:c>
      <x:c r="I2956" s="168" t="str">
        <x:v>Multicarteira Financeiro</x:v>
      </x:c>
      <x:c r="J2956" s="168" t="str">
        <x:v>CI</x:v>
      </x:c>
      <x:c r="K2956" s="174" t="n">
        <x:v>10</x:v>
      </x:c>
      <x:c r="L2956" s="187" t="str">
        <x:v>Proxy multicedente/multissacado — revisar</x:v>
      </x:c>
    </x:row>
    <x:row r="2957">
      <x:c r="A2957" s="177" t="str">
        <x:v>62.359.769/0001-58</x:v>
      </x:c>
      <x:c r="B2957" s="168" t="str">
        <x:v>ELITE CRED FUNDO DE INVESTIMENTO EM DIREITOS CREDITÓRIOS</x:v>
      </x:c>
      <x:c r="C2957" s="190" t="n">
        <x:v>1818570</x:v>
      </x:c>
      <x:c r="D2957" s="168" t="str">
        <x:v>OURO PRETO INVESTIMENTOS</x:v>
      </x:c>
      <x:c r="E2957" s="168" t="str">
        <x:f>IFERROR(INDEX('Classif Gestoras'!$H$6:$H$462,MATCH(D2957,'Classif Gestoras'!$A$6:$A$462,0)),"Não classificada")</x:f>
        <x:v>Independente</x:v>
      </x:c>
      <x:c r="F2957" s="168" t="str">
        <x:v>MONETAR DISTRIBUIDORA DE TITUL</x:v>
      </x:c>
      <x:c r="G2957" s="168" t="str">
        <x:v>TERRA INVESTIMENTOS DISTRIBUIDORA DE TITULOS E VALORES MOBILIARIOS LTDA</x:v>
      </x:c>
      <x:c r="H2957" s="168" t="str">
        <x:v>Fomento Mercantil</x:v>
      </x:c>
      <x:c r="I2957" s="168" t="str">
        <x:v>Fomento Mercantil</x:v>
      </x:c>
      <x:c r="J2957" s="168" t="str">
        <x:v>CI</x:v>
      </x:c>
      <x:c r="K2957" s="174" t="n">
        <x:v>4</x:v>
      </x:c>
      <x:c r="L2957" s="187" t="str">
        <x:v>Não classificado</x:v>
      </x:c>
    </x:row>
    <x:row r="2958">
      <x:c r="A2958" s="177" t="str">
        <x:v>63.693.909/0001-92</x:v>
      </x:c>
      <x:c r="B2958" s="168" t="str">
        <x:v>ACÁCIA FUNDO DE INVESTIMENTO EM DIREITOS CREDITÓRIOS RESPONSABILIDADE LIMITADA</x:v>
      </x:c>
      <x:c r="C2958" s="190" t="n">
        <x:v>1809907.36</x:v>
      </x:c>
      <x:c r="D2958" s="168" t="str">
        <x:v>Kanastra</x:v>
      </x:c>
      <x:c r="E2958" s="168" t="str">
        <x:f>IFERROR(INDEX('Classif Gestoras'!$H$6:$H$462,MATCH(D2958,'Classif Gestoras'!$A$6:$A$462,0)),"Não classificada")</x:f>
        <x:v>Independente</x:v>
      </x:c>
      <x:c r="F2958" s="168" t="str">
        <x:v>INTRAG DIST. DE TÍTU</x:v>
      </x:c>
      <x:c r="G2958" s="168" t="str">
        <x:v>LIMINE TRUST DISTRIBUIDORA DE TITULOS E VALORES MOBILIARIOS LTDA.</x:v>
      </x:c>
      <x:c r="H2958" s="168" t="str">
        <x:v>Fomento Mercantil</x:v>
      </x:c>
      <x:c r="I2958" s="168" t="str">
        <x:v>Fomento Mercantil</x:v>
      </x:c>
      <x:c r="J2958" s="168" t="str">
        <x:v>CI</x:v>
      </x:c>
      <x:c r="K2958" s="174" t="n">
        <x:v>1</x:v>
      </x:c>
      <x:c r="L2958" s="187" t="str">
        <x:v>Não classificado</x:v>
      </x:c>
    </x:row>
    <x:row r="2959">
      <x:c r="A2959" s="177" t="str">
        <x:v>62.342.629/0001-77</x:v>
      </x:c>
      <x:c r="B2959" s="168" t="str">
        <x:v>HEALTH I FUNDO DE INVESTIMENTO EM DIREITOS CREDITÓRIOS - RESPONSABILIDADE LIMITADA</x:v>
      </x:c>
      <x:c r="C2959" s="190" t="n">
        <x:v>1798039.78</x:v>
      </x:c>
      <x:c r="D2959" s="168" t="str">
        <x:v>BLUEWAVE ASSET LTDA</x:v>
      </x:c>
      <x:c r="E2959" s="168" t="str">
        <x:f>IFERROR(INDEX('Classif Gestoras'!$H$6:$H$462,MATCH(D2959,'Classif Gestoras'!$A$6:$A$462,0)),"Não classificada")</x:f>
        <x:v>Independente</x:v>
      </x:c>
      <x:c r="F2959" s="168" t="str">
        <x:v>MONETAR DISTRIBUIDORA DE TITUL</x:v>
      </x:c>
      <x:c r="G2959" s="168" t="str">
        <x:v>TERRA INVESTIMENTOS DISTRIBUIDORA DE TITULOS E VALORES MOBILIARIOS LTDA</x:v>
      </x:c>
      <x:c r="H2959" s="168" t="str">
        <x:v>Fomento Mercantil</x:v>
      </x:c>
      <x:c r="I2959" s="168" t="str">
        <x:v>Fomento Mercantil</x:v>
      </x:c>
      <x:c r="J2959" s="168" t="str">
        <x:v>CI</x:v>
      </x:c>
      <x:c r="K2959" s="174" t="n">
        <x:v>7</x:v>
      </x:c>
      <x:c r="L2959" s="187" t="str">
        <x:v>Não classificado</x:v>
      </x:c>
    </x:row>
    <x:row r="2960">
      <x:c r="A2960" s="177" t="str">
        <x:v>29.226.688/0001-04</x:v>
      </x:c>
      <x:c r="B2960" s="168" t="str">
        <x:v>CNPJ 29226688000104</x:v>
      </x:c>
      <x:c r="C2960" s="190" t="n">
        <x:v>1754836.95</x:v>
      </x:c>
      <x:c r="D2960" s="168" t="str">
        <x:v>Quatá Investimentos</x:v>
      </x:c>
      <x:c r="E2960" s="168" t="str">
        <x:f>IFERROR(INDEX('Classif Gestoras'!$H$6:$H$462,MATCH(D2960,'Classif Gestoras'!$A$6:$A$462,0)),"Não classificada")</x:f>
        <x:v>Independente</x:v>
      </x:c>
      <x:c r="F2960" s="168" t="str">
        <x:v>BRL TRUST DTVM</x:v>
      </x:c>
      <x:c r="G2960" s="168" t="str">
        <x:v>Não identificado</x:v>
      </x:c>
      <x:c r="H2960" s="168" t="str">
        <x:v>Agro, Indústria e Comércio</x:v>
      </x:c>
      <x:c r="I2960" s="168" t="str">
        <x:v>Recebíveis Comerciais</x:v>
      </x:c>
      <x:c r="J2960" s="168" t="str">
        <x:v>CI</x:v>
      </x:c>
      <x:c r="K2960" s="174"/>
      <x:c r="L2960" s="187" t="str">
        <x:v>Não classificado</x:v>
      </x:c>
    </x:row>
    <x:row r="2961">
      <x:c r="A2961" s="177" t="str">
        <x:v>46.420.562/0001-95</x:v>
      </x:c>
      <x:c r="B2961" s="168" t="str">
        <x:v>PRIMO CAPITAL I FUNDO DE INVESTIMENTO EM DIREITOS CREDITÓRIOS DE RESPONSABILIDADE LIMITADA</x:v>
      </x:c>
      <x:c r="C2961" s="190" t="n">
        <x:v>1697240.4</x:v>
      </x:c>
      <x:c r="D2961" s="168" t="str">
        <x:v>Multinvest Capital</x:v>
      </x:c>
      <x:c r="E2961" s="168" t="str">
        <x:f>IFERROR(INDEX('Classif Gestoras'!$H$6:$H$462,MATCH(D2961,'Classif Gestoras'!$A$6:$A$462,0)),"Não classificada")</x:f>
        <x:v>Independente</x:v>
      </x:c>
      <x:c r="F2961" s="168" t="str">
        <x:v>BANCO DAYCOVAL S/A</x:v>
      </x:c>
      <x:c r="G2961" s="168" t="str">
        <x:v>BANCO DAYCOVAL S.A.</x:v>
      </x:c>
      <x:c r="H2961" s="168" t="str">
        <x:v>Outros</x:v>
      </x:c>
      <x:c r="I2961" s="168" t="str">
        <x:v>Poder Público</x:v>
      </x:c>
      <x:c r="J2961" s="168" t="str">
        <x:v>CI</x:v>
      </x:c>
      <x:c r="K2961" s="174" t="n">
        <x:v>10</x:v>
      </x:c>
      <x:c r="L2961" s="187" t="str">
        <x:v>Não classificado</x:v>
      </x:c>
    </x:row>
    <x:row r="2962">
      <x:c r="A2962" s="177" t="str">
        <x:v>54.965.252/0001-84</x:v>
      </x:c>
      <x:c r="B2962" s="168" t="str">
        <x:v>KRENAK FUNDO DE INVESTIMENTOS EM DIREITOS CREDITORIOS</x:v>
      </x:c>
      <x:c r="C2962" s="190" t="n">
        <x:v>1688514.5499999998</x:v>
      </x:c>
      <x:c r="D2962" s="168" t="str">
        <x:v>Global Gestão e Investimentos</x:v>
      </x:c>
      <x:c r="E2962" s="168" t="str">
        <x:f>IFERROR(INDEX('Classif Gestoras'!$H$6:$H$462,MATCH(D2962,'Classif Gestoras'!$A$6:$A$462,0)),"Não classificada")</x:f>
        <x:v>Independente</x:v>
      </x:c>
      <x:c r="F2962" s="168" t="str">
        <x:v>ACTUAL DTVM</x:v>
      </x:c>
      <x:c r="G2962" s="168" t="str">
        <x:v>TRUSTEE DISTRIBUIDORA DE TITULOS E VALORES MOBILIARIOS LTDA.</x:v>
      </x:c>
      <x:c r="H2962" s="168" t="str">
        <x:v>Fomento Mercantil</x:v>
      </x:c>
      <x:c r="I2962" s="168" t="str">
        <x:v>Fomento Mercantil</x:v>
      </x:c>
      <x:c r="J2962" s="168" t="str">
        <x:v>CI</x:v>
      </x:c>
      <x:c r="K2962" s="174" t="n">
        <x:v>1</x:v>
      </x:c>
      <x:c r="L2962" s="187" t="str">
        <x:v>Não classificado</x:v>
      </x:c>
    </x:row>
    <x:row r="2963">
      <x:c r="A2963" s="177" t="str">
        <x:v>36.335.619/0001-02</x:v>
      </x:c>
      <x:c r="B2963" s="168" t="str">
        <x:v>FUNDO DE INVESTIMENTO EM DIREITOS CREDITÓRIOS PROVI INCOME SHARE AGREEMENT RESPONSABILIDADE LIMITADA</x:v>
      </x:c>
      <x:c r="C2963" s="190" t="n">
        <x:v>1685879.3</x:v>
      </x:c>
      <x:c r="D2963" s="168" t="str">
        <x:v>VERT Gestora de Recursos Financeiros Ltda.</x:v>
      </x:c>
      <x:c r="E2963" s="168" t="str">
        <x:f>IFERROR(INDEX('Classif Gestoras'!$H$6:$H$462,MATCH(D2963,'Classif Gestoras'!$A$6:$A$462,0)),"Não classificada")</x:f>
        <x:v>Independente</x:v>
      </x:c>
      <x:c r="F2963" s="168" t="str">
        <x:v>VERT Distribuidora de Títulos e Valores Mobiliários Ltd</x:v>
      </x:c>
      <x:c r="G2963" s="168" t="str">
        <x:v>VERT DISTRIBUIDORA DE TÍTULOS E VALORES MOBILIÁRIOS LTDA.</x:v>
      </x:c>
      <x:c r="H2963" s="168" t="str">
        <x:v>Financeiro</x:v>
      </x:c>
      <x:c r="I2963" s="168" t="str">
        <x:v>Crédito Pessoal</x:v>
      </x:c>
      <x:c r="J2963" s="168" t="str">
        <x:v>CI</x:v>
      </x:c>
      <x:c r="K2963" s="174" t="n">
        <x:v>1</x:v>
      </x:c>
      <x:c r="L2963" s="187" t="str">
        <x:v>Não classificado</x:v>
      </x:c>
    </x:row>
    <x:row r="2964">
      <x:c r="A2964" s="177" t="str">
        <x:v>14.109.346/0001-37</x:v>
      </x:c>
      <x:c r="B2964" s="168" t="str">
        <x:v>FUNDO DE INVESTIMENTOS EM DIREITOS CREDITÓRIOS MULTISEGMENTOS NPL IPANEMA II</x:v>
      </x:c>
      <x:c r="C2964" s="190" t="n">
        <x:v>1654334.53</x:v>
      </x:c>
      <x:c r="D2964" s="168" t="str">
        <x:v>BRL TRUST DTVM</x:v>
      </x:c>
      <x:c r="E2964" s="168" t="str">
        <x:f>IFERROR(INDEX('Classif Gestoras'!$H$6:$H$462,MATCH(D2964,'Classif Gestoras'!$A$6:$A$462,0)),"Não classificada")</x:f>
        <x:v>Independente</x:v>
      </x:c>
      <x:c r="F2964" s="168" t="str">
        <x:v>BRL TRUST DTVM</x:v>
      </x:c>
      <x:c r="G2964" s="168" t="str">
        <x:v>BRL TRUST DISTRIBUIDORA DE TITULOS E VALORES MOBILIARIOS S.A.</x:v>
      </x:c>
      <x:c r="H2964" s="168" t="str">
        <x:v>Outros</x:v>
      </x:c>
      <x:c r="I2964" s="168" t="str">
        <x:v>Multicarteira Outros</x:v>
      </x:c>
      <x:c r="J2964" s="168" t="str">
        <x:v>CI</x:v>
      </x:c>
      <x:c r="K2964" s="174" t="n">
        <x:v>1</x:v>
      </x:c>
      <x:c r="L2964" s="187" t="str">
        <x:v>Proxy multicedente/multissacado — revisar</x:v>
      </x:c>
    </x:row>
    <x:row r="2965">
      <x:c r="A2965" s="177" t="str">
        <x:v>42.926.752/0001-28</x:v>
      </x:c>
      <x:c r="B2965" s="168" t="str">
        <x:v>QR CREDITO CRIPTO I - FUNDO DE INVESTIMENTOS EM DIREITOS CREDITORIOS</x:v>
      </x:c>
      <x:c r="C2965" s="190" t="n">
        <x:v>1626200.8299999998</x:v>
      </x:c>
      <x:c r="D2965" s="168" t="str">
        <x:v>QR Asset</x:v>
      </x:c>
      <x:c r="E2965" s="168" t="str">
        <x:f>IFERROR(INDEX('Classif Gestoras'!$H$6:$H$462,MATCH(D2965,'Classif Gestoras'!$A$6:$A$462,0)),"Não classificada")</x:f>
        <x:v>Independente</x:v>
      </x:c>
      <x:c r="F2965" s="168" t="str">
        <x:v>VÓRTX DTVM</x:v>
      </x:c>
      <x:c r="G2965" s="168" t="str">
        <x:v>VORTX DISTRIBUIDORA DE TITULOS E VALORES MOBILIARIOS LTDA.</x:v>
      </x:c>
      <x:c r="H2965" s="168" t="str">
        <x:v>Fomento Mercantil</x:v>
      </x:c>
      <x:c r="I2965" s="168" t="str">
        <x:v>Fomento Mercantil</x:v>
      </x:c>
      <x:c r="J2965" s="168" t="str">
        <x:v>CI</x:v>
      </x:c>
      <x:c r="K2965" s="174" t="n">
        <x:v>1</x:v>
      </x:c>
      <x:c r="L2965" s="187" t="str">
        <x:v>Não classificado</x:v>
      </x:c>
    </x:row>
    <x:row r="2966">
      <x:c r="A2966" s="177" t="str">
        <x:v>28.254.169/0001-97</x:v>
      </x:c>
      <x:c r="B2966" s="168" t="str">
        <x:v>VEGA FUNDO DE INVESTIMENTO EM DIREITOS CREDITÓRIOS MULTISSETORIAL RESPONSABILIDADE LIMITADA</x:v>
      </x:c>
      <x:c r="C2966" s="190" t="n">
        <x:v>1605850.93</x:v>
      </x:c>
      <x:c r="D2966" s="168" t="str">
        <x:v>Tyr Gestao de Recursos Ltda</x:v>
      </x:c>
      <x:c r="E2966" s="168" t="str">
        <x:f>IFERROR(INDEX('Classif Gestoras'!$H$6:$H$462,MATCH(D2966,'Classif Gestoras'!$A$6:$A$462,0)),"Não classificada")</x:f>
        <x:v>Independente</x:v>
      </x:c>
      <x:c r="F2966" s="168" t="str">
        <x:v>ID Corretora de Títulos e Valores Mobiliários S.A.</x:v>
      </x:c>
      <x:c r="G2966" s="168" t="str">
        <x:v>ID CORRETORA DE TITULOS E VALORES MOBILIARIOS S.A.</x:v>
      </x:c>
      <x:c r="H2966" s="168" t="str">
        <x:v>Fomento Mercantil</x:v>
      </x:c>
      <x:c r="I2966" s="168" t="str">
        <x:v>Fomento Mercantil</x:v>
      </x:c>
      <x:c r="J2966" s="168" t="str">
        <x:v>CI</x:v>
      </x:c>
      <x:c r="K2966" s="174" t="n">
        <x:v>2</x:v>
      </x:c>
      <x:c r="L2966" s="187" t="str">
        <x:v>Não classificado</x:v>
      </x:c>
    </x:row>
    <x:row r="2967">
      <x:c r="A2967" s="177" t="str">
        <x:v>57.127.130/0001-07</x:v>
      </x:c>
      <x:c r="B2967" s="168" t="str">
        <x:v>HBCJ FUNDO DE INVESTIMENTO EM DIREITOS CREDITÓRIOS - RESPONSABILIDADE LIMITADA</x:v>
      </x:c>
      <x:c r="C2967" s="190" t="n">
        <x:v>1600287.38</x:v>
      </x:c>
      <x:c r="D2967" s="168" t="str">
        <x:v>ASAROCK ASSET MANAGEMENT</x:v>
      </x:c>
      <x:c r="E2967" s="168" t="str">
        <x:f>IFERROR(INDEX('Classif Gestoras'!$H$6:$H$462,MATCH(D2967,'Classif Gestoras'!$A$6:$A$462,0)),"Não classificada")</x:f>
        <x:v>Independente</x:v>
      </x:c>
      <x:c r="F2967" s="168" t="str">
        <x:v>Singulare</x:v>
      </x:c>
      <x:c r="G2967" s="168" t="str">
        <x:v>QI CORRETORA DE TÍTULOS E VALORES MOBILIÁRIOS S.A.</x:v>
      </x:c>
      <x:c r="H2967" s="168" t="str">
        <x:v>Outros</x:v>
      </x:c>
      <x:c r="I2967" s="168" t="str">
        <x:v>Multicarteira Outros</x:v>
      </x:c>
      <x:c r="J2967" s="168" t="str">
        <x:v>CI</x:v>
      </x:c>
      <x:c r="K2967" s="174" t="n">
        <x:v>2</x:v>
      </x:c>
      <x:c r="L2967" s="187" t="str">
        <x:v>Proxy multicedente/multissacado — revisar</x:v>
      </x:c>
    </x:row>
    <x:row r="2968">
      <x:c r="A2968" s="177" t="str">
        <x:v>61.140.138/0001-80</x:v>
      </x:c>
      <x:c r="B2968" s="168" t="str">
        <x:v>FUNDO DE INVESTIMENTOS EM DIREITOS CREDITÓRIOS INTEGRA</x:v>
      </x:c>
      <x:c r="C2968" s="190" t="n">
        <x:v>1567963.41</x:v>
      </x:c>
      <x:c r="D2968" s="168" t="str">
        <x:v>Iggy Investimentos</x:v>
      </x:c>
      <x:c r="E2968" s="168" t="str">
        <x:f>IFERROR(INDEX('Classif Gestoras'!$H$6:$H$462,MATCH(D2968,'Classif Gestoras'!$A$6:$A$462,0)),"Não classificada")</x:f>
        <x:v>Independente</x:v>
      </x:c>
      <x:c r="F2968" s="168" t="str">
        <x:v>Banvox DTVM</x:v>
      </x:c>
      <x:c r="G2968" s="168" t="str">
        <x:v>BANVOX DISTRIBUIDORA DE TITULOS E VALORES MOBILIARIOS LTDA</x:v>
      </x:c>
      <x:c r="H2968" s="168" t="str">
        <x:v>Outros</x:v>
      </x:c>
      <x:c r="I2968" s="168" t="str">
        <x:v>Multicarteira Outros</x:v>
      </x:c>
      <x:c r="J2968" s="168" t="str">
        <x:v>CI</x:v>
      </x:c>
      <x:c r="K2968" s="174" t="n">
        <x:v>3</x:v>
      </x:c>
      <x:c r="L2968" s="187" t="str">
        <x:v>Proxy multicedente/multissacado — revisar</x:v>
      </x:c>
    </x:row>
    <x:row r="2969">
      <x:c r="A2969" s="177" t="str">
        <x:v>42.860.984/0001-20</x:v>
      </x:c>
      <x:c r="B2969" s="168" t="str">
        <x:v>CONDOBLUE I FUNDO DE INVESTIMENTO EM DIREITOS CREDITÓRIOS RESPONSABILIDADE LIMITADA</x:v>
      </x:c>
      <x:c r="C2969" s="190" t="n">
        <x:v>1565479.7799999998</x:v>
      </x:c>
      <x:c r="D2969" s="168" t="str">
        <x:v>PATAGÔNIA CAPITAL</x:v>
      </x:c>
      <x:c r="E2969" s="168" t="str">
        <x:f>IFERROR(INDEX('Classif Gestoras'!$H$6:$H$462,MATCH(D2969,'Classif Gestoras'!$A$6:$A$462,0)),"Não classificada")</x:f>
        <x:v>Independente</x:v>
      </x:c>
      <x:c r="F2969" s="168" t="str">
        <x:v>ID Corretora de Títulos e Valores Mobiliários S.A.</x:v>
      </x:c>
      <x:c r="G2969" s="168" t="str">
        <x:v>ID CORRETORA DE TITULOS E VALORES MOBILIARIOS S.A.</x:v>
      </x:c>
      <x:c r="H2969" s="168" t="str">
        <x:v>Outros</x:v>
      </x:c>
      <x:c r="I2969" s="168" t="str">
        <x:v>Multicarteira Outros</x:v>
      </x:c>
      <x:c r="J2969" s="168" t="str">
        <x:v>CI</x:v>
      </x:c>
      <x:c r="K2969" s="174" t="n">
        <x:v>21</x:v>
      </x:c>
      <x:c r="L2969" s="187" t="str">
        <x:v>Proxy multicedente/multissacado — revisar</x:v>
      </x:c>
    </x:row>
    <x:row r="2970">
      <x:c r="A2970" s="177" t="str">
        <x:v>20.867.468/0001-95</x:v>
      </x:c>
      <x:c r="B2970" s="168" t="str">
        <x:v>INTERSECTOR CRÉDITO ESTUDANTIL FUNDO DE INVESTIMENTO EM DIREITOS CREDITÓRIOS</x:v>
      </x:c>
      <x:c r="C2970" s="190" t="n">
        <x:v>1551157.0299999998</x:v>
      </x:c>
      <x:c r="D2970" s="168" t="str">
        <x:v>GRAPHEN INVESTIMENTOS</x:v>
      </x:c>
      <x:c r="E2970" s="168" t="str">
        <x:f>IFERROR(INDEX('Classif Gestoras'!$H$6:$H$462,MATCH(D2970,'Classif Gestoras'!$A$6:$A$462,0)),"Não classificada")</x:f>
        <x:v>Independente</x:v>
      </x:c>
      <x:c r="F2970" s="168" t="str">
        <x:v>Singulare</x:v>
      </x:c>
      <x:c r="G2970" s="168" t="str">
        <x:v>QI CORRETORA DE TÍTULOS E VALORES MOBILIÁRIOS S.A.</x:v>
      </x:c>
      <x:c r="H2970" s="168" t="str">
        <x:v>Outros</x:v>
      </x:c>
      <x:c r="I2970" s="168" t="str">
        <x:v>Multicarteira Outros</x:v>
      </x:c>
      <x:c r="J2970" s="168" t="str">
        <x:v>CI</x:v>
      </x:c>
      <x:c r="K2970" s="174" t="n">
        <x:v>18</x:v>
      </x:c>
      <x:c r="L2970" s="187" t="str">
        <x:v>Proxy multicedente/multissacado — revisar</x:v>
      </x:c>
    </x:row>
    <x:row r="2971">
      <x:c r="A2971" s="177" t="str">
        <x:v>35.865.981/0001-14</x:v>
      </x:c>
      <x:c r="B2971" s="168" t="str">
        <x:v>THUNDER FUNDO DE INVESTIMENTO EM DIREITOS CREDITÓRIOS</x:v>
      </x:c>
      <x:c r="C2971" s="190" t="n">
        <x:v>1539394.37</x:v>
      </x:c>
      <x:c r="D2971" s="168" t="str">
        <x:v>MAM ASSET MANAGEMENT</x:v>
      </x:c>
      <x:c r="E2971" s="168" t="str">
        <x:f>IFERROR(INDEX('Classif Gestoras'!$H$6:$H$462,MATCH(D2971,'Classif Gestoras'!$A$6:$A$462,0)),"Não classificada")</x:f>
        <x:v>Independente</x:v>
      </x:c>
      <x:c r="F2971" s="168" t="str">
        <x:v>TRUSTEE DTVM</x:v>
      </x:c>
      <x:c r="G2971" s="168" t="str">
        <x:v>TRUSTEE DISTRIBUIDORA DE TITULOS E VALORES MOBILIARIOS LTDA.</x:v>
      </x:c>
      <x:c r="H2971" s="168" t="str">
        <x:v>Outros</x:v>
      </x:c>
      <x:c r="I2971" s="168" t="str">
        <x:v>Multicarteira Outros</x:v>
      </x:c>
      <x:c r="J2971" s="168" t="str">
        <x:v>CI</x:v>
      </x:c>
      <x:c r="K2971" s="174" t="n">
        <x:v>1</x:v>
      </x:c>
      <x:c r="L2971" s="187" t="str">
        <x:v>Proxy multicedente/multissacado — revisar</x:v>
      </x:c>
    </x:row>
    <x:row r="2972">
      <x:c r="A2972" s="177" t="str">
        <x:v>35.715.919/0001-46</x:v>
      </x:c>
      <x:c r="B2972" s="168" t="str">
        <x:v>ORYX FUNDO DE INVESTIMENTO EM DIREITOS CREDITORIOS</x:v>
      </x:c>
      <x:c r="C2972" s="190" t="n">
        <x:v>1512725.67</x:v>
      </x:c>
      <x:c r="D2972" s="168" t="str">
        <x:v>Multiplica Capital</x:v>
      </x:c>
      <x:c r="E2972" s="168" t="str">
        <x:f>IFERROR(INDEX('Classif Gestoras'!$H$6:$H$462,MATCH(D2972,'Classif Gestoras'!$A$6:$A$462,0)),"Não classificada")</x:f>
        <x:v>Independente</x:v>
      </x:c>
      <x:c r="F2972" s="168" t="str">
        <x:v>PLANNER CV</x:v>
      </x:c>
      <x:c r="G2972" s="168" t="str">
        <x:v>PLANNER CORRETORA DE VALORES S.A.</x:v>
      </x:c>
      <x:c r="H2972" s="168" t="str">
        <x:v>Agro, Indústria e Comércio</x:v>
      </x:c>
      <x:c r="I2972" s="168" t="str">
        <x:v>Multicarteira Agro, Indústria e Comércio</x:v>
      </x:c>
      <x:c r="J2972" s="168" t="str">
        <x:v>CI</x:v>
      </x:c>
      <x:c r="K2972" s="174" t="n">
        <x:v>3</x:v>
      </x:c>
      <x:c r="L2972" s="187" t="str">
        <x:v>Proxy multicedente/multissacado — revisar</x:v>
      </x:c>
    </x:row>
    <x:row r="2973">
      <x:c r="A2973" s="177" t="str">
        <x:v>24.814.759/0001-76</x:v>
      </x:c>
      <x:c r="B2973" s="168" t="str">
        <x:v>FUNDO DE INVESTIMENTO EM DIREITOS CREDITÓRIOS MAIS LOTES - RESPONSABILIDADE LIMITADA</x:v>
      </x:c>
      <x:c r="C2973" s="190" t="n">
        <x:v>1504391.4600000002</x:v>
      </x:c>
      <x:c r="D2973" s="168" t="str">
        <x:v>BLUEWAVE ASSET LTDA</x:v>
      </x:c>
      <x:c r="E2973" s="168" t="str">
        <x:f>IFERROR(INDEX('Classif Gestoras'!$H$6:$H$462,MATCH(D2973,'Classif Gestoras'!$A$6:$A$462,0)),"Não classificada")</x:f>
        <x:v>Independente</x:v>
      </x:c>
      <x:c r="F2973" s="168" t="str">
        <x:v>PLANNER CV</x:v>
      </x:c>
      <x:c r="G2973" s="168" t="str">
        <x:v>PLANNER CORRETORA DE VALORES S.A.</x:v>
      </x:c>
      <x:c r="H2973" s="168" t="str">
        <x:v>Financeiro</x:v>
      </x:c>
      <x:c r="I2973" s="168" t="str">
        <x:v>Crédito Imobiliário</x:v>
      </x:c>
      <x:c r="J2973" s="168" t="str">
        <x:v>CI</x:v>
      </x:c>
      <x:c r="K2973" s="174" t="n">
        <x:v>1</x:v>
      </x:c>
      <x:c r="L2973" s="187" t="str">
        <x:v>Não classificado</x:v>
      </x:c>
    </x:row>
    <x:row r="2974">
      <x:c r="A2974" s="177" t="str">
        <x:v>64.076.604/0001-02</x:v>
      </x:c>
      <x:c r="B2974" s="168" t="str">
        <x:v>PLM FUNDO DE INVESTIMENTO EM DIREITOS CREDITÓRIOS</x:v>
      </x:c>
      <x:c r="C2974" s="190" t="n">
        <x:v>1497839.8</x:v>
      </x:c>
      <x:c r="D2974" s="168" t="str">
        <x:v>Prisma Claims Ltda.</x:v>
      </x:c>
      <x:c r="E2974" s="168" t="str">
        <x:f>IFERROR(INDEX('Classif Gestoras'!$H$6:$H$462,MATCH(D2974,'Classif Gestoras'!$A$6:$A$462,0)),"Não classificada")</x:f>
        <x:v>Independente</x:v>
      </x:c>
      <x:c r="F2974" s="168" t="str">
        <x:v>FIDD DISTRIBUIDORA DE TITULOS E VALORES MOBILIARIOS LTD</x:v>
      </x:c>
      <x:c r="G2974" s="168" t="str">
        <x:v>FIDD DISTRIBUIDORA DE TITULOS E VALORES MOBILIARIOS LTDA.</x:v>
      </x:c>
      <x:c r="H2974" s="168" t="str">
        <x:v>Outros</x:v>
      </x:c>
      <x:c r="I2974" s="168" t="str">
        <x:v>Multicarteira Outros</x:v>
      </x:c>
      <x:c r="J2974" s="168" t="str">
        <x:v>CI</x:v>
      </x:c>
      <x:c r="K2974" s="174" t="n">
        <x:v>10</x:v>
      </x:c>
      <x:c r="L2974" s="187" t="str">
        <x:v>Proxy multicedente/multissacado — revisar</x:v>
      </x:c>
    </x:row>
    <x:row r="2975">
      <x:c r="A2975" s="177" t="str">
        <x:v>40.794.358/0001-58</x:v>
      </x:c>
      <x:c r="B2975" s="168" t="str">
        <x:v>AUTO LOANS FUNDO DE INVESTIMENTO EM DIREITOS CREDITÓRIOS RESPONSABILIDADE LIMITADA</x:v>
      </x:c>
      <x:c r="C2975" s="190" t="n">
        <x:v>1495045.52</x:v>
      </x:c>
      <x:c r="D2975" s="168" t="str">
        <x:v>VERT Gestora de Recursos Financeiros Ltda.</x:v>
      </x:c>
      <x:c r="E2975" s="168" t="str">
        <x:f>IFERROR(INDEX('Classif Gestoras'!$H$6:$H$462,MATCH(D2975,'Classif Gestoras'!$A$6:$A$462,0)),"Não classificada")</x:f>
        <x:v>Independente</x:v>
      </x:c>
      <x:c r="F2975" s="168" t="str">
        <x:v>BRL TRUST DTVM</x:v>
      </x:c>
      <x:c r="G2975" s="168" t="str">
        <x:v>BRL TRUST DISTRIBUIDORA DE TITULOS E VALORES MOBILIARIOS S.A.</x:v>
      </x:c>
      <x:c r="H2975" s="168" t="str">
        <x:v>Financeiro</x:v>
      </x:c>
      <x:c r="I2975" s="168" t="str">
        <x:v>Financiamento de Veículos</x:v>
      </x:c>
      <x:c r="J2975" s="168" t="str">
        <x:v>CI</x:v>
      </x:c>
      <x:c r="K2975" s="174" t="n">
        <x:v>9</x:v>
      </x:c>
      <x:c r="L2975" s="187" t="str">
        <x:v>Não classificado</x:v>
      </x:c>
    </x:row>
    <x:row r="2976">
      <x:c r="A2976" s="177" t="str">
        <x:v>53.125.179/0001-70</x:v>
      </x:c>
      <x:c r="B2976" s="168" t="str">
        <x:v>SQUID UNO FUNDO DE INVESTIMENTO EM DIREITOS CREDITÓRIOS RESPONSABILIDADE LIMITADA</x:v>
      </x:c>
      <x:c r="C2976" s="190" t="n">
        <x:v>1493367.75</x:v>
      </x:c>
      <x:c r="D2976" s="168" t="str">
        <x:v>Bless Capital Gestora de Recursos Ltda.</x:v>
      </x:c>
      <x:c r="E2976" s="168" t="str">
        <x:f>IFERROR(INDEX('Classif Gestoras'!$H$6:$H$462,MATCH(D2976,'Classif Gestoras'!$A$6:$A$462,0)),"Não classificada")</x:f>
        <x:v>Independente</x:v>
      </x:c>
      <x:c r="F2976" s="168" t="str">
        <x:v>ID Corretora de Títulos e Valores Mobiliários S.A.</x:v>
      </x:c>
      <x:c r="G2976" s="168" t="str">
        <x:v>ID CORRETORA DE TITULOS E VALORES MOBILIARIOS S.A.</x:v>
      </x:c>
      <x:c r="H2976" s="168" t="str">
        <x:v>Outros</x:v>
      </x:c>
      <x:c r="I2976" s="168" t="str">
        <x:v>Multicarteira Outros</x:v>
      </x:c>
      <x:c r="J2976" s="168" t="str">
        <x:v>CI</x:v>
      </x:c>
      <x:c r="K2976" s="174" t="n">
        <x:v>1</x:v>
      </x:c>
      <x:c r="L2976" s="187" t="str">
        <x:v>Proxy multicedente/multissacado — revisar</x:v>
      </x:c>
    </x:row>
    <x:row r="2977">
      <x:c r="A2977" s="177" t="str">
        <x:v>57.585.602/0001-75</x:v>
      </x:c>
      <x:c r="B2977" s="168" t="str">
        <x:v>AURIN INVEST FUNDO DE INVESTIMENTO EM DIREITOS CREDITÓRIOS NÃO-PADRONIZADOS - RESP. LIMITADA</x:v>
      </x:c>
      <x:c r="C2977" s="190" t="n">
        <x:v>1485321.63</x:v>
      </x:c>
      <x:c r="D2977" s="168" t="str">
        <x:v>ASSET MANAGEMENT</x:v>
      </x:c>
      <x:c r="E2977" s="168" t="str">
        <x:f>IFERROR(INDEX('Classif Gestoras'!$H$6:$H$462,MATCH(D2977,'Classif Gestoras'!$A$6:$A$462,0)),"Não classificada")</x:f>
        <x:v>Independente</x:v>
      </x:c>
      <x:c r="F2977" s="168" t="str">
        <x:v>AZUMI DISTRIBUIDORA DE TÍTULOS E VALORES MOBILIÁRIOS LT</x:v>
      </x:c>
      <x:c r="G2977" s="168" t="str">
        <x:v>AZUMI DISTRIBUIDORA DE TÍTULOS E VALORES MOBILIÁRIOS LTDA.</x:v>
      </x:c>
      <x:c r="H2977" s="168" t="str">
        <x:v>Outros</x:v>
      </x:c>
      <x:c r="I2977" s="168" t="str">
        <x:v>Multicarteira Outros</x:v>
      </x:c>
      <x:c r="J2977" s="168" t="str">
        <x:v>CI</x:v>
      </x:c>
      <x:c r="K2977" s="174" t="n">
        <x:v>1</x:v>
      </x:c>
      <x:c r="L2977" s="187" t="str">
        <x:v>Proxy multicedente/multissacado — revisar</x:v>
      </x:c>
    </x:row>
    <x:row r="2978">
      <x:c r="A2978" s="177" t="str">
        <x:v>61.291.607/0001-62</x:v>
      </x:c>
      <x:c r="B2978" s="168" t="str">
        <x:v>VENDER MAIS REZULTZ FIDC SEGMENTO FINANCEIRO RESPONSABILIDADE LIMITADA</x:v>
      </x:c>
      <x:c r="C2978" s="190" t="n">
        <x:v>1460639.51</x:v>
      </x:c>
      <x:c r="D2978" s="168" t="str">
        <x:v>VERT Gestora de Recursos Financeiros Ltda.</x:v>
      </x:c>
      <x:c r="E2978" s="168" t="str">
        <x:f>IFERROR(INDEX('Classif Gestoras'!$H$6:$H$462,MATCH(D2978,'Classif Gestoras'!$A$6:$A$462,0)),"Não classificada")</x:f>
        <x:v>Independente</x:v>
      </x:c>
      <x:c r="F2978" s="168" t="str">
        <x:v>VERT Distribuidora de Títulos e Valores Mobiliários Ltd</x:v>
      </x:c>
      <x:c r="G2978" s="168" t="str">
        <x:v>VERT DISTRIBUIDORA DE TÍTULOS E VALORES MOBILIÁRIOS LTDA.</x:v>
      </x:c>
      <x:c r="H2978" s="168" t="str">
        <x:v>Agro, Indústria e Comércio</x:v>
      </x:c>
      <x:c r="I2978" s="168" t="str">
        <x:v>Multicarteira Agro, Indústria e Comércio</x:v>
      </x:c>
      <x:c r="J2978" s="168" t="str">
        <x:v>CI</x:v>
      </x:c>
      <x:c r="K2978" s="174" t="n">
        <x:v>1</x:v>
      </x:c>
      <x:c r="L2978" s="187" t="str">
        <x:v>Proxy multicedente/multissacado — revisar</x:v>
      </x:c>
    </x:row>
    <x:row r="2979">
      <x:c r="A2979" s="177" t="str">
        <x:v>12.330.846/0001-79</x:v>
      </x:c>
      <x:c r="B2979" s="168" t="str">
        <x:v>LHOTSE FUNDO DE INVESTIMENTO EM DIREITOS CREDITÓRIOS</x:v>
      </x:c>
      <x:c r="C2979" s="190" t="n">
        <x:v>1447496.73</x:v>
      </x:c>
      <x:c r="D2979" s="168" t="str">
        <x:v>Veritas Capital Management</x:v>
      </x:c>
      <x:c r="E2979" s="168" t="str">
        <x:f>IFERROR(INDEX('Classif Gestoras'!$H$6:$H$462,MATCH(D2979,'Classif Gestoras'!$A$6:$A$462,0)),"Não classificada")</x:f>
        <x:v>Independente</x:v>
      </x:c>
      <x:c r="F2979" s="168" t="str">
        <x:v>MONETAR DISTRIBUIDORA DE TITUL</x:v>
      </x:c>
      <x:c r="G2979" s="168" t="str">
        <x:v>TERRA INVESTIMENTOS DISTRIBUIDORA DE TITULOS E VALORES MOBILIARIOS LTDA</x:v>
      </x:c>
      <x:c r="H2979" s="168" t="str">
        <x:v>Outros</x:v>
      </x:c>
      <x:c r="I2979" s="168" t="str">
        <x:v>Multicarteira Outros</x:v>
      </x:c>
      <x:c r="J2979" s="168" t="str">
        <x:v>CI</x:v>
      </x:c>
      <x:c r="K2979" s="174" t="n">
        <x:v>1</x:v>
      </x:c>
      <x:c r="L2979" s="187" t="str">
        <x:v>Proxy multicedente/multissacado — revisar</x:v>
      </x:c>
    </x:row>
    <x:row r="2980">
      <x:c r="A2980" s="177" t="str">
        <x:v>60.617.627/0001-18</x:v>
      </x:c>
      <x:c r="B2980" s="168" t="str">
        <x:v>MS CAPITAL FUNDO DE INVESTIMENTO EM DIREITOS CREDITÓRIOS</x:v>
      </x:c>
      <x:c r="C2980" s="190" t="n">
        <x:v>1444033.4099999997</x:v>
      </x:c>
      <x:c r="D2980" s="168" t="str">
        <x:v>FigTree Capital</x:v>
      </x:c>
      <x:c r="E2980" s="168" t="str">
        <x:f>IFERROR(INDEX('Classif Gestoras'!$H$6:$H$462,MATCH(D2980,'Classif Gestoras'!$A$6:$A$462,0)),"Não classificada")</x:f>
        <x:v>Independente</x:v>
      </x:c>
      <x:c r="F2980" s="168" t="str">
        <x:v>BRL TRUST DTVM</x:v>
      </x:c>
      <x:c r="G2980" s="168" t="str">
        <x:v>BRL TRUST DISTRIBUIDORA DE TITULOS E VALORES MOBILIARIOS S.A.</x:v>
      </x:c>
      <x:c r="H2980" s="168" t="str">
        <x:v>Fomento Mercantil</x:v>
      </x:c>
      <x:c r="I2980" s="168" t="str">
        <x:v>Fomento Mercantil</x:v>
      </x:c>
      <x:c r="J2980" s="168" t="str">
        <x:v>CI</x:v>
      </x:c>
      <x:c r="K2980" s="174" t="n">
        <x:v>3</x:v>
      </x:c>
      <x:c r="L2980" s="187" t="str">
        <x:v>Não classificado</x:v>
      </x:c>
    </x:row>
    <x:row r="2981">
      <x:c r="A2981" s="177" t="str">
        <x:v>32.321.319/0001-05</x:v>
      </x:c>
      <x:c r="B2981" s="168" t="str">
        <x:v>BRAFIC CONSTRUÇÃO CIVIL FI EM DIREITOS CREDITÓRIOS NÃO-PADRONIZADOS RESPONSABILIDADE LIMITADA</x:v>
      </x:c>
      <x:c r="C2981" s="190" t="n">
        <x:v>1424538.2399999998</x:v>
      </x:c>
      <x:c r="D2981" s="168" t="str">
        <x:v>BS2 ASSET MANAGEMENT – ADMINISTRADORA DE RECURSOS LTDA.</x:v>
      </x:c>
      <x:c r="E2981" s="168" t="str">
        <x:f>IFERROR(INDEX('Classif Gestoras'!$H$6:$H$462,MATCH(D2981,'Classif Gestoras'!$A$6:$A$462,0)),"Não classificada")</x:f>
        <x:v>Independente</x:v>
      </x:c>
      <x:c r="F2981" s="168" t="str">
        <x:v>ID Corretora de Títulos e Valores Mobiliários S.A.</x:v>
      </x:c>
      <x:c r="G2981" s="168" t="str">
        <x:v>ID CORRETORA DE TITULOS E VALORES MOBILIARIOS S.A.</x:v>
      </x:c>
      <x:c r="H2981" s="168" t="str">
        <x:v>Outros</x:v>
      </x:c>
      <x:c r="I2981" s="168" t="str">
        <x:v>Multicarteira Outros</x:v>
      </x:c>
      <x:c r="J2981" s="168" t="str">
        <x:v>CI</x:v>
      </x:c>
      <x:c r="K2981" s="174" t="n">
        <x:v>2</x:v>
      </x:c>
      <x:c r="L2981" s="187" t="str">
        <x:v>Proxy multicedente/multissacado — revisar</x:v>
      </x:c>
    </x:row>
    <x:row r="2982">
      <x:c r="A2982" s="177" t="str">
        <x:v>60.049.648/0001-84</x:v>
      </x:c>
      <x:c r="B2982" s="168" t="str">
        <x:v>CEOPAG CREDIT STRATEGY FIDC RECEBÍVEIS COMERCIAIS RESPONSABILIDADE LIMITADA</x:v>
      </x:c>
      <x:c r="C2982" s="190" t="n">
        <x:v>1411480.7500000005</x:v>
      </x:c>
      <x:c r="D2982" s="168" t="str">
        <x:v>Iggy Investimentos</x:v>
      </x:c>
      <x:c r="E2982" s="168" t="str">
        <x:f>IFERROR(INDEX('Classif Gestoras'!$H$6:$H$462,MATCH(D2982,'Classif Gestoras'!$A$6:$A$462,0)),"Não classificada")</x:f>
        <x:v>Independente</x:v>
      </x:c>
      <x:c r="F2982" s="168" t="str">
        <x:v>BANCO DAYCOVAL S/A</x:v>
      </x:c>
      <x:c r="G2982" s="168" t="str">
        <x:v>BANCO DAYCOVAL S.A.</x:v>
      </x:c>
      <x:c r="H2982" s="168" t="str">
        <x:v>Agro, Indústria e Comércio</x:v>
      </x:c>
      <x:c r="I2982" s="168" t="str">
        <x:v>Recebíveis Comerciais</x:v>
      </x:c>
      <x:c r="J2982" s="168" t="str">
        <x:v>CI</x:v>
      </x:c>
      <x:c r="K2982" s="174" t="n">
        <x:v>3</x:v>
      </x:c>
      <x:c r="L2982" s="187" t="str">
        <x:v>Não classificado</x:v>
      </x:c>
    </x:row>
    <x:row r="2983">
      <x:c r="A2983" s="177" t="str">
        <x:v>65.570.364/0001-52</x:v>
      </x:c>
      <x:c r="B2983" s="168" t="str">
        <x:v>VÉRTICE FUNDO DE INVESTIMENTO EM DIREITOS CREDITORIOS</x:v>
      </x:c>
      <x:c r="C2983" s="190" t="n">
        <x:v>1390108.88</x:v>
      </x:c>
      <x:c r="D2983" s="168" t="str">
        <x:v>Libertas Asset</x:v>
      </x:c>
      <x:c r="E2983" s="168" t="str">
        <x:f>IFERROR(INDEX('Classif Gestoras'!$H$6:$H$462,MATCH(D2983,'Classif Gestoras'!$A$6:$A$462,0)),"Não classificada")</x:f>
        <x:v>Independente</x:v>
      </x:c>
      <x:c r="F2983" s="168" t="str">
        <x:v>ACTUAL DTVM</x:v>
      </x:c>
      <x:c r="G2983" s="168" t="str">
        <x:v>TRUSTEE DISTRIBUIDORA DE TITULOS E VALORES MOBILIARIOS LTDA.</x:v>
      </x:c>
      <x:c r="H2983" s="168" t="str">
        <x:v>Fomento Mercantil</x:v>
      </x:c>
      <x:c r="I2983" s="168" t="str">
        <x:v>Fomento Mercantil</x:v>
      </x:c>
      <x:c r="J2983" s="168" t="str">
        <x:v>CI</x:v>
      </x:c>
      <x:c r="K2983" s="174" t="n">
        <x:v>1</x:v>
      </x:c>
      <x:c r="L2983" s="187" t="str">
        <x:v>Não classificado</x:v>
      </x:c>
    </x:row>
    <x:row r="2984">
      <x:c r="A2984" s="177" t="str">
        <x:v>58.880.077/0001-83</x:v>
      </x:c>
      <x:c r="B2984" s="168" t="str">
        <x:v>FUNDO DE INVESTIMENTO EM DIREITOS CREDITÓRIOS DTBR RESPONSABILIDADE LIMITADA</x:v>
      </x:c>
      <x:c r="C2984" s="190" t="n">
        <x:v>1353889.13</x:v>
      </x:c>
      <x:c r="D2984" s="168" t="str">
        <x:v>Galápagos</x:v>
      </x:c>
      <x:c r="E2984" s="168" t="str">
        <x:f>IFERROR(INDEX('Classif Gestoras'!$H$6:$H$462,MATCH(D2984,'Classif Gestoras'!$A$6:$A$462,0)),"Não classificada")</x:f>
        <x:v>Independente</x:v>
      </x:c>
      <x:c r="F2984" s="168" t="str">
        <x:v>VÓRTX DTVM</x:v>
      </x:c>
      <x:c r="G2984" s="168" t="str">
        <x:v>VORTX DISTRIBUIDORA DE TITULOS E VALORES MOBILIARIOS LTDA.</x:v>
      </x:c>
      <x:c r="H2984" s="168" t="str">
        <x:v>Outros</x:v>
      </x:c>
      <x:c r="I2984" s="168" t="str">
        <x:v>Multicarteira Outros</x:v>
      </x:c>
      <x:c r="J2984" s="168" t="str">
        <x:v>CI</x:v>
      </x:c>
      <x:c r="K2984" s="174" t="n">
        <x:v>1</x:v>
      </x:c>
      <x:c r="L2984" s="187" t="str">
        <x:v>Proxy multicedente/multissacado — revisar</x:v>
      </x:c>
    </x:row>
    <x:row r="2985">
      <x:c r="A2985" s="177" t="str">
        <x:v>48.937.046/0001-68</x:v>
      </x:c>
      <x:c r="B2985" s="168" t="str">
        <x:v>GCDC FUNDO DE INVESTIMENTO EM DIREITOS CREDITORIOS</x:v>
      </x:c>
      <x:c r="C2985" s="190" t="n">
        <x:v>1353442.33</x:v>
      </x:c>
      <x:c r="D2985" s="168" t="str">
        <x:v>Legatus Asset Management</x:v>
      </x:c>
      <x:c r="E2985" s="168" t="str">
        <x:f>IFERROR(INDEX('Classif Gestoras'!$H$6:$H$462,MATCH(D2985,'Classif Gestoras'!$A$6:$A$462,0)),"Não classificada")</x:f>
        <x:v>Independente</x:v>
      </x:c>
      <x:c r="F2985" s="168" t="str">
        <x:v>PLANNER CV</x:v>
      </x:c>
      <x:c r="G2985" s="168" t="str">
        <x:v>PLANNER CORRETORA DE VALORES S.A.</x:v>
      </x:c>
      <x:c r="H2985" s="168" t="str">
        <x:v>Outros</x:v>
      </x:c>
      <x:c r="I2985" s="168" t="str">
        <x:v>Multicarteira Outros</x:v>
      </x:c>
      <x:c r="J2985" s="168" t="str">
        <x:v>CI</x:v>
      </x:c>
      <x:c r="K2985" s="174" t="n">
        <x:v>1</x:v>
      </x:c>
      <x:c r="L2985" s="187" t="str">
        <x:v>Proxy multicedente/multissacado — revisar</x:v>
      </x:c>
    </x:row>
    <x:row r="2986">
      <x:c r="A2986" s="177" t="str">
        <x:v>54.276.269/0001-24</x:v>
      </x:c>
      <x:c r="B2986" s="168" t="str">
        <x:v>VULCANO FUNDO DE INVESTIMENTO EM DIREITOS CREDITÓRIOS</x:v>
      </x:c>
      <x:c r="C2986" s="190" t="n">
        <x:v>1350575.85</x:v>
      </x:c>
      <x:c r="D2986" s="168" t="str">
        <x:v>WNT Gestora de Recursos Ltda.</x:v>
      </x:c>
      <x:c r="E2986" s="168" t="str">
        <x:f>IFERROR(INDEX('Classif Gestoras'!$H$6:$H$462,MATCH(D2986,'Classif Gestoras'!$A$6:$A$462,0)),"Não classificada")</x:f>
        <x:v>Independente</x:v>
      </x:c>
      <x:c r="F2986" s="168" t="str">
        <x:v>TRUSTEE DTVM</x:v>
      </x:c>
      <x:c r="G2986" s="168" t="str">
        <x:v>TRUSTEE DISTRIBUIDORA DE TITULOS E VALORES MOBILIARIOS LTDA.</x:v>
      </x:c>
      <x:c r="H2986" s="168" t="str">
        <x:v>Outros</x:v>
      </x:c>
      <x:c r="I2986" s="168" t="str">
        <x:v>Multicarteira Outros</x:v>
      </x:c>
      <x:c r="J2986" s="168" t="str">
        <x:v>CI</x:v>
      </x:c>
      <x:c r="K2986" s="174" t="n">
        <x:v>3</x:v>
      </x:c>
      <x:c r="L2986" s="187" t="str">
        <x:v>Proxy multicedente/multissacado — revisar</x:v>
      </x:c>
    </x:row>
    <x:row r="2987">
      <x:c r="A2987" s="177" t="str">
        <x:v>61.452.743/0001-97</x:v>
      </x:c>
      <x:c r="B2987" s="168" t="str">
        <x:v>PIEMONTE FUNDO DE INVESTIMENTO EM DIREITOS CREDITÓRIOS RESPONSABILIDADE LIMITADA</x:v>
      </x:c>
      <x:c r="C2987" s="190" t="n">
        <x:v>1347843.9400000002</x:v>
      </x:c>
      <x:c r="D2987" s="168" t="str">
        <x:v>CONTEA CAPITAL</x:v>
      </x:c>
      <x:c r="E2987" s="168" t="str">
        <x:f>IFERROR(INDEX('Classif Gestoras'!$H$6:$H$462,MATCH(D2987,'Classif Gestoras'!$A$6:$A$462,0)),"Não classificada")</x:f>
        <x:v>Independente</x:v>
      </x:c>
      <x:c r="F2987" s="168" t="str">
        <x:v>VÓRTX DTVM</x:v>
      </x:c>
      <x:c r="G2987" s="168" t="str">
        <x:v>VORTX DISTRIBUIDORA DE TITULOS E VALORES MOBILIARIOS LTDA.</x:v>
      </x:c>
      <x:c r="H2987" s="168" t="str">
        <x:v>Financeiro</x:v>
      </x:c>
      <x:c r="I2987" s="168" t="str">
        <x:v>Crédito Pessoal</x:v>
      </x:c>
      <x:c r="J2987" s="168" t="str">
        <x:v>CI</x:v>
      </x:c>
      <x:c r="K2987" s="174" t="n">
        <x:v>1</x:v>
      </x:c>
      <x:c r="L2987" s="187" t="str">
        <x:v>Não classificado</x:v>
      </x:c>
    </x:row>
    <x:row r="2988">
      <x:c r="A2988" s="177" t="str">
        <x:v>55.132.551/0001-09</x:v>
      </x:c>
      <x:c r="B2988" s="168" t="str">
        <x:v>GUINNESS FUNDO DE INVESTIMENTO EM COTAS DE FUNDOS DE INVESTIMENTO EM DIREITOS CREDITÓRIOS</x:v>
      </x:c>
      <x:c r="C2988" s="190" t="n">
        <x:v>1343465.28</x:v>
      </x:c>
      <x:c r="D2988" s="168" t="str">
        <x:v>Iggy Investimentos</x:v>
      </x:c>
      <x:c r="E2988" s="168" t="str">
        <x:f>IFERROR(INDEX('Classif Gestoras'!$H$6:$H$462,MATCH(D2988,'Classif Gestoras'!$A$6:$A$462,0)),"Não classificada")</x:f>
        <x:v>Independente</x:v>
      </x:c>
      <x:c r="F2988" s="168" t="str">
        <x:v>Banvox DTVM</x:v>
      </x:c>
      <x:c r="G2988" s="168" t="str">
        <x:v>BANVOX DISTRIBUIDORA DE TITULOS E VALORES MOBILIARIOS LTDA</x:v>
      </x:c>
      <x:c r="H2988" s="168" t="str">
        <x:v>Outros</x:v>
      </x:c>
      <x:c r="I2988" s="168" t="str">
        <x:v>Recuperação</x:v>
      </x:c>
      <x:c r="J2988" s="168" t="str">
        <x:v>CI</x:v>
      </x:c>
      <x:c r="K2988" s="174" t="n">
        <x:v>3</x:v>
      </x:c>
      <x:c r="L2988" s="187" t="str">
        <x:v>Não classificado</x:v>
      </x:c>
    </x:row>
    <x:row r="2989">
      <x:c r="A2989" s="177" t="str">
        <x:v>55.135.135/0001-56</x:v>
      </x:c>
      <x:c r="B2989" s="168" t="str">
        <x:v>ATENA FUNDO DE INVESTIMENTO EM DIREITOS CREDITÓRIOS RECUPERAÇÃO DE CRÉDITO</x:v>
      </x:c>
      <x:c r="C2989" s="190" t="n">
        <x:v>1340211.64</x:v>
      </x:c>
      <x:c r="D2989" s="168" t="str">
        <x:v>Iggy Investimentos</x:v>
      </x:c>
      <x:c r="E2989" s="168" t="str">
        <x:f>IFERROR(INDEX('Classif Gestoras'!$H$6:$H$462,MATCH(D2989,'Classif Gestoras'!$A$6:$A$462,0)),"Não classificada")</x:f>
        <x:v>Independente</x:v>
      </x:c>
      <x:c r="F2989" s="168" t="str">
        <x:v>Banvox DTVM</x:v>
      </x:c>
      <x:c r="G2989" s="168" t="str">
        <x:v>BANVOX DISTRIBUIDORA DE TITULOS E VALORES MOBILIARIOS LTDA</x:v>
      </x:c>
      <x:c r="H2989" s="168" t="str">
        <x:v>Outros</x:v>
      </x:c>
      <x:c r="I2989" s="168" t="str">
        <x:v>Recuperação</x:v>
      </x:c>
      <x:c r="J2989" s="168" t="str">
        <x:v>CI</x:v>
      </x:c>
      <x:c r="K2989" s="174" t="n">
        <x:v>1</x:v>
      </x:c>
      <x:c r="L2989" s="187" t="str">
        <x:v>Não classificado</x:v>
      </x:c>
    </x:row>
    <x:row r="2990">
      <x:c r="A2990" s="177" t="str">
        <x:v>55.106.170/0001-47</x:v>
      </x:c>
      <x:c r="B2990" s="168" t="str">
        <x:v>FUNDO DE INVESTIMENTO EM DIREITOS CREDITÓRIOS DR. SIM</x:v>
      </x:c>
      <x:c r="C2990" s="190" t="n">
        <x:v>1337351.44</x:v>
      </x:c>
      <x:c r="D2990" s="168" t="str">
        <x:v>WNT Gestora de Recursos Ltda.</x:v>
      </x:c>
      <x:c r="E2990" s="168" t="str">
        <x:f>IFERROR(INDEX('Classif Gestoras'!$H$6:$H$462,MATCH(D2990,'Classif Gestoras'!$A$6:$A$462,0)),"Não classificada")</x:f>
        <x:v>Independente</x:v>
      </x:c>
      <x:c r="F2990" s="168" t="str">
        <x:v>WNT DTVM</x:v>
      </x:c>
      <x:c r="G2990" s="168" t="str">
        <x:v>WNT CAPITAL DISTRIBUIDORA DE TITULOS E VALORES MOBILIARIOS S.A.</x:v>
      </x:c>
      <x:c r="H2990" s="168" t="str">
        <x:v>Outros</x:v>
      </x:c>
      <x:c r="I2990" s="168" t="str">
        <x:v>Multicarteira Outros</x:v>
      </x:c>
      <x:c r="J2990" s="168" t="str">
        <x:v>CI</x:v>
      </x:c>
      <x:c r="K2990" s="174" t="n">
        <x:v>5</x:v>
      </x:c>
      <x:c r="L2990" s="187" t="str">
        <x:v>Proxy multicedente/multissacado — revisar</x:v>
      </x:c>
    </x:row>
    <x:row r="2991">
      <x:c r="A2991" s="177" t="str">
        <x:v>59.986.514/0001-00</x:v>
      </x:c>
      <x:c r="B2991" s="168" t="str">
        <x:v>ALZ FUNDO DE INVESTIMENTO EM DIREITOS CREDITÓRIOS</x:v>
      </x:c>
      <x:c r="C2991" s="190" t="n">
        <x:v>1298384.77</x:v>
      </x:c>
      <x:c r="D2991" s="168" t="str">
        <x:v>ICON CAPITAL</x:v>
      </x:c>
      <x:c r="E2991" s="168" t="str">
        <x:f>IFERROR(INDEX('Classif Gestoras'!$H$6:$H$462,MATCH(D2991,'Classif Gestoras'!$A$6:$A$462,0)),"Não classificada")</x:f>
        <x:v>Independente</x:v>
      </x:c>
      <x:c r="F2991" s="168" t="str">
        <x:v>PLANNER CV</x:v>
      </x:c>
      <x:c r="G2991" s="168" t="str">
        <x:v>PLANNER CORRETORA DE VALORES S.A.</x:v>
      </x:c>
      <x:c r="H2991" s="168" t="str">
        <x:v>Outros</x:v>
      </x:c>
      <x:c r="I2991" s="168" t="str">
        <x:v>Multicarteira Outros</x:v>
      </x:c>
      <x:c r="J2991" s="168" t="str">
        <x:v>CI</x:v>
      </x:c>
      <x:c r="K2991" s="174" t="n">
        <x:v>4</x:v>
      </x:c>
      <x:c r="L2991" s="187" t="str">
        <x:v>Proxy multicedente/multissacado — revisar</x:v>
      </x:c>
    </x:row>
    <x:row r="2992">
      <x:c r="A2992" s="177" t="str">
        <x:v>50.990.958/0001-45</x:v>
      </x:c>
      <x:c r="B2992" s="168" t="str">
        <x:v>PETUNIA FUNDO DE INVESTIMENTO EM DIREITOS CREDITÓRIOS</x:v>
      </x:c>
      <x:c r="C2992" s="190" t="n">
        <x:v>1273103.45</x:v>
      </x:c>
      <x:c r="D2992" s="168" t="str">
        <x:v>SMART AGRO INVESTIMENTOS LTDA.</x:v>
      </x:c>
      <x:c r="E2992" s="168" t="str">
        <x:f>IFERROR(INDEX('Classif Gestoras'!$H$6:$H$462,MATCH(D2992,'Classif Gestoras'!$A$6:$A$462,0)),"Não classificada")</x:f>
        <x:v>Independente</x:v>
      </x:c>
      <x:c r="F2992" s="168" t="str">
        <x:v>TRUSTEE DTVM</x:v>
      </x:c>
      <x:c r="G2992" s="168" t="str">
        <x:v>TRUSTEE DISTRIBUIDORA DE TITULOS E VALORES MOBILIARIOS LTDA.</x:v>
      </x:c>
      <x:c r="H2992" s="168" t="str">
        <x:v>Fomento Mercantil</x:v>
      </x:c>
      <x:c r="I2992" s="168" t="str">
        <x:v>Fomento Mercantil</x:v>
      </x:c>
      <x:c r="J2992" s="168" t="str">
        <x:v>CI</x:v>
      </x:c>
      <x:c r="K2992" s="174" t="n">
        <x:v>2</x:v>
      </x:c>
      <x:c r="L2992" s="187" t="str">
        <x:v>Não classificado</x:v>
      </x:c>
    </x:row>
    <x:row r="2993">
      <x:c r="A2993" s="177" t="str">
        <x:v>28.849.649/0001-09</x:v>
      </x:c>
      <x:c r="B2993" s="168" t="str">
        <x:v>FUNDO DE INVESTIMENTO EM DIREITOS CREDITÓRIOS EMPÍRICA A55 SAAS</x:v>
      </x:c>
      <x:c r="C2993" s="190" t="n">
        <x:v>1271868.4899999998</x:v>
      </x:c>
      <x:c r="D2993" s="168" t="str">
        <x:v>REAG GESTÃO DE CRÉDITO</x:v>
      </x:c>
      <x:c r="E2993" s="168" t="str">
        <x:f>IFERROR(INDEX('Classif Gestoras'!$H$6:$H$462,MATCH(D2993,'Classif Gestoras'!$A$6:$A$462,0)),"Não classificada")</x:f>
        <x:v>Independente</x:v>
      </x:c>
      <x:c r="F2993" s="168" t="str">
        <x:v>Banvox DTVM</x:v>
      </x:c>
      <x:c r="G2993" s="168" t="str">
        <x:v>BANVOX DISTRIBUIDORA DE TITULOS E VALORES MOBILIARIOS LTDA</x:v>
      </x:c>
      <x:c r="H2993" s="168" t="str">
        <x:v>Outros</x:v>
      </x:c>
      <x:c r="I2993" s="168" t="str">
        <x:v>Multicarteira Outros</x:v>
      </x:c>
      <x:c r="J2993" s="168" t="str">
        <x:v>CI</x:v>
      </x:c>
      <x:c r="K2993" s="174" t="n">
        <x:v>25</x:v>
      </x:c>
      <x:c r="L2993" s="187" t="str">
        <x:v>Proxy multicedente/multissacado — revisar</x:v>
      </x:c>
    </x:row>
    <x:row r="2994">
      <x:c r="A2994" s="177" t="str">
        <x:v>65.500.424/0001-60</x:v>
      </x:c>
      <x:c r="B2994" s="168" t="str">
        <x:v>SÃO MIGUEL FUNDO DE INVESTIMENTO EM DIREITOS CREDITÓRIOS - RESPONSABILIDADE LIMITADA</x:v>
      </x:c>
      <x:c r="C2994" s="190" t="n">
        <x:v>1268070.5099999998</x:v>
      </x:c>
      <x:c r="D2994" s="168" t="str">
        <x:v>Galápagos</x:v>
      </x:c>
      <x:c r="E2994" s="168" t="str">
        <x:f>IFERROR(INDEX('Classif Gestoras'!$H$6:$H$462,MATCH(D2994,'Classif Gestoras'!$A$6:$A$462,0)),"Não classificada")</x:f>
        <x:v>Independente</x:v>
      </x:c>
      <x:c r="F2994" s="168" t="str">
        <x:v>VÓRTX DTVM</x:v>
      </x:c>
      <x:c r="G2994" s="168" t="str">
        <x:v>VORTX DISTRIBUIDORA DE TITULOS E VALORES MOBILIARIOS LTDA.</x:v>
      </x:c>
      <x:c r="H2994" s="168" t="str">
        <x:v>Outros</x:v>
      </x:c>
      <x:c r="I2994" s="168" t="str">
        <x:v>Recuperação</x:v>
      </x:c>
      <x:c r="J2994" s="168" t="str">
        <x:v>CI</x:v>
      </x:c>
      <x:c r="K2994" s="174" t="n">
        <x:v>5</x:v>
      </x:c>
      <x:c r="L2994" s="187" t="str">
        <x:v>Não classificado</x:v>
      </x:c>
    </x:row>
    <x:row r="2995">
      <x:c r="A2995" s="177" t="str">
        <x:v>58.496.558/0001-90</x:v>
      </x:c>
      <x:c r="B2995" s="168" t="str">
        <x:v>PIAVE FUNDO DE INVESTIMENTO EM DIREITOS CREDITÓRIOS</x:v>
      </x:c>
      <x:c r="C2995" s="190" t="n">
        <x:v>1251883.48</x:v>
      </x:c>
      <x:c r="D2995" s="168" t="str">
        <x:v>BURITI INVESTIMENTOS</x:v>
      </x:c>
      <x:c r="E2995" s="168" t="str">
        <x:f>IFERROR(INDEX('Classif Gestoras'!$H$6:$H$462,MATCH(D2995,'Classif Gestoras'!$A$6:$A$462,0)),"Não classificada")</x:f>
        <x:v>Independente</x:v>
      </x:c>
      <x:c r="F2995" s="168" t="str">
        <x:v>Singulare</x:v>
      </x:c>
      <x:c r="G2995" s="168" t="str">
        <x:v>BARU DISTRIBUIDORA DE TÍTULOS E VALORES MOBILIÁRIOS LTDA.</x:v>
      </x:c>
      <x:c r="H2995" s="168" t="str">
        <x:v>Outros</x:v>
      </x:c>
      <x:c r="I2995" s="168" t="str">
        <x:v>Multicarteira Outros</x:v>
      </x:c>
      <x:c r="J2995" s="168" t="str">
        <x:v>CI</x:v>
      </x:c>
      <x:c r="K2995" s="174" t="n">
        <x:v>1</x:v>
      </x:c>
      <x:c r="L2995" s="187" t="str">
        <x:v>Proxy multicedente/multissacado — revisar</x:v>
      </x:c>
    </x:row>
    <x:row r="2996">
      <x:c r="A2996" s="177" t="str">
        <x:v>62.348.002/0001-23</x:v>
      </x:c>
      <x:c r="B2996" s="168" t="str">
        <x:v>AMAZON FUNDO DE INVESTIMENTO EM DIREITOS CREDITÓRIOS NÃO - PADRONIZADOS - RESPONSABILIDADE LIMITADA</x:v>
      </x:c>
      <x:c r="C2996" s="190" t="n">
        <x:v>1250815.61</x:v>
      </x:c>
      <x:c r="D2996" s="168" t="str">
        <x:v>Yards Asset Gestão de Recursos Ltda.</x:v>
      </x:c>
      <x:c r="E2996" s="168" t="str">
        <x:f>IFERROR(INDEX('Classif Gestoras'!$H$6:$H$462,MATCH(D2996,'Classif Gestoras'!$A$6:$A$462,0)),"Não classificada")</x:f>
        <x:v>Independente</x:v>
      </x:c>
      <x:c r="F2996" s="168" t="str">
        <x:v>Qore DTVM</x:v>
      </x:c>
      <x:c r="G2996" s="168" t="str">
        <x:v>QORE DISTRIBUIDORA DE TÍTULOS E VALORES MOBILIÁRIOS LTDA.</x:v>
      </x:c>
      <x:c r="H2996" s="168" t="str">
        <x:v>Outros</x:v>
      </x:c>
      <x:c r="I2996" s="168" t="str">
        <x:v>Multicarteira Outros</x:v>
      </x:c>
      <x:c r="J2996" s="168" t="str">
        <x:v>CI</x:v>
      </x:c>
      <x:c r="K2996" s="174" t="n">
        <x:v>2</x:v>
      </x:c>
      <x:c r="L2996" s="187" t="str">
        <x:v>Proxy multicedente/multissacado — revisar</x:v>
      </x:c>
    </x:row>
    <x:row r="2997">
      <x:c r="A2997" s="177" t="str">
        <x:v>57.008.828/0001-03</x:v>
      </x:c>
      <x:c r="B2997" s="168" t="str">
        <x:v>KUARÁ GS2 IGSC I FUNDO DE INVESTIMENTO EM DIREITOS CREDITÓRIOS RESPONSABILIDADE LIMITADA</x:v>
      </x:c>
      <x:c r="C2997" s="190" t="n">
        <x:v>1248024.34</x:v>
      </x:c>
      <x:c r="D2997" s="168" t="str">
        <x:v>Kuará Capital</x:v>
      </x:c>
      <x:c r="E2997" s="168" t="str">
        <x:f>IFERROR(INDEX('Classif Gestoras'!$H$6:$H$462,MATCH(D2997,'Classif Gestoras'!$A$6:$A$462,0)),"Não classificada")</x:f>
        <x:v>Independente</x:v>
      </x:c>
      <x:c r="F2997" s="168" t="str">
        <x:v>MONETAR DISTRIBUIDORA DE TITUL</x:v>
      </x:c>
      <x:c r="G2997" s="168" t="str">
        <x:v>TERRA INVESTIMENTOS DISTRIBUIDORA DE TITULOS E VALORES MOBILIARIOS LTDA</x:v>
      </x:c>
      <x:c r="H2997" s="168" t="str">
        <x:v>Outros</x:v>
      </x:c>
      <x:c r="I2997" s="168" t="str">
        <x:v>Multicarteira Outros</x:v>
      </x:c>
      <x:c r="J2997" s="168" t="str">
        <x:v>CI</x:v>
      </x:c>
      <x:c r="K2997" s="174" t="n">
        <x:v>7</x:v>
      </x:c>
      <x:c r="L2997" s="187" t="str">
        <x:v>Proxy multicedente/multissacado — revisar</x:v>
      </x:c>
    </x:row>
    <x:row r="2998">
      <x:c r="A2998" s="177" t="str">
        <x:v>53.743.401/0001-06</x:v>
      </x:c>
      <x:c r="B2998" s="168" t="str">
        <x:v>FORSETI FUNDO DE INVESTIMENTO EM DIREITOS CREDITÓRIOS</x:v>
      </x:c>
      <x:c r="C2998" s="190" t="n">
        <x:v>1247329.89</x:v>
      </x:c>
      <x:c r="D2998" s="168" t="str">
        <x:v>NORTH SEA CAPITAL</x:v>
      </x:c>
      <x:c r="E2998" s="168" t="str">
        <x:f>IFERROR(INDEX('Classif Gestoras'!$H$6:$H$462,MATCH(D2998,'Classif Gestoras'!$A$6:$A$462,0)),"Não classificada")</x:f>
        <x:v>Independente</x:v>
      </x:c>
      <x:c r="F2998" s="168" t="str">
        <x:v>Qore DTVM</x:v>
      </x:c>
      <x:c r="G2998" s="168" t="str">
        <x:v>QORE DISTRIBUIDORA DE TÍTULOS E VALORES MOBILIÁRIOS LTDA.</x:v>
      </x:c>
      <x:c r="H2998" s="168" t="str">
        <x:v>Outros</x:v>
      </x:c>
      <x:c r="I2998" s="168" t="str">
        <x:v>Multicarteira Outros</x:v>
      </x:c>
      <x:c r="J2998" s="168" t="str">
        <x:v>CI</x:v>
      </x:c>
      <x:c r="K2998" s="174" t="n">
        <x:v>2</x:v>
      </x:c>
      <x:c r="L2998" s="187" t="str">
        <x:v>Proxy multicedente/multissacado — revisar</x:v>
      </x:c>
    </x:row>
    <x:row r="2999">
      <x:c r="A2999" s="177" t="str">
        <x:v>25.354.121/0001-62</x:v>
      </x:c>
      <x:c r="B2999" s="168" t="str">
        <x:v>MONEFY FUNDO DE INVESTIMENTO EM DIREITOS CREDITÓRIOS MULTISSETORIAL RESPONSABILIDADE LIMITADA</x:v>
      </x:c>
      <x:c r="C2999" s="190" t="n">
        <x:v>1224726.2500000002</x:v>
      </x:c>
      <x:c r="D2999" s="168" t="str">
        <x:v>Bless Capital Gestora de Recursos Ltda.</x:v>
      </x:c>
      <x:c r="E2999" s="168" t="str">
        <x:f>IFERROR(INDEX('Classif Gestoras'!$H$6:$H$462,MATCH(D2999,'Classif Gestoras'!$A$6:$A$462,0)),"Não classificada")</x:f>
        <x:v>Independente</x:v>
      </x:c>
      <x:c r="F2999" s="168" t="str">
        <x:v>ID Corretora de Títulos e Valores Mobiliários S.A.</x:v>
      </x:c>
      <x:c r="G2999" s="168" t="str">
        <x:v>ID CORRETORA DE TITULOS E VALORES MOBILIARIOS S.A.</x:v>
      </x:c>
      <x:c r="H2999" s="168" t="str">
        <x:v>Fomento Mercantil</x:v>
      </x:c>
      <x:c r="I2999" s="168" t="str">
        <x:v>Fomento Mercantil</x:v>
      </x:c>
      <x:c r="J2999" s="168" t="str">
        <x:v>CI</x:v>
      </x:c>
      <x:c r="K2999" s="174" t="n">
        <x:v>0</x:v>
      </x:c>
      <x:c r="L2999" s="187" t="str">
        <x:v>Não classificado</x:v>
      </x:c>
    </x:row>
    <x:row r="3000">
      <x:c r="A3000" s="177" t="str">
        <x:v>57.017.012/0001-46</x:v>
      </x:c>
      <x:c r="B3000" s="168" t="str">
        <x:v>MABC FUNDO DE INVESTIMENTO EM DIREITOS CREDITORIOS</x:v>
      </x:c>
      <x:c r="C3000" s="190" t="n">
        <x:v>1211335.75</x:v>
      </x:c>
      <x:c r="D3000" s="168" t="str">
        <x:v>AF Invest</x:v>
      </x:c>
      <x:c r="E3000" s="168" t="str">
        <x:f>IFERROR(INDEX('Classif Gestoras'!$H$6:$H$462,MATCH(D3000,'Classif Gestoras'!$A$6:$A$462,0)),"Não classificada")</x:f>
        <x:v>Independente</x:v>
      </x:c>
      <x:c r="F3000" s="168" t="str">
        <x:v>ACTUAL DTVM</x:v>
      </x:c>
      <x:c r="G3000" s="168" t="str">
        <x:v>TRUSTEE DISTRIBUIDORA DE TITULOS E VALORES MOBILIARIOS LTDA.</x:v>
      </x:c>
      <x:c r="H3000" s="168" t="str">
        <x:v>Fomento Mercantil</x:v>
      </x:c>
      <x:c r="I3000" s="168" t="str">
        <x:v>Fomento Mercantil</x:v>
      </x:c>
      <x:c r="J3000" s="168" t="str">
        <x:v>CI</x:v>
      </x:c>
      <x:c r="K3000" s="174" t="n">
        <x:v>1</x:v>
      </x:c>
      <x:c r="L3000" s="187" t="str">
        <x:v>Não classificado</x:v>
      </x:c>
    </x:row>
    <x:row r="3001">
      <x:c r="A3001" s="177" t="str">
        <x:v>38.315.167/0001-14</x:v>
      </x:c>
      <x:c r="B3001" s="168" t="str">
        <x:v>AQUILA BR FUNDO DE INVESTIMENTO EM DIREITOS CREDITÓRIOS - RESPONSABILIDADE LIMITADA</x:v>
      </x:c>
      <x:c r="C3001" s="190" t="n">
        <x:v>1209531.79</x:v>
      </x:c>
      <x:c r="D3001" s="168" t="str">
        <x:v>M8 Partners</x:v>
      </x:c>
      <x:c r="E3001" s="168" t="str">
        <x:f>IFERROR(INDEX('Classif Gestoras'!$H$6:$H$462,MATCH(D3001,'Classif Gestoras'!$A$6:$A$462,0)),"Não classificada")</x:f>
        <x:v>Independente</x:v>
      </x:c>
      <x:c r="F3001" s="168" t="str">
        <x:v>HEMERA DTVM</x:v>
      </x:c>
      <x:c r="G3001" s="168" t="str">
        <x:v>HEMERA DISTRIBUIDORA DE TITULOS E VALORES MOBILIARIOS LTDA</x:v>
      </x:c>
      <x:c r="H3001" s="168" t="str">
        <x:v>Financeiro</x:v>
      </x:c>
      <x:c r="I3001" s="168" t="str">
        <x:v>Multicarteira Financeiro</x:v>
      </x:c>
      <x:c r="J3001" s="168" t="str">
        <x:v>CI</x:v>
      </x:c>
      <x:c r="K3001" s="174" t="n">
        <x:v>1</x:v>
      </x:c>
      <x:c r="L3001" s="187" t="str">
        <x:v>Proxy multicedente/multissacado — revisar</x:v>
      </x:c>
    </x:row>
    <x:row r="3002">
      <x:c r="A3002" s="177" t="str">
        <x:v>39.819.737/0001-76</x:v>
      </x:c>
      <x:c r="B3002" s="168" t="str">
        <x:v>RISKNOW FUNDO DE INVESTIMENTO EM DIREITOS CREDITÓRIOS IMOBILIÁRIO</x:v>
      </x:c>
      <x:c r="C3002" s="190" t="n">
        <x:v>1204620.02</x:v>
      </x:c>
      <x:c r="D3002" s="168" t="str">
        <x:v>PATAGÔNIA CAPITAL</x:v>
      </x:c>
      <x:c r="E3002" s="168" t="str">
        <x:f>IFERROR(INDEX('Classif Gestoras'!$H$6:$H$462,MATCH(D3002,'Classif Gestoras'!$A$6:$A$462,0)),"Não classificada")</x:f>
        <x:v>Independente</x:v>
      </x:c>
      <x:c r="F3002" s="168" t="str">
        <x:v>VÓRTX DTVM</x:v>
      </x:c>
      <x:c r="G3002" s="168" t="str">
        <x:v>VORTX DISTRIBUIDORA DE TITULOS E VALORES MOBILIARIOS LTDA.</x:v>
      </x:c>
      <x:c r="H3002" s="168" t="str">
        <x:v>Financeiro</x:v>
      </x:c>
      <x:c r="I3002" s="168" t="str">
        <x:v>Crédito Imobiliário</x:v>
      </x:c>
      <x:c r="J3002" s="168" t="str">
        <x:v>CI</x:v>
      </x:c>
      <x:c r="K3002" s="174" t="n">
        <x:v>5</x:v>
      </x:c>
      <x:c r="L3002" s="187" t="str">
        <x:v>Não classificado</x:v>
      </x:c>
    </x:row>
    <x:row r="3003">
      <x:c r="A3003" s="177" t="str">
        <x:v>62.698.155/0001-09</x:v>
      </x:c>
      <x:c r="B3003" s="168" t="str">
        <x:v>DORA FUNDO DE INVESTIMENTO EM DIREITOS CREDITÓRIOS</x:v>
      </x:c>
      <x:c r="C3003" s="190" t="n">
        <x:v>1203616.76</x:v>
      </x:c>
      <x:c r="D3003" s="168" t="str">
        <x:v>Legatus Asset Management</x:v>
      </x:c>
      <x:c r="E3003" s="168" t="str">
        <x:f>IFERROR(INDEX('Classif Gestoras'!$H$6:$H$462,MATCH(D3003,'Classif Gestoras'!$A$6:$A$462,0)),"Não classificada")</x:f>
        <x:v>Independente</x:v>
      </x:c>
      <x:c r="F3003" s="168" t="str">
        <x:v>PLANNER CV</x:v>
      </x:c>
      <x:c r="G3003" s="168" t="str">
        <x:v>PLANNER CORRETORA DE VALORES S.A.</x:v>
      </x:c>
      <x:c r="H3003" s="168" t="str">
        <x:v>Outros</x:v>
      </x:c>
      <x:c r="I3003" s="168" t="str">
        <x:v>Multicarteira Outros</x:v>
      </x:c>
      <x:c r="J3003" s="168" t="str">
        <x:v>CI</x:v>
      </x:c>
      <x:c r="K3003" s="174" t="n">
        <x:v>3</x:v>
      </x:c>
      <x:c r="L3003" s="187" t="str">
        <x:v>Proxy multicedente/multissacado — revisar</x:v>
      </x:c>
    </x:row>
    <x:row r="3004">
      <x:c r="A3004" s="177" t="str">
        <x:v>57.153.497/0001-03</x:v>
      </x:c>
      <x:c r="B3004" s="168" t="str">
        <x:v>ITHAKA FUNDO DE INVESTIMENTO EM DIREITOS CREDITÓRIOS</x:v>
      </x:c>
      <x:c r="C3004" s="190" t="n">
        <x:v>1200801.2100000002</x:v>
      </x:c>
      <x:c r="D3004" s="168" t="str">
        <x:v>Redwood Asset Management</x:v>
      </x:c>
      <x:c r="E3004" s="168" t="str">
        <x:f>IFERROR(INDEX('Classif Gestoras'!$H$6:$H$462,MATCH(D3004,'Classif Gestoras'!$A$6:$A$462,0)),"Não classificada")</x:f>
        <x:v>Independente</x:v>
      </x:c>
      <x:c r="F3004" s="168" t="str">
        <x:v>PLANNER CV</x:v>
      </x:c>
      <x:c r="G3004" s="168" t="str">
        <x:v>PLANNER CORRETORA DE VALORES S.A.</x:v>
      </x:c>
      <x:c r="H3004" s="168" t="str">
        <x:v>Outros</x:v>
      </x:c>
      <x:c r="I3004" s="168" t="str">
        <x:v>Multicarteira Outros</x:v>
      </x:c>
      <x:c r="J3004" s="168" t="str">
        <x:v>CI</x:v>
      </x:c>
      <x:c r="K3004" s="174" t="n">
        <x:v>4</x:v>
      </x:c>
      <x:c r="L3004" s="187" t="str">
        <x:v>Proxy multicedente/multissacado — revisar</x:v>
      </x:c>
    </x:row>
    <x:row r="3005">
      <x:c r="A3005" s="177" t="str">
        <x:v>55.174.856/0001-75</x:v>
      </x:c>
      <x:c r="B3005" s="168" t="str">
        <x:v>PONTAL FUNDO DE INVESTIMENTO EM DIREITOS CREDITÓRIOS</x:v>
      </x:c>
      <x:c r="C3005" s="190" t="n">
        <x:v>1197778.2</x:v>
      </x:c>
      <x:c r="D3005" s="168" t="str">
        <x:v>Redwood Asset Management</x:v>
      </x:c>
      <x:c r="E3005" s="168" t="str">
        <x:f>IFERROR(INDEX('Classif Gestoras'!$H$6:$H$462,MATCH(D3005,'Classif Gestoras'!$A$6:$A$462,0)),"Não classificada")</x:f>
        <x:v>Independente</x:v>
      </x:c>
      <x:c r="F3005" s="168" t="str">
        <x:v>PLANNER CV</x:v>
      </x:c>
      <x:c r="G3005" s="168" t="str">
        <x:v>PLANNER CORRETORA DE VALORES S.A.</x:v>
      </x:c>
      <x:c r="H3005" s="168" t="str">
        <x:v>Agro, Indústria e Comércio</x:v>
      </x:c>
      <x:c r="I3005" s="168" t="str">
        <x:v>Recebíveis Comerciais</x:v>
      </x:c>
      <x:c r="J3005" s="168" t="str">
        <x:v>CI</x:v>
      </x:c>
      <x:c r="K3005" s="174" t="n">
        <x:v>1</x:v>
      </x:c>
      <x:c r="L3005" s="187" t="str">
        <x:v>Não classificado</x:v>
      </x:c>
    </x:row>
    <x:row r="3006">
      <x:c r="A3006" s="177" t="str">
        <x:v>46.879.122/0001-09</x:v>
      </x:c>
      <x:c r="B3006" s="168" t="str">
        <x:v>CNPJ 46879122000109</x:v>
      </x:c>
      <x:c r="C3006" s="190" t="n">
        <x:v>1192583.2899999998</x:v>
      </x:c>
      <x:c r="D3006" s="168" t="str">
        <x:v>REAG PORTFOLIO SOLUTIONS</x:v>
      </x:c>
      <x:c r="E3006" s="168" t="str">
        <x:f>IFERROR(INDEX('Classif Gestoras'!$H$6:$H$462,MATCH(D3006,'Classif Gestoras'!$A$6:$A$462,0)),"Não classificada")</x:f>
        <x:v>Independente</x:v>
      </x:c>
      <x:c r="F3006" s="168" t="str">
        <x:v>REAG DTVM</x:v>
      </x:c>
      <x:c r="G3006" s="168" t="str">
        <x:v>Não identificado</x:v>
      </x:c>
      <x:c r="H3006" s="168" t="str">
        <x:v>Outros</x:v>
      </x:c>
      <x:c r="I3006" s="168" t="str">
        <x:v>Multicategoria</x:v>
      </x:c>
      <x:c r="J3006" s="168" t="str">
        <x:v>CI</x:v>
      </x:c>
      <x:c r="K3006" s="174"/>
      <x:c r="L3006" s="187" t="str">
        <x:v>Não classificado</x:v>
      </x:c>
    </x:row>
    <x:row r="3007">
      <x:c r="A3007" s="177" t="str">
        <x:v>61.544.063/0001-01</x:v>
      </x:c>
      <x:c r="B3007" s="168" t="str">
        <x:v>CREDIÁRIO AMERICANAS FUNDO DE INVESTIMENTO EM DIREITOS CREDITÓRIOS DE RESPONSABILIDADE LIMITADA</x:v>
      </x:c>
      <x:c r="C3007" s="190" t="n">
        <x:v>1183451.5699999998</x:v>
      </x:c>
      <x:c r="D3007" s="168" t="str">
        <x:v>POLÍGONO CAPITAL LTDA.</x:v>
      </x:c>
      <x:c r="E3007" s="168" t="str">
        <x:f>IFERROR(INDEX('Classif Gestoras'!$H$6:$H$462,MATCH(D3007,'Classif Gestoras'!$A$6:$A$462,0)),"Não classificada")</x:f>
        <x:v>Independente</x:v>
      </x:c>
      <x:c r="F3007" s="168" t="str">
        <x:v>Genial Investimentos Corretora de Valores Mobiliários S.A.</x:v>
      </x:c>
      <x:c r="G3007" s="168" t="str">
        <x:v>BANCO GENIAL S.A.</x:v>
      </x:c>
      <x:c r="H3007" s="168" t="str">
        <x:v>Agro, Indústria e Comércio</x:v>
      </x:c>
      <x:c r="I3007" s="168" t="str">
        <x:v>Recebíveis Comerciais</x:v>
      </x:c>
      <x:c r="J3007" s="168" t="str">
        <x:v>CI</x:v>
      </x:c>
      <x:c r="K3007" s="174" t="n">
        <x:v>1</x:v>
      </x:c>
      <x:c r="L3007" s="187" t="str">
        <x:v>Não classificado</x:v>
      </x:c>
    </x:row>
    <x:row r="3008">
      <x:c r="A3008" s="177" t="str">
        <x:v>17.012.685/0001-99</x:v>
      </x:c>
      <x:c r="B3008" s="168" t="str">
        <x:v>CAPITAL FUNDO DE INVESTIMENTO EM DIREITOS CREDITÓRIOS</x:v>
      </x:c>
      <x:c r="C3008" s="190" t="n">
        <x:v>1181922.3521000005</x:v>
      </x:c>
      <x:c r="D3008" s="168" t="str">
        <x:v>PESSOAS FISICAS</x:v>
      </x:c>
      <x:c r="E3008" s="168" t="str">
        <x:f>IFERROR(INDEX('Classif Gestoras'!$H$6:$H$462,MATCH(D3008,'Classif Gestoras'!$A$6:$A$462,0)),"Não classificada")</x:f>
        <x:v>Independente</x:v>
      </x:c>
      <x:c r="F3008" s="168" t="str">
        <x:v>BTG Pactual Servicos Financeiros S/A DTVM</x:v>
      </x:c>
      <x:c r="G3008" s="168" t="str">
        <x:v>BANCO BTG PACTUAL S/A</x:v>
      </x:c>
      <x:c r="H3008" s="168" t="str">
        <x:v>Outros</x:v>
      </x:c>
      <x:c r="I3008" s="168" t="str">
        <x:v>Multicarteira Outros</x:v>
      </x:c>
      <x:c r="J3008" s="168" t="str">
        <x:v>CI</x:v>
      </x:c>
      <x:c r="K3008" s="174" t="n">
        <x:v>3</x:v>
      </x:c>
      <x:c r="L3008" s="187" t="str">
        <x:v>Proxy multicedente/multissacado — revisar</x:v>
      </x:c>
    </x:row>
    <x:row r="3009">
      <x:c r="A3009" s="177" t="str">
        <x:v>42.432.319/0001-36</x:v>
      </x:c>
      <x:c r="B3009" s="168" t="str">
        <x:v>FUNDO DE INVESTIMENTO EM DIREITOS CREDITÓRIOS BIZCAPITAL FINPASS PME RESPONSABILIDADE LIMITADA</x:v>
      </x:c>
      <x:c r="C3009" s="190" t="n">
        <x:v>1172733.33</x:v>
      </x:c>
      <x:c r="D3009" s="168" t="str">
        <x:v>REAG GESTÃO DE CRÉDITO</x:v>
      </x:c>
      <x:c r="E3009" s="168" t="str">
        <x:f>IFERROR(INDEX('Classif Gestoras'!$H$6:$H$462,MATCH(D3009,'Classif Gestoras'!$A$6:$A$462,0)),"Não classificada")</x:f>
        <x:v>Independente</x:v>
      </x:c>
      <x:c r="F3009" s="168" t="str">
        <x:v>Banvox DTVM</x:v>
      </x:c>
      <x:c r="G3009" s="168" t="str">
        <x:v>BANVOX DISTRIBUIDORA DE TITULOS E VALORES MOBILIARIOS LTDA</x:v>
      </x:c>
      <x:c r="H3009" s="168" t="str">
        <x:v>Outros</x:v>
      </x:c>
      <x:c r="I3009" s="168" t="str">
        <x:v>Multicarteira Outros</x:v>
      </x:c>
      <x:c r="J3009" s="168" t="str">
        <x:v>CI</x:v>
      </x:c>
      <x:c r="K3009" s="174" t="n">
        <x:v>31</x:v>
      </x:c>
      <x:c r="L3009" s="187" t="str">
        <x:v>Proxy multicedente/multissacado — revisar</x:v>
      </x:c>
    </x:row>
    <x:row r="3010">
      <x:c r="A3010" s="177" t="str">
        <x:v>59.503.278/0001-24</x:v>
      </x:c>
      <x:c r="B3010" s="168" t="str">
        <x:v>ASTREIA FUNDO DE INVESTIMENTO EM DIREITOS CREDITÓRIOS</x:v>
      </x:c>
      <x:c r="C3010" s="190" t="n">
        <x:v>1148059.42</x:v>
      </x:c>
      <x:c r="D3010" s="168" t="str">
        <x:v>Multiplica Capital</x:v>
      </x:c>
      <x:c r="E3010" s="168" t="str">
        <x:f>IFERROR(INDEX('Classif Gestoras'!$H$6:$H$462,MATCH(D3010,'Classif Gestoras'!$A$6:$A$462,0)),"Não classificada")</x:f>
        <x:v>Independente</x:v>
      </x:c>
      <x:c r="F3010" s="168" t="str">
        <x:v>PLANNER CV</x:v>
      </x:c>
      <x:c r="G3010" s="168" t="str">
        <x:v>PLANNER CORRETORA DE VALORES S.A.</x:v>
      </x:c>
      <x:c r="H3010" s="168" t="str">
        <x:v>Outros</x:v>
      </x:c>
      <x:c r="I3010" s="168" t="str">
        <x:v>Multicarteira Outros</x:v>
      </x:c>
      <x:c r="J3010" s="168" t="str">
        <x:v>CI</x:v>
      </x:c>
      <x:c r="K3010" s="174" t="n">
        <x:v>3</x:v>
      </x:c>
      <x:c r="L3010" s="187" t="str">
        <x:v>Proxy multicedente/multissacado — revisar</x:v>
      </x:c>
    </x:row>
    <x:row r="3011">
      <x:c r="A3011" s="177" t="str">
        <x:v>26.199.799/0001-80</x:v>
      </x:c>
      <x:c r="B3011" s="168" t="str">
        <x:v>TARISUL FUNDO DE INVESTIMENTO EM DIREITOS CREDITÓRIOS MULTISSETORIAL</x:v>
      </x:c>
      <x:c r="C3011" s="190" t="n">
        <x:v>1147041.53</x:v>
      </x:c>
      <x:c r="D3011" s="168" t="str">
        <x:v>OURO PRETO INVESTIMENTOS</x:v>
      </x:c>
      <x:c r="E3011" s="168" t="str">
        <x:f>IFERROR(INDEX('Classif Gestoras'!$H$6:$H$462,MATCH(D3011,'Classif Gestoras'!$A$6:$A$462,0)),"Não classificada")</x:f>
        <x:v>Independente</x:v>
      </x:c>
      <x:c r="F3011" s="168" t="str">
        <x:v>Singulare</x:v>
      </x:c>
      <x:c r="G3011" s="168" t="str">
        <x:v>QI CORRETORA DE TÍTULOS E VALORES MOBILIÁRIOS S.A.</x:v>
      </x:c>
      <x:c r="H3011" s="168" t="str">
        <x:v>Fomento Mercantil</x:v>
      </x:c>
      <x:c r="I3011" s="168" t="str">
        <x:v>Fomento Mercantil</x:v>
      </x:c>
      <x:c r="J3011" s="168" t="str">
        <x:v>CI</x:v>
      </x:c>
      <x:c r="K3011" s="174" t="n">
        <x:v>7</x:v>
      </x:c>
      <x:c r="L3011" s="187" t="str">
        <x:v>Não classificado</x:v>
      </x:c>
    </x:row>
    <x:row r="3012">
      <x:c r="A3012" s="177" t="str">
        <x:v>46.450.551/0001-58</x:v>
      </x:c>
      <x:c r="B3012" s="168" t="str">
        <x:v>D365 FUNDO DE INVESTIMENTO EM DIREITOS CREDITÓRIOS</x:v>
      </x:c>
      <x:c r="C3012" s="190" t="n">
        <x:v>1144353.48</x:v>
      </x:c>
      <x:c r="D3012" s="168" t="str">
        <x:v>DAYCOVAL ASSET MANAG</x:v>
      </x:c>
      <x:c r="E3012" s="168" t="str">
        <x:f>IFERROR(INDEX('Classif Gestoras'!$H$6:$H$462,MATCH(D3012,'Classif Gestoras'!$A$6:$A$462,0)),"Não classificada")</x:f>
        <x:v>Ligada a banco</x:v>
      </x:c>
      <x:c r="F3012" s="168" t="str">
        <x:v>BANCO DAYCOVAL S/A</x:v>
      </x:c>
      <x:c r="G3012" s="168" t="str">
        <x:v>BANCO DAYCOVAL S.A.</x:v>
      </x:c>
      <x:c r="H3012" s="168" t="str">
        <x:v>Outros</x:v>
      </x:c>
      <x:c r="I3012" s="168" t="str">
        <x:v>Multicarteira Outros</x:v>
      </x:c>
      <x:c r="J3012" s="168" t="str">
        <x:v>CI</x:v>
      </x:c>
      <x:c r="K3012" s="174" t="n">
        <x:v>1</x:v>
      </x:c>
      <x:c r="L3012" s="187" t="str">
        <x:v>Proxy multicedente/multissacado — revisar</x:v>
      </x:c>
    </x:row>
    <x:row r="3013">
      <x:c r="A3013" s="177" t="str">
        <x:v>63.462.870/0001-00</x:v>
      </x:c>
      <x:c r="B3013" s="168" t="str">
        <x:v>NAD CAPITAL OSHER FUNDO DE INVESTIMENTO EM DIREITOS CREDITÓRIOS</x:v>
      </x:c>
      <x:c r="C3013" s="190" t="n">
        <x:v>1136622.69</x:v>
      </x:c>
      <x:c r="D3013" s="168" t="str">
        <x:v>R CAPITAL ASSET MANAGEMENT INVESTIMENTOS S.A.</x:v>
      </x:c>
      <x:c r="E3013" s="168" t="str">
        <x:f>IFERROR(INDEX('Classif Gestoras'!$H$6:$H$462,MATCH(D3013,'Classif Gestoras'!$A$6:$A$462,0)),"Não classificada")</x:f>
        <x:v>Independente</x:v>
      </x:c>
      <x:c r="F3013" s="168" t="str">
        <x:v>Qore DTVM</x:v>
      </x:c>
      <x:c r="G3013" s="168" t="str">
        <x:v>QORE DISTRIBUIDORA DE TÍTULOS E VALORES MOBILIÁRIOS LTDA.</x:v>
      </x:c>
      <x:c r="H3013" s="168" t="str">
        <x:v>Outros</x:v>
      </x:c>
      <x:c r="I3013" s="168" t="str">
        <x:v>Multicarteira Outros</x:v>
      </x:c>
      <x:c r="J3013" s="168" t="str">
        <x:v>CI</x:v>
      </x:c>
      <x:c r="K3013" s="174" t="n">
        <x:v>5</x:v>
      </x:c>
      <x:c r="L3013" s="187" t="str">
        <x:v>Proxy multicedente/multissacado — revisar</x:v>
      </x:c>
    </x:row>
    <x:row r="3014">
      <x:c r="A3014" s="177" t="str">
        <x:v>61.805.739/0001-65</x:v>
      </x:c>
      <x:c r="B3014" s="168" t="str">
        <x:v>AGRICORE FUNDO DE INVESTIMENTO EM DIREITOS CREDITÓRIOS RESPONSABILIDADE LIMITADA</x:v>
      </x:c>
      <x:c r="C3014" s="190" t="n">
        <x:v>1129547.84</x:v>
      </x:c>
      <x:c r="D3014" s="168" t="str">
        <x:v>Catálise Investimentos</x:v>
      </x:c>
      <x:c r="E3014" s="168" t="str">
        <x:f>IFERROR(INDEX('Classif Gestoras'!$H$6:$H$462,MATCH(D3014,'Classif Gestoras'!$A$6:$A$462,0)),"Não classificada")</x:f>
        <x:v>Independente</x:v>
      </x:c>
      <x:c r="F3014" s="168" t="str">
        <x:v>FIDD DISTRIBUIDORA DE TITULOS E VALORES MOBILIARIOS LTD</x:v>
      </x:c>
      <x:c r="G3014" s="168" t="str">
        <x:v>FIDD DISTRIBUIDORA DE TITULOS E VALORES MOBILIARIOS LTDA.</x:v>
      </x:c>
      <x:c r="H3014" s="168" t="str">
        <x:v>Outros</x:v>
      </x:c>
      <x:c r="I3014" s="168" t="str">
        <x:v>Multicarteira Outros</x:v>
      </x:c>
      <x:c r="J3014" s="168" t="str">
        <x:v>CI</x:v>
      </x:c>
      <x:c r="K3014" s="174" t="n">
        <x:v>2</x:v>
      </x:c>
      <x:c r="L3014" s="187" t="str">
        <x:v>Proxy multicedente/multissacado — revisar</x:v>
      </x:c>
    </x:row>
    <x:row r="3015">
      <x:c r="A3015" s="177" t="str">
        <x:v>59.331.492/0001-40</x:v>
      </x:c>
      <x:c r="B3015" s="168" t="str">
        <x:v>YELLOW CAPITAL I FUNDO DE INVESTIMENTO EM DIREITOS CREDITÓRIOS MULTISSETORIAL - RESP ILIMITADA</x:v>
      </x:c>
      <x:c r="C3015" s="190" t="n">
        <x:v>1114515.7049999998</x:v>
      </x:c>
      <x:c r="D3015" s="168" t="str">
        <x:v>OURO PRETO INVESTIMENTOS</x:v>
      </x:c>
      <x:c r="E3015" s="168" t="str">
        <x:f>IFERROR(INDEX('Classif Gestoras'!$H$6:$H$462,MATCH(D3015,'Classif Gestoras'!$A$6:$A$462,0)),"Não classificada")</x:f>
        <x:v>Independente</x:v>
      </x:c>
      <x:c r="F3015" s="168" t="str">
        <x:v>Limine Trust Distribuidora de Titulos e Valores Mobiliá</x:v>
      </x:c>
      <x:c r="G3015" s="168" t="str">
        <x:v>LIMINE TRUST DISTRIBUIDORA DE TITULOS E VALORES MOBILIARIOS LTDA.</x:v>
      </x:c>
      <x:c r="H3015" s="168" t="str">
        <x:v>Fomento Mercantil</x:v>
      </x:c>
      <x:c r="I3015" s="168" t="str">
        <x:v>Fomento Mercantil</x:v>
      </x:c>
      <x:c r="J3015" s="168" t="str">
        <x:v>CI</x:v>
      </x:c>
      <x:c r="K3015" s="174" t="n">
        <x:v>4</x:v>
      </x:c>
      <x:c r="L3015" s="187" t="str">
        <x:v>Não classificado</x:v>
      </x:c>
    </x:row>
    <x:row r="3016">
      <x:c r="A3016" s="177" t="str">
        <x:v>57.133.534/0001-03</x:v>
      </x:c>
      <x:c r="B3016" s="168" t="str">
        <x:v>JIF INFRA - FUNDO DE INVESTIMENTO EM DIREITOS CREDITÓRIOS CRÉDITO PRIVADO</x:v>
      </x:c>
      <x:c r="C3016" s="190" t="n">
        <x:v>1098742.09</x:v>
      </x:c>
      <x:c r="D3016" s="168" t="str">
        <x:v>JIVE HIGH YIELD GESTÃO DE RECURSOS LTDA</x:v>
      </x:c>
      <x:c r="E3016" s="168" t="str">
        <x:f>IFERROR(INDEX('Classif Gestoras'!$H$6:$H$462,MATCH(D3016,'Classif Gestoras'!$A$6:$A$462,0)),"Não classificada")</x:f>
        <x:v>Independente</x:v>
      </x:c>
      <x:c r="F3016" s="168" t="str">
        <x:v>BANCO DAYCOVAL S/A</x:v>
      </x:c>
      <x:c r="G3016" s="168" t="str">
        <x:v>BANCO DAYCOVAL S.A.</x:v>
      </x:c>
      <x:c r="H3016" s="168" t="str">
        <x:v>Financeiro</x:v>
      </x:c>
      <x:c r="I3016" s="168" t="str">
        <x:v>Multicarteira Financeiro</x:v>
      </x:c>
      <x:c r="J3016" s="168" t="str">
        <x:v>CI</x:v>
      </x:c>
      <x:c r="K3016" s="174" t="n">
        <x:v>1</x:v>
      </x:c>
      <x:c r="L3016" s="187" t="str">
        <x:v>Proxy multicedente/multissacado — revisar</x:v>
      </x:c>
    </x:row>
    <x:row r="3017">
      <x:c r="A3017" s="177" t="str">
        <x:v>54.214.825/0001-38</x:v>
      </x:c>
      <x:c r="B3017" s="168" t="str">
        <x:v>KOB 1 FUNDO DE INVESTIMENTO EM DIREITOS CREDITÓRIOS - RESPONSABILIDADE LIMITADA</x:v>
      </x:c>
      <x:c r="C3017" s="190" t="n">
        <x:v>1096750.41</x:v>
      </x:c>
      <x:c r="D3017" s="168" t="str">
        <x:v>Vectis Gestão</x:v>
      </x:c>
      <x:c r="E3017" s="168" t="str">
        <x:f>IFERROR(INDEX('Classif Gestoras'!$H$6:$H$462,MATCH(D3017,'Classif Gestoras'!$A$6:$A$462,0)),"Não classificada")</x:f>
        <x:v>Independente</x:v>
      </x:c>
      <x:c r="F3017" s="168" t="str">
        <x:v>VÓRTX DTVM</x:v>
      </x:c>
      <x:c r="G3017" s="168" t="str">
        <x:v>VORTX DISTRIBUIDORA DE TITULOS E VALORES MOBILIARIOS LTDA.</x:v>
      </x:c>
      <x:c r="H3017" s="168" t="str">
        <x:v>Outros</x:v>
      </x:c>
      <x:c r="I3017" s="168" t="str">
        <x:v>Multicarteira Outros</x:v>
      </x:c>
      <x:c r="J3017" s="168" t="str">
        <x:v>CI</x:v>
      </x:c>
      <x:c r="K3017" s="174" t="n">
        <x:v>1</x:v>
      </x:c>
      <x:c r="L3017" s="187" t="str">
        <x:v>Proxy multicedente/multissacado — revisar</x:v>
      </x:c>
    </x:row>
    <x:row r="3018">
      <x:c r="A3018" s="177" t="str">
        <x:v>50.356.663/0001-11</x:v>
      </x:c>
      <x:c r="B3018" s="168" t="str">
        <x:v>ABF VISION FUNDO DE INVESTIMENTO EM DIREITOS CREDITÓRIOS NÃO-PADRONIZADOS</x:v>
      </x:c>
      <x:c r="C3018" s="190" t="n">
        <x:v>1091570.1799999997</x:v>
      </x:c>
      <x:c r="D3018" s="168" t="str">
        <x:v>AZUMI ASSET</x:v>
      </x:c>
      <x:c r="E3018" s="168" t="str">
        <x:f>IFERROR(INDEX('Classif Gestoras'!$H$6:$H$462,MATCH(D3018,'Classif Gestoras'!$A$6:$A$462,0)),"Não classificada")</x:f>
        <x:v>Independente</x:v>
      </x:c>
      <x:c r="F3018" s="168" t="str">
        <x:v>AZUMI DISTRIBUIDORA DE TÍTULOS E VALORES MOBILIÁRIOS LT</x:v>
      </x:c>
      <x:c r="G3018" s="168" t="str">
        <x:v>AZUMI DISTRIBUIDORA DE TÍTULOS E VALORES MOBILIÁRIOS LTDA.</x:v>
      </x:c>
      <x:c r="H3018" s="168" t="str">
        <x:v>Outros</x:v>
      </x:c>
      <x:c r="I3018" s="168" t="str">
        <x:v>Multicarteira Outros</x:v>
      </x:c>
      <x:c r="J3018" s="168" t="str">
        <x:v>CI</x:v>
      </x:c>
      <x:c r="K3018" s="174" t="n">
        <x:v>7</x:v>
      </x:c>
      <x:c r="L3018" s="187" t="str">
        <x:v>Proxy multicedente/multissacado — revisar</x:v>
      </x:c>
    </x:row>
    <x:row r="3019">
      <x:c r="A3019" s="177" t="str">
        <x:v>51.517.938/0001-14</x:v>
      </x:c>
      <x:c r="B3019" s="168" t="str">
        <x:v>PLX FUNDO DE INVESTIMENTO EM DIREITOS CREDITÓRIOS</x:v>
      </x:c>
      <x:c r="C3019" s="190" t="n">
        <x:v>1089682.89</x:v>
      </x:c>
      <x:c r="D3019" s="168" t="str">
        <x:v>FIDD Administração de Recursos Ltda.</x:v>
      </x:c>
      <x:c r="E3019" s="168" t="str">
        <x:f>IFERROR(INDEX('Classif Gestoras'!$H$6:$H$462,MATCH(D3019,'Classif Gestoras'!$A$6:$A$462,0)),"Não classificada")</x:f>
        <x:v>Independente</x:v>
      </x:c>
      <x:c r="F3019" s="168" t="str">
        <x:v>FIDD DISTRIBUIDORA DE TITULOS E VALORES MOBILIARIOS LTD</x:v>
      </x:c>
      <x:c r="G3019" s="168" t="str">
        <x:v>FIDD DISTRIBUIDORA DE TITULOS E VALORES MOBILIARIOS LTDA.</x:v>
      </x:c>
      <x:c r="H3019" s="168" t="str">
        <x:v>Outros</x:v>
      </x:c>
      <x:c r="I3019" s="168" t="str">
        <x:v>Recuperação</x:v>
      </x:c>
      <x:c r="J3019" s="168" t="str">
        <x:v>CI</x:v>
      </x:c>
      <x:c r="K3019" s="174" t="n">
        <x:v>9</x:v>
      </x:c>
      <x:c r="L3019" s="187" t="str">
        <x:v>Não classificado</x:v>
      </x:c>
    </x:row>
    <x:row r="3020">
      <x:c r="A3020" s="177" t="str">
        <x:v>63.310.209/0001-71</x:v>
      </x:c>
      <x:c r="B3020" s="168" t="str">
        <x:v>ORIGINAL II FUNDO DE INVESTIMENTO EM DIREITOS CREDITÓRIOS</x:v>
      </x:c>
      <x:c r="C3020" s="190" t="n">
        <x:v>1083958.63</x:v>
      </x:c>
      <x:c r="D3020" s="168" t="str">
        <x:v>M8 Partners</x:v>
      </x:c>
      <x:c r="E3020" s="168" t="str">
        <x:f>IFERROR(INDEX('Classif Gestoras'!$H$6:$H$462,MATCH(D3020,'Classif Gestoras'!$A$6:$A$462,0)),"Não classificada")</x:f>
        <x:v>Independente</x:v>
      </x:c>
      <x:c r="F3020" s="168" t="str">
        <x:v>Singulare</x:v>
      </x:c>
      <x:c r="G3020" s="168" t="str">
        <x:v>Não identificado</x:v>
      </x:c>
      <x:c r="H3020" s="168" t="str">
        <x:v>Outros</x:v>
      </x:c>
      <x:c r="I3020" s="168" t="str">
        <x:v>Multicarteira Outros</x:v>
      </x:c>
      <x:c r="J3020" s="168" t="str">
        <x:v>CI</x:v>
      </x:c>
      <x:c r="K3020" s="174" t="n">
        <x:v>1</x:v>
      </x:c>
      <x:c r="L3020" s="187" t="str">
        <x:v>Proxy multicedente/multissacado — revisar</x:v>
      </x:c>
    </x:row>
    <x:row r="3021">
      <x:c r="A3021" s="177" t="str">
        <x:v>53.197.397/0001-10</x:v>
      </x:c>
      <x:c r="B3021" s="168" t="str">
        <x:v>CIRRUS FUNDO DE INVESTIMENTO EM DIREITOS CREDITÓRIOS</x:v>
      </x:c>
      <x:c r="C3021" s="190" t="n">
        <x:v>1066676.88</x:v>
      </x:c>
      <x:c r="D3021" s="168" t="str">
        <x:v>FOURCE GESTAO DE RECURSOS LTDA</x:v>
      </x:c>
      <x:c r="E3021" s="168" t="str">
        <x:f>IFERROR(INDEX('Classif Gestoras'!$H$6:$H$462,MATCH(D3021,'Classif Gestoras'!$A$6:$A$462,0)),"Não classificada")</x:f>
        <x:v>Independente</x:v>
      </x:c>
      <x:c r="F3021" s="168" t="str">
        <x:v>ACTUAL DTVM</x:v>
      </x:c>
      <x:c r="G3021" s="168" t="str">
        <x:v>LASTRO RDV DTVM LTDA</x:v>
      </x:c>
      <x:c r="H3021" s="168" t="str">
        <x:v>Outros</x:v>
      </x:c>
      <x:c r="I3021" s="168" t="str">
        <x:v>Multicarteira Outros</x:v>
      </x:c>
      <x:c r="J3021" s="168" t="str">
        <x:v>CI</x:v>
      </x:c>
      <x:c r="K3021" s="174" t="n">
        <x:v>1</x:v>
      </x:c>
      <x:c r="L3021" s="187" t="str">
        <x:v>Proxy multicedente/multissacado — revisar</x:v>
      </x:c>
    </x:row>
    <x:row r="3022">
      <x:c r="A3022" s="177" t="str">
        <x:v>11.675.457/0001-12</x:v>
      </x:c>
      <x:c r="B3022" s="168" t="str">
        <x:v>FUNDO DE INVESTIMENTO EM DIREITOS CREDITORIOS MULTISETORIAL MASTER</x:v>
      </x:c>
      <x:c r="C3022" s="190" t="n">
        <x:v>1056694.33</x:v>
      </x:c>
      <x:c r="D3022" s="168" t="str">
        <x:v>Plural</x:v>
      </x:c>
      <x:c r="E3022" s="168" t="str">
        <x:f>IFERROR(INDEX('Classif Gestoras'!$H$6:$H$462,MATCH(D3022,'Classif Gestoras'!$A$6:$A$462,0)),"Não classificada")</x:f>
        <x:v>Ligada a banco</x:v>
      </x:c>
      <x:c r="F3022" s="168" t="str">
        <x:v>Genial Investimentos Corretora de Valores Mobiliários S.A.</x:v>
      </x:c>
      <x:c r="G3022" s="168" t="str">
        <x:v>BANCO GENIAL S.A.</x:v>
      </x:c>
      <x:c r="H3022" s="168" t="str">
        <x:v>Agro, Indústria e Comércio</x:v>
      </x:c>
      <x:c r="I3022" s="168" t="str">
        <x:v>Crédito Corporativo</x:v>
      </x:c>
      <x:c r="J3022" s="168" t="str">
        <x:v>CI</x:v>
      </x:c>
      <x:c r="K3022" s="174" t="n">
        <x:v>23</x:v>
      </x:c>
      <x:c r="L3022" s="187" t="str">
        <x:v>Não classificado</x:v>
      </x:c>
    </x:row>
    <x:row r="3023">
      <x:c r="A3023" s="177" t="str">
        <x:v>59.172.572/0001-09</x:v>
      </x:c>
      <x:c r="B3023" s="168" t="str">
        <x:v>CASAS BAHIA CDC FUNDO DE INVESTIMENTO EM DIREITOS CREDITÓRIOS LP RESPONSABILIDADE LIMITADA</x:v>
      </x:c>
      <x:c r="C3023" s="190" t="n">
        <x:v>1042834.88</x:v>
      </x:c>
      <x:c r="D3023" s="168" t="str">
        <x:v>RedAsset Gestão de Recursos Ltda.</x:v>
      </x:c>
      <x:c r="E3023" s="168" t="str">
        <x:f>IFERROR(INDEX('Classif Gestoras'!$H$6:$H$462,MATCH(D3023,'Classif Gestoras'!$A$6:$A$462,0)),"Não classificada")</x:f>
        <x:v>Independente</x:v>
      </x:c>
      <x:c r="F3023" s="168" t="str">
        <x:v>Finaxis Corretora de Títulos e Valores Mobiliários S.A.</x:v>
      </x:c>
      <x:c r="G3023" s="168" t="str">
        <x:v>BANCO FINAXIS S.A.</x:v>
      </x:c>
      <x:c r="H3023" s="168" t="str">
        <x:v>Outros</x:v>
      </x:c>
      <x:c r="I3023" s="168" t="str">
        <x:v>Multicarteira Outros</x:v>
      </x:c>
      <x:c r="J3023" s="168" t="str">
        <x:v>CI</x:v>
      </x:c>
      <x:c r="K3023" s="174" t="n">
        <x:v>1</x:v>
      </x:c>
      <x:c r="L3023" s="187" t="str">
        <x:v>Proxy multicedente/multissacado — revisar</x:v>
      </x:c>
    </x:row>
    <x:row r="3024">
      <x:c r="A3024" s="177" t="str">
        <x:v>63.103.274/0001-26</x:v>
      </x:c>
      <x:c r="B3024" s="168" t="str">
        <x:v>TAX AGRO CASH FUNDO DE INVESTIMENTO EM DIREITOS CREDITÓRIOS</x:v>
      </x:c>
      <x:c r="C3024" s="190" t="n">
        <x:v>1039942.88</x:v>
      </x:c>
      <x:c r="D3024" s="168" t="str">
        <x:v>OKEAN INVEST</x:v>
      </x:c>
      <x:c r="E3024" s="168" t="str">
        <x:f>IFERROR(INDEX('Classif Gestoras'!$H$6:$H$462,MATCH(D3024,'Classif Gestoras'!$A$6:$A$462,0)),"Não classificada")</x:f>
        <x:v>Independente</x:v>
      </x:c>
      <x:c r="F3024" s="168" t="str">
        <x:v>Finvest Digital</x:v>
      </x:c>
      <x:c r="G3024" s="168" t="str">
        <x:v>FINVEST DISTRIBUIDORA DE TÍTULOS E VALORES MOBILIÁRIOS LTDA.</x:v>
      </x:c>
      <x:c r="H3024" s="168" t="str">
        <x:v>Outros</x:v>
      </x:c>
      <x:c r="I3024" s="168" t="str">
        <x:v>Multicarteira Outros</x:v>
      </x:c>
      <x:c r="J3024" s="168" t="str">
        <x:v>CI</x:v>
      </x:c>
      <x:c r="K3024" s="174" t="n">
        <x:v>2</x:v>
      </x:c>
      <x:c r="L3024" s="187" t="str">
        <x:v>Proxy multicedente/multissacado — revisar</x:v>
      </x:c>
    </x:row>
    <x:row r="3025">
      <x:c r="A3025" s="177" t="str">
        <x:v>29.284.795/0001-99</x:v>
      </x:c>
      <x:c r="B3025" s="168" t="str">
        <x:v>CANAVIEIRAS - FUNDO DE INVESTIMENTO EM DIREITOS CREDITÓRIOS NÃO-PADRONIZADOS - FIDC NP</x:v>
      </x:c>
      <x:c r="C3025" s="190" t="n">
        <x:v>1030338.1</x:v>
      </x:c>
      <x:c r="D3025" s="168" t="str">
        <x:v>Alameda Gestora de Investimentos Ltda</x:v>
      </x:c>
      <x:c r="E3025" s="168" t="str">
        <x:f>IFERROR(INDEX('Classif Gestoras'!$H$6:$H$462,MATCH(D3025,'Classif Gestoras'!$A$6:$A$462,0)),"Não classificada")</x:f>
        <x:v>Independente</x:v>
      </x:c>
      <x:c r="F3025" s="168" t="str">
        <x:v>Qore DTVM</x:v>
      </x:c>
      <x:c r="G3025" s="168" t="str">
        <x:v>QORE DISTRIBUIDORA DE TÍTULOS E VALORES MOBILIÁRIOS LTDA.</x:v>
      </x:c>
      <x:c r="H3025" s="168" t="str">
        <x:v>Outros</x:v>
      </x:c>
      <x:c r="I3025" s="168" t="str">
        <x:v>Multicarteira Outros</x:v>
      </x:c>
      <x:c r="J3025" s="168" t="str">
        <x:v>CI</x:v>
      </x:c>
      <x:c r="K3025" s="174" t="n">
        <x:v>1</x:v>
      </x:c>
      <x:c r="L3025" s="187" t="str">
        <x:v>Proxy multicedente/multissacado — revisar</x:v>
      </x:c>
    </x:row>
    <x:row r="3026">
      <x:c r="A3026" s="177" t="str">
        <x:v>63.884.884/0001-04</x:v>
      </x:c>
      <x:c r="B3026" s="168" t="str">
        <x:v>ÍMPAR SEGURALTA FUNDO DE INVESTIMENTO EM DIREITOS CREDITÓRIOS COMISSÕES DE SERVIÇOS</x:v>
      </x:c>
      <x:c r="C3026" s="190" t="n">
        <x:v>1029422.74</x:v>
      </x:c>
      <x:c r="D3026" s="168" t="str">
        <x:v>Gustavo Henrique Fonseca de Oliveira</x:v>
      </x:c>
      <x:c r="E3026" s="168" t="str">
        <x:f>IFERROR(INDEX('Classif Gestoras'!$H$6:$H$462,MATCH(D3026,'Classif Gestoras'!$A$6:$A$462,0)),"Não classificada")</x:f>
        <x:v>Independente</x:v>
      </x:c>
      <x:c r="F3026" s="168" t="str">
        <x:v>LIONS DTVM</x:v>
      </x:c>
      <x:c r="G3026" s="168" t="str">
        <x:v>LIONS TRUST DISTRIBUIDORA DE TÍTULOS E VALORES MOBILIÁRIOS LTDA.</x:v>
      </x:c>
      <x:c r="H3026" s="168" t="str">
        <x:v>Agro, Indústria e Comércio</x:v>
      </x:c>
      <x:c r="I3026" s="168" t="str">
        <x:v>Recebíveis Comerciais</x:v>
      </x:c>
      <x:c r="J3026" s="168" t="str">
        <x:v>CI</x:v>
      </x:c>
      <x:c r="K3026" s="174" t="n">
        <x:v>3</x:v>
      </x:c>
      <x:c r="L3026" s="187" t="str">
        <x:v>Não classificado</x:v>
      </x:c>
    </x:row>
    <x:row r="3027">
      <x:c r="A3027" s="177" t="str">
        <x:v>63.287.717/0001-86</x:v>
      </x:c>
      <x:c r="B3027" s="168" t="str">
        <x:v>BERAKAH FUNDO DE INVESTIMENTO EM DIREITOS CREDITÓRIOS</x:v>
      </x:c>
      <x:c r="C3027" s="190" t="n">
        <x:v>1017099.3</x:v>
      </x:c>
      <x:c r="D3027" s="168" t="str">
        <x:v>Menestys</x:v>
      </x:c>
      <x:c r="E3027" s="168" t="str">
        <x:f>IFERROR(INDEX('Classif Gestoras'!$H$6:$H$462,MATCH(D3027,'Classif Gestoras'!$A$6:$A$462,0)),"Não classificada")</x:f>
        <x:v>Independente</x:v>
      </x:c>
      <x:c r="F3027" s="168" t="str">
        <x:v>FIDD DISTRIBUIDORA DE TITULOS E VALORES MOBILIARIOS LTD</x:v>
      </x:c>
      <x:c r="G3027" s="168" t="str">
        <x:v>FIDD DISTRIBUIDORA DE TITULOS E VALORES MOBILIARIOS LTDA.</x:v>
      </x:c>
      <x:c r="H3027" s="168" t="str">
        <x:v>Agro, Indústria e Comércio</x:v>
      </x:c>
      <x:c r="I3027" s="168" t="str">
        <x:v>Multicarteira Agro, Indústria e Comércio</x:v>
      </x:c>
      <x:c r="J3027" s="168" t="str">
        <x:v>CI</x:v>
      </x:c>
      <x:c r="K3027" s="174" t="n">
        <x:v>3</x:v>
      </x:c>
      <x:c r="L3027" s="187" t="str">
        <x:v>Proxy multicedente/multissacado — revisar</x:v>
      </x:c>
    </x:row>
    <x:row r="3028">
      <x:c r="A3028" s="177" t="str">
        <x:v>47.425.887/0001-23</x:v>
      </x:c>
      <x:c r="B3028" s="168" t="str">
        <x:v>FUNDO DE INVESTIMENTO EM DIREITOS CREDITÓRIOS NEON UP</x:v>
      </x:c>
      <x:c r="C3028" s="190" t="n">
        <x:v>1012167.24</x:v>
      </x:c>
      <x:c r="D3028" s="168" t="str">
        <x:v>VALORA RENDA FIXA LTDA.</x:v>
      </x:c>
      <x:c r="E3028" s="168" t="str">
        <x:f>IFERROR(INDEX('Classif Gestoras'!$H$6:$H$462,MATCH(D3028,'Classif Gestoras'!$A$6:$A$462,0)),"Não classificada")</x:f>
        <x:v>Independente</x:v>
      </x:c>
      <x:c r="F3028" s="168" t="str">
        <x:v>Singulare</x:v>
      </x:c>
      <x:c r="G3028" s="168" t="str">
        <x:v>QI CORRETORA DE TÍTULOS E VALORES MOBILIÁRIOS S.A.</x:v>
      </x:c>
      <x:c r="H3028" s="168" t="str">
        <x:v>Financeiro</x:v>
      </x:c>
      <x:c r="I3028" s="168" t="str">
        <x:v>Crédito Pessoal</x:v>
      </x:c>
      <x:c r="J3028" s="168" t="str">
        <x:v>CI</x:v>
      </x:c>
      <x:c r="K3028" s="174" t="n">
        <x:v>1</x:v>
      </x:c>
      <x:c r="L3028" s="187" t="str">
        <x:v>Não classificado</x:v>
      </x:c>
    </x:row>
    <x:row r="3029">
      <x:c r="A3029" s="177" t="str">
        <x:v>55.159.493/0001-07</x:v>
      </x:c>
      <x:c r="B3029" s="168" t="str">
        <x:v>FUNDO DE INVESTIMENTO EM DIREITOS CREDITORIOS NEW EDAN II</x:v>
      </x:c>
      <x:c r="C3029" s="190" t="n">
        <x:v>1008496.09</x:v>
      </x:c>
      <x:c r="D3029" s="168" t="str">
        <x:v>Redwood Asset Management</x:v>
      </x:c>
      <x:c r="E3029" s="168" t="str">
        <x:f>IFERROR(INDEX('Classif Gestoras'!$H$6:$H$462,MATCH(D3029,'Classif Gestoras'!$A$6:$A$462,0)),"Não classificada")</x:f>
        <x:v>Independente</x:v>
      </x:c>
      <x:c r="F3029" s="168" t="str">
        <x:v>PLANNER CV</x:v>
      </x:c>
      <x:c r="G3029" s="168" t="str">
        <x:v>PLANNER CORRETORA DE VALORES S.A.</x:v>
      </x:c>
      <x:c r="H3029" s="168" t="str">
        <x:v>Outros</x:v>
      </x:c>
      <x:c r="I3029" s="168" t="str">
        <x:v>Multicarteira Outros</x:v>
      </x:c>
      <x:c r="J3029" s="168" t="str">
        <x:v>CI</x:v>
      </x:c>
      <x:c r="K3029" s="174" t="n">
        <x:v>1</x:v>
      </x:c>
      <x:c r="L3029" s="187" t="str">
        <x:v>Proxy multicedente/multissacado — revisar</x:v>
      </x:c>
    </x:row>
    <x:row r="3030">
      <x:c r="A3030" s="177" t="str">
        <x:v>52.714.676/0001-40</x:v>
      </x:c>
      <x:c r="B3030" s="168" t="str">
        <x:v>PROUST FUNDO DE INVESTIMENTO EM DIREITOS CREDITÓRIOS</x:v>
      </x:c>
      <x:c r="C3030" s="190" t="n">
        <x:v>1002900.21</x:v>
      </x:c>
      <x:c r="D3030" s="168" t="str">
        <x:v>Geribá Investimentos Ltda.</x:v>
      </x:c>
      <x:c r="E3030" s="168" t="str">
        <x:f>IFERROR(INDEX('Classif Gestoras'!$H$6:$H$462,MATCH(D3030,'Classif Gestoras'!$A$6:$A$462,0)),"Não classificada")</x:f>
        <x:v>Independente</x:v>
      </x:c>
      <x:c r="F3030" s="168" t="str">
        <x:v>Singulare</x:v>
      </x:c>
      <x:c r="G3030" s="168" t="str">
        <x:v>QI CORRETORA DE TÍTULOS E VALORES MOBILIÁRIOS S.A.</x:v>
      </x:c>
      <x:c r="H3030" s="168" t="str">
        <x:v>Outros</x:v>
      </x:c>
      <x:c r="I3030" s="168" t="str">
        <x:v>Multicarteira Outros</x:v>
      </x:c>
      <x:c r="J3030" s="168" t="str">
        <x:v>CI</x:v>
      </x:c>
      <x:c r="K3030" s="174" t="n">
        <x:v>1</x:v>
      </x:c>
      <x:c r="L3030" s="187" t="str">
        <x:v>Proxy multicedente/multissacado — revisar</x:v>
      </x:c>
    </x:row>
    <x:row r="3031">
      <x:c r="A3031" s="177" t="str">
        <x:v>17.206.614/0001-27</x:v>
      </x:c>
      <x:c r="B3031" s="168" t="str">
        <x:v>CNPJ 17206614000127</x:v>
      </x:c>
      <x:c r="C3031" s="190" t="n">
        <x:v>1002421.99</x:v>
      </x:c>
      <x:c r="D3031" s="168" t="str">
        <x:v>Emerald Gestão de Investimento</x:v>
      </x:c>
      <x:c r="E3031" s="168" t="str">
        <x:f>IFERROR(INDEX('Classif Gestoras'!$H$6:$H$462,MATCH(D3031,'Classif Gestoras'!$A$6:$A$462,0)),"Não classificada")</x:f>
        <x:v>Independente</x:v>
      </x:c>
      <x:c r="F3031" s="168" t="str">
        <x:v>BANCO J. SAFRA S/A</x:v>
      </x:c>
      <x:c r="G3031" s="168" t="str">
        <x:v>Não identificado</x:v>
      </x:c>
      <x:c r="H3031" s="168" t="str">
        <x:v>Outros</x:v>
      </x:c>
      <x:c r="I3031" s="168" t="str">
        <x:v>Poder Público</x:v>
      </x:c>
      <x:c r="J3031" s="168" t="str">
        <x:v>CI</x:v>
      </x:c>
      <x:c r="K3031" s="174"/>
      <x:c r="L3031" s="187" t="str">
        <x:v>Não classificado</x:v>
      </x:c>
    </x:row>
    <x:row r="3032">
      <x:c r="A3032" s="177" t="str">
        <x:v>41.282.794/0001-00</x:v>
      </x:c>
      <x:c r="B3032" s="168" t="str">
        <x:v>FRONTEIRA HIGH YIELD FUNDO DE INVESTIMENTO EM DIREITOS CREDITÓRIOS DE RESPONSABILIDADE LIMITADA</x:v>
      </x:c>
      <x:c r="C3032" s="190" t="n">
        <x:v>1000663.07</x:v>
      </x:c>
      <x:c r="D3032" s="168" t="str">
        <x:v>Fronteira Invest</x:v>
      </x:c>
      <x:c r="E3032" s="168" t="str">
        <x:f>IFERROR(INDEX('Classif Gestoras'!$H$6:$H$462,MATCH(D3032,'Classif Gestoras'!$A$6:$A$462,0)),"Não classificada")</x:f>
        <x:v>Independente</x:v>
      </x:c>
      <x:c r="F3032" s="168" t="str">
        <x:v>BANCO DAYCOVAL S/A</x:v>
      </x:c>
      <x:c r="G3032" s="168" t="str">
        <x:v>BANCO DAYCOVAL S.A.</x:v>
      </x:c>
      <x:c r="H3032" s="168" t="str">
        <x:v>Outros</x:v>
      </x:c>
      <x:c r="I3032" s="168" t="str">
        <x:v>Multicarteira Outros</x:v>
      </x:c>
      <x:c r="J3032" s="168" t="str">
        <x:v>CI</x:v>
      </x:c>
      <x:c r="K3032" s="174" t="n">
        <x:v>1</x:v>
      </x:c>
      <x:c r="L3032" s="187" t="str">
        <x:v>Proxy multicedente/multissacado — revisar</x:v>
      </x:c>
    </x:row>
    <x:row r="3033">
      <x:c r="A3033" s="177" t="str">
        <x:v>30.283.991/0001-28</x:v>
      </x:c>
      <x:c r="B3033" s="168" t="str">
        <x:v>ZEUS FUNDO DE INVESTIMENTO EM DIREITOS CREDITÓRIOS NÃO PADRONIZADOS</x:v>
      </x:c>
      <x:c r="C3033" s="190" t="n">
        <x:v>995837.54</x:v>
      </x:c>
      <x:c r="D3033" s="168" t="str">
        <x:v>G5 Adm. de Recursos</x:v>
      </x:c>
      <x:c r="E3033" s="168" t="str">
        <x:f>IFERROR(INDEX('Classif Gestoras'!$H$6:$H$462,MATCH(D3033,'Classif Gestoras'!$A$6:$A$462,0)),"Não classificada")</x:f>
        <x:v>Independente</x:v>
      </x:c>
      <x:c r="F3033" s="168" t="str">
        <x:v>Singulare</x:v>
      </x:c>
      <x:c r="G3033" s="168" t="str">
        <x:v>QI CORRETORA DE TÍTULOS E VALORES MOBILIÁRIOS S.A.</x:v>
      </x:c>
      <x:c r="H3033" s="168" t="str">
        <x:v>Outros</x:v>
      </x:c>
      <x:c r="I3033" s="168" t="str">
        <x:v>Multicarteira Outros</x:v>
      </x:c>
      <x:c r="J3033" s="168" t="str">
        <x:v>CI</x:v>
      </x:c>
      <x:c r="K3033" s="174" t="n">
        <x:v>1</x:v>
      </x:c>
      <x:c r="L3033" s="187" t="str">
        <x:v>Proxy multicedente/multissacado — revisar</x:v>
      </x:c>
    </x:row>
    <x:row r="3034">
      <x:c r="A3034" s="177" t="str">
        <x:v>64.097.712/0001-53</x:v>
      </x:c>
      <x:c r="B3034" s="168" t="str">
        <x:v>CUSTOM CREDIT FUNDO DE INVESTIMENTO EM DIREITOS CREDITÓRIOS - RESPONSABILIDADE LIMITADA</x:v>
      </x:c>
      <x:c r="C3034" s="190" t="n">
        <x:v>989616.21</x:v>
      </x:c>
      <x:c r="D3034" s="168" t="str">
        <x:v>BLUEWAVE ASSET LTDA</x:v>
      </x:c>
      <x:c r="E3034" s="168" t="str">
        <x:f>IFERROR(INDEX('Classif Gestoras'!$H$6:$H$462,MATCH(D3034,'Classif Gestoras'!$A$6:$A$462,0)),"Não classificada")</x:f>
        <x:v>Independente</x:v>
      </x:c>
      <x:c r="F3034" s="168" t="str">
        <x:v>MONETAR DISTRIBUIDORA DE TITUL</x:v>
      </x:c>
      <x:c r="G3034" s="168" t="str">
        <x:v>TERRA INVESTIMENTOS DISTRIBUIDORA DE TITULOS E VALORES MOBILIARIOS LTDA</x:v>
      </x:c>
      <x:c r="H3034" s="168" t="str">
        <x:v>Outros</x:v>
      </x:c>
      <x:c r="I3034" s="168" t="str">
        <x:v>Multicarteira Outros</x:v>
      </x:c>
      <x:c r="J3034" s="168" t="str">
        <x:v>CI</x:v>
      </x:c>
      <x:c r="K3034" s="174" t="n">
        <x:v>4</x:v>
      </x:c>
      <x:c r="L3034" s="187" t="str">
        <x:v>Proxy multicedente/multissacado — revisar</x:v>
      </x:c>
    </x:row>
    <x:row r="3035">
      <x:c r="A3035" s="177" t="str">
        <x:v>64.126.192/0001-60</x:v>
      </x:c>
      <x:c r="B3035" s="168" t="str">
        <x:v>ALPHA PRO FUNDO DE INVESTIMENTO EM DIREITOS CREDITÓRIOS</x:v>
      </x:c>
      <x:c r="C3035" s="190" t="n">
        <x:v>969292.73</x:v>
      </x:c>
      <x:c r="D3035" s="168" t="str">
        <x:v>OKEAN INVEST</x:v>
      </x:c>
      <x:c r="E3035" s="168" t="str">
        <x:f>IFERROR(INDEX('Classif Gestoras'!$H$6:$H$462,MATCH(D3035,'Classif Gestoras'!$A$6:$A$462,0)),"Não classificada")</x:f>
        <x:v>Independente</x:v>
      </x:c>
      <x:c r="F3035" s="168" t="str">
        <x:v>Finvest Digital</x:v>
      </x:c>
      <x:c r="G3035" s="168" t="str">
        <x:v>FINVEST DISTRIBUIDORA DE TÍTULOS E VALORES MOBILIÁRIOS LTDA.</x:v>
      </x:c>
      <x:c r="H3035" s="168" t="str">
        <x:v>Outros</x:v>
      </x:c>
      <x:c r="I3035" s="168" t="str">
        <x:v>Multicarteira Outros</x:v>
      </x:c>
      <x:c r="J3035" s="168" t="str">
        <x:v>CI</x:v>
      </x:c>
      <x:c r="K3035" s="174" t="n">
        <x:v>5</x:v>
      </x:c>
      <x:c r="L3035" s="187" t="str">
        <x:v>Proxy multicedente/multissacado — revisar</x:v>
      </x:c>
    </x:row>
    <x:row r="3036">
      <x:c r="A3036" s="177" t="str">
        <x:v>64.809.660/0001-09</x:v>
      </x:c>
      <x:c r="B3036" s="168" t="str">
        <x:v>CRÉDITOS COLATERALIZADOS I FIDC DE CLASSE ÚNICA FECHADA DE RESPONSABILIDADE LIMITADA</x:v>
      </x:c>
      <x:c r="C3036" s="190" t="n">
        <x:v>949024.67</x:v>
      </x:c>
      <x:c r="D3036" s="168" t="str">
        <x:v>CARMEL GESTORA DE ATIVOS LTDA</x:v>
      </x:c>
      <x:c r="E3036" s="168" t="str">
        <x:f>IFERROR(INDEX('Classif Gestoras'!$H$6:$H$462,MATCH(D3036,'Classif Gestoras'!$A$6:$A$462,0)),"Não classificada")</x:f>
        <x:v>Independente</x:v>
      </x:c>
      <x:c r="F3036" s="168" t="str">
        <x:v>BRL TRUST DTVM</x:v>
      </x:c>
      <x:c r="G3036" s="168" t="str">
        <x:v>BRL TRUST DISTRIBUIDORA DE TITULOS E VALORES MOBILIARIOS S.A.</x:v>
      </x:c>
      <x:c r="H3036" s="168" t="str">
        <x:v>Financeiro</x:v>
      </x:c>
      <x:c r="I3036" s="168" t="str">
        <x:v>Crédito Pessoal</x:v>
      </x:c>
      <x:c r="J3036" s="168" t="str">
        <x:v>CI</x:v>
      </x:c>
      <x:c r="K3036" s="174" t="n">
        <x:v>1</x:v>
      </x:c>
      <x:c r="L3036" s="187" t="str">
        <x:v>Não classificado</x:v>
      </x:c>
    </x:row>
    <x:row r="3037">
      <x:c r="A3037" s="177" t="str">
        <x:v>57.937.985/0001-01</x:v>
      </x:c>
      <x:c r="B3037" s="168" t="str">
        <x:v>MOSAICO MULTICONSIGNADO I FUNDO DE INVESTIMENTO EM DIREITOS CREDITÓRIOS FINANCEIROS DE RESP LIMITADA</x:v>
      </x:c>
      <x:c r="C3037" s="190" t="n">
        <x:v>932728.23</x:v>
      </x:c>
      <x:c r="D3037" s="168" t="str">
        <x:v>Mosaico Gestora de Recursos Ltda.</x:v>
      </x:c>
      <x:c r="E3037" s="168" t="str">
        <x:f>IFERROR(INDEX('Classif Gestoras'!$H$6:$H$462,MATCH(D3037,'Classif Gestoras'!$A$6:$A$462,0)),"Não classificada")</x:f>
        <x:v>Independente</x:v>
      </x:c>
      <x:c r="F3037" s="168" t="str">
        <x:v>BANCO DAYCOVAL S/A</x:v>
      </x:c>
      <x:c r="G3037" s="168" t="str">
        <x:v>BANCO DAYCOVAL S.A.</x:v>
      </x:c>
      <x:c r="H3037" s="168" t="str">
        <x:v>Financeiro</x:v>
      </x:c>
      <x:c r="I3037" s="168" t="str">
        <x:v>Crédito Consignado</x:v>
      </x:c>
      <x:c r="J3037" s="168" t="str">
        <x:v>CI</x:v>
      </x:c>
      <x:c r="K3037" s="174" t="n">
        <x:v>3</x:v>
      </x:c>
      <x:c r="L3037" s="187" t="str">
        <x:v>Não classificado</x:v>
      </x:c>
    </x:row>
    <x:row r="3038">
      <x:c r="A3038" s="177" t="str">
        <x:v>62.475.218/0001-50</x:v>
      </x:c>
      <x:c r="B3038" s="168" t="str">
        <x:v>FIG NOBILE FUNDO DE INVESTIMENTO EM DIREITOS CREDITÓRIOS DE RESPONSABILIDADE LIMITADA</x:v>
      </x:c>
      <x:c r="C3038" s="190" t="n">
        <x:v>929899.02</x:v>
      </x:c>
      <x:c r="D3038" s="168" t="str">
        <x:v>Catálise Investimentos</x:v>
      </x:c>
      <x:c r="E3038" s="168" t="str">
        <x:f>IFERROR(INDEX('Classif Gestoras'!$H$6:$H$462,MATCH(D3038,'Classif Gestoras'!$A$6:$A$462,0)),"Não classificada")</x:f>
        <x:v>Independente</x:v>
      </x:c>
      <x:c r="F3038" s="168" t="str">
        <x:v>CATÁLISE DTVM</x:v>
      </x:c>
      <x:c r="G3038" s="168" t="str">
        <x:v>BANCO DAYCOVAL S.A.</x:v>
      </x:c>
      <x:c r="H3038" s="168" t="str">
        <x:v>Financeiro</x:v>
      </x:c>
      <x:c r="I3038" s="168" t="str">
        <x:v>Multicarteira Financeiro</x:v>
      </x:c>
      <x:c r="J3038" s="168" t="str">
        <x:v>CI</x:v>
      </x:c>
      <x:c r="K3038" s="174" t="n">
        <x:v>1</x:v>
      </x:c>
      <x:c r="L3038" s="187" t="str">
        <x:v>Proxy multicedente/multissacado — revisar</x:v>
      </x:c>
    </x:row>
    <x:row r="3039">
      <x:c r="A3039" s="177" t="str">
        <x:v>31.368.812/0001-18</x:v>
      </x:c>
      <x:c r="B3039" s="168" t="str">
        <x:v>FUNDO DE INVESTIMENTO EM DIREITOS CREDITÓRIOS BIZCAPITAL EMPÍRICA PME RESPONSABILIDADE LIMITADA</x:v>
      </x:c>
      <x:c r="C3039" s="190" t="n">
        <x:v>924812.6899999998</x:v>
      </x:c>
      <x:c r="D3039" s="168" t="str">
        <x:v>REAG GESTÃO DE CRÉDITO</x:v>
      </x:c>
      <x:c r="E3039" s="168" t="str">
        <x:f>IFERROR(INDEX('Classif Gestoras'!$H$6:$H$462,MATCH(D3039,'Classif Gestoras'!$A$6:$A$462,0)),"Não classificada")</x:f>
        <x:v>Independente</x:v>
      </x:c>
      <x:c r="F3039" s="168" t="str">
        <x:v>BRL TRUST DTVM</x:v>
      </x:c>
      <x:c r="G3039" s="168" t="str">
        <x:v>BRL TRUST DISTRIBUIDORA DE TITULOS E VALORES MOBILIARIOS S.A.</x:v>
      </x:c>
      <x:c r="H3039" s="168" t="str">
        <x:v>Agro, Indústria e Comércio</x:v>
      </x:c>
      <x:c r="I3039" s="168" t="str">
        <x:v>Crédito Corporativo</x:v>
      </x:c>
      <x:c r="J3039" s="168" t="str">
        <x:v>CI</x:v>
      </x:c>
      <x:c r="K3039" s="174" t="n">
        <x:v>11</x:v>
      </x:c>
      <x:c r="L3039" s="187" t="str">
        <x:v>Não classificado</x:v>
      </x:c>
    </x:row>
    <x:row r="3040">
      <x:c r="A3040" s="177" t="str">
        <x:v>60.757.582/0001-87</x:v>
      </x:c>
      <x:c r="B3040" s="168" t="str">
        <x:v>NOVO OLHAR FUNDO DE INVESTIMENTO EM DIREITOS CREDITÓRIOS RESPONSABILIDADE LIMITADA</x:v>
      </x:c>
      <x:c r="C3040" s="190" t="n">
        <x:v>914215.93</x:v>
      </x:c>
      <x:c r="D3040" s="168" t="str">
        <x:v>Multiplica Capital</x:v>
      </x:c>
      <x:c r="E3040" s="168" t="str">
        <x:f>IFERROR(INDEX('Classif Gestoras'!$H$6:$H$462,MATCH(D3040,'Classif Gestoras'!$A$6:$A$462,0)),"Não classificada")</x:f>
        <x:v>Independente</x:v>
      </x:c>
      <x:c r="F3040" s="168" t="str">
        <x:v>Singulare</x:v>
      </x:c>
      <x:c r="G3040" s="168" t="str">
        <x:v>QI CORRETORA DE TÍTULOS E VALORES MOBILIÁRIOS S.A.</x:v>
      </x:c>
      <x:c r="H3040" s="168" t="str">
        <x:v>Fomento Mercantil</x:v>
      </x:c>
      <x:c r="I3040" s="168" t="str">
        <x:v>Fomento Mercantil</x:v>
      </x:c>
      <x:c r="J3040" s="168" t="str">
        <x:v>CI</x:v>
      </x:c>
      <x:c r="K3040" s="174" t="n">
        <x:v>1</x:v>
      </x:c>
      <x:c r="L3040" s="187" t="str">
        <x:v>Não classificado</x:v>
      </x:c>
    </x:row>
    <x:row r="3041">
      <x:c r="A3041" s="177" t="str">
        <x:v>45.899.588/0001-03</x:v>
      </x:c>
      <x:c r="B3041" s="168" t="str">
        <x:v>FIDÚCIA FUNDO DE INVESTIMENTO EM DIREITOS CREDITÓRIOS - NÃO PADRONIZADOS</x:v>
      </x:c>
      <x:c r="C3041" s="190" t="n">
        <x:v>881222.93</x:v>
      </x:c>
      <x:c r="D3041" s="168" t="str">
        <x:v>GESTORA DE RECURSOS ID - GRID LTDA.</x:v>
      </x:c>
      <x:c r="E3041" s="168" t="str">
        <x:f>IFERROR(INDEX('Classif Gestoras'!$H$6:$H$462,MATCH(D3041,'Classif Gestoras'!$A$6:$A$462,0)),"Não classificada")</x:f>
        <x:v>Independente</x:v>
      </x:c>
      <x:c r="F3041" s="168" t="str">
        <x:v>ID Corretora de Títulos e Valores Mobiliários S.A.</x:v>
      </x:c>
      <x:c r="G3041" s="168" t="str">
        <x:v>ID CORRETORA DE TITULOS E VALORES MOBILIARIOS S.A.</x:v>
      </x:c>
      <x:c r="H3041" s="168" t="str">
        <x:v>Financeiro</x:v>
      </x:c>
      <x:c r="I3041" s="168" t="str">
        <x:v>Multicarteira Financeiro</x:v>
      </x:c>
      <x:c r="J3041" s="168" t="str">
        <x:v>CI</x:v>
      </x:c>
      <x:c r="K3041" s="174" t="n">
        <x:v>8</x:v>
      </x:c>
      <x:c r="L3041" s="187" t="str">
        <x:v>Proxy multicedente/multissacado — revisar</x:v>
      </x:c>
    </x:row>
    <x:row r="3042">
      <x:c r="A3042" s="177" t="str">
        <x:v>46.405.748/0001-75</x:v>
      </x:c>
      <x:c r="B3042" s="168" t="str">
        <x:v>CARBON CORP FUNDO DE INVESTIMENTO EM DIREITOS CREDITÓRIOS DE RESPONSABILIDADE LIMITADA</x:v>
      </x:c>
      <x:c r="C3042" s="190" t="n">
        <x:v>880771.6299999999</x:v>
      </x:c>
      <x:c r="D3042" s="168" t="str">
        <x:v>POLÍGONO CAPITAL LTDA.</x:v>
      </x:c>
      <x:c r="E3042" s="168" t="str">
        <x:f>IFERROR(INDEX('Classif Gestoras'!$H$6:$H$462,MATCH(D3042,'Classif Gestoras'!$A$6:$A$462,0)),"Não classificada")</x:f>
        <x:v>Independente</x:v>
      </x:c>
      <x:c r="F3042" s="168" t="str">
        <x:v>BANCO DAYCOVAL S/A</x:v>
      </x:c>
      <x:c r="G3042" s="168" t="str">
        <x:v>BANCO DAYCOVAL S.A.</x:v>
      </x:c>
      <x:c r="H3042" s="168" t="str">
        <x:v>Fomento Mercantil</x:v>
      </x:c>
      <x:c r="I3042" s="168" t="str">
        <x:v>Fomento Mercantil</x:v>
      </x:c>
      <x:c r="J3042" s="168" t="str">
        <x:v>CI</x:v>
      </x:c>
      <x:c r="K3042" s="174" t="n">
        <x:v>2</x:v>
      </x:c>
      <x:c r="L3042" s="187" t="str">
        <x:v>Não classificado</x:v>
      </x:c>
    </x:row>
    <x:row r="3043">
      <x:c r="A3043" s="177" t="str">
        <x:v>55.102.194/0001-28</x:v>
      </x:c>
      <x:c r="B3043" s="168" t="str">
        <x:v>NEW ERA FUNDO DE INVESTIMENTO EM DIREITOS CREDITÓRIOS</x:v>
      </x:c>
      <x:c r="C3043" s="190" t="n">
        <x:v>861150.75</x:v>
      </x:c>
      <x:c r="D3043" s="168" t="str">
        <x:v>Fortis Gestora de Recursos LTDA</x:v>
      </x:c>
      <x:c r="E3043" s="168" t="str">
        <x:f>IFERROR(INDEX('Classif Gestoras'!$H$6:$H$462,MATCH(D3043,'Classif Gestoras'!$A$6:$A$462,0)),"Não classificada")</x:f>
        <x:v>Independente</x:v>
      </x:c>
      <x:c r="F3043" s="168" t="str">
        <x:v>ACTUAL DTVM</x:v>
      </x:c>
      <x:c r="G3043" s="168" t="str">
        <x:v>TRUSTEE DISTRIBUIDORA DE TITULOS E VALORES MOBILIARIOS LTDA.</x:v>
      </x:c>
      <x:c r="H3043" s="168" t="str">
        <x:v>Outros</x:v>
      </x:c>
      <x:c r="I3043" s="168" t="str">
        <x:v>Multicarteira Outros</x:v>
      </x:c>
      <x:c r="J3043" s="168" t="str">
        <x:v>CI</x:v>
      </x:c>
      <x:c r="K3043" s="174" t="n">
        <x:v>2</x:v>
      </x:c>
      <x:c r="L3043" s="187" t="str">
        <x:v>Proxy multicedente/multissacado — revisar</x:v>
      </x:c>
    </x:row>
    <x:row r="3044">
      <x:c r="A3044" s="177" t="str">
        <x:v>08.093.745/0001-54</x:v>
      </x:c>
      <x:c r="B3044" s="168" t="str">
        <x:v>V1 FUNDO DE INVESTIMENTO EM DIREITOS CREDITÓRIOS - MULTICARTEIRA</x:v>
      </x:c>
      <x:c r="C3044" s="190" t="n">
        <x:v>841183.1199999999</x:v>
      </x:c>
      <x:c r="D3044" s="168" t="str">
        <x:v>Vision Brazil</x:v>
      </x:c>
      <x:c r="E3044" s="168" t="str">
        <x:f>IFERROR(INDEX('Classif Gestoras'!$H$6:$H$462,MATCH(D3044,'Classif Gestoras'!$A$6:$A$462,0)),"Não classificada")</x:f>
        <x:v>Independente</x:v>
      </x:c>
      <x:c r="F3044" s="168" t="str">
        <x:v>Singulare</x:v>
      </x:c>
      <x:c r="G3044" s="168" t="str">
        <x:v>QI CORRETORA DE TÍTULOS E VALORES MOBILIÁRIOS S.A.</x:v>
      </x:c>
      <x:c r="H3044" s="168" t="str">
        <x:v>Outros</x:v>
      </x:c>
      <x:c r="I3044" s="168" t="str">
        <x:v>Multicarteira Outros</x:v>
      </x:c>
      <x:c r="J3044" s="168" t="str">
        <x:v>CI</x:v>
      </x:c>
      <x:c r="K3044" s="174" t="n">
        <x:v>2</x:v>
      </x:c>
      <x:c r="L3044" s="187" t="str">
        <x:v>Proxy multicedente/multissacado — revisar</x:v>
      </x:c>
    </x:row>
    <x:row r="3045">
      <x:c r="A3045" s="177" t="str">
        <x:v>63.025.180/0001-86</x:v>
      </x:c>
      <x:c r="B3045" s="168" t="str">
        <x:v>CLASSE A DO BLOXS FUNDO DE INVESTIMENTO EM DIREITOS CREDITÓRIOS - MULTICLASSE</x:v>
      </x:c>
      <x:c r="C3045" s="190" t="n">
        <x:v>835072.15</x:v>
      </x:c>
      <x:c r="D3045" s="168" t="str">
        <x:v>Bloxs Asset</x:v>
      </x:c>
      <x:c r="E3045" s="168" t="str">
        <x:f>IFERROR(INDEX('Classif Gestoras'!$H$6:$H$462,MATCH(D3045,'Classif Gestoras'!$A$6:$A$462,0)),"Não classificada")</x:f>
        <x:v>Independente</x:v>
      </x:c>
      <x:c r="F3045" s="168" t="str">
        <x:v>MONETAR DISTRIBUIDORA DE TITUL</x:v>
      </x:c>
      <x:c r="G3045" s="168" t="str">
        <x:v>TERRA INVESTIMENTOS DISTRIBUIDORA DE TITULOS E VALORES MOBILIARIOS LTDA</x:v>
      </x:c>
      <x:c r="H3045" s="168" t="str">
        <x:v>Outros</x:v>
      </x:c>
      <x:c r="I3045" s="168" t="str">
        <x:v>Multicarteira Outros</x:v>
      </x:c>
      <x:c r="J3045" s="168" t="str">
        <x:v>CI</x:v>
      </x:c>
      <x:c r="K3045" s="174" t="n">
        <x:v>1</x:v>
      </x:c>
      <x:c r="L3045" s="187" t="str">
        <x:v>Proxy multicedente/multissacado — revisar</x:v>
      </x:c>
    </x:row>
    <x:row r="3046">
      <x:c r="A3046" s="177" t="str">
        <x:v>50.908.218/0001-17</x:v>
      </x:c>
      <x:c r="B3046" s="168" t="str">
        <x:v>CF PRIME FUNDO DE INVESTIMENTO EM DIREITOS CREDITÓRIOS</x:v>
      </x:c>
      <x:c r="C3046" s="190" t="n">
        <x:v>835032.62</x:v>
      </x:c>
      <x:c r="D3046" s="168" t="str">
        <x:v>Fortis Gestora de Recursos LTDA</x:v>
      </x:c>
      <x:c r="E3046" s="168" t="str">
        <x:f>IFERROR(INDEX('Classif Gestoras'!$H$6:$H$462,MATCH(D3046,'Classif Gestoras'!$A$6:$A$462,0)),"Não classificada")</x:f>
        <x:v>Independente</x:v>
      </x:c>
      <x:c r="F3046" s="168" t="str">
        <x:v>PLANNER CV</x:v>
      </x:c>
      <x:c r="G3046" s="168" t="str">
        <x:v>PLANNER CORRETORA DE VALORES S.A.</x:v>
      </x:c>
      <x:c r="H3046" s="168" t="str">
        <x:v>Outros</x:v>
      </x:c>
      <x:c r="I3046" s="168" t="str">
        <x:v>Multicarteira Outros</x:v>
      </x:c>
      <x:c r="J3046" s="168" t="str">
        <x:v>CI</x:v>
      </x:c>
      <x:c r="K3046" s="174" t="n">
        <x:v>1</x:v>
      </x:c>
      <x:c r="L3046" s="187" t="str">
        <x:v>Proxy multicedente/multissacado — revisar</x:v>
      </x:c>
    </x:row>
    <x:row r="3047">
      <x:c r="A3047" s="177" t="str">
        <x:v>11.989.256/0001-90</x:v>
      </x:c>
      <x:c r="B3047" s="168" t="str">
        <x:v>FIDC MULTISETORIAL MASTER II</x:v>
      </x:c>
      <x:c r="C3047" s="190" t="n">
        <x:v>807849.01</x:v>
      </x:c>
      <x:c r="D3047" s="168" t="str">
        <x:v>GENIAL GESTÃO LTDA.</x:v>
      </x:c>
      <x:c r="E3047" s="168" t="str">
        <x:f>IFERROR(INDEX('Classif Gestoras'!$H$6:$H$462,MATCH(D3047,'Classif Gestoras'!$A$6:$A$462,0)),"Não classificada")</x:f>
        <x:v>Ligada a banco</x:v>
      </x:c>
      <x:c r="F3047" s="168" t="str">
        <x:v>Genial Investimentos Corretora de Valores Mobiliários S.A.</x:v>
      </x:c>
      <x:c r="G3047" s="168" t="str">
        <x:v>BANCO GENIAL S.A.</x:v>
      </x:c>
      <x:c r="H3047" s="168" t="str">
        <x:v>Agro, Indústria e Comércio</x:v>
      </x:c>
      <x:c r="I3047" s="168" t="str">
        <x:v>Crédito Corporativo</x:v>
      </x:c>
      <x:c r="J3047" s="168" t="str">
        <x:v>CI</x:v>
      </x:c>
      <x:c r="K3047" s="174" t="n">
        <x:v>34</x:v>
      </x:c>
      <x:c r="L3047" s="187" t="str">
        <x:v>Não classificado</x:v>
      </x:c>
    </x:row>
    <x:row r="3048">
      <x:c r="A3048" s="177" t="str">
        <x:v>12.144.737/0001-67</x:v>
      </x:c>
      <x:c r="B3048" s="168" t="str">
        <x:v>CREDIT BRASIL FUNDO DE INVESTIMENTO EM DIREITOS CREDITÓRIOS MULTISSETORIAL MASTER - EM LIQUIDAÇÃO</x:v>
      </x:c>
      <x:c r="C3048" s="190" t="n">
        <x:v>804310.58</x:v>
      </x:c>
      <x:c r="D3048" s="168" t="str">
        <x:v>Petra Capital</x:v>
      </x:c>
      <x:c r="E3048" s="168" t="str">
        <x:f>IFERROR(INDEX('Classif Gestoras'!$H$6:$H$462,MATCH(D3048,'Classif Gestoras'!$A$6:$A$462,0)),"Não classificada")</x:f>
        <x:v>Independente</x:v>
      </x:c>
      <x:c r="F3048" s="168" t="str">
        <x:v>Finaxis Corretora de Títulos e Valores Mobiliários S.A.</x:v>
      </x:c>
      <x:c r="G3048" s="168" t="str">
        <x:v>BANCO FINAXIS S.A.</x:v>
      </x:c>
      <x:c r="H3048" s="168" t="str">
        <x:v>Fomento Mercantil</x:v>
      </x:c>
      <x:c r="I3048" s="168" t="str">
        <x:v>Fomento Mercantil</x:v>
      </x:c>
      <x:c r="J3048" s="168" t="str">
        <x:v>CI</x:v>
      </x:c>
      <x:c r="K3048" s="174" t="n">
        <x:v>59</x:v>
      </x:c>
      <x:c r="L3048" s="187" t="str">
        <x:v>Não classificado</x:v>
      </x:c>
    </x:row>
    <x:row r="3049">
      <x:c r="A3049" s="177" t="str">
        <x:v>53.214.328/0001-77</x:v>
      </x:c>
      <x:c r="B3049" s="168" t="str">
        <x:v>ANFEH-SIRIUS FUNDO DE INVESTIMENTO EM DIREITOS CREDITÓRIOS - RESPONSABILIDADE LIMITADA</x:v>
      </x:c>
      <x:c r="C3049" s="190" t="n">
        <x:v>782738.71</x:v>
      </x:c>
      <x:c r="D3049" s="168" t="str">
        <x:v>BURITI INVESTIMENTOS</x:v>
      </x:c>
      <x:c r="E3049" s="168" t="str">
        <x:f>IFERROR(INDEX('Classif Gestoras'!$H$6:$H$462,MATCH(D3049,'Classif Gestoras'!$A$6:$A$462,0)),"Não classificada")</x:f>
        <x:v>Independente</x:v>
      </x:c>
      <x:c r="F3049" s="168" t="str">
        <x:v>Singulare</x:v>
      </x:c>
      <x:c r="G3049" s="168" t="str">
        <x:v>QI CORRETORA DE TÍTULOS E VALORES MOBILIÁRIOS S.A.</x:v>
      </x:c>
      <x:c r="H3049" s="168" t="str">
        <x:v>Outros</x:v>
      </x:c>
      <x:c r="I3049" s="168" t="str">
        <x:v>Multicarteira Outros</x:v>
      </x:c>
      <x:c r="J3049" s="168" t="str">
        <x:v>CI</x:v>
      </x:c>
      <x:c r="K3049" s="174" t="n">
        <x:v>1</x:v>
      </x:c>
      <x:c r="L3049" s="187" t="str">
        <x:v>Proxy multicedente/multissacado — revisar</x:v>
      </x:c>
    </x:row>
    <x:row r="3050">
      <x:c r="A3050" s="177" t="str">
        <x:v>54.462.450/0001-25</x:v>
      </x:c>
      <x:c r="B3050" s="168" t="str">
        <x:v>BRATISLAVA FUNDO DE INVESTIMENTO EM DIREITOS CREDITÓRIOS</x:v>
      </x:c>
      <x:c r="C3050" s="190" t="n">
        <x:v>778521.7099999998</x:v>
      </x:c>
      <x:c r="D3050" s="168" t="str">
        <x:v>UC Gestora de Recursos</x:v>
      </x:c>
      <x:c r="E3050" s="168" t="str">
        <x:f>IFERROR(INDEX('Classif Gestoras'!$H$6:$H$462,MATCH(D3050,'Classif Gestoras'!$A$6:$A$462,0)),"Não classificada")</x:f>
        <x:v>Independente</x:v>
      </x:c>
      <x:c r="F3050" s="168" t="str">
        <x:v>WNT DTVM</x:v>
      </x:c>
      <x:c r="G3050" s="168" t="str">
        <x:v>Não identificado</x:v>
      </x:c>
      <x:c r="H3050" s="168" t="str">
        <x:v>Financeiro</x:v>
      </x:c>
      <x:c r="I3050" s="168" t="str">
        <x:v>Multicarteira Financeiro</x:v>
      </x:c>
      <x:c r="J3050" s="168" t="str">
        <x:v>CI</x:v>
      </x:c>
      <x:c r="K3050" s="174" t="n">
        <x:v>4</x:v>
      </x:c>
      <x:c r="L3050" s="187" t="str">
        <x:v>Proxy multicedente/multissacado — revisar</x:v>
      </x:c>
    </x:row>
    <x:row r="3051">
      <x:c r="A3051" s="177" t="str">
        <x:v>59.936.269/0001-27</x:v>
      </x:c>
      <x:c r="B3051" s="168" t="str">
        <x:v>ALTIS FUNDO DE INVESTIMENTO EM DIREITOS CREDITÓRIOS RESPONSABILIDADE LIMITADA</x:v>
      </x:c>
      <x:c r="C3051" s="190" t="n">
        <x:v>745363.78</x:v>
      </x:c>
      <x:c r="D3051" s="168" t="str">
        <x:v>Mont Capital Gestão e Administração</x:v>
      </x:c>
      <x:c r="E3051" s="168" t="str">
        <x:f>IFERROR(INDEX('Classif Gestoras'!$H$6:$H$462,MATCH(D3051,'Classif Gestoras'!$A$6:$A$462,0)),"Não classificada")</x:f>
        <x:v>Independente</x:v>
      </x:c>
      <x:c r="F3051" s="168" t="str">
        <x:v>Limine Trust Distribuidora de Titulos e Valores Mobiliá</x:v>
      </x:c>
      <x:c r="G3051" s="168" t="str">
        <x:v>QI CORRETORA DE TÍTULOS E VALORES MOBILIÁRIOS S.A.</x:v>
      </x:c>
      <x:c r="H3051" s="168" t="str">
        <x:v>Fomento Mercantil</x:v>
      </x:c>
      <x:c r="I3051" s="168" t="str">
        <x:v>Fomento Mercantil</x:v>
      </x:c>
      <x:c r="J3051" s="168" t="str">
        <x:v>CI</x:v>
      </x:c>
      <x:c r="K3051" s="174" t="n">
        <x:v>3</x:v>
      </x:c>
      <x:c r="L3051" s="187" t="str">
        <x:v>Não classificado</x:v>
      </x:c>
    </x:row>
    <x:row r="3052">
      <x:c r="A3052" s="177" t="str">
        <x:v>35.844.801/0001-18</x:v>
      </x:c>
      <x:c r="B3052" s="168" t="str">
        <x:v>NF FUNDO DE INVESTIMENTO EM DIREITOS CREDITÓRIOS</x:v>
      </x:c>
      <x:c r="C3052" s="190" t="n">
        <x:v>728600.4899999999</x:v>
      </x:c>
      <x:c r="D3052" s="168" t="str">
        <x:v>Apuama Capital</x:v>
      </x:c>
      <x:c r="E3052" s="168" t="str">
        <x:f>IFERROR(INDEX('Classif Gestoras'!$H$6:$H$462,MATCH(D3052,'Classif Gestoras'!$A$6:$A$462,0)),"Não classificada")</x:f>
        <x:v>Independente</x:v>
      </x:c>
      <x:c r="F3052" s="168" t="str">
        <x:v>TRUSTEE DTVM</x:v>
      </x:c>
      <x:c r="G3052" s="168" t="str">
        <x:v>TRUSTEE DISTRIBUIDORA DE TITULOS E VALORES MOBILIARIOS LTDA.</x:v>
      </x:c>
      <x:c r="H3052" s="168" t="str">
        <x:v>Outros</x:v>
      </x:c>
      <x:c r="I3052" s="168" t="str">
        <x:v>Multicarteira Outros</x:v>
      </x:c>
      <x:c r="J3052" s="168" t="str">
        <x:v>CI</x:v>
      </x:c>
      <x:c r="K3052" s="174" t="n">
        <x:v>3</x:v>
      </x:c>
      <x:c r="L3052" s="187" t="str">
        <x:v>Proxy multicedente/multissacado — revisar</x:v>
      </x:c>
    </x:row>
    <x:row r="3053">
      <x:c r="A3053" s="177" t="str">
        <x:v>63.881.926/0001-53</x:v>
      </x:c>
      <x:c r="B3053" s="168" t="str">
        <x:v>ITAIM DELTA NPL FUNDO DE INVESTIMENTO EM DIREITOS CREDITÓRIOS</x:v>
      </x:c>
      <x:c r="C3053" s="190" t="n">
        <x:v>713383.74</x:v>
      </x:c>
      <x:c r="D3053" s="168" t="str">
        <x:v>QUAESTUS GESTÃO DE INVESTIMENTOS LTDA.</x:v>
      </x:c>
      <x:c r="E3053" s="168" t="str">
        <x:f>IFERROR(INDEX('Classif Gestoras'!$H$6:$H$462,MATCH(D3053,'Classif Gestoras'!$A$6:$A$462,0)),"Não classificada")</x:f>
        <x:v>Independente</x:v>
      </x:c>
      <x:c r="F3053" s="168" t="str">
        <x:v>MONETAR DISTRIBUIDORA DE TITUL</x:v>
      </x:c>
      <x:c r="G3053" s="168" t="str">
        <x:v>TERRA INVESTIMENTOS DISTRIBUIDORA DE TITULOS E VALORES MOBILIARIOS LTDA</x:v>
      </x:c>
      <x:c r="H3053" s="168" t="str">
        <x:v>Fomento Mercantil</x:v>
      </x:c>
      <x:c r="I3053" s="168" t="str">
        <x:v>Fomento Mercantil</x:v>
      </x:c>
      <x:c r="J3053" s="168" t="str">
        <x:v>CI</x:v>
      </x:c>
      <x:c r="K3053" s="174" t="n">
        <x:v>3</x:v>
      </x:c>
      <x:c r="L3053" s="187" t="str">
        <x:v>Não classificado</x:v>
      </x:c>
    </x:row>
    <x:row r="3054">
      <x:c r="A3054" s="177" t="str">
        <x:v>55.554.537/0001-95</x:v>
      </x:c>
      <x:c r="B3054" s="168" t="str">
        <x:v>ITAMARACÁ FUNDO DE INVESTIMENTO EM DIREITOS CREDITÓRIOS RESPONSABILIDADE LIMITADA</x:v>
      </x:c>
      <x:c r="C3054" s="190" t="n">
        <x:v>711485.81</x:v>
      </x:c>
      <x:c r="D3054" s="168" t="str">
        <x:v>Geribá Investimentos Ltda.</x:v>
      </x:c>
      <x:c r="E3054" s="168" t="str">
        <x:f>IFERROR(INDEX('Classif Gestoras'!$H$6:$H$462,MATCH(D3054,'Classif Gestoras'!$A$6:$A$462,0)),"Não classificada")</x:f>
        <x:v>Independente</x:v>
      </x:c>
      <x:c r="F3054" s="168" t="str">
        <x:v>MONETAR DISTRIBUIDORA DE TITUL</x:v>
      </x:c>
      <x:c r="G3054" s="168" t="str">
        <x:v>TERRA INVESTIMENTOS DISTRIBUIDORA DE TITULOS E VALORES MOBILIARIOS LTDA</x:v>
      </x:c>
      <x:c r="H3054" s="168" t="str">
        <x:v>Outros</x:v>
      </x:c>
      <x:c r="I3054" s="168" t="str">
        <x:v>Multicarteira Outros</x:v>
      </x:c>
      <x:c r="J3054" s="168" t="str">
        <x:v>CI</x:v>
      </x:c>
      <x:c r="K3054" s="174" t="n">
        <x:v>13</x:v>
      </x:c>
      <x:c r="L3054" s="187" t="str">
        <x:v>Proxy multicedente/multissacado — revisar</x:v>
      </x:c>
    </x:row>
    <x:row r="3055">
      <x:c r="A3055" s="177" t="str">
        <x:v>16.858.989/0001-09</x:v>
      </x:c>
      <x:c r="B3055" s="168" t="str">
        <x:v>OURO MAX FUNDO DE INVESTIMENTO EM DIREITOS CREDITÓRIOS - RESPONSABILIDADE LIMITADA</x:v>
      </x:c>
      <x:c r="C3055" s="190" t="n">
        <x:v>706104.8099999999</x:v>
      </x:c>
      <x:c r="D3055" s="168" t="str">
        <x:v>OURO PRETO INVESTIMENTOS</x:v>
      </x:c>
      <x:c r="E3055" s="168" t="str">
        <x:f>IFERROR(INDEX('Classif Gestoras'!$H$6:$H$462,MATCH(D3055,'Classif Gestoras'!$A$6:$A$462,0)),"Não classificada")</x:f>
        <x:v>Independente</x:v>
      </x:c>
      <x:c r="F3055" s="168" t="str">
        <x:v>ID Corretora de Títulos e Valores Mobiliários S.A.</x:v>
      </x:c>
      <x:c r="G3055" s="168" t="str">
        <x:v>ID CORRETORA DE TITULOS E VALORES MOBILIARIOS S.A.</x:v>
      </x:c>
      <x:c r="H3055" s="168" t="str">
        <x:v>Outros</x:v>
      </x:c>
      <x:c r="I3055" s="168" t="str">
        <x:v>Poder Público</x:v>
      </x:c>
      <x:c r="J3055" s="168" t="str">
        <x:v>CI</x:v>
      </x:c>
      <x:c r="K3055" s="174" t="n">
        <x:v>0</x:v>
      </x:c>
      <x:c r="L3055" s="187" t="str">
        <x:v>Não classificado</x:v>
      </x:c>
    </x:row>
    <x:row r="3056">
      <x:c r="A3056" s="177" t="str">
        <x:v>61.641.310/0001-80</x:v>
      </x:c>
      <x:c r="B3056" s="168" t="str">
        <x:v>EXEMPLAR FIDC MULTICARTEIRA FINANCEIRO DE RESP LIMITADA</x:v>
      </x:c>
      <x:c r="C3056" s="190" t="n">
        <x:v>705774.68</x:v>
      </x:c>
      <x:c r="D3056" s="168" t="str">
        <x:v>Harbour Capital</x:v>
      </x:c>
      <x:c r="E3056" s="168" t="str">
        <x:f>IFERROR(INDEX('Classif Gestoras'!$H$6:$H$462,MATCH(D3056,'Classif Gestoras'!$A$6:$A$462,0)),"Não classificada")</x:f>
        <x:v>Independente</x:v>
      </x:c>
      <x:c r="F3056" s="168" t="str">
        <x:v>BANCO DAYCOVAL S/A</x:v>
      </x:c>
      <x:c r="G3056" s="168" t="str">
        <x:v>BANCO DAYCOVAL S.A.</x:v>
      </x:c>
      <x:c r="H3056" s="168" t="str">
        <x:v>Outros</x:v>
      </x:c>
      <x:c r="I3056" s="168" t="str">
        <x:v>Multicarteira Outros</x:v>
      </x:c>
      <x:c r="J3056" s="168" t="str">
        <x:v>CI</x:v>
      </x:c>
      <x:c r="K3056" s="174" t="n">
        <x:v>10</x:v>
      </x:c>
      <x:c r="L3056" s="187" t="str">
        <x:v>Proxy multicedente/multissacado — revisar</x:v>
      </x:c>
    </x:row>
    <x:row r="3057">
      <x:c r="A3057" s="177" t="str">
        <x:v>38.284.301/0001-67</x:v>
      </x:c>
      <x:c r="B3057" s="168" t="str">
        <x:v>SAV NEXOOS FUNDO DE INVESTIMENTO EM DIREITOS CREDITÓRIOS</x:v>
      </x:c>
      <x:c r="C3057" s="190" t="n">
        <x:v>659855.8</x:v>
      </x:c>
      <x:c r="D3057" s="168" t="str">
        <x:v>Solis</x:v>
      </x:c>
      <x:c r="E3057" s="168" t="str">
        <x:f>IFERROR(INDEX('Classif Gestoras'!$H$6:$H$462,MATCH(D3057,'Classif Gestoras'!$A$6:$A$462,0)),"Não classificada")</x:f>
        <x:v>Independente</x:v>
      </x:c>
      <x:c r="F3057" s="168" t="str">
        <x:v>HEMERA DTVM</x:v>
      </x:c>
      <x:c r="G3057" s="168" t="str">
        <x:v>HEMERA DISTRIBUIDORA DE TITULOS E VALORES MOBILIARIOS LTDA</x:v>
      </x:c>
      <x:c r="H3057" s="168" t="str">
        <x:v>Agro, Indústria e Comércio</x:v>
      </x:c>
      <x:c r="I3057" s="168" t="str">
        <x:v>Crédito Corporativo</x:v>
      </x:c>
      <x:c r="J3057" s="168" t="str">
        <x:v>CI</x:v>
      </x:c>
      <x:c r="K3057" s="174" t="n">
        <x:v>4</x:v>
      </x:c>
      <x:c r="L3057" s="187" t="str">
        <x:v>Não classificado</x:v>
      </x:c>
    </x:row>
    <x:row r="3058">
      <x:c r="A3058" s="177" t="str">
        <x:v>64.064.985/0001-00</x:v>
      </x:c>
      <x:c r="B3058" s="168" t="str">
        <x:v>LESTE PRECATÓRIOS IV FUNDO DE INVESTIMENTO EM DIREITOS CREDITÓRIOS DE RESPONSABILIDADE LIMITADA</x:v>
      </x:c>
      <x:c r="C3058" s="190" t="n">
        <x:v>571823.38</x:v>
      </x:c>
      <x:c r="D3058" s="168" t="str">
        <x:v>VM Consultoria Empresarial Ltd</x:v>
      </x:c>
      <x:c r="E3058" s="168" t="str">
        <x:f>IFERROR(INDEX('Classif Gestoras'!$H$6:$H$462,MATCH(D3058,'Classif Gestoras'!$A$6:$A$462,0)),"Não classificada")</x:f>
        <x:v>Independente</x:v>
      </x:c>
      <x:c r="F3058" s="168" t="str">
        <x:v>VÓRTX DTVM</x:v>
      </x:c>
      <x:c r="G3058" s="168" t="str">
        <x:v>VORTX DISTRIBUIDORA DE TITULOS E VALORES MOBILIARIOS LTDA.</x:v>
      </x:c>
      <x:c r="H3058" s="168" t="str">
        <x:v>Outros</x:v>
      </x:c>
      <x:c r="I3058" s="168" t="str">
        <x:v>Poder Público</x:v>
      </x:c>
      <x:c r="J3058" s="168" t="str">
        <x:v>CI</x:v>
      </x:c>
      <x:c r="K3058" s="174" t="n">
        <x:v>20</x:v>
      </x:c>
      <x:c r="L3058" s="187" t="str">
        <x:v>Não classificado</x:v>
      </x:c>
    </x:row>
    <x:row r="3059">
      <x:c r="A3059" s="177" t="str">
        <x:v>57.976.577/0001-50</x:v>
      </x:c>
      <x:c r="B3059" s="168" t="str">
        <x:v>OKLAHOMA FUNDO DE INVESTIMENTO EM DIREITOS CREDITÓRIOS</x:v>
      </x:c>
      <x:c r="C3059" s="190" t="n">
        <x:v>498159.4300000001</x:v>
      </x:c>
      <x:c r="D3059" s="168" t="str">
        <x:v>OURO PRETO INVESTIMENTOS</x:v>
      </x:c>
      <x:c r="E3059" s="168" t="str">
        <x:f>IFERROR(INDEX('Classif Gestoras'!$H$6:$H$462,MATCH(D3059,'Classif Gestoras'!$A$6:$A$462,0)),"Não classificada")</x:f>
        <x:v>Independente</x:v>
      </x:c>
      <x:c r="F3059" s="168" t="str">
        <x:v>Limine Trust Distribuidora de Titulos e Valores Mobiliá</x:v>
      </x:c>
      <x:c r="G3059" s="168" t="str">
        <x:v>LIMINE TRUST DISTRIBUIDORA DE TITULOS E VALORES MOBILIARIOS LTDA.</x:v>
      </x:c>
      <x:c r="H3059" s="168" t="str">
        <x:v>Outros</x:v>
      </x:c>
      <x:c r="I3059" s="168" t="str">
        <x:v>Multicarteira Outros</x:v>
      </x:c>
      <x:c r="J3059" s="168" t="str">
        <x:v>CI</x:v>
      </x:c>
      <x:c r="K3059" s="174" t="n">
        <x:v>4</x:v>
      </x:c>
      <x:c r="L3059" s="187" t="str">
        <x:v>Proxy multicedente/multissacado — revisar</x:v>
      </x:c>
    </x:row>
    <x:row r="3060">
      <x:c r="A3060" s="177" t="str">
        <x:v>66.376.024/0001-58</x:v>
      </x:c>
      <x:c r="B3060" s="168" t="str">
        <x:v>SOMMA COASTAL FUNDO DE INVESTIMENTO EM DIREITOS CREDITÓRIOS DE PRECATÓRIOS</x:v>
      </x:c>
      <x:c r="C3060" s="190" t="n">
        <x:v>481908.43</x:v>
      </x:c>
      <x:c r="D3060" s="168" t="str">
        <x:v>SOMMA Investimentos</x:v>
      </x:c>
      <x:c r="E3060" s="168" t="str">
        <x:f>IFERROR(INDEX('Classif Gestoras'!$H$6:$H$462,MATCH(D3060,'Classif Gestoras'!$A$6:$A$462,0)),"Não classificada")</x:f>
        <x:v>Independente</x:v>
      </x:c>
      <x:c r="F3060" s="168" t="str">
        <x:v>Singulare</x:v>
      </x:c>
      <x:c r="G3060" s="168" t="str">
        <x:v>QI CORRETORA DE TÍTULOS E VALORES MOBILIÁRIOS S.A.</x:v>
      </x:c>
      <x:c r="H3060" s="168" t="str">
        <x:v>Outros</x:v>
      </x:c>
      <x:c r="I3060" s="168" t="str">
        <x:v>Poder Público</x:v>
      </x:c>
      <x:c r="J3060" s="168" t="str">
        <x:v>CI</x:v>
      </x:c>
      <x:c r="K3060" s="174" t="n">
        <x:v>10</x:v>
      </x:c>
      <x:c r="L3060" s="187" t="str">
        <x:v>Não classificado</x:v>
      </x:c>
    </x:row>
    <x:row r="3061">
      <x:c r="A3061" s="177" t="str">
        <x:v>44.271.111/0001-08</x:v>
      </x:c>
      <x:c r="B3061" s="168" t="str">
        <x:v>GUARDIAN CAPITAL CONSIG I FUNDO DE INVESTIMENTO EM DIREITOS CREDITÓRIOS CONSIGNADOS</x:v>
      </x:c>
      <x:c r="C3061" s="190" t="n">
        <x:v>477405.21</x:v>
      </x:c>
      <x:c r="D3061" s="168" t="str">
        <x:v>Guardian Gestora</x:v>
      </x:c>
      <x:c r="E3061" s="168" t="str">
        <x:f>IFERROR(INDEX('Classif Gestoras'!$H$6:$H$462,MATCH(D3061,'Classif Gestoras'!$A$6:$A$462,0)),"Não classificada")</x:f>
        <x:v>Independente</x:v>
      </x:c>
      <x:c r="F3061" s="168" t="str">
        <x:v>Banvox DTVM</x:v>
      </x:c>
      <x:c r="G3061" s="168" t="str">
        <x:v>BANVOX DISTRIBUIDORA DE TITULOS E VALORES MOBILIARIOS LTDA</x:v>
      </x:c>
      <x:c r="H3061" s="168" t="str">
        <x:v>Financeiro</x:v>
      </x:c>
      <x:c r="I3061" s="168" t="str">
        <x:v>Crédito Consignado</x:v>
      </x:c>
      <x:c r="J3061" s="168" t="str">
        <x:v>CI</x:v>
      </x:c>
      <x:c r="K3061" s="174" t="n">
        <x:v>2</x:v>
      </x:c>
      <x:c r="L3061" s="187" t="str">
        <x:v>Não classificado</x:v>
      </x:c>
    </x:row>
    <x:row r="3062">
      <x:c r="A3062" s="177" t="str">
        <x:v>64.454.678/0001-27</x:v>
      </x:c>
      <x:c r="B3062" s="168" t="str">
        <x:v>FROGPAY FUNDO DE INVESTIMENTO EM DIREITOS CREDITÓRIOS</x:v>
      </x:c>
      <x:c r="C3062" s="190" t="n">
        <x:v>474765.0099999999</x:v>
      </x:c>
      <x:c r="D3062" s="168" t="str">
        <x:v>BS2 ASSET MANAGEMENT – ADMINISTRADORA DE RECURSOS LTDA.</x:v>
      </x:c>
      <x:c r="E3062" s="168" t="str">
        <x:f>IFERROR(INDEX('Classif Gestoras'!$H$6:$H$462,MATCH(D3062,'Classif Gestoras'!$A$6:$A$462,0)),"Não classificada")</x:f>
        <x:v>Independente</x:v>
      </x:c>
      <x:c r="F3062" s="168" t="str">
        <x:v>FIDD DISTRIBUIDORA DE TITULOS E VALORES MOBILIARIOS LTD</x:v>
      </x:c>
      <x:c r="G3062" s="168" t="str">
        <x:v>FIDD DISTRIBUIDORA DE TITULOS E VALORES MOBILIARIOS LTDA.</x:v>
      </x:c>
      <x:c r="H3062" s="168" t="str">
        <x:v>Agro, Indústria e Comércio</x:v>
      </x:c>
      <x:c r="I3062" s="168" t="str">
        <x:v>Multicarteira Agro, Indústria e Comércio</x:v>
      </x:c>
      <x:c r="J3062" s="168" t="str">
        <x:v>CI</x:v>
      </x:c>
      <x:c r="K3062" s="174" t="n">
        <x:v>2</x:v>
      </x:c>
      <x:c r="L3062" s="187" t="str">
        <x:v>Proxy multicedente/multissacado — revisar</x:v>
      </x:c>
    </x:row>
    <x:row r="3063">
      <x:c r="A3063" s="177" t="str">
        <x:v>57.474.036/0001-24</x:v>
      </x:c>
      <x:c r="B3063" s="168" t="str">
        <x:v>C18 FUNDO DE INVESTIMENTO EM DIREITOS CREDITÓRIOS</x:v>
      </x:c>
      <x:c r="C3063" s="190" t="n">
        <x:v>471871.12</x:v>
      </x:c>
      <x:c r="D3063" s="168" t="str">
        <x:v>M8 Partners</x:v>
      </x:c>
      <x:c r="E3063" s="168" t="str">
        <x:f>IFERROR(INDEX('Classif Gestoras'!$H$6:$H$462,MATCH(D3063,'Classif Gestoras'!$A$6:$A$462,0)),"Não classificada")</x:f>
        <x:v>Independente</x:v>
      </x:c>
      <x:c r="F3063" s="168" t="str">
        <x:v>Oliveira Trust DTVM</x:v>
      </x:c>
      <x:c r="G3063" s="168" t="str">
        <x:v>OLIVEIRA TRUST DTVM S.A.</x:v>
      </x:c>
      <x:c r="H3063" s="168" t="str">
        <x:v>Agro, Indústria e Comércio</x:v>
      </x:c>
      <x:c r="I3063" s="168" t="str">
        <x:v>Recebíveis Comerciais</x:v>
      </x:c>
      <x:c r="J3063" s="168" t="str">
        <x:v>CI</x:v>
      </x:c>
      <x:c r="K3063" s="174" t="n">
        <x:v>1</x:v>
      </x:c>
      <x:c r="L3063" s="187" t="str">
        <x:v>Não classificado</x:v>
      </x:c>
    </x:row>
    <x:row r="3064">
      <x:c r="A3064" s="177" t="str">
        <x:v>65.675.575/0001-50</x:v>
      </x:c>
      <x:c r="B3064" s="168" t="str">
        <x:v>R2 FUNDO DE INVESTIMENTO EM DIREITOS CREDITÓRIOS</x:v>
      </x:c>
      <x:c r="C3064" s="190" t="n">
        <x:v>470753.96</x:v>
      </x:c>
      <x:c r="D3064" s="168" t="str">
        <x:v>QI GESTAO DE RECURSOS LTDA</x:v>
      </x:c>
      <x:c r="E3064" s="168" t="str">
        <x:f>IFERROR(INDEX('Classif Gestoras'!$H$6:$H$462,MATCH(D3064,'Classif Gestoras'!$A$6:$A$462,0)),"Não classificada")</x:f>
        <x:v>Independente</x:v>
      </x:c>
      <x:c r="F3064" s="168" t="str">
        <x:v>Singulare</x:v>
      </x:c>
      <x:c r="G3064" s="168" t="str">
        <x:v>QI CORRETORA DE TÍTULOS E VALORES MOBILIÁRIOS S.A.</x:v>
      </x:c>
      <x:c r="H3064" s="168" t="str">
        <x:v>Outros</x:v>
      </x:c>
      <x:c r="I3064" s="168" t="str">
        <x:v>Multicarteira Outros</x:v>
      </x:c>
      <x:c r="J3064" s="168" t="str">
        <x:v>CI</x:v>
      </x:c>
      <x:c r="K3064" s="174" t="n">
        <x:v>1</x:v>
      </x:c>
      <x:c r="L3064" s="187" t="str">
        <x:v>Proxy multicedente/multissacado — revisar</x:v>
      </x:c>
    </x:row>
    <x:row r="3065">
      <x:c r="A3065" s="177" t="str">
        <x:v>51.732.995/0001-16</x:v>
      </x:c>
      <x:c r="B3065" s="168" t="str">
        <x:v>TESLA FUNDO DE INVESTIMENTO EM DIREITOS CREDITÓRIOS MULTISSETORIAL</x:v>
      </x:c>
      <x:c r="C3065" s="190" t="n">
        <x:v>470403.7800000001</x:v>
      </x:c>
      <x:c r="D3065" s="168" t="str">
        <x:v>OURO PRETO INVESTIMENTOS</x:v>
      </x:c>
      <x:c r="E3065" s="168" t="str">
        <x:f>IFERROR(INDEX('Classif Gestoras'!$H$6:$H$462,MATCH(D3065,'Classif Gestoras'!$A$6:$A$462,0)),"Não classificada")</x:f>
        <x:v>Independente</x:v>
      </x:c>
      <x:c r="F3065" s="168" t="str">
        <x:v>Limine Trust Distribuidora de Titulos e Valores Mobiliá</x:v>
      </x:c>
      <x:c r="G3065" s="168" t="str">
        <x:v>LIMINE TRUST DISTRIBUIDORA DE TITULOS E VALORES MOBILIARIOS LTDA.</x:v>
      </x:c>
      <x:c r="H3065" s="168" t="str">
        <x:v>Outros</x:v>
      </x:c>
      <x:c r="I3065" s="168" t="str">
        <x:v>Multicarteira Outros</x:v>
      </x:c>
      <x:c r="J3065" s="168" t="str">
        <x:v>CI</x:v>
      </x:c>
      <x:c r="K3065" s="174" t="n">
        <x:v>10</x:v>
      </x:c>
      <x:c r="L3065" s="187" t="str">
        <x:v>Proxy multicedente/multissacado — revisar</x:v>
      </x:c>
    </x:row>
    <x:row r="3066">
      <x:c r="A3066" s="177" t="str">
        <x:v>40.597.272/0001-35</x:v>
      </x:c>
      <x:c r="B3066" s="168" t="str">
        <x:v>JUS GLOBAL INVESTMENT FUNDO DE INVESTIMENTO EM DIREITOS CREDITÓRIOS</x:v>
      </x:c>
      <x:c r="C3066" s="190" t="n">
        <x:v>458317.16</x:v>
      </x:c>
      <x:c r="D3066" s="168" t="str">
        <x:v>Redwood Asset Management</x:v>
      </x:c>
      <x:c r="E3066" s="168" t="str">
        <x:f>IFERROR(INDEX('Classif Gestoras'!$H$6:$H$462,MATCH(D3066,'Classif Gestoras'!$A$6:$A$462,0)),"Não classificada")</x:f>
        <x:v>Independente</x:v>
      </x:c>
      <x:c r="F3066" s="168" t="str">
        <x:v>PLANNER CV</x:v>
      </x:c>
      <x:c r="G3066" s="168" t="str">
        <x:v>PLANNER CORRETORA DE VALORES S.A.</x:v>
      </x:c>
      <x:c r="H3066" s="168" t="str">
        <x:v>Outros</x:v>
      </x:c>
      <x:c r="I3066" s="168" t="str">
        <x:v>Multicarteira Outros</x:v>
      </x:c>
      <x:c r="J3066" s="168" t="str">
        <x:v>CI</x:v>
      </x:c>
      <x:c r="K3066" s="174" t="n">
        <x:v>1</x:v>
      </x:c>
      <x:c r="L3066" s="187" t="str">
        <x:v>Proxy multicedente/multissacado — revisar</x:v>
      </x:c>
    </x:row>
    <x:row r="3067">
      <x:c r="A3067" s="177" t="str">
        <x:v>54.248.993/0001-44</x:v>
      </x:c>
      <x:c r="B3067" s="168" t="str">
        <x:v>TRINITÁ FUNDO DE INVESTIMENTO EM DIREITOS CREDITÓRIOS</x:v>
      </x:c>
      <x:c r="C3067" s="190" t="n">
        <x:v>438632.38</x:v>
      </x:c>
      <x:c r="D3067" s="168" t="str">
        <x:v>Positiva Investimentos Ltda</x:v>
      </x:c>
      <x:c r="E3067" s="168" t="str">
        <x:f>IFERROR(INDEX('Classif Gestoras'!$H$6:$H$462,MATCH(D3067,'Classif Gestoras'!$A$6:$A$462,0)),"Não classificada")</x:f>
        <x:v>Independente</x:v>
      </x:c>
      <x:c r="F3067" s="168" t="str">
        <x:v>SEFER DTVM</x:v>
      </x:c>
      <x:c r="G3067" s="168" t="str">
        <x:v>SEFER INVESTIMENTOS DISTRIBUIDORA DE TÍTULOS E VALORES MOBILIÁRIOS LTDA.</x:v>
      </x:c>
      <x:c r="H3067" s="168" t="str">
        <x:v>Fomento Mercantil</x:v>
      </x:c>
      <x:c r="I3067" s="168" t="str">
        <x:v>Fomento Mercantil</x:v>
      </x:c>
      <x:c r="J3067" s="168" t="str">
        <x:v>CI</x:v>
      </x:c>
      <x:c r="K3067" s="174" t="n">
        <x:v>0</x:v>
      </x:c>
      <x:c r="L3067" s="187" t="str">
        <x:v>Não classificado</x:v>
      </x:c>
    </x:row>
    <x:row r="3068">
      <x:c r="A3068" s="177" t="str">
        <x:v>29.085.410/0001-64</x:v>
      </x:c>
      <x:c r="B3068" s="168" t="str">
        <x:v>NEB FUNDO DE INVESTIMENTO EM DIREITOS CREDITÓRIOS RESPONSABILIDADE LIMITADA</x:v>
      </x:c>
      <x:c r="C3068" s="190" t="n">
        <x:v>391928.9801</x:v>
      </x:c>
      <x:c r="D3068" s="168" t="str">
        <x:v>JIVE INVESTMENTS</x:v>
      </x:c>
      <x:c r="E3068" s="168" t="str">
        <x:f>IFERROR(INDEX('Classif Gestoras'!$H$6:$H$462,MATCH(D3068,'Classif Gestoras'!$A$6:$A$462,0)),"Não classificada")</x:f>
        <x:v>Independente</x:v>
      </x:c>
      <x:c r="F3068" s="168" t="str">
        <x:v>BTG Pactual Servicos Financeiros S/A DTVM</x:v>
      </x:c>
      <x:c r="G3068" s="168" t="str">
        <x:v>BANCO BTG PACTUAL S/A</x:v>
      </x:c>
      <x:c r="H3068" s="168" t="str">
        <x:v>Outros</x:v>
      </x:c>
      <x:c r="I3068" s="168" t="str">
        <x:v>Poder Público</x:v>
      </x:c>
      <x:c r="J3068" s="168" t="str">
        <x:v>CI</x:v>
      </x:c>
      <x:c r="K3068" s="174" t="n">
        <x:v>2</x:v>
      </x:c>
      <x:c r="L3068" s="187" t="str">
        <x:v>Não classificado</x:v>
      </x:c>
    </x:row>
    <x:row r="3069">
      <x:c r="A3069" s="177" t="str">
        <x:v>63.119.756/0001-74</x:v>
      </x:c>
      <x:c r="B3069" s="168" t="str">
        <x:v>ALIANZA FUNDO DE INVESTIMENTO EM DIREITOS CREDITÓRIOS</x:v>
      </x:c>
      <x:c r="C3069" s="190" t="n">
        <x:v>381355.46</x:v>
      </x:c>
      <x:c r="D3069" s="168" t="str">
        <x:v>ALTAVISTA CAPITAL</x:v>
      </x:c>
      <x:c r="E3069" s="168" t="str">
        <x:f>IFERROR(INDEX('Classif Gestoras'!$H$6:$H$462,MATCH(D3069,'Classif Gestoras'!$A$6:$A$462,0)),"Não classificada")</x:f>
        <x:v>Independente</x:v>
      </x:c>
      <x:c r="F3069" s="168" t="str">
        <x:v>PLANNER CV</x:v>
      </x:c>
      <x:c r="G3069" s="168" t="str">
        <x:v>PLANNER CORRETORA DE VALORES S.A.</x:v>
      </x:c>
      <x:c r="H3069" s="168" t="str">
        <x:v>Outros</x:v>
      </x:c>
      <x:c r="I3069" s="168" t="str">
        <x:v>Multicarteira Outros</x:v>
      </x:c>
      <x:c r="J3069" s="168" t="str">
        <x:v>CI</x:v>
      </x:c>
      <x:c r="K3069" s="174" t="n">
        <x:v>1</x:v>
      </x:c>
      <x:c r="L3069" s="187" t="str">
        <x:v>Proxy multicedente/multissacado — revisar</x:v>
      </x:c>
    </x:row>
    <x:row r="3070">
      <x:c r="A3070" s="177" t="str">
        <x:v>32.388.193/0001-96</x:v>
      </x:c>
      <x:c r="B3070" s="168" t="str">
        <x:v>PSS KYROS FUNDO DE INVESTIMENTO EM DIREITOS CREDITÓRIOS - NÃO PADRONIZADOS</x:v>
      </x:c>
      <x:c r="C3070" s="190" t="n">
        <x:v>333222.41</x:v>
      </x:c>
      <x:c r="D3070" s="168" t="str">
        <x:v>Prisma Capital Ltda.</x:v>
      </x:c>
      <x:c r="E3070" s="168" t="str">
        <x:f>IFERROR(INDEX('Classif Gestoras'!$H$6:$H$462,MATCH(D3070,'Classif Gestoras'!$A$6:$A$462,0)),"Não classificada")</x:f>
        <x:v>Independente</x:v>
      </x:c>
      <x:c r="F3070" s="168" t="str">
        <x:v>Singulare</x:v>
      </x:c>
      <x:c r="G3070" s="168" t="str">
        <x:v>QI CORRETORA DE TÍTULOS E VALORES MOBILIÁRIOS S.A.</x:v>
      </x:c>
      <x:c r="H3070" s="168" t="str">
        <x:v>Outros</x:v>
      </x:c>
      <x:c r="I3070" s="168" t="str">
        <x:v>Multicarteira Outros</x:v>
      </x:c>
      <x:c r="J3070" s="168" t="str">
        <x:v>CI</x:v>
      </x:c>
      <x:c r="K3070" s="174" t="n">
        <x:v>4</x:v>
      </x:c>
      <x:c r="L3070" s="187" t="str">
        <x:v>Proxy multicedente/multissacado — revisar</x:v>
      </x:c>
    </x:row>
    <x:row r="3071">
      <x:c r="A3071" s="177" t="str">
        <x:v>55.102.997/0001-82</x:v>
      </x:c>
      <x:c r="B3071" s="168" t="str">
        <x:v>ARC FIAGRO - DIREITOS CREDITÓRIOS - RESPONSABILIDADE LIMITADA</x:v>
      </x:c>
      <x:c r="C3071" s="190" t="n">
        <x:v>331911.96</x:v>
      </x:c>
      <x:c r="D3071" s="168" t="str">
        <x:v>Aventis Asset</x:v>
      </x:c>
      <x:c r="E3071" s="168" t="str">
        <x:f>IFERROR(INDEX('Classif Gestoras'!$H$6:$H$462,MATCH(D3071,'Classif Gestoras'!$A$6:$A$462,0)),"Não classificada")</x:f>
        <x:v>Independente</x:v>
      </x:c>
      <x:c r="F3071" s="168" t="str">
        <x:v>VÓRTX DTVM</x:v>
      </x:c>
      <x:c r="G3071" s="168" t="str">
        <x:v>VORTX DISTRIBUIDORA DE TITULOS E VALORES MOBILIARIOS LTDA.</x:v>
      </x:c>
      <x:c r="H3071" s="168" t="str">
        <x:v>Agro, Indústria e Comércio</x:v>
      </x:c>
      <x:c r="I3071" s="168" t="str">
        <x:v>Agronegócio</x:v>
      </x:c>
      <x:c r="J3071" s="168" t="str">
        <x:v>CI</x:v>
      </x:c>
      <x:c r="K3071" s="174" t="n">
        <x:v>12</x:v>
      </x:c>
      <x:c r="L3071" s="187" t="str">
        <x:v>Não classificado</x:v>
      </x:c>
    </x:row>
    <x:row r="3072">
      <x:c r="A3072" s="177" t="str">
        <x:v>48.313.595/0001-61</x:v>
      </x:c>
      <x:c r="B3072" s="168" t="str">
        <x:v>IBBA AGRO BR FUNDO DE INVESTIMENTO EM DIREITOS CREDITÓRIOS</x:v>
      </x:c>
      <x:c r="C3072" s="190" t="n">
        <x:v>299223.23</x:v>
      </x:c>
      <x:c r="D3072" s="168" t="str">
        <x:v>BURITI INVESTIMENTOS</x:v>
      </x:c>
      <x:c r="E3072" s="168" t="str">
        <x:f>IFERROR(INDEX('Classif Gestoras'!$H$6:$H$462,MATCH(D3072,'Classif Gestoras'!$A$6:$A$462,0)),"Não classificada")</x:f>
        <x:v>Independente</x:v>
      </x:c>
      <x:c r="F3072" s="168" t="str">
        <x:v>Singulare</x:v>
      </x:c>
      <x:c r="G3072" s="168" t="str">
        <x:v>QI CORRETORA DE TÍTULOS E VALORES MOBILIÁRIOS S.A.</x:v>
      </x:c>
      <x:c r="H3072" s="168" t="str">
        <x:v>Agro, Indústria e Comércio</x:v>
      </x:c>
      <x:c r="I3072" s="168" t="str">
        <x:v>Agronegócio</x:v>
      </x:c>
      <x:c r="J3072" s="168" t="str">
        <x:v>CI</x:v>
      </x:c>
      <x:c r="K3072" s="174" t="n">
        <x:v>4</x:v>
      </x:c>
      <x:c r="L3072" s="187" t="str">
        <x:v>Não classificado</x:v>
      </x:c>
    </x:row>
    <x:row r="3073">
      <x:c r="A3073" s="177" t="str">
        <x:v>57.691.078/0001-17</x:v>
      </x:c>
      <x:c r="B3073" s="168" t="str">
        <x:v>MENTORE II FUNDO DE INVESTIMENTO EM DIREITOS CREDITÓRIOS</x:v>
      </x:c>
      <x:c r="C3073" s="190" t="n">
        <x:v>289228.89</x:v>
      </x:c>
      <x:c r="D3073" s="168" t="str">
        <x:v>Solis</x:v>
      </x:c>
      <x:c r="E3073" s="168" t="str">
        <x:f>IFERROR(INDEX('Classif Gestoras'!$H$6:$H$462,MATCH(D3073,'Classif Gestoras'!$A$6:$A$462,0)),"Não classificada")</x:f>
        <x:v>Independente</x:v>
      </x:c>
      <x:c r="F3073" s="168" t="str">
        <x:v>HEMERA DTVM</x:v>
      </x:c>
      <x:c r="G3073" s="168" t="str">
        <x:v>HEMERA DISTRIBUIDORA DE TITULOS E VALORES MOBILIARIOS LTDA</x:v>
      </x:c>
      <x:c r="H3073" s="168" t="str">
        <x:v>Financeiro</x:v>
      </x:c>
      <x:c r="I3073" s="168" t="str">
        <x:v>Crédito Pessoal</x:v>
      </x:c>
      <x:c r="J3073" s="168" t="str">
        <x:v>CI</x:v>
      </x:c>
      <x:c r="K3073" s="174" t="n">
        <x:v>1</x:v>
      </x:c>
      <x:c r="L3073" s="187" t="str">
        <x:v>Não classificado</x:v>
      </x:c>
    </x:row>
    <x:row r="3074">
      <x:c r="A3074" s="177" t="str">
        <x:v>48.963.776/0001-33</x:v>
      </x:c>
      <x:c r="B3074" s="168" t="str">
        <x:v>C051 FUNDO DE INVESTIMENTO EM DIREITOS CREDITÓRIOS RESPONSABILIDADE LIMITADA</x:v>
      </x:c>
      <x:c r="C3074" s="190" t="n">
        <x:v>283040.08</x:v>
      </x:c>
      <x:c r="D3074" s="168" t="str">
        <x:v>CAPITANIA CAPITAL</x:v>
      </x:c>
      <x:c r="E3074" s="168" t="str">
        <x:f>IFERROR(INDEX('Classif Gestoras'!$H$6:$H$462,MATCH(D3074,'Classif Gestoras'!$A$6:$A$462,0)),"Não classificada")</x:f>
        <x:v>Independente</x:v>
      </x:c>
      <x:c r="F3074" s="168" t="str">
        <x:v>BTG Pactual Servicos Financeiros S/A DTVM</x:v>
      </x:c>
      <x:c r="G3074" s="168" t="str">
        <x:v>BANCO BTG PACTUAL S/A</x:v>
      </x:c>
      <x:c r="H3074" s="168" t="str">
        <x:v>Outros</x:v>
      </x:c>
      <x:c r="I3074" s="168" t="str">
        <x:v>Multicarteira Outros</x:v>
      </x:c>
      <x:c r="J3074" s="168" t="str">
        <x:v>CI</x:v>
      </x:c>
      <x:c r="K3074" s="174" t="n">
        <x:v>1</x:v>
      </x:c>
      <x:c r="L3074" s="187" t="str">
        <x:v>Proxy multicedente/multissacado — revisar</x:v>
      </x:c>
    </x:row>
    <x:row r="3075">
      <x:c r="A3075" s="177" t="str">
        <x:v>13.711.061/0001-09</x:v>
      </x:c>
      <x:c r="B3075" s="168" t="str">
        <x:v>4SSETS - FUNDO DE INVESTIMENTO EM DIREITOS CREDITÓRIOS</x:v>
      </x:c>
      <x:c r="C3075" s="190" t="n">
        <x:v>275574.19</x:v>
      </x:c>
      <x:c r="D3075" s="168" t="str">
        <x:v>SZ CAPITAL LTDA</x:v>
      </x:c>
      <x:c r="E3075" s="168" t="str">
        <x:f>IFERROR(INDEX('Classif Gestoras'!$H$6:$H$462,MATCH(D3075,'Classif Gestoras'!$A$6:$A$462,0)),"Não classificada")</x:f>
        <x:v>Independente</x:v>
      </x:c>
      <x:c r="F3075" s="168" t="str">
        <x:v>ACTUAL DTVM</x:v>
      </x:c>
      <x:c r="G3075" s="168" t="str">
        <x:v>LASTRO RDV DTVM LTDA</x:v>
      </x:c>
      <x:c r="H3075" s="168" t="str">
        <x:v>Outros</x:v>
      </x:c>
      <x:c r="I3075" s="168" t="str">
        <x:v>Multicarteira Outros</x:v>
      </x:c>
      <x:c r="J3075" s="168" t="str">
        <x:v>CI</x:v>
      </x:c>
      <x:c r="K3075" s="174" t="n">
        <x:v>1</x:v>
      </x:c>
      <x:c r="L3075" s="187" t="str">
        <x:v>Proxy multicedente/multissacado — revisar</x:v>
      </x:c>
    </x:row>
    <x:row r="3076">
      <x:c r="A3076" s="177" t="str">
        <x:v>22.998.896/0001-82</x:v>
      </x:c>
      <x:c r="B3076" s="168" t="str">
        <x:v>BRASIL PLURAL SPECIAL SITUATIONS FUNDO DE INVESTIMENTO EM DIREITOS CREDITÓRIOS</x:v>
      </x:c>
      <x:c r="C3076" s="190" t="n">
        <x:v>269240.61</x:v>
      </x:c>
      <x:c r="D3076" s="168" t="str">
        <x:v>Plural</x:v>
      </x:c>
      <x:c r="E3076" s="168" t="str">
        <x:f>IFERROR(INDEX('Classif Gestoras'!$H$6:$H$462,MATCH(D3076,'Classif Gestoras'!$A$6:$A$462,0)),"Não classificada")</x:f>
        <x:v>Ligada a banco</x:v>
      </x:c>
      <x:c r="F3076" s="168" t="str">
        <x:v>Genial Investimentos Corretora de Valores Mobiliários S.A.</x:v>
      </x:c>
      <x:c r="G3076" s="168" t="str">
        <x:v>BANCO GENIAL S.A.</x:v>
      </x:c>
      <x:c r="H3076" s="168" t="str">
        <x:v>Agro, Indústria e Comércio</x:v>
      </x:c>
      <x:c r="I3076" s="168" t="str">
        <x:v>Crédito Corporativo</x:v>
      </x:c>
      <x:c r="J3076" s="168" t="str">
        <x:v>CI</x:v>
      </x:c>
      <x:c r="K3076" s="174" t="n">
        <x:v>1</x:v>
      </x:c>
      <x:c r="L3076" s="187" t="str">
        <x:v>Não classificado</x:v>
      </x:c>
    </x:row>
    <x:row r="3077">
      <x:c r="A3077" s="177" t="str">
        <x:v>54.327.130/0001-62</x:v>
      </x:c>
      <x:c r="B3077" s="168" t="str">
        <x:v>ST 1006 FUNDO DE INVESTIMENTO EM DIREITOS CREDITÓRIOS RESPONSABILIDADE LIMITADA</x:v>
      </x:c>
      <x:c r="C3077" s="190" t="n">
        <x:v>254507.82</x:v>
      </x:c>
      <x:c r="D3077" s="168" t="str">
        <x:v>Strata Capital</x:v>
      </x:c>
      <x:c r="E3077" s="168" t="str">
        <x:f>IFERROR(INDEX('Classif Gestoras'!$H$6:$H$462,MATCH(D3077,'Classif Gestoras'!$A$6:$A$462,0)),"Não classificada")</x:f>
        <x:v>Independente</x:v>
      </x:c>
      <x:c r="F3077" s="168" t="str">
        <x:v>BANCO DAYCOVAL S/A</x:v>
      </x:c>
      <x:c r="G3077" s="168" t="str">
        <x:v>BANCO DAYCOVAL S.A.</x:v>
      </x:c>
      <x:c r="H3077" s="168" t="str">
        <x:v>Outros</x:v>
      </x:c>
      <x:c r="I3077" s="168" t="str">
        <x:v>Multicarteira Outros</x:v>
      </x:c>
      <x:c r="J3077" s="168" t="str">
        <x:v>CI</x:v>
      </x:c>
      <x:c r="K3077" s="174" t="n">
        <x:v>4</x:v>
      </x:c>
      <x:c r="L3077" s="187" t="str">
        <x:v>Proxy multicedente/multissacado — revisar</x:v>
      </x:c>
    </x:row>
    <x:row r="3078">
      <x:c r="A3078" s="177" t="str">
        <x:v>61.516.625/0001-03</x:v>
      </x:c>
      <x:c r="B3078" s="168" t="str">
        <x:v>LEDOROTAY FUNDO DE INVESTIMENTO EM DIREITOS CREDITÓRIOS DE RESPONSABILIDADE ILIMITADA</x:v>
      </x:c>
      <x:c r="C3078" s="190" t="n">
        <x:v>249254.13</x:v>
      </x:c>
      <x:c r="D3078" s="168" t="str">
        <x:v>BLUEWAVE ASSET LTDA</x:v>
      </x:c>
      <x:c r="E3078" s="168" t="str">
        <x:f>IFERROR(INDEX('Classif Gestoras'!$H$6:$H$462,MATCH(D3078,'Classif Gestoras'!$A$6:$A$462,0)),"Não classificada")</x:f>
        <x:v>Independente</x:v>
      </x:c>
      <x:c r="F3078" s="168" t="str">
        <x:v>Merito DTVM</x:v>
      </x:c>
      <x:c r="G3078" s="168" t="str">
        <x:v>MERITO DISTRIBUIDORA DE TITULOS E VALORES MOBILIARIOS LTDA.</x:v>
      </x:c>
      <x:c r="H3078" s="168" t="str">
        <x:v>Outros</x:v>
      </x:c>
      <x:c r="I3078" s="168" t="str">
        <x:v>Multicarteira Outros</x:v>
      </x:c>
      <x:c r="J3078" s="168" t="str">
        <x:v>CI</x:v>
      </x:c>
      <x:c r="K3078" s="174" t="n">
        <x:v>5</x:v>
      </x:c>
      <x:c r="L3078" s="187" t="str">
        <x:v>Proxy multicedente/multissacado — revisar</x:v>
      </x:c>
    </x:row>
    <x:row r="3079">
      <x:c r="A3079" s="177" t="str">
        <x:v>55.852.782/0001-89</x:v>
      </x:c>
      <x:c r="B3079" s="168" t="str">
        <x:v>ZERAZERO FUNDO DE INVESTIMENTO EM DIREITOS CREDITÓRIOS RESPONSABILIDADE LIMITADA</x:v>
      </x:c>
      <x:c r="C3079" s="190" t="n">
        <x:v>244459.66</x:v>
      </x:c>
      <x:c r="D3079" s="168" t="str">
        <x:v>GESTORA DE RECURSOS ID - GRID LTDA.</x:v>
      </x:c>
      <x:c r="E3079" s="168" t="str">
        <x:f>IFERROR(INDEX('Classif Gestoras'!$H$6:$H$462,MATCH(D3079,'Classif Gestoras'!$A$6:$A$462,0)),"Não classificada")</x:f>
        <x:v>Independente</x:v>
      </x:c>
      <x:c r="F3079" s="168" t="str">
        <x:v>ID Corretora de Títulos e Valores Mobiliários S.A.</x:v>
      </x:c>
      <x:c r="G3079" s="168" t="str">
        <x:v>ID CORRETORA DE TITULOS E VALORES MOBILIARIOS S.A.</x:v>
      </x:c>
      <x:c r="H3079" s="168" t="str">
        <x:v>Outros</x:v>
      </x:c>
      <x:c r="I3079" s="168" t="str">
        <x:v>Multicarteira Outros</x:v>
      </x:c>
      <x:c r="J3079" s="168" t="str">
        <x:v>CI</x:v>
      </x:c>
      <x:c r="K3079" s="174" t="n">
        <x:v>4</x:v>
      </x:c>
      <x:c r="L3079" s="187" t="str">
        <x:v>Proxy multicedente/multissacado — revisar</x:v>
      </x:c>
    </x:row>
    <x:row r="3080">
      <x:c r="A3080" s="177" t="str">
        <x:v>46.557.432/0001-07</x:v>
      </x:c>
      <x:c r="B3080" s="168" t="str">
        <x:v>ACELERA CASH FUNDO DE INVESTIMENTO EM DIREITOS CREDITÓRIOS</x:v>
      </x:c>
      <x:c r="C3080" s="190" t="n">
        <x:v>197118.55</x:v>
      </x:c>
      <x:c r="D3080" s="168" t="str">
        <x:v>OURO PRETO INVESTIMENTOS</x:v>
      </x:c>
      <x:c r="E3080" s="168" t="str">
        <x:f>IFERROR(INDEX('Classif Gestoras'!$H$6:$H$462,MATCH(D3080,'Classif Gestoras'!$A$6:$A$462,0)),"Não classificada")</x:f>
        <x:v>Independente</x:v>
      </x:c>
      <x:c r="F3080" s="168" t="str">
        <x:v>ID Corretora de Títulos e Valores Mobiliários S.A.</x:v>
      </x:c>
      <x:c r="G3080" s="168" t="str">
        <x:v>ID CORRETORA DE TITULOS E VALORES MOBILIARIOS S.A.</x:v>
      </x:c>
      <x:c r="H3080" s="168" t="str">
        <x:v>Outros</x:v>
      </x:c>
      <x:c r="I3080" s="168" t="str">
        <x:v>Multicarteira Outros</x:v>
      </x:c>
      <x:c r="J3080" s="168" t="str">
        <x:v>CI</x:v>
      </x:c>
      <x:c r="K3080" s="174" t="n">
        <x:v>17</x:v>
      </x:c>
      <x:c r="L3080" s="187" t="str">
        <x:v>Proxy multicedente/multissacado — revisar</x:v>
      </x:c>
    </x:row>
    <x:row r="3081">
      <x:c r="A3081" s="177" t="str">
        <x:v>60.331.197/0001-73</x:v>
      </x:c>
      <x:c r="B3081" s="168" t="str">
        <x:v>BRAEVO FUNDO DE INVESTIMENTO EM DIREITOS CREDITÓRIOS</x:v>
      </x:c>
      <x:c r="C3081" s="190" t="n">
        <x:v>197008.43</x:v>
      </x:c>
      <x:c r="D3081" s="168" t="str">
        <x:v>OURO PRETO INVESTIMENTOS</x:v>
      </x:c>
      <x:c r="E3081" s="168" t="str">
        <x:f>IFERROR(INDEX('Classif Gestoras'!$H$6:$H$462,MATCH(D3081,'Classif Gestoras'!$A$6:$A$462,0)),"Não classificada")</x:f>
        <x:v>Independente</x:v>
      </x:c>
      <x:c r="F3081" s="168" t="str">
        <x:v>Limine Trust Distribuidora de Titulos e Valores Mobiliá</x:v>
      </x:c>
      <x:c r="G3081" s="168" t="str">
        <x:v>LIMINE TRUST DISTRIBUIDORA DE TITULOS E VALORES MOBILIARIOS LTDA.</x:v>
      </x:c>
      <x:c r="H3081" s="168" t="str">
        <x:v>Financeiro</x:v>
      </x:c>
      <x:c r="I3081" s="168" t="str">
        <x:v>Crédito Imobiliário</x:v>
      </x:c>
      <x:c r="J3081" s="168" t="str">
        <x:v>CI</x:v>
      </x:c>
      <x:c r="K3081" s="174" t="n">
        <x:v>6</x:v>
      </x:c>
      <x:c r="L3081" s="187" t="str">
        <x:v>Não classificado</x:v>
      </x:c>
    </x:row>
    <x:row r="3082">
      <x:c r="A3082" s="177" t="str">
        <x:v>57.779.658/0001-60</x:v>
      </x:c>
      <x:c r="B3082" s="168" t="str">
        <x:v>GUARDIAN WAREHOUSE FUNDO DE INVESTIMENTO EM DIREITOS CREDITÓRIOS - RESPONSABILIDADE LIMITADA</x:v>
      </x:c>
      <x:c r="C3082" s="190" t="n">
        <x:v>194180.77</x:v>
      </x:c>
      <x:c r="D3082" s="168" t="str">
        <x:v>Guardian Gestora</x:v>
      </x:c>
      <x:c r="E3082" s="168" t="str">
        <x:f>IFERROR(INDEX('Classif Gestoras'!$H$6:$H$462,MATCH(D3082,'Classif Gestoras'!$A$6:$A$462,0)),"Não classificada")</x:f>
        <x:v>Independente</x:v>
      </x:c>
      <x:c r="F3082" s="168" t="str">
        <x:v>Banvox DTVM</x:v>
      </x:c>
      <x:c r="G3082" s="168" t="str">
        <x:v>BANVOX DISTRIBUIDORA DE TITULOS E VALORES MOBILIARIOS LTDA</x:v>
      </x:c>
      <x:c r="H3082" s="168" t="str">
        <x:v>Financeiro</x:v>
      </x:c>
      <x:c r="I3082" s="168" t="str">
        <x:v>Crédito Consignado</x:v>
      </x:c>
      <x:c r="J3082" s="168" t="str">
        <x:v>CI</x:v>
      </x:c>
      <x:c r="K3082" s="174" t="n">
        <x:v>1</x:v>
      </x:c>
      <x:c r="L3082" s="187" t="str">
        <x:v>Não classificado</x:v>
      </x:c>
    </x:row>
    <x:row r="3083">
      <x:c r="A3083" s="177" t="str">
        <x:v>36.312.154/0001-66</x:v>
      </x:c>
      <x:c r="B3083" s="168" t="str">
        <x:v>FUNDO DE INVESTIMENTO EM DIREITOS CREDITÓRIOS SEBRAE MPE</x:v>
      </x:c>
      <x:c r="C3083" s="190" t="n">
        <x:v>188290.81</x:v>
      </x:c>
      <x:c r="D3083" s="168" t="str">
        <x:v>VERT Gestora de Recursos Financeiros Ltda.</x:v>
      </x:c>
      <x:c r="E3083" s="168" t="str">
        <x:f>IFERROR(INDEX('Classif Gestoras'!$H$6:$H$462,MATCH(D3083,'Classif Gestoras'!$A$6:$A$462,0)),"Não classificada")</x:f>
        <x:v>Independente</x:v>
      </x:c>
      <x:c r="F3083" s="168" t="str">
        <x:v>BRL TRUST DTVM</x:v>
      </x:c>
      <x:c r="G3083" s="168" t="str">
        <x:v>BRL TRUST DISTRIBUIDORA DE TITULOS E VALORES MOBILIARIOS S.A.</x:v>
      </x:c>
      <x:c r="H3083" s="168" t="str">
        <x:v>Outros</x:v>
      </x:c>
      <x:c r="I3083" s="168" t="str">
        <x:v>Multicarteira Outros</x:v>
      </x:c>
      <x:c r="J3083" s="168" t="str">
        <x:v>CI</x:v>
      </x:c>
      <x:c r="K3083" s="174" t="n">
        <x:v>1</x:v>
      </x:c>
      <x:c r="L3083" s="187" t="str">
        <x:v>Proxy multicedente/multissacado — revisar</x:v>
      </x:c>
    </x:row>
    <x:row r="3084">
      <x:c r="A3084" s="177" t="str">
        <x:v>55.665.127/0001-11</x:v>
      </x:c>
      <x:c r="B3084" s="168" t="str">
        <x:v>WH INVEST FUNDO DE INVESTIMENTO EM DIREITOS CREDITÓRIOS RESPONSABILIDADE LIMITADA</x:v>
      </x:c>
      <x:c r="C3084" s="190" t="n">
        <x:v>173903.04</x:v>
      </x:c>
      <x:c r="D3084" s="168" t="str">
        <x:v>IDGR</x:v>
      </x:c>
      <x:c r="E3084" s="168" t="str">
        <x:f>IFERROR(INDEX('Classif Gestoras'!$H$6:$H$462,MATCH(D3084,'Classif Gestoras'!$A$6:$A$462,0)),"Não classificada")</x:f>
        <x:v>Independente</x:v>
      </x:c>
      <x:c r="F3084" s="168" t="str">
        <x:v>ID Corretora de Títulos e Valores Mobiliários S.A.</x:v>
      </x:c>
      <x:c r="G3084" s="168" t="str">
        <x:v>ID CORRETORA DE TITULOS E VALORES MOBILIARIOS S.A.</x:v>
      </x:c>
      <x:c r="H3084" s="168" t="str">
        <x:v>Outros</x:v>
      </x:c>
      <x:c r="I3084" s="168" t="str">
        <x:v>Multicarteira Outros</x:v>
      </x:c>
      <x:c r="J3084" s="168" t="str">
        <x:v>CI</x:v>
      </x:c>
      <x:c r="K3084" s="174" t="n">
        <x:v>7</x:v>
      </x:c>
      <x:c r="L3084" s="187" t="str">
        <x:v>Proxy multicedente/multissacado — revisar</x:v>
      </x:c>
    </x:row>
    <x:row r="3085">
      <x:c r="A3085" s="177" t="str">
        <x:v>52.997.952/0001-25</x:v>
      </x:c>
      <x:c r="B3085" s="168" t="str">
        <x:v>ST 1004 FUNDO DE INVESTIMENTO EM DIREITOS CREDITÓRIOS RESPONSABILIDADE LIMITADA</x:v>
      </x:c>
      <x:c r="C3085" s="190" t="n">
        <x:v>123330.56</x:v>
      </x:c>
      <x:c r="D3085" s="168" t="str">
        <x:v>Strata Capital</x:v>
      </x:c>
      <x:c r="E3085" s="168" t="str">
        <x:f>IFERROR(INDEX('Classif Gestoras'!$H$6:$H$462,MATCH(D3085,'Classif Gestoras'!$A$6:$A$462,0)),"Não classificada")</x:f>
        <x:v>Independente</x:v>
      </x:c>
      <x:c r="F3085" s="168" t="str">
        <x:v>BANCO DAYCOVAL S/A</x:v>
      </x:c>
      <x:c r="G3085" s="168" t="str">
        <x:v>BANCO DAYCOVAL S.A.</x:v>
      </x:c>
      <x:c r="H3085" s="168" t="str">
        <x:v>Outros</x:v>
      </x:c>
      <x:c r="I3085" s="168" t="str">
        <x:v>Multicarteira Outros</x:v>
      </x:c>
      <x:c r="J3085" s="168" t="str">
        <x:v>CI</x:v>
      </x:c>
      <x:c r="K3085" s="174" t="n">
        <x:v>4</x:v>
      </x:c>
      <x:c r="L3085" s="187" t="str">
        <x:v>Proxy multicedente/multissacado — revisar</x:v>
      </x:c>
    </x:row>
    <x:row r="3086">
      <x:c r="A3086" s="177" t="str">
        <x:v>50.519.168/0001-86</x:v>
      </x:c>
      <x:c r="B3086" s="168" t="str">
        <x:v>STRUTTURA AGRO FUNDO DE INVESTIMENTO EM DIREITOS CREDITÓRIOS DO AGRONEGÓCIO DE RESPONSABILIDADE LTDA</x:v>
      </x:c>
      <x:c r="C3086" s="190" t="n">
        <x:v>120927.41</x:v>
      </x:c>
      <x:c r="D3086" s="168" t="str">
        <x:v>CERES ASSET</x:v>
      </x:c>
      <x:c r="E3086" s="168" t="str">
        <x:f>IFERROR(INDEX('Classif Gestoras'!$H$6:$H$462,MATCH(D3086,'Classif Gestoras'!$A$6:$A$462,0)),"Não classificada")</x:f>
        <x:v>Independente</x:v>
      </x:c>
      <x:c r="F3086" s="168" t="str">
        <x:v>Oliveira Trust DTVM</x:v>
      </x:c>
      <x:c r="G3086" s="168" t="str">
        <x:v>OLIVEIRA TRUST DTVM S.A.</x:v>
      </x:c>
      <x:c r="H3086" s="168" t="str">
        <x:v>Agro, Indústria e Comércio</x:v>
      </x:c>
      <x:c r="I3086" s="168" t="str">
        <x:v>Agronegócio</x:v>
      </x:c>
      <x:c r="J3086" s="168" t="str">
        <x:v>CI</x:v>
      </x:c>
      <x:c r="K3086" s="174" t="n">
        <x:v>1</x:v>
      </x:c>
      <x:c r="L3086" s="187" t="str">
        <x:v>Não classificado</x:v>
      </x:c>
    </x:row>
    <x:row r="3087">
      <x:c r="A3087" s="177" t="str">
        <x:v>53.073.603/0001-80</x:v>
      </x:c>
      <x:c r="B3087" s="168" t="str">
        <x:v>ST 1005 FUNDO DE INVESTIMENTO EM DIREITOS CREDITÓRIOS RESPONSABILIDADE LIMITADA</x:v>
      </x:c>
      <x:c r="C3087" s="190" t="n">
        <x:v>114633.35</x:v>
      </x:c>
      <x:c r="D3087" s="168" t="str">
        <x:v>Strata Capital</x:v>
      </x:c>
      <x:c r="E3087" s="168" t="str">
        <x:f>IFERROR(INDEX('Classif Gestoras'!$H$6:$H$462,MATCH(D3087,'Classif Gestoras'!$A$6:$A$462,0)),"Não classificada")</x:f>
        <x:v>Independente</x:v>
      </x:c>
      <x:c r="F3087" s="168" t="str">
        <x:v>BANCO DAYCOVAL S/A</x:v>
      </x:c>
      <x:c r="G3087" s="168" t="str">
        <x:v>BANCO DAYCOVAL S.A.</x:v>
      </x:c>
      <x:c r="H3087" s="168" t="str">
        <x:v>Financeiro</x:v>
      </x:c>
      <x:c r="I3087" s="168" t="str">
        <x:v>Multicarteira Financeiro</x:v>
      </x:c>
      <x:c r="J3087" s="168" t="str">
        <x:v>CI</x:v>
      </x:c>
      <x:c r="K3087" s="174" t="n">
        <x:v>6</x:v>
      </x:c>
      <x:c r="L3087" s="187" t="str">
        <x:v>Proxy multicedente/multissacado — revisar</x:v>
      </x:c>
    </x:row>
    <x:row r="3088">
      <x:c r="A3088" s="177" t="str">
        <x:v>51.326.602/0001-74</x:v>
      </x:c>
      <x:c r="B3088" s="168" t="str">
        <x:v>FUNDO DE INVESTIMENTO EM DIREITOS CREDITÓRIOS TELLUS RESPONSABILIDADE LIMITADA</x:v>
      </x:c>
      <x:c r="C3088" s="190" t="n">
        <x:v>90974.38</x:v>
      </x:c>
      <x:c r="D3088" s="168" t="str">
        <x:v>VERT Gestora de Recursos Financeiros Ltda.</x:v>
      </x:c>
      <x:c r="E3088" s="168" t="str">
        <x:f>IFERROR(INDEX('Classif Gestoras'!$H$6:$H$462,MATCH(D3088,'Classif Gestoras'!$A$6:$A$462,0)),"Não classificada")</x:f>
        <x:v>Independente</x:v>
      </x:c>
      <x:c r="F3088" s="168" t="str">
        <x:v>VERT Distribuidora de Títulos e Valores Mobiliários Ltd</x:v>
      </x:c>
      <x:c r="G3088" s="168" t="str">
        <x:v>VERT DISTRIBUIDORA DE TÍTULOS E VALORES MOBILIÁRIOS LTDA.</x:v>
      </x:c>
      <x:c r="H3088" s="168" t="str">
        <x:v>Financeiro</x:v>
      </x:c>
      <x:c r="I3088" s="168" t="str">
        <x:v>Crédito Imobiliário</x:v>
      </x:c>
      <x:c r="J3088" s="168" t="str">
        <x:v>CI</x:v>
      </x:c>
      <x:c r="K3088" s="174" t="n">
        <x:v>2</x:v>
      </x:c>
      <x:c r="L3088" s="187" t="str">
        <x:v>Não classificado</x:v>
      </x:c>
    </x:row>
    <x:row r="3089">
      <x:c r="A3089" s="177" t="str">
        <x:v>13.633.964/0001-19</x:v>
      </x:c>
      <x:c r="B3089" s="168" t="str">
        <x:v>FUNDO DE INVESTIMENTO EM DIREITOS CREDITORIOS MULTISSETORIAL INVEST DUNAS LP</x:v>
      </x:c>
      <x:c r="C3089" s="190" t="n">
        <x:v>76467.32</x:v>
      </x:c>
      <x:c r="D3089" s="168" t="str">
        <x:v>QUELUZ ASSET</x:v>
      </x:c>
      <x:c r="E3089" s="168" t="str">
        <x:f>IFERROR(INDEX('Classif Gestoras'!$H$6:$H$462,MATCH(D3089,'Classif Gestoras'!$A$6:$A$462,0)),"Não classificada")</x:f>
        <x:v>Independente</x:v>
      </x:c>
      <x:c r="F3089" s="168" t="str">
        <x:v>Singulare</x:v>
      </x:c>
      <x:c r="G3089" s="168" t="str">
        <x:v>QI CORRETORA DE TÍTULOS E VALORES MOBILIÁRIOS S.A.</x:v>
      </x:c>
      <x:c r="H3089" s="168" t="str">
        <x:v>Outros</x:v>
      </x:c>
      <x:c r="I3089" s="168" t="str">
        <x:v>Multicarteira Outros</x:v>
      </x:c>
      <x:c r="J3089" s="168" t="str">
        <x:v>CI</x:v>
      </x:c>
      <x:c r="K3089" s="174" t="n">
        <x:v>30</x:v>
      </x:c>
      <x:c r="L3089" s="187" t="str">
        <x:v>Proxy multicedente/multissacado — revisar</x:v>
      </x:c>
    </x:row>
    <x:row r="3090">
      <x:c r="A3090" s="177" t="str">
        <x:v>59.272.723/0001-92</x:v>
      </x:c>
      <x:c r="B3090" s="168" t="str">
        <x:v>POLÍGONO MASTER PRO III FUNDO DE INVESTIMENTO EM DIREITOS CREDITÓRIOS</x:v>
      </x:c>
      <x:c r="C3090" s="190" t="n">
        <x:v>70252.28</x:v>
      </x:c>
      <x:c r="D3090" s="168" t="str">
        <x:v>POLÍGONO CAPITAL LTDA.</x:v>
      </x:c>
      <x:c r="E3090" s="168" t="str">
        <x:f>IFERROR(INDEX('Classif Gestoras'!$H$6:$H$462,MATCH(D3090,'Classif Gestoras'!$A$6:$A$462,0)),"Não classificada")</x:f>
        <x:v>Independente</x:v>
      </x:c>
      <x:c r="F3090" s="168" t="str">
        <x:v>BTG Pactual Servicos Financeiros S/A DTVM</x:v>
      </x:c>
      <x:c r="G3090" s="168" t="str">
        <x:v>BANCO BTG PACTUAL S/A</x:v>
      </x:c>
      <x:c r="H3090" s="168" t="str">
        <x:v>Outros</x:v>
      </x:c>
      <x:c r="I3090" s="168" t="str">
        <x:v>Multicarteira Outros</x:v>
      </x:c>
      <x:c r="J3090" s="168" t="str">
        <x:v>CIPC</x:v>
      </x:c>
      <x:c r="K3090" s="174" t="n">
        <x:v>8</x:v>
      </x:c>
      <x:c r="L3090" s="187" t="str">
        <x:v>Proxy multicedente/multissacado — revisar</x:v>
      </x:c>
    </x:row>
    <x:row r="3091">
      <x:c r="A3091" s="177" t="str">
        <x:v>24.445.360/0001-65</x:v>
      </x:c>
      <x:c r="B3091" s="168" t="str">
        <x:v>AR BANK FUNDO DE INVESTIMENTO EM DIREITOS CREDITORIOS IMOBILIÁRIOS I</x:v>
      </x:c>
      <x:c r="C3091" s="190" t="n">
        <x:v>65632.67</x:v>
      </x:c>
      <x:c r="D3091" s="168" t="str">
        <x:v>GRAPHEN INVESTIMENTOS</x:v>
      </x:c>
      <x:c r="E3091" s="168" t="str">
        <x:f>IFERROR(INDEX('Classif Gestoras'!$H$6:$H$462,MATCH(D3091,'Classif Gestoras'!$A$6:$A$462,0)),"Não classificada")</x:f>
        <x:v>Independente</x:v>
      </x:c>
      <x:c r="F3091" s="168" t="str">
        <x:v>PLANNER CV</x:v>
      </x:c>
      <x:c r="G3091" s="168" t="str">
        <x:v>PLANNER CORRETORA DE VALORES S.A.</x:v>
      </x:c>
      <x:c r="H3091" s="168" t="str">
        <x:v>Financeiro</x:v>
      </x:c>
      <x:c r="I3091" s="168" t="str">
        <x:v>Crédito Imobiliário</x:v>
      </x:c>
      <x:c r="J3091" s="168" t="str">
        <x:v>CI</x:v>
      </x:c>
      <x:c r="K3091" s="174" t="n">
        <x:v>10</x:v>
      </x:c>
      <x:c r="L3091" s="187" t="str">
        <x:v>Não classificado</x:v>
      </x:c>
    </x:row>
    <x:row r="3092">
      <x:c r="A3092" s="177" t="str">
        <x:v>06.018.364/0001-85</x:v>
      </x:c>
      <x:c r="B3092" s="168" t="str">
        <x:v>FUNDO DE INVESTIMENTO EM DIREITOS CREDITÓRIOS - FIDC PREMIUM</x:v>
      </x:c>
      <x:c r="C3092" s="190" t="n">
        <x:v>47416.18</x:v>
      </x:c>
      <x:c r="D3092" s="168" t="str">
        <x:v>GRAPHEN INVESTIMENTOS</x:v>
      </x:c>
      <x:c r="E3092" s="168" t="str">
        <x:f>IFERROR(INDEX('Classif Gestoras'!$H$6:$H$462,MATCH(D3092,'Classif Gestoras'!$A$6:$A$462,0)),"Não classificada")</x:f>
        <x:v>Independente</x:v>
      </x:c>
      <x:c r="F3092" s="168" t="str">
        <x:v>Finaxis Corretora de Títulos e Valores Mobiliários S.A.</x:v>
      </x:c>
      <x:c r="G3092" s="168" t="str">
        <x:v>BANCO FINAXIS S.A.</x:v>
      </x:c>
      <x:c r="H3092" s="168" t="str">
        <x:v>Outros</x:v>
      </x:c>
      <x:c r="I3092" s="168" t="str">
        <x:v>Multicarteira Outros</x:v>
      </x:c>
      <x:c r="J3092" s="168" t="str">
        <x:v>CI</x:v>
      </x:c>
      <x:c r="K3092" s="174" t="n">
        <x:v>99</x:v>
      </x:c>
      <x:c r="L3092" s="187" t="str">
        <x:v>Proxy multicedente/multissacado — revisar</x:v>
      </x:c>
    </x:row>
    <x:row r="3093">
      <x:c r="A3093" s="177" t="str">
        <x:v>12.401.806/0001-70</x:v>
      </x:c>
      <x:c r="B3093" s="168" t="str">
        <x:v>AIMORES FIDC-NP - RESPONSABILIDADE LIMITADA</x:v>
      </x:c>
      <x:c r="C3093" s="190" t="n">
        <x:v>45842.8</x:v>
      </x:c>
      <x:c r="D3093" s="168" t="str">
        <x:v>ATIVA ASSET LTDA</x:v>
      </x:c>
      <x:c r="E3093" s="168" t="str">
        <x:f>IFERROR(INDEX('Classif Gestoras'!$H$6:$H$462,MATCH(D3093,'Classif Gestoras'!$A$6:$A$462,0)),"Não classificada")</x:f>
        <x:v>Independente</x:v>
      </x:c>
      <x:c r="F3093" s="168" t="str">
        <x:v>Ativa S/A CTCV</x:v>
      </x:c>
      <x:c r="G3093" s="168" t="str">
        <x:v>ATIVA INVESTIMENTOS S.A. C.T.C.V.</x:v>
      </x:c>
      <x:c r="H3093" s="168" t="str">
        <x:v>Financeiro</x:v>
      </x:c>
      <x:c r="I3093" s="168" t="str">
        <x:v>Crédito Imobiliário</x:v>
      </x:c>
      <x:c r="J3093" s="168" t="str">
        <x:v>CI</x:v>
      </x:c>
      <x:c r="K3093" s="174" t="n">
        <x:v>1</x:v>
      </x:c>
      <x:c r="L3093" s="187" t="str">
        <x:v>Não classificado</x:v>
      </x:c>
    </x:row>
    <x:row r="3094">
      <x:c r="A3094" s="177" t="str">
        <x:v>48.960.844/0001-00</x:v>
      </x:c>
      <x:c r="B3094" s="168" t="str">
        <x:v>BADWATER FUNDO DE INVESTIMENTO EM DIREITOS CREDITÓRIOS NÃO-PADRONIZADO</x:v>
      </x:c>
      <x:c r="C3094" s="190" t="n">
        <x:v>34223.04</x:v>
      </x:c>
      <x:c r="D3094" s="168" t="str">
        <x:v>Redwood Asset Management</x:v>
      </x:c>
      <x:c r="E3094" s="168" t="str">
        <x:f>IFERROR(INDEX('Classif Gestoras'!$H$6:$H$462,MATCH(D3094,'Classif Gestoras'!$A$6:$A$462,0)),"Não classificada")</x:f>
        <x:v>Independente</x:v>
      </x:c>
      <x:c r="F3094" s="168" t="str">
        <x:v>PLANNER CV</x:v>
      </x:c>
      <x:c r="G3094" s="168" t="str">
        <x:v>PLANNER CORRETORA DE VALORES S.A.</x:v>
      </x:c>
      <x:c r="H3094" s="168" t="str">
        <x:v>Outros</x:v>
      </x:c>
      <x:c r="I3094" s="168" t="str">
        <x:v>Multicarteira Outros</x:v>
      </x:c>
      <x:c r="J3094" s="168" t="str">
        <x:v>CI</x:v>
      </x:c>
      <x:c r="K3094" s="174" t="n">
        <x:v>1</x:v>
      </x:c>
      <x:c r="L3094" s="187" t="str">
        <x:v>Proxy multicedente/multissacado — revisar</x:v>
      </x:c>
    </x:row>
    <x:row r="3095">
      <x:c r="A3095" s="177" t="str">
        <x:v>29.319.754/0001-90</x:v>
      </x:c>
      <x:c r="B3095" s="168" t="str">
        <x:v>ALGARVE II FUNDO DE INVESTIMENTO EM DIREITOS CREDITÓRIOS</x:v>
      </x:c>
      <x:c r="C3095" s="190" t="n">
        <x:v>30856.83</x:v>
      </x:c>
      <x:c r="D3095" s="168" t="str">
        <x:v>Algarve Capital</x:v>
      </x:c>
      <x:c r="E3095" s="168" t="str">
        <x:f>IFERROR(INDEX('Classif Gestoras'!$H$6:$H$462,MATCH(D3095,'Classif Gestoras'!$A$6:$A$462,0)),"Não classificada")</x:f>
        <x:v>Independente</x:v>
      </x:c>
      <x:c r="F3095" s="168" t="str">
        <x:v>TRUSTEE DTVM</x:v>
      </x:c>
      <x:c r="G3095" s="168" t="str">
        <x:v>TRUSTEE DISTRIBUIDORA DE TITULOS E VALORES MOBILIARIOS LTDA.</x:v>
      </x:c>
      <x:c r="H3095" s="168" t="str">
        <x:v>Outros</x:v>
      </x:c>
      <x:c r="I3095" s="168" t="str">
        <x:v>Poder Público</x:v>
      </x:c>
      <x:c r="J3095" s="168" t="str">
        <x:v>CI</x:v>
      </x:c>
      <x:c r="K3095" s="174" t="n">
        <x:v>4</x:v>
      </x:c>
      <x:c r="L3095" s="187" t="str">
        <x:v>Não classificado</x:v>
      </x:c>
    </x:row>
    <x:row r="3096">
      <x:c r="A3096" s="177" t="str">
        <x:v>20.998.938/0001-50</x:v>
      </x:c>
      <x:c r="B3096" s="168" t="str">
        <x:v>BRASFOR II FUNDO DE INVESTIMENTO EM DIREITOS CREDITÓRIOS MULTISEGMENTOS - EM LIQUIDAÇÃO</x:v>
      </x:c>
      <x:c r="C3096" s="190" t="n">
        <x:v>30691.17</x:v>
      </x:c>
      <x:c r="D3096" s="168" t="str">
        <x:v>Brave Asset</x:v>
      </x:c>
      <x:c r="E3096" s="168" t="str">
        <x:f>IFERROR(INDEX('Classif Gestoras'!$H$6:$H$462,MATCH(D3096,'Classif Gestoras'!$A$6:$A$462,0)),"Não classificada")</x:f>
        <x:v>Independente</x:v>
      </x:c>
      <x:c r="F3096" s="168" t="str">
        <x:v>Finaxis Corretora de Títulos e Valores Mobiliários S.A.</x:v>
      </x:c>
      <x:c r="G3096" s="168" t="str">
        <x:v>BANCO FINAXIS S.A.</x:v>
      </x:c>
      <x:c r="H3096" s="168" t="str">
        <x:v>Fomento Mercantil</x:v>
      </x:c>
      <x:c r="I3096" s="168" t="str">
        <x:v>Fomento Mercantil</x:v>
      </x:c>
      <x:c r="J3096" s="168" t="str">
        <x:v>CI</x:v>
      </x:c>
      <x:c r="K3096" s="174" t="n">
        <x:v>1</x:v>
      </x:c>
      <x:c r="L3096" s="187" t="str">
        <x:v>Não classificado</x:v>
      </x:c>
    </x:row>
    <x:row r="3097">
      <x:c r="A3097" s="177" t="str">
        <x:v>62.946.467/0001-86</x:v>
      </x:c>
      <x:c r="B3097" s="168" t="str">
        <x:v>SANE &amp; PETRO FUNDO DE INVESTIMENTO EM DIREITOS CREDITÓRIOS</x:v>
      </x:c>
      <x:c r="C3097" s="190" t="n">
        <x:v>25752.22</x:v>
      </x:c>
      <x:c r="D3097" s="168" t="str">
        <x:v>OKEAN INVEST</x:v>
      </x:c>
      <x:c r="E3097" s="168" t="str">
        <x:f>IFERROR(INDEX('Classif Gestoras'!$H$6:$H$462,MATCH(D3097,'Classif Gestoras'!$A$6:$A$462,0)),"Não classificada")</x:f>
        <x:v>Independente</x:v>
      </x:c>
      <x:c r="F3097" s="168" t="str">
        <x:v>Finvest Digital</x:v>
      </x:c>
      <x:c r="G3097" s="168" t="str">
        <x:v>FINVEST DISTRIBUIDORA DE TÍTULOS E VALORES MOBILIÁRIOS LTDA.</x:v>
      </x:c>
      <x:c r="H3097" s="168" t="str">
        <x:v>Fomento Mercantil</x:v>
      </x:c>
      <x:c r="I3097" s="168" t="str">
        <x:v>Fomento Mercantil</x:v>
      </x:c>
      <x:c r="J3097" s="168" t="str">
        <x:v>CI</x:v>
      </x:c>
      <x:c r="K3097" s="174" t="n">
        <x:v>1</x:v>
      </x:c>
      <x:c r="L3097" s="187" t="str">
        <x:v>Não classificado</x:v>
      </x:c>
    </x:row>
    <x:row r="3098">
      <x:c r="A3098" s="177" t="str">
        <x:v>59.201.781/0001-25</x:v>
      </x:c>
      <x:c r="B3098" s="168" t="str">
        <x:v>INTI ENERGIAS DO BRASIL FUNDO DE INVESTIMENTO EM DIREITOS CREDITÓRIOS,</x:v>
      </x:c>
      <x:c r="C3098" s="190" t="n">
        <x:v>15930.8</x:v>
      </x:c>
      <x:c r="D3098" s="168" t="str">
        <x:v>Redwood Asset Management</x:v>
      </x:c>
      <x:c r="E3098" s="168" t="str">
        <x:f>IFERROR(INDEX('Classif Gestoras'!$H$6:$H$462,MATCH(D3098,'Classif Gestoras'!$A$6:$A$462,0)),"Não classificada")</x:f>
        <x:v>Independente</x:v>
      </x:c>
      <x:c r="F3098" s="168" t="str">
        <x:v>PLANNER CV</x:v>
      </x:c>
      <x:c r="G3098" s="168" t="str">
        <x:v>PLANNER CORRETORA DE VALORES S.A.</x:v>
      </x:c>
      <x:c r="H3098" s="168" t="str">
        <x:v>Outros</x:v>
      </x:c>
      <x:c r="I3098" s="168" t="str">
        <x:v>Multicarteira Outros</x:v>
      </x:c>
      <x:c r="J3098" s="168" t="str">
        <x:v>CI</x:v>
      </x:c>
      <x:c r="K3098" s="174" t="n">
        <x:v>1</x:v>
      </x:c>
      <x:c r="L3098" s="187" t="str">
        <x:v>Proxy multicedente/multissacado — revisar</x:v>
      </x:c>
    </x:row>
    <x:row r="3099">
      <x:c r="A3099" s="177" t="str">
        <x:v>63.887.027/0001-68</x:v>
      </x:c>
      <x:c r="B3099" s="168" t="str">
        <x:v>ADIANTA PLANTÃO FUNDO DE INVESTIMENTO EM DIREITOS CREDITÓRIOS NÃO-PADRONIZADOS - RESPONSABILIDADE LI</x:v>
      </x:c>
      <x:c r="C3099" s="190" t="n">
        <x:v>4266.39</x:v>
      </x:c>
      <x:c r="D3099" s="168" t="str">
        <x:v>Planalto Capital</x:v>
      </x:c>
      <x:c r="E3099" s="168" t="str">
        <x:f>IFERROR(INDEX('Classif Gestoras'!$H$6:$H$462,MATCH(D3099,'Classif Gestoras'!$A$6:$A$462,0)),"Não classificada")</x:f>
        <x:v>Independente</x:v>
      </x:c>
      <x:c r="F3099" s="168" t="str">
        <x:v>AZUMI DISTRIBUIDORA DE TÍTULOS E VALORES MOBILIÁRIOS LT</x:v>
      </x:c>
      <x:c r="G3099" s="168" t="str">
        <x:v>AZUMI DISTRIBUIDORA DE TÍTULOS E VALORES MOBILIÁRIOS LTDA.</x:v>
      </x:c>
      <x:c r="H3099" s="168" t="str">
        <x:v>Outros</x:v>
      </x:c>
      <x:c r="I3099" s="168" t="str">
        <x:v>Multicarteira Outros</x:v>
      </x:c>
      <x:c r="J3099" s="168" t="str">
        <x:v>CI</x:v>
      </x:c>
      <x:c r="K3099" s="174" t="n">
        <x:v>7</x:v>
      </x:c>
      <x:c r="L3099" s="187" t="str">
        <x:v>Proxy multicedente/multissacado — revisar</x:v>
      </x:c>
    </x:row>
    <x:row r="3100">
      <x:c r="A3100" s="177" t="str">
        <x:v>57.441.997/0001-32</x:v>
      </x:c>
      <x:c r="B3100" s="168" t="str">
        <x:v>F4RES FUNDO DE INVESTIMENTO EM DIREITOS CREDITÓRIOS RESPONSABILIDADE LIMITADA</x:v>
      </x:c>
      <x:c r="C3100" s="190" t="n">
        <x:v>1757.79</x:v>
      </x:c>
      <x:c r="D3100" s="168" t="str">
        <x:v>Bless Capital Gestora de Recursos Ltda.</x:v>
      </x:c>
      <x:c r="E3100" s="168" t="str">
        <x:f>IFERROR(INDEX('Classif Gestoras'!$H$6:$H$462,MATCH(D3100,'Classif Gestoras'!$A$6:$A$462,0)),"Não classificada")</x:f>
        <x:v>Independente</x:v>
      </x:c>
      <x:c r="F3100" s="168" t="str">
        <x:v>ID Corretora de Títulos e Valores Mobiliários S.A.</x:v>
      </x:c>
      <x:c r="G3100" s="168" t="str">
        <x:v>ID CORRETORA DE TITULOS E VALORES MOBILIARIOS S.A.</x:v>
      </x:c>
      <x:c r="H3100" s="168" t="str">
        <x:v>Outros</x:v>
      </x:c>
      <x:c r="I3100" s="168" t="str">
        <x:v>Multicarteira Outros</x:v>
      </x:c>
      <x:c r="J3100" s="168" t="str">
        <x:v>CI</x:v>
      </x:c>
      <x:c r="K3100" s="174" t="n">
        <x:v>0</x:v>
      </x:c>
      <x:c r="L3100" s="187" t="str">
        <x:v>Proxy multicedente/multissacado — revisar</x:v>
      </x:c>
    </x:row>
    <x:row r="3101">
      <x:c r="A3101" s="177" t="str">
        <x:v>20.998.956/0001-31</x:v>
      </x:c>
      <x:c r="B3101" s="168" t="str">
        <x:v>CNPJ 20998956000131</x:v>
      </x:c>
      <x:c r="C3101" s="190" t="n">
        <x:v>0.05</x:v>
      </x:c>
      <x:c r="D3101" s="168" t="str">
        <x:v>Privatto Administração de Patrimonio Ltda</x:v>
      </x:c>
      <x:c r="E3101" s="168" t="str">
        <x:f>IFERROR(INDEX('Classif Gestoras'!$H$6:$H$462,MATCH(D3101,'Classif Gestoras'!$A$6:$A$462,0)),"Não classificada")</x:f>
        <x:v>Independente</x:v>
      </x:c>
      <x:c r="F3101" s="168" t="str">
        <x:v>ID Corretora de Títulos e Valores Mobiliários S.A.</x:v>
      </x:c>
      <x:c r="G3101" s="168" t="str">
        <x:v>Não identificado</x:v>
      </x:c>
      <x:c r="H3101" s="168" t="str">
        <x:v>Fomento Mercantil</x:v>
      </x:c>
      <x:c r="I3101" s="168" t="str">
        <x:v>Fomento Mercantil</x:v>
      </x:c>
      <x:c r="J3101" s="168" t="str">
        <x:v>CI</x:v>
      </x:c>
      <x:c r="K3101" s="174"/>
      <x:c r="L3101" s="187" t="str">
        <x:v>Não classificado</x:v>
      </x:c>
    </x:row>
    <x:row r="3102">
      <x:c r="A3102" s="177" t="str">
        <x:v>23.246.620/0001-00</x:v>
      </x:c>
      <x:c r="B3102" s="168" t="str">
        <x:v>FUNDO DE INVESTIMENTO EM DIREITOS CREDITÓRIOS MARTE FORNECEDORES</x:v>
      </x:c>
      <x:c r="C3102" s="190" t="n">
        <x:v>0.02</x:v>
      </x:c>
      <x:c r="D3102" s="168" t="str">
        <x:v>BRAX INVESTIMENTOS</x:v>
      </x:c>
      <x:c r="E3102" s="168" t="str">
        <x:f>IFERROR(INDEX('Classif Gestoras'!$H$6:$H$462,MATCH(D3102,'Classif Gestoras'!$A$6:$A$462,0)),"Não classificada")</x:f>
        <x:v>Independente</x:v>
      </x:c>
      <x:c r="F3102" s="168" t="str">
        <x:v>Singulare</x:v>
      </x:c>
      <x:c r="G3102" s="168" t="str">
        <x:v>QI CORRETORA DE TÍTULOS E VALORES MOBILIÁRIOS S.A.</x:v>
      </x:c>
      <x:c r="H3102" s="168" t="str">
        <x:v>Fomento Mercantil</x:v>
      </x:c>
      <x:c r="I3102" s="168" t="str">
        <x:v>Fomento Mercantil</x:v>
      </x:c>
      <x:c r="J3102" s="168" t="str">
        <x:v>CI</x:v>
      </x:c>
      <x:c r="K3102" s="174" t="n">
        <x:v>4</x:v>
      </x:c>
      <x:c r="L3102" s="187" t="str">
        <x:v>Não classificado</x:v>
      </x:c>
    </x:row>
    <x:row r="3103">
      <x:c r="A3103" s="177" t="str">
        <x:v>50.948.197/0001-63</x:v>
      </x:c>
      <x:c r="B3103" s="168" t="str">
        <x:v>CESSIONÁRIO 2 FUNDO DE INVESTIMENTO EM DIREITOS CREDITÓRIOS NÃO-PADRONIZADOS RESP LIMITADA</x:v>
      </x:c>
      <x:c r="C3103" s="190" t="n">
        <x:v>0.01</x:v>
      </x:c>
      <x:c r="D3103" s="168" t="str">
        <x:v>IDGR</x:v>
      </x:c>
      <x:c r="E3103" s="168" t="str">
        <x:f>IFERROR(INDEX('Classif Gestoras'!$H$6:$H$462,MATCH(D3103,'Classif Gestoras'!$A$6:$A$462,0)),"Não classificada")</x:f>
        <x:v>Independente</x:v>
      </x:c>
      <x:c r="F3103" s="168" t="str">
        <x:v>ID Corretora de Títulos e Valores Mobiliários S.A.</x:v>
      </x:c>
      <x:c r="G3103" s="168" t="str">
        <x:v>ID CORRETORA DE TITULOS E VALORES MOBILIARIOS S.A.</x:v>
      </x:c>
      <x:c r="H3103" s="168" t="str">
        <x:v>Outros</x:v>
      </x:c>
      <x:c r="I3103" s="168" t="str">
        <x:v>Multicarteira Outros</x:v>
      </x:c>
      <x:c r="J3103" s="168" t="str">
        <x:v>CI</x:v>
      </x:c>
      <x:c r="K3103" s="174" t="n">
        <x:v>0</x:v>
      </x:c>
      <x:c r="L3103" s="187" t="str">
        <x:v>Proxy multicedente/multissacado — revisar</x:v>
      </x:c>
    </x:row>
    <x:row r="3104">
      <x:c r="A3104" s="177" t="str">
        <x:v>27.467.600/0001-10</x:v>
      </x:c>
      <x:c r="B3104" s="168" t="str">
        <x:v>FUNDO DE INVESTIMENTO EM DIREITOS CREDITORIOS LOTEAMENTO</x:v>
      </x:c>
      <x:c r="C3104" s="190" t="n">
        <x:v>0.01</x:v>
      </x:c>
      <x:c r="D3104" s="168" t="str">
        <x:v>REAG GESTÃO DE CRÉDITO</x:v>
      </x:c>
      <x:c r="E3104" s="168" t="str">
        <x:f>IFERROR(INDEX('Classif Gestoras'!$H$6:$H$462,MATCH(D3104,'Classif Gestoras'!$A$6:$A$462,0)),"Não classificada")</x:f>
        <x:v>Independente</x:v>
      </x:c>
      <x:c r="F3104" s="168" t="str">
        <x:v>Oliveira Trust DTVM</x:v>
      </x:c>
      <x:c r="G3104" s="168" t="str">
        <x:v>OLIVEIRA TRUST DTVM S.A.</x:v>
      </x:c>
      <x:c r="H3104" s="168" t="str">
        <x:v>Outros</x:v>
      </x:c>
      <x:c r="I3104" s="168" t="str">
        <x:v>Multicarteira Outros</x:v>
      </x:c>
      <x:c r="J3104" s="168" t="str">
        <x:v>CI</x:v>
      </x:c>
      <x:c r="K3104" s="174" t="n">
        <x:v>2</x:v>
      </x:c>
      <x:c r="L3104" s="187" t="str">
        <x:v>Proxy multicedente/multissacado — revisar</x:v>
      </x:c>
    </x:row>
    <x:row r="3105">
      <x:c r="A3105" s="177" t="str">
        <x:v>21.254.455/0001-03</x:v>
      </x:c>
      <x:c r="B3105" s="168" t="str">
        <x:v>PAULISTA INVEST FUNDO DE INVESTIMENTO EM DIREITOS CREDITÓRIOS MULTISSETORIAL</x:v>
      </x:c>
      <x:c r="C3105" s="190" t="n">
        <x:v>0.01</x:v>
      </x:c>
      <x:c r="D3105" s="168" t="str">
        <x:v>OURO PRETO INVESTIMENTOS</x:v>
      </x:c>
      <x:c r="E3105" s="168" t="str">
        <x:f>IFERROR(INDEX('Classif Gestoras'!$H$6:$H$462,MATCH(D3105,'Classif Gestoras'!$A$6:$A$462,0)),"Não classificada")</x:f>
        <x:v>Independente</x:v>
      </x:c>
      <x:c r="F3105" s="168" t="str">
        <x:v>Singulare</x:v>
      </x:c>
      <x:c r="G3105" s="168" t="str">
        <x:v>QI CORRETORA DE TÍTULOS E VALORES MOBILIÁRIOS S.A.</x:v>
      </x:c>
      <x:c r="H3105" s="168" t="str">
        <x:v>Fomento Mercantil</x:v>
      </x:c>
      <x:c r="I3105" s="168" t="str">
        <x:v>Fomento Mercantil</x:v>
      </x:c>
      <x:c r="J3105" s="168" t="str">
        <x:v>CI</x:v>
      </x:c>
      <x:c r="K3105" s="174" t="n">
        <x:v>0</x:v>
      </x:c>
      <x:c r="L3105" s="187" t="str">
        <x:v>Não classificado</x:v>
      </x:c>
    </x:row>
    <x:row r="3106">
      <x:c r="A3106" s="177" t="str">
        <x:v>22.588.302/0001-65</x:v>
      </x:c>
      <x:c r="B3106" s="168" t="str">
        <x:v>ONE FUNDO DE INVESTIMENTO EM DIREITOS CREDITÓRIOS NÃO-PADRONIZADOS</x:v>
      </x:c>
      <x:c r="C3106" s="190" t="n">
        <x:v>0.01</x:v>
      </x:c>
      <x:c r="D3106" s="168" t="str">
        <x:v>Veritas Capital Management</x:v>
      </x:c>
      <x:c r="E3106" s="168" t="str">
        <x:f>IFERROR(INDEX('Classif Gestoras'!$H$6:$H$462,MATCH(D3106,'Classif Gestoras'!$A$6:$A$462,0)),"Não classificada")</x:f>
        <x:v>Independente</x:v>
      </x:c>
      <x:c r="F3106" s="168" t="str">
        <x:v>RJI Investimentos</x:v>
      </x:c>
      <x:c r="G3106" s="168" t="str">
        <x:v>RJI CORRETORA DE TÍTULOS E VALORES MOBILIÁRIOS LTDA.</x:v>
      </x:c>
      <x:c r="H3106" s="168" t="str">
        <x:v>Outros</x:v>
      </x:c>
      <x:c r="I3106" s="168" t="str">
        <x:v>Multicarteira Outros</x:v>
      </x:c>
      <x:c r="J3106" s="168" t="str">
        <x:v>CI</x:v>
      </x:c>
      <x:c r="K3106" s="174" t="n">
        <x:v>6</x:v>
      </x:c>
      <x:c r="L3106" s="187" t="str">
        <x:v>Proxy multicedente/multissacado — revisar</x:v>
      </x:c>
    </x:row>
    <x:row r="3107">
      <x:c r="A3107" s="177" t="str">
        <x:v>12.138.862/0001-64</x:v>
      </x:c>
      <x:c r="B3107" s="168" t="str">
        <x:v>FUNDO DE INVESTIMENTO EM DIREITOS CREDITÓRIOS MULTISETORIAL SILVERADO MAXIMUM II</x:v>
      </x:c>
      <x:c r="C3107" s="190" t="n">
        <x:v>0.01</x:v>
      </x:c>
      <x:c r="D3107" s="168" t="str">
        <x:v>GENIAL GESTÃO LTDA.</x:v>
      </x:c>
      <x:c r="E3107" s="168" t="str">
        <x:f>IFERROR(INDEX('Classif Gestoras'!$H$6:$H$462,MATCH(D3107,'Classif Gestoras'!$A$6:$A$462,0)),"Não classificada")</x:f>
        <x:v>Ligada a banco</x:v>
      </x:c>
      <x:c r="F3107" s="168" t="str">
        <x:v>Banco Genial S.A.</x:v>
      </x:c>
      <x:c r="G3107" s="168" t="str">
        <x:v>BANCO GENIAL S.A.</x:v>
      </x:c>
      <x:c r="H3107" s="168" t="str">
        <x:v>Fomento Mercantil</x:v>
      </x:c>
      <x:c r="I3107" s="168" t="str">
        <x:v>Fomento Mercantil</x:v>
      </x:c>
      <x:c r="J3107" s="168" t="str">
        <x:v>CI</x:v>
      </x:c>
      <x:c r="K3107" s="174" t="n">
        <x:v>202</x:v>
      </x:c>
      <x:c r="L3107" s="187" t="str">
        <x:v>Não classificado</x:v>
      </x:c>
    </x:row>
    <x:row r="3108">
      <x:c r="A3108" s="177" t="str">
        <x:v>42.067.109/0001-96</x:v>
      </x:c>
      <x:c r="B3108" s="168" t="str">
        <x:v>CNPJ 42067109000196</x:v>
      </x:c>
      <x:c r="C3108" s="190" t="n">
        <x:v>0</x:v>
      </x:c>
      <x:c r="D3108" s="168" t="str">
        <x:v>GENIAL GESTÃO LTDA.</x:v>
      </x:c>
      <x:c r="E3108" s="168" t="str">
        <x:f>IFERROR(INDEX('Classif Gestoras'!$H$6:$H$462,MATCH(D3108,'Classif Gestoras'!$A$6:$A$462,0)),"Não classificada")</x:f>
        <x:v>Ligada a banco</x:v>
      </x:c>
      <x:c r="F3108" s="168" t="str">
        <x:v>Banco Genial S.A.</x:v>
      </x:c>
      <x:c r="G3108" s="168" t="str">
        <x:v>Não identificado</x:v>
      </x:c>
      <x:c r="H3108" s="168" t="str">
        <x:v>Agro, Indústria e Comércio</x:v>
      </x:c>
      <x:c r="I3108" s="168" t="str">
        <x:v>Recebíveis Comerciais</x:v>
      </x:c>
      <x:c r="J3108" s="168" t="str">
        <x:v>CI</x:v>
      </x:c>
      <x:c r="K3108" s="174"/>
      <x:c r="L3108" s="187" t="str">
        <x:v>Não classificado</x:v>
      </x:c>
    </x:row>
    <x:row r="3109">
      <x:c r="A3109" s="177" t="str">
        <x:v>52.856.414/0001-10</x:v>
      </x:c>
      <x:c r="B3109" s="168" t="str">
        <x:v>DW CRÉDITOS FUNDO DE INVESTIMENTO EM DIREITOS CREDITÓRIOS</x:v>
      </x:c>
      <x:c r="C3109" s="190" t="n">
        <x:v>0</x:v>
      </x:c>
      <x:c r="D3109" s="168" t="str">
        <x:v>PACTUAL CAPITAL PART</x:v>
      </x:c>
      <x:c r="E3109" s="168" t="str">
        <x:f>IFERROR(INDEX('Classif Gestoras'!$H$6:$H$462,MATCH(D3109,'Classif Gestoras'!$A$6:$A$462,0)),"Não classificada")</x:f>
        <x:v>Independente</x:v>
      </x:c>
      <x:c r="F3109" s="168" t="str">
        <x:v>BTG Pactual Servicos Financeiros S/A DTVM</x:v>
      </x:c>
      <x:c r="G3109" s="168" t="str">
        <x:v>ATIVA INVESTIMENTOS S.A. C.T.C.V.</x:v>
      </x:c>
      <x:c r="H3109" s="168" t="str">
        <x:v>Outros</x:v>
      </x:c>
      <x:c r="I3109" s="168" t="str">
        <x:v>Multicarteira Outros</x:v>
      </x:c>
      <x:c r="J3109" s="168" t="str">
        <x:v>CI</x:v>
      </x:c>
      <x:c r="K3109" s="174" t="n">
        <x:v>1</x:v>
      </x:c>
      <x:c r="L3109" s="187" t="str">
        <x:v>Proxy multicedente/multissacado — revisar</x:v>
      </x:c>
    </x:row>
    <x:row r="3110">
      <x:c r="A3110" s="177" t="str">
        <x:v>60.617.666/0001-15</x:v>
      </x:c>
      <x:c r="B3110" s="168" t="str">
        <x:v>BETEL FUNDO DE INVESTIMENTO EM DIREITOS CREDITÓRIOS</x:v>
      </x:c>
      <x:c r="C3110" s="190" t="n">
        <x:v>0</x:v>
      </x:c>
      <x:c r="D3110" s="168" t="str">
        <x:v>REAG PORTFOLIO SOLUTIONS</x:v>
      </x:c>
      <x:c r="E3110" s="168" t="str">
        <x:f>IFERROR(INDEX('Classif Gestoras'!$H$6:$H$462,MATCH(D3110,'Classif Gestoras'!$A$6:$A$462,0)),"Não classificada")</x:f>
        <x:v>Independente</x:v>
      </x:c>
      <x:c r="F3110" s="168" t="str">
        <x:v>REAG DTVM</x:v>
      </x:c>
      <x:c r="G3110" s="168" t="str">
        <x:v>REAG TRUST DISTRIBUIDORA DE TITULOS E VALORES MOBILIARIOS S.A.</x:v>
      </x:c>
      <x:c r="H3110" s="168" t="str">
        <x:v>Outros</x:v>
      </x:c>
      <x:c r="I3110" s="168" t="str">
        <x:v>Multicarteira Outros</x:v>
      </x:c>
      <x:c r="J3110" s="168" t="str">
        <x:v>CI</x:v>
      </x:c>
      <x:c r="K3110" s="174" t="n">
        <x:v>1</x:v>
      </x:c>
      <x:c r="L3110" s="187" t="str">
        <x:v>Proxy multicedente/multissacado — revisar</x:v>
      </x:c>
    </x:row>
    <x:row r="3111">
      <x:c r="A3111" s="177" t="str">
        <x:v>57.377.862/0001-55</x:v>
      </x:c>
      <x:c r="B3111" s="168" t="str">
        <x:v>AEDGER FUNDO DE INVESTIMENTO EM DIREITOS CREDITÓRIOS NÃO PADRONIZADOS</x:v>
      </x:c>
      <x:c r="C3111" s="190" t="n">
        <x:v>0</x:v>
      </x:c>
      <x:c r="D3111" s="168" t="str">
        <x:v>Reag Jus</x:v>
      </x:c>
      <x:c r="E3111" s="168" t="str">
        <x:f>IFERROR(INDEX('Classif Gestoras'!$H$6:$H$462,MATCH(D3111,'Classif Gestoras'!$A$6:$A$462,0)),"Não classificada")</x:f>
        <x:v>Independente</x:v>
      </x:c>
      <x:c r="F3111" s="168" t="str">
        <x:v>REAG DTVM</x:v>
      </x:c>
      <x:c r="G3111" s="168" t="str">
        <x:v>REAG TRUST DISTRIBUIDORA DE TITULOS E VALORES MOBILIARIOS S.A.</x:v>
      </x:c>
      <x:c r="H3111" s="168" t="str">
        <x:v>Outros</x:v>
      </x:c>
      <x:c r="I3111" s="168" t="str">
        <x:v>Multicarteira Outros</x:v>
      </x:c>
      <x:c r="J3111" s="168" t="str">
        <x:v>CI</x:v>
      </x:c>
      <x:c r="K3111" s="174" t="n">
        <x:v>1</x:v>
      </x:c>
      <x:c r="L3111" s="187" t="str">
        <x:v>Proxy multicedente/multissacado — revisar</x:v>
      </x:c>
    </x:row>
    <x:row r="3112">
      <x:c r="A3112" s="177" t="str">
        <x:v>32.990.792/0001-85</x:v>
      </x:c>
      <x:c r="B3112" s="168" t="str">
        <x:v>STEEL BANK FUNDO DE INVESTIMENTO EM DIREITOS CREDITÓRIOS</x:v>
      </x:c>
      <x:c r="C3112" s="190" t="n">
        <x:v>0</x:v>
      </x:c>
      <x:c r="D3112" s="168" t="str">
        <x:v>TERCON ASSET MANAGEMENT</x:v>
      </x:c>
      <x:c r="E3112" s="168" t="str">
        <x:f>IFERROR(INDEX('Classif Gestoras'!$H$6:$H$462,MATCH(D3112,'Classif Gestoras'!$A$6:$A$462,0)),"Não classificada")</x:f>
        <x:v>Independente</x:v>
      </x:c>
      <x:c r="F3112" s="168" t="str">
        <x:v>Singulare</x:v>
      </x:c>
      <x:c r="G3112" s="168" t="str">
        <x:v>QI CORRETORA DE TÍTULOS E VALORES MOBILIÁRIOS S.A.</x:v>
      </x:c>
      <x:c r="H3112" s="168" t="str">
        <x:v>Fomento Mercantil</x:v>
      </x:c>
      <x:c r="I3112" s="168" t="str">
        <x:v>Fomento Mercantil</x:v>
      </x:c>
      <x:c r="J3112" s="168" t="str">
        <x:v>CI</x:v>
      </x:c>
      <x:c r="K3112" s="174" t="n">
        <x:v>0</x:v>
      </x:c>
      <x:c r="L3112" s="187" t="str">
        <x:v>Não classificado</x:v>
      </x:c>
    </x:row>
    <x:row r="3113">
      <x:c r="A3113" s="177" t="str">
        <x:v>45.703.173/0001-04</x:v>
      </x:c>
      <x:c r="B3113" s="168" t="str">
        <x:v>CNPJ 45703173000104</x:v>
      </x:c>
      <x:c r="C3113" s="190" t="n">
        <x:v>0</x:v>
      </x:c>
      <x:c r="D3113" s="168" t="str">
        <x:v>REAG SPECIALTY FINANCE</x:v>
      </x:c>
      <x:c r="E3113" s="168" t="str">
        <x:f>IFERROR(INDEX('Classif Gestoras'!$H$6:$H$462,MATCH(D3113,'Classif Gestoras'!$A$6:$A$462,0)),"Não classificada")</x:f>
        <x:v>Independente</x:v>
      </x:c>
      <x:c r="F3113" s="168" t="str">
        <x:v>REAG DTVM</x:v>
      </x:c>
      <x:c r="G3113" s="168" t="str">
        <x:v>Não identificado</x:v>
      </x:c>
      <x:c r="H3113" s="168" t="str">
        <x:v>Fomento Mercantil</x:v>
      </x:c>
      <x:c r="I3113" s="168" t="str">
        <x:v>Fomento Mercantil</x:v>
      </x:c>
      <x:c r="J3113" s="168" t="str">
        <x:v>CI</x:v>
      </x:c>
      <x:c r="K3113" s="174"/>
      <x:c r="L3113" s="187" t="str">
        <x:v>Não classificado</x:v>
      </x:c>
    </x:row>
    <x:row r="3114">
      <x:c r="A3114" s="177" t="str">
        <x:v>32.999.089/0001-38</x:v>
      </x:c>
      <x:c r="B3114" s="168" t="str">
        <x:v>STRUCTURE FUNDO DE INVESTIMENTO EM DIREITOS CREDITÓRIOS</x:v>
      </x:c>
      <x:c r="C3114" s="190" t="n">
        <x:v>0</x:v>
      </x:c>
      <x:c r="D3114" s="168" t="str">
        <x:v>WNT Gestora de Recursos Ltda.</x:v>
      </x:c>
      <x:c r="E3114" s="168" t="str">
        <x:f>IFERROR(INDEX('Classif Gestoras'!$H$6:$H$462,MATCH(D3114,'Classif Gestoras'!$A$6:$A$462,0)),"Não classificada")</x:f>
        <x:v>Independente</x:v>
      </x:c>
      <x:c r="F3114" s="168" t="str">
        <x:v>Singulare</x:v>
      </x:c>
      <x:c r="G3114" s="168" t="str">
        <x:v>WNT CAPITAL DISTRIBUIDORA DE TITULOS E VALORES MOBILIARIOS S.A.</x:v>
      </x:c>
      <x:c r="H3114" s="168" t="str">
        <x:v>Financeiro</x:v>
      </x:c>
      <x:c r="I3114" s="168" t="str">
        <x:v>Crédito Consignado</x:v>
      </x:c>
      <x:c r="J3114" s="168" t="str">
        <x:v>CI</x:v>
      </x:c>
      <x:c r="K3114" s="174" t="n">
        <x:v>18</x:v>
      </x:c>
      <x:c r="L3114" s="187" t="str">
        <x:v>Não classificado</x:v>
      </x:c>
    </x:row>
    <x:row r="3115">
      <x:c r="A3115" s="177" t="str">
        <x:v>55.251.626/0001-62</x:v>
      </x:c>
      <x:c r="B3115" s="168" t="str">
        <x:v>CNPJ 55251626000162</x:v>
      </x:c>
      <x:c r="C3115" s="190" t="n">
        <x:v>0</x:v>
      </x:c>
      <x:c r="D3115" s="168" t="str">
        <x:v>Eco Gestão de Ativos LTDA.</x:v>
      </x:c>
      <x:c r="E3115" s="168" t="str">
        <x:f>IFERROR(INDEX('Classif Gestoras'!$H$6:$H$462,MATCH(D3115,'Classif Gestoras'!$A$6:$A$462,0)),"Não classificada")</x:f>
        <x:v>Independente</x:v>
      </x:c>
      <x:c r="F3115" s="168" t="str">
        <x:v>BANCO DAYCOVAL S/A</x:v>
      </x:c>
      <x:c r="G3115" s="168" t="str">
        <x:v>Não identificado</x:v>
      </x:c>
      <x:c r="H3115" s="168" t="str">
        <x:v>Agro, Indústria e Comércio</x:v>
      </x:c>
      <x:c r="I3115" s="168" t="str">
        <x:v>Não se aplica</x:v>
      </x:c>
      <x:c r="J3115" s="168" t="str">
        <x:v>CI</x:v>
      </x:c>
      <x:c r="K3115" s="174"/>
      <x:c r="L3115" s="187" t="str">
        <x:v>Não classificado</x:v>
      </x:c>
    </x:row>
    <x:row r="3116">
      <x:c r="A3116" s="177" t="str">
        <x:v>45.703.190/0001-41</x:v>
      </x:c>
      <x:c r="B3116" s="168" t="str">
        <x:v>SSA FUNDO DE INVESTIMENTO EM DIREITO CREDITÓRIO NÃO PADRONIZADO</x:v>
      </x:c>
      <x:c r="C3116" s="190" t="n">
        <x:v>0</x:v>
      </x:c>
      <x:c r="D3116" s="168" t="str">
        <x:v>Reag Jus</x:v>
      </x:c>
      <x:c r="E3116" s="168" t="str">
        <x:f>IFERROR(INDEX('Classif Gestoras'!$H$6:$H$462,MATCH(D3116,'Classif Gestoras'!$A$6:$A$462,0)),"Não classificada")</x:f>
        <x:v>Independente</x:v>
      </x:c>
      <x:c r="F3116" s="168" t="str">
        <x:v>REAG DTVM</x:v>
      </x:c>
      <x:c r="G3116" s="168" t="str">
        <x:v>REAG TRUST DISTRIBUIDORA DE TITULOS E VALORES MOBILIARIOS S.A.</x:v>
      </x:c>
      <x:c r="H3116" s="168" t="str">
        <x:v>Outros</x:v>
      </x:c>
      <x:c r="I3116" s="168" t="str">
        <x:v>Multicarteira Outros</x:v>
      </x:c>
      <x:c r="J3116" s="168" t="str">
        <x:v>CI</x:v>
      </x:c>
      <x:c r="K3116" s="174" t="n">
        <x:v>2</x:v>
      </x:c>
      <x:c r="L3116" s="187" t="str">
        <x:v>Proxy multicedente/multissacado — revisar</x:v>
      </x:c>
    </x:row>
    <x:row r="3117">
      <x:c r="A3117" s="177" t="str">
        <x:v>55.240.138/0001-50</x:v>
      </x:c>
      <x:c r="B3117" s="168" t="str">
        <x:v>CNPJ 55240138000150</x:v>
      </x:c>
      <x:c r="C3117" s="190" t="n">
        <x:v>0</x:v>
      </x:c>
      <x:c r="D3117" s="168" t="str">
        <x:v>B6 GESTORA DE RECURSOS LTDA</x:v>
      </x:c>
      <x:c r="E3117" s="168" t="str">
        <x:f>IFERROR(INDEX('Classif Gestoras'!$H$6:$H$462,MATCH(D3117,'Classif Gestoras'!$A$6:$A$462,0)),"Não classificada")</x:f>
        <x:v>Independente</x:v>
      </x:c>
      <x:c r="F3117" s="168" t="str">
        <x:v>PLANNER CV</x:v>
      </x:c>
      <x:c r="G3117" s="168" t="str">
        <x:v>Não identificado</x:v>
      </x:c>
      <x:c r="H3117" s="168" t="str">
        <x:v>Financeiro</x:v>
      </x:c>
      <x:c r="I3117" s="168" t="str">
        <x:v>Crédito Pessoal</x:v>
      </x:c>
      <x:c r="J3117" s="168" t="str">
        <x:v>CI</x:v>
      </x:c>
      <x:c r="K3117" s="174"/>
      <x:c r="L3117" s="187" t="str">
        <x:v>Não classificado</x:v>
      </x:c>
    </x:row>
    <x:row r="3118">
      <x:c r="A3118" s="177" t="str">
        <x:v>42.031.108/0001-91</x:v>
      </x:c>
      <x:c r="B3118" s="168" t="str">
        <x:v>DES SABLES FUNDO DE INVESTIMENTO EM DIREITOS CREDITÓRIOS NÃO-PADRONIZADOS</x:v>
      </x:c>
      <x:c r="C3118" s="190" t="n">
        <x:v>0</x:v>
      </x:c>
      <x:c r="D3118" s="168" t="str">
        <x:v>Reag Jus</x:v>
      </x:c>
      <x:c r="E3118" s="168" t="str">
        <x:f>IFERROR(INDEX('Classif Gestoras'!$H$6:$H$462,MATCH(D3118,'Classif Gestoras'!$A$6:$A$462,0)),"Não classificada")</x:f>
        <x:v>Independente</x:v>
      </x:c>
      <x:c r="F3118" s="168" t="str">
        <x:v>REAG DTVM</x:v>
      </x:c>
      <x:c r="G3118" s="168" t="str">
        <x:v>ID CORRETORA DE TITULOS E VALORES MOBILIARIOS S.A.</x:v>
      </x:c>
      <x:c r="H3118" s="168" t="str">
        <x:v>Fomento Mercantil</x:v>
      </x:c>
      <x:c r="I3118" s="168" t="str">
        <x:v>Fomento Mercantil</x:v>
      </x:c>
      <x:c r="J3118" s="168" t="str">
        <x:v>CI</x:v>
      </x:c>
      <x:c r="K3118" s="174" t="n">
        <x:v>1</x:v>
      </x:c>
      <x:c r="L3118" s="187" t="str">
        <x:v>Não classificado</x:v>
      </x:c>
    </x:row>
    <x:row r="3119">
      <x:c r="A3119" s="177" t="str">
        <x:v>63.905.021/0001-76</x:v>
      </x:c>
      <x:c r="B3119" s="168" t="str">
        <x:v>STAR BLUE FUNDO DE INVESTIMENTO EM DIREITOS CREDITÓRIOS DE RESPONSABILIDADE LIMITADA</x:v>
      </x:c>
      <x:c r="C3119" s="190" t="n">
        <x:v>0</x:v>
      </x:c>
      <x:c r="D3119" s="168" t="str">
        <x:v>TAG Investimentos</x:v>
      </x:c>
      <x:c r="E3119" s="168" t="str">
        <x:f>IFERROR(INDEX('Classif Gestoras'!$H$6:$H$462,MATCH(D3119,'Classif Gestoras'!$A$6:$A$462,0)),"Não classificada")</x:f>
        <x:v>Independente</x:v>
      </x:c>
      <x:c r="F3119" s="168" t="str">
        <x:v>VÓRTX DTVM</x:v>
      </x:c>
      <x:c r="G3119" s="168" t="str">
        <x:v>VORTX DISTRIBUIDORA DE TITULOS E VALORES MOBILIARIOS LTDA.</x:v>
      </x:c>
      <x:c r="H3119" s="168" t="str">
        <x:v>Outros</x:v>
      </x:c>
      <x:c r="I3119" s="168" t="str">
        <x:v>Poder Público</x:v>
      </x:c>
      <x:c r="J3119" s="168" t="str">
        <x:v>CI</x:v>
      </x:c>
      <x:c r="K3119" s="174" t="n">
        <x:v>2</x:v>
      </x:c>
      <x:c r="L3119" s="187" t="str">
        <x:v>Não classificado</x:v>
      </x:c>
    </x:row>
    <x:row r="3120">
      <x:c r="A3120" s="177" t="str">
        <x:v>59.809.018/0001-81</x:v>
      </x:c>
      <x:c r="B3120" s="168" t="str">
        <x:v>CNPJ 59809018000181</x:v>
      </x:c>
      <x:c r="C3120" s="190" t="n">
        <x:v>0</x:v>
      </x:c>
      <x:c r="D3120" s="168" t="str">
        <x:v>ASSET MANAGEMENT</x:v>
      </x:c>
      <x:c r="E3120" s="168" t="str">
        <x:f>IFERROR(INDEX('Classif Gestoras'!$H$6:$H$462,MATCH(D3120,'Classif Gestoras'!$A$6:$A$462,0)),"Não classificada")</x:f>
        <x:v>Independente</x:v>
      </x:c>
      <x:c r="F3120" s="168" t="str">
        <x:v>AZUMI DISTRIBUIDORA DE TÍTULOS E VALORES MOBILIÁRIOS LT</x:v>
      </x:c>
      <x:c r="G3120" s="168" t="str">
        <x:v>Não identificado</x:v>
      </x:c>
      <x:c r="H3120" s="168" t="str">
        <x:v>Outros</x:v>
      </x:c>
      <x:c r="I3120" s="168" t="str">
        <x:v>Não se aplica</x:v>
      </x:c>
      <x:c r="J3120" s="168" t="str">
        <x:v>CI</x:v>
      </x:c>
      <x:c r="K3120" s="174"/>
      <x:c r="L3120" s="187" t="str">
        <x:v>Não classificado</x:v>
      </x:c>
    </x:row>
    <x:row r="3121">
      <x:c r="A3121" s="177" t="str">
        <x:v>41.992.740/0001-39</x:v>
      </x:c>
      <x:c r="B3121" s="168" t="str">
        <x:v>CNPJ 41992740000139</x:v>
      </x:c>
      <x:c r="C3121" s="190" t="n">
        <x:v>0</x:v>
      </x:c>
      <x:c r="D3121" s="168" t="str">
        <x:v>REAG GESTÃO DE CRÉDITO</x:v>
      </x:c>
      <x:c r="E3121" s="168" t="str">
        <x:f>IFERROR(INDEX('Classif Gestoras'!$H$6:$H$462,MATCH(D3121,'Classif Gestoras'!$A$6:$A$462,0)),"Não classificada")</x:f>
        <x:v>Independente</x:v>
      </x:c>
      <x:c r="F3121" s="168" t="str">
        <x:v>Banco Genial S.A.</x:v>
      </x:c>
      <x:c r="G3121" s="168" t="str">
        <x:v>Não identificado</x:v>
      </x:c>
      <x:c r="H3121" s="168" t="str">
        <x:v>Outros</x:v>
      </x:c>
      <x:c r="I3121" s="168" t="str">
        <x:v>Multicarteira Outros</x:v>
      </x:c>
      <x:c r="J3121" s="168" t="str">
        <x:v>CI</x:v>
      </x:c>
      <x:c r="K3121" s="174"/>
      <x:c r="L3121" s="187" t="str">
        <x:v>Proxy multicedente/multissacado — revisar</x:v>
      </x:c>
    </x:row>
    <x:row r="3122">
      <x:c r="A3122" s="177" t="str">
        <x:v>59.795.134/0001-99</x:v>
      </x:c>
      <x:c r="B3122" s="168" t="str">
        <x:v>CNPJ 59795134000199</x:v>
      </x:c>
      <x:c r="C3122" s="190" t="n">
        <x:v>0</x:v>
      </x:c>
      <x:c r="D3122" s="168" t="str">
        <x:v>REAG PORTFOLIO SOLUTIONS</x:v>
      </x:c>
      <x:c r="E3122" s="168" t="str">
        <x:f>IFERROR(INDEX('Classif Gestoras'!$H$6:$H$462,MATCH(D3122,'Classif Gestoras'!$A$6:$A$462,0)),"Não classificada")</x:f>
        <x:v>Independente</x:v>
      </x:c>
      <x:c r="F3122" s="168" t="str">
        <x:v>REAG DTVM</x:v>
      </x:c>
      <x:c r="G3122" s="168" t="str">
        <x:v>Não identificado</x:v>
      </x:c>
      <x:c r="H3122" s="168" t="str">
        <x:v>Outros</x:v>
      </x:c>
      <x:c r="I3122" s="168" t="str">
        <x:v>Não se aplica</x:v>
      </x:c>
      <x:c r="J3122" s="168" t="str">
        <x:v>CI</x:v>
      </x:c>
      <x:c r="K3122" s="174"/>
      <x:c r="L3122" s="187" t="str">
        <x:v>Não classificado</x:v>
      </x:c>
    </x:row>
    <x:row r="3123">
      <x:c r="A3123" s="177" t="str">
        <x:v>55.211.476/0001-63</x:v>
      </x:c>
      <x:c r="B3123" s="168" t="str">
        <x:v>CNPJ 55211476000163</x:v>
      </x:c>
      <x:c r="C3123" s="190" t="n">
        <x:v>0</x:v>
      </x:c>
      <x:c r="D3123" s="168" t="str">
        <x:v>TERCON ASSET MANAGEMENT</x:v>
      </x:c>
      <x:c r="E3123" s="168" t="str">
        <x:f>IFERROR(INDEX('Classif Gestoras'!$H$6:$H$462,MATCH(D3123,'Classif Gestoras'!$A$6:$A$462,0)),"Não classificada")</x:f>
        <x:v>Independente</x:v>
      </x:c>
      <x:c r="F3123" s="168" t="str">
        <x:v>MASTER S/A CORRETORA</x:v>
      </x:c>
      <x:c r="G3123" s="168" t="str">
        <x:v>Não identificado</x:v>
      </x:c>
      <x:c r="H3123" s="168" t="str">
        <x:v>Outros</x:v>
      </x:c>
      <x:c r="I3123" s="168" t="str">
        <x:v>Multicarteira Outros</x:v>
      </x:c>
      <x:c r="J3123" s="168" t="str">
        <x:v>CI</x:v>
      </x:c>
      <x:c r="K3123" s="174"/>
      <x:c r="L3123" s="187" t="str">
        <x:v>Proxy multicedente/multissacado — revisar</x:v>
      </x:c>
    </x:row>
    <x:row r="3124">
      <x:c r="A3124" s="177" t="str">
        <x:v>57.373.422/0001-20</x:v>
      </x:c>
      <x:c r="B3124" s="168" t="str">
        <x:v>CNPJ 57373422000120</x:v>
      </x:c>
      <x:c r="C3124" s="190" t="n">
        <x:v>0</x:v>
      </x:c>
      <x:c r="D3124" s="168" t="str">
        <x:v>Vila Rica Capital</x:v>
      </x:c>
      <x:c r="E3124" s="168" t="str">
        <x:f>IFERROR(INDEX('Classif Gestoras'!$H$6:$H$462,MATCH(D3124,'Classif Gestoras'!$A$6:$A$462,0)),"Não classificada")</x:f>
        <x:v>Independente</x:v>
      </x:c>
      <x:c r="F3124" s="168" t="str">
        <x:v>Intra Investimentos Distribuidora de Títulos e Valores Mobiliários LTDA.</x:v>
      </x:c>
      <x:c r="G3124" s="168" t="str">
        <x:v>Não identificado</x:v>
      </x:c>
      <x:c r="H3124" s="168" t="str">
        <x:v>Outros</x:v>
      </x:c>
      <x:c r="I3124" s="168" t="str">
        <x:v>Multicarteira Outros</x:v>
      </x:c>
      <x:c r="J3124" s="168" t="str">
        <x:v>CI</x:v>
      </x:c>
      <x:c r="K3124" s="174"/>
      <x:c r="L3124" s="187" t="str">
        <x:v>Proxy multicedente/multissacado — revisar</x:v>
      </x:c>
    </x:row>
    <x:row r="3125">
      <x:c r="A3125" s="177" t="str">
        <x:v>42.084.488/0001-22</x:v>
      </x:c>
      <x:c r="B3125" s="168" t="str">
        <x:v>ALENTEJO FUNDO DE INVESTIMENTO EM DIREITOS CREDITÓRIOS</x:v>
      </x:c>
      <x:c r="C3125" s="190" t="n">
        <x:v>0</x:v>
      </x:c>
      <x:c r="D3125" s="168" t="str">
        <x:v>Reag Administradora de Recursos Ltda</x:v>
      </x:c>
      <x:c r="E3125" s="168" t="str">
        <x:f>IFERROR(INDEX('Classif Gestoras'!$H$6:$H$462,MATCH(D3125,'Classif Gestoras'!$A$6:$A$462,0)),"Não classificada")</x:f>
        <x:v>Independente</x:v>
      </x:c>
      <x:c r="F3125" s="168" t="str">
        <x:v>REAG DTVM</x:v>
      </x:c>
      <x:c r="G3125" s="168" t="str">
        <x:v>REAG TRUST DISTRIBUIDORA DE TITULOS E VALORES MOBILIARIOS S.A.</x:v>
      </x:c>
      <x:c r="H3125" s="168" t="str">
        <x:v>Outros</x:v>
      </x:c>
      <x:c r="I3125" s="168" t="str">
        <x:v>Multicarteira Outros</x:v>
      </x:c>
      <x:c r="J3125" s="168" t="str">
        <x:v>CI</x:v>
      </x:c>
      <x:c r="K3125" s="174" t="n">
        <x:v>1</x:v>
      </x:c>
      <x:c r="L3125" s="187" t="str">
        <x:v>Proxy multicedente/multissacado — revisar</x:v>
      </x:c>
    </x:row>
    <x:row r="3126">
      <x:c r="A3126" s="177" t="str">
        <x:v>55.333.029/0001-87</x:v>
      </x:c>
      <x:c r="B3126" s="168" t="str">
        <x:v>POTI BANK FUNDO DE INVESTIMENTO EM DIREITOS CREDITÓRIOS</x:v>
      </x:c>
      <x:c r="C3126" s="190" t="n">
        <x:v>0</x:v>
      </x:c>
      <x:c r="D3126" s="168" t="str">
        <x:v>Reag Administradora de Recursos Ltda</x:v>
      </x:c>
      <x:c r="E3126" s="168" t="str">
        <x:f>IFERROR(INDEX('Classif Gestoras'!$H$6:$H$462,MATCH(D3126,'Classif Gestoras'!$A$6:$A$462,0)),"Não classificada")</x:f>
        <x:v>Independente</x:v>
      </x:c>
      <x:c r="F3126" s="168" t="str">
        <x:v>REAG DTVM</x:v>
      </x:c>
      <x:c r="G3126" s="168" t="str">
        <x:v>REAG TRUST DISTRIBUIDORA DE TITULOS E VALORES MOBILIARIOS S.A.</x:v>
      </x:c>
      <x:c r="H3126" s="168" t="str">
        <x:v>Outros</x:v>
      </x:c>
      <x:c r="I3126" s="168" t="str">
        <x:v>Multicarteira Outros</x:v>
      </x:c>
      <x:c r="J3126" s="168" t="str">
        <x:v>CI</x:v>
      </x:c>
      <x:c r="K3126" s="174" t="n">
        <x:v>5</x:v>
      </x:c>
      <x:c r="L3126" s="187" t="str">
        <x:v>Proxy multicedente/multissacado — revisar</x:v>
      </x:c>
    </x:row>
    <x:row r="3127">
      <x:c r="A3127" s="177" t="str">
        <x:v>55.476.342/0001-74</x:v>
      </x:c>
      <x:c r="B3127" s="168" t="str">
        <x:v>CNPJ 55476342000174</x:v>
      </x:c>
      <x:c r="C3127" s="190" t="n">
        <x:v>0</x:v>
      </x:c>
      <x:c r="D3127" s="168" t="str">
        <x:v>Kanastra</x:v>
      </x:c>
      <x:c r="E3127" s="168" t="str">
        <x:f>IFERROR(INDEX('Classif Gestoras'!$H$6:$H$462,MATCH(D3127,'Classif Gestoras'!$A$6:$A$462,0)),"Não classificada")</x:f>
        <x:v>Independente</x:v>
      </x:c>
      <x:c r="F3127" s="168" t="str">
        <x:v>VÓRTX DTVM</x:v>
      </x:c>
      <x:c r="G3127" s="168" t="str">
        <x:v>Não identificado</x:v>
      </x:c>
      <x:c r="H3127" s="168" t="str">
        <x:v>Agro, Indústria e Comércio</x:v>
      </x:c>
      <x:c r="I3127" s="168" t="str">
        <x:v>Não se aplica</x:v>
      </x:c>
      <x:c r="J3127" s="168" t="str">
        <x:v>CI</x:v>
      </x:c>
      <x:c r="K3127" s="174"/>
      <x:c r="L3127" s="187" t="str">
        <x:v>Não classificado</x:v>
      </x:c>
    </x:row>
    <x:row r="3128">
      <x:c r="A3128" s="177" t="str">
        <x:v>55.539.221/0001-24</x:v>
      </x:c>
      <x:c r="B3128" s="168" t="str">
        <x:v>CNPJ 55539221000124</x:v>
      </x:c>
      <x:c r="C3128" s="190" t="n">
        <x:v>0</x:v>
      </x:c>
      <x:c r="D3128" s="168" t="str">
        <x:v>Plural Investimentos Gestão de Recursos Ltda.</x:v>
      </x:c>
      <x:c r="E3128" s="168" t="str">
        <x:f>IFERROR(INDEX('Classif Gestoras'!$H$6:$H$462,MATCH(D3128,'Classif Gestoras'!$A$6:$A$462,0)),"Não classificada")</x:f>
        <x:v>Ligada a banco</x:v>
      </x:c>
      <x:c r="F3128" s="168" t="str">
        <x:v>Banco Genial S.A.</x:v>
      </x:c>
      <x:c r="G3128" s="168" t="str">
        <x:v>Não identificado</x:v>
      </x:c>
      <x:c r="H3128" s="168" t="str">
        <x:v>Financeiro</x:v>
      </x:c>
      <x:c r="I3128" s="168" t="str">
        <x:v>Crédito Consignado</x:v>
      </x:c>
      <x:c r="J3128" s="168" t="str">
        <x:v>CI</x:v>
      </x:c>
      <x:c r="K3128" s="174"/>
      <x:c r="L3128" s="187" t="str">
        <x:v>Não classificado</x:v>
      </x:c>
    </x:row>
    <x:row r="3129">
      <x:c r="A3129" s="177" t="str">
        <x:v>44.681.727/0001-57</x:v>
      </x:c>
      <x:c r="B3129" s="168" t="str">
        <x:v>TERRA BONA FUNDO DE INVESTIMENTO EM DIREITOS CREDITÓRIOS NÃO-PADRONIZADO</x:v>
      </x:c>
      <x:c r="C3129" s="190" t="n">
        <x:v>0</x:v>
      </x:c>
      <x:c r="D3129" s="168" t="str">
        <x:v>Reag Administradora de Recursos Ltda</x:v>
      </x:c>
      <x:c r="E3129" s="168" t="str">
        <x:f>IFERROR(INDEX('Classif Gestoras'!$H$6:$H$462,MATCH(D3129,'Classif Gestoras'!$A$6:$A$462,0)),"Não classificada")</x:f>
        <x:v>Independente</x:v>
      </x:c>
      <x:c r="F3129" s="168" t="str">
        <x:v>REAG DTVM</x:v>
      </x:c>
      <x:c r="G3129" s="168" t="str">
        <x:v>REAG TRUST DISTRIBUIDORA DE TITULOS E VALORES MOBILIARIOS S.A.</x:v>
      </x:c>
      <x:c r="H3129" s="168" t="str">
        <x:v>Outros</x:v>
      </x:c>
      <x:c r="I3129" s="168" t="str">
        <x:v>Multicarteira Outros</x:v>
      </x:c>
      <x:c r="J3129" s="168" t="str">
        <x:v>CI</x:v>
      </x:c>
      <x:c r="K3129" s="174" t="n">
        <x:v>1</x:v>
      </x:c>
      <x:c r="L3129" s="187" t="str">
        <x:v>Proxy multicedente/multissacado — revisar</x:v>
      </x:c>
    </x:row>
    <x:row r="3130">
      <x:c r="A3130" s="177" t="str">
        <x:v>60.531.763/0001-90</x:v>
      </x:c>
      <x:c r="B3130" s="168" t="str">
        <x:v>ALPHA AETERNUM FUNDO DE INVESTIMENTO EM DIREITOS CREDITÓRIOS</x:v>
      </x:c>
      <x:c r="C3130" s="190" t="n">
        <x:v>0</x:v>
      </x:c>
      <x:c r="D3130" s="168" t="str">
        <x:v>ATF</x:v>
      </x:c>
      <x:c r="E3130" s="168" t="str">
        <x:f>IFERROR(INDEX('Classif Gestoras'!$H$6:$H$462,MATCH(D3130,'Classif Gestoras'!$A$6:$A$462,0)),"Não classificada")</x:f>
        <x:v>Independente</x:v>
      </x:c>
      <x:c r="F3130" s="168" t="str">
        <x:v>FIDD DISTRIBUIDORA DE TITULOS E VALORES MOBILIARIOS LTD</x:v>
      </x:c>
      <x:c r="G3130" s="168" t="str">
        <x:v>LIMINE TRUST DISTRIBUIDORA DE TITULOS E VALORES MOBILIARIOS LTDA.</x:v>
      </x:c>
      <x:c r="H3130" s="168" t="str">
        <x:v>Fomento Mercantil</x:v>
      </x:c>
      <x:c r="I3130" s="168" t="str">
        <x:v>Fomento Mercantil</x:v>
      </x:c>
      <x:c r="J3130" s="168" t="str">
        <x:v>CI</x:v>
      </x:c>
      <x:c r="K3130" s="174" t="n">
        <x:v>3</x:v>
      </x:c>
      <x:c r="L3130" s="187" t="str">
        <x:v>Não classificado</x:v>
      </x:c>
    </x:row>
    <x:row r="3131">
      <x:c r="A3131" s="177" t="str">
        <x:v>55.501.349/0001-07</x:v>
      </x:c>
      <x:c r="B3131" s="168" t="str">
        <x:v>LAUSANNE FUNDO DE INVESTIMENTO EM DIREITOS CREDITÓRIOS NÃO PADRONIZADOS</x:v>
      </x:c>
      <x:c r="C3131" s="190" t="n">
        <x:v>0</x:v>
      </x:c>
      <x:c r="D3131" s="168" t="str">
        <x:v>Redwood Asset Management</x:v>
      </x:c>
      <x:c r="E3131" s="168" t="str">
        <x:f>IFERROR(INDEX('Classif Gestoras'!$H$6:$H$462,MATCH(D3131,'Classif Gestoras'!$A$6:$A$462,0)),"Não classificada")</x:f>
        <x:v>Independente</x:v>
      </x:c>
      <x:c r="F3131" s="168" t="str">
        <x:v>PLANNER CV</x:v>
      </x:c>
      <x:c r="G3131" s="168" t="str">
        <x:v>PLANNER CORRETORA DE VALORES S.A.</x:v>
      </x:c>
      <x:c r="H3131" s="168" t="str">
        <x:v>Outros</x:v>
      </x:c>
      <x:c r="I3131" s="168" t="str">
        <x:v>Multicarteira Outros</x:v>
      </x:c>
      <x:c r="J3131" s="168" t="str">
        <x:v>CI</x:v>
      </x:c>
      <x:c r="K3131" s="174" t="n">
        <x:v>13</x:v>
      </x:c>
      <x:c r="L3131" s="187" t="str">
        <x:v>Proxy multicedente/multissacado — revisar</x:v>
      </x:c>
    </x:row>
    <x:row r="3132">
      <x:c r="A3132" s="177" t="str">
        <x:v>52.794.422/0001-80</x:v>
      </x:c>
      <x:c r="B3132" s="168" t="str">
        <x:v>CNPJ 52794422000180</x:v>
      </x:c>
      <x:c r="C3132" s="190" t="n">
        <x:v>0</x:v>
      </x:c>
      <x:c r="D3132" s="168" t="str">
        <x:v>Quadra Gestão de Recursos S.A.</x:v>
      </x:c>
      <x:c r="E3132" s="168" t="str">
        <x:f>IFERROR(INDEX('Classif Gestoras'!$H$6:$H$462,MATCH(D3132,'Classif Gestoras'!$A$6:$A$462,0)),"Não classificada")</x:f>
        <x:v>Independente</x:v>
      </x:c>
      <x:c r="F3132" s="168" t="str">
        <x:v>BTG Pactual Servicos Financeiros S/A DTVM</x:v>
      </x:c>
      <x:c r="G3132" s="168" t="str">
        <x:v>Não identificado</x:v>
      </x:c>
      <x:c r="H3132" s="168" t="str">
        <x:v>Outros</x:v>
      </x:c>
      <x:c r="I3132" s="168" t="str">
        <x:v>Multicarteira Outros</x:v>
      </x:c>
      <x:c r="J3132" s="168" t="str">
        <x:v>CIPC</x:v>
      </x:c>
      <x:c r="K3132" s="174"/>
      <x:c r="L3132" s="187" t="str">
        <x:v>Proxy multicedente/multissacado — revisar</x:v>
      </x:c>
    </x:row>
    <x:row r="3133">
      <x:c r="A3133" s="177" t="str">
        <x:v>42.174.080/0001-41</x:v>
      </x:c>
      <x:c r="B3133" s="168" t="str">
        <x:v>CNPJ 42174080000141</x:v>
      </x:c>
      <x:c r="C3133" s="190" t="n">
        <x:v>0</x:v>
      </x:c>
      <x:c r="D3133" s="168" t="str">
        <x:v>ORRAM GESTÃO DE RECURSOS LTDA.</x:v>
      </x:c>
      <x:c r="E3133" s="168" t="str">
        <x:f>IFERROR(INDEX('Classif Gestoras'!$H$6:$H$462,MATCH(D3133,'Classif Gestoras'!$A$6:$A$462,0)),"Não classificada")</x:f>
        <x:v>Independente</x:v>
      </x:c>
      <x:c r="F3133" s="168" t="str">
        <x:v>FIDD DISTRIBUIDORA DE TITULOS E VALORES MOBILIARIOS LTD</x:v>
      </x:c>
      <x:c r="G3133" s="168" t="str">
        <x:v>Não identificado</x:v>
      </x:c>
      <x:c r="H3133" s="168" t="str">
        <x:v>Outros</x:v>
      </x:c>
      <x:c r="I3133" s="168" t="str">
        <x:v>Multicarteira Outros</x:v>
      </x:c>
      <x:c r="J3133" s="168" t="str">
        <x:v>CI</x:v>
      </x:c>
      <x:c r="K3133" s="174"/>
      <x:c r="L3133" s="187" t="str">
        <x:v>Proxy multicedente/multissacado — revisar</x:v>
      </x:c>
    </x:row>
    <x:row r="3134">
      <x:c r="A3134" s="177" t="str">
        <x:v>45.101.831/0001-98</x:v>
      </x:c>
      <x:c r="B3134" s="168" t="str">
        <x:v>ARISTA FUNDO DE INVESTIMENTO EM DIREITOS CREDITÓRIOS</x:v>
      </x:c>
      <x:c r="C3134" s="190" t="n">
        <x:v>0</x:v>
      </x:c>
      <x:c r="D3134" s="168" t="str">
        <x:v>WNT Gestora de Recursos Ltda.</x:v>
      </x:c>
      <x:c r="E3134" s="168" t="str">
        <x:f>IFERROR(INDEX('Classif Gestoras'!$H$6:$H$462,MATCH(D3134,'Classif Gestoras'!$A$6:$A$462,0)),"Não classificada")</x:f>
        <x:v>Independente</x:v>
      </x:c>
      <x:c r="F3134" s="168" t="str">
        <x:v>TRUSTEE DTVM</x:v>
      </x:c>
      <x:c r="G3134" s="168" t="str">
        <x:v>TRUSTEE DISTRIBUIDORA DE TITULOS E VALORES MOBILIARIOS LTDA.</x:v>
      </x:c>
      <x:c r="H3134" s="168" t="str">
        <x:v>Outros</x:v>
      </x:c>
      <x:c r="I3134" s="168" t="str">
        <x:v>Recuperação</x:v>
      </x:c>
      <x:c r="J3134" s="168" t="str">
        <x:v>CI</x:v>
      </x:c>
      <x:c r="K3134" s="174" t="n">
        <x:v>1</x:v>
      </x:c>
      <x:c r="L3134" s="187" t="str">
        <x:v>Não classificado</x:v>
      </x:c>
    </x:row>
    <x:row r="3135">
      <x:c r="A3135" s="177" t="str">
        <x:v>27.985.070/0001-00</x:v>
      </x:c>
      <x:c r="B3135" s="168" t="str">
        <x:v>CNPJ 27985070000100</x:v>
      </x:c>
      <x:c r="C3135" s="190" t="n">
        <x:v>0</x:v>
      </x:c>
      <x:c r="D3135" s="168" t="str">
        <x:v>REAG GESTÃO DE CRÉDITO</x:v>
      </x:c>
      <x:c r="E3135" s="168" t="str">
        <x:f>IFERROR(INDEX('Classif Gestoras'!$H$6:$H$462,MATCH(D3135,'Classif Gestoras'!$A$6:$A$462,0)),"Não classificada")</x:f>
        <x:v>Independente</x:v>
      </x:c>
      <x:c r="F3135" s="168" t="str">
        <x:v>Banvox DTVM</x:v>
      </x:c>
      <x:c r="G3135" s="168" t="str">
        <x:v>Não identificado</x:v>
      </x:c>
      <x:c r="H3135" s="168" t="str">
        <x:v>Financeiro</x:v>
      </x:c>
      <x:c r="I3135" s="168" t="str">
        <x:v>Financiamento de Veículos</x:v>
      </x:c>
      <x:c r="J3135" s="168" t="str">
        <x:v>CI</x:v>
      </x:c>
      <x:c r="K3135" s="174"/>
      <x:c r="L3135" s="187" t="str">
        <x:v>Não classificado</x:v>
      </x:c>
    </x:row>
    <x:row r="3136">
      <x:c r="A3136" s="177" t="str">
        <x:v>32.969.429/0001-88</x:v>
      </x:c>
      <x:c r="B3136" s="168" t="str">
        <x:v>FUNDO DE INVESTIMENTO EM DIREITOS CREDITÓRIOS SANTA CRUZ CAPITAL</x:v>
      </x:c>
      <x:c r="C3136" s="190" t="n">
        <x:v>0</x:v>
      </x:c>
      <x:c r="D3136" s="168" t="str">
        <x:v>Galápagos</x:v>
      </x:c>
      <x:c r="E3136" s="168" t="str">
        <x:f>IFERROR(INDEX('Classif Gestoras'!$H$6:$H$462,MATCH(D3136,'Classif Gestoras'!$A$6:$A$462,0)),"Não classificada")</x:f>
        <x:v>Independente</x:v>
      </x:c>
      <x:c r="F3136" s="168" t="str">
        <x:v>REAG DTVM</x:v>
      </x:c>
      <x:c r="G3136" s="168" t="str">
        <x:v>ID CORRETORA DE TITULOS E VALORES MOBILIARIOS S.A.</x:v>
      </x:c>
      <x:c r="H3136" s="168" t="str">
        <x:v>Fomento Mercantil</x:v>
      </x:c>
      <x:c r="I3136" s="168" t="str">
        <x:v>Fomento Mercantil</x:v>
      </x:c>
      <x:c r="J3136" s="168" t="str">
        <x:v>CI</x:v>
      </x:c>
      <x:c r="K3136" s="174" t="n">
        <x:v>14</x:v>
      </x:c>
      <x:c r="L3136" s="187" t="str">
        <x:v>Não classificado</x:v>
      </x:c>
    </x:row>
    <x:row r="3137">
      <x:c r="A3137" s="177" t="str">
        <x:v>28.849.674/0001-84</x:v>
      </x:c>
      <x:c r="B3137" s="168" t="str">
        <x:v>CNPJ 28849674000184</x:v>
      </x:c>
      <x:c r="C3137" s="190" t="n">
        <x:v>0</x:v>
      </x:c>
      <x:c r="D3137" s="168" t="str">
        <x:v>Harbour Capital</x:v>
      </x:c>
      <x:c r="E3137" s="168" t="str">
        <x:f>IFERROR(INDEX('Classif Gestoras'!$H$6:$H$462,MATCH(D3137,'Classif Gestoras'!$A$6:$A$462,0)),"Não classificada")</x:f>
        <x:v>Independente</x:v>
      </x:c>
      <x:c r="F3137" s="168" t="str">
        <x:v>MASTER S/A CORRETORA</x:v>
      </x:c>
      <x:c r="G3137" s="168" t="str">
        <x:v>Não identificado</x:v>
      </x:c>
      <x:c r="H3137" s="168" t="str">
        <x:v>Outros</x:v>
      </x:c>
      <x:c r="I3137" s="168" t="str">
        <x:v>Fomento Mercantil</x:v>
      </x:c>
      <x:c r="J3137" s="168" t="str">
        <x:v>CI</x:v>
      </x:c>
      <x:c r="K3137" s="174"/>
      <x:c r="L3137" s="187" t="str">
        <x:v>Não classificado</x:v>
      </x:c>
    </x:row>
    <x:row r="3138">
      <x:c r="A3138" s="177" t="str">
        <x:v>36.935.900/0001-78</x:v>
      </x:c>
      <x:c r="B3138" s="168" t="str">
        <x:v>CNPJ 36935900000178</x:v>
      </x:c>
      <x:c r="C3138" s="190" t="n">
        <x:v>0</x:v>
      </x:c>
      <x:c r="D3138" s="168" t="str">
        <x:v>REAG GESTÃO DE CRÉDITO</x:v>
      </x:c>
      <x:c r="E3138" s="168" t="str">
        <x:f>IFERROR(INDEX('Classif Gestoras'!$H$6:$H$462,MATCH(D3138,'Classif Gestoras'!$A$6:$A$462,0)),"Não classificada")</x:f>
        <x:v>Independente</x:v>
      </x:c>
      <x:c r="F3138" s="168" t="str">
        <x:v>Banvox DTVM</x:v>
      </x:c>
      <x:c r="G3138" s="168" t="str">
        <x:v>Não identificado</x:v>
      </x:c>
      <x:c r="H3138" s="168" t="str">
        <x:v>Financeiro</x:v>
      </x:c>
      <x:c r="I3138" s="168" t="str">
        <x:v>Financiamento de Veículos</x:v>
      </x:c>
      <x:c r="J3138" s="168" t="str">
        <x:v>CI</x:v>
      </x:c>
      <x:c r="K3138" s="174"/>
      <x:c r="L3138" s="187" t="str">
        <x:v>Não classificado</x:v>
      </x:c>
    </x:row>
    <x:row r="3139">
      <x:c r="A3139" s="177" t="str">
        <x:v>55.430.470/0001-87</x:v>
      </x:c>
      <x:c r="B3139" s="168" t="str">
        <x:v>CNPJ 55430470000187</x:v>
      </x:c>
      <x:c r="C3139" s="190" t="n">
        <x:v>0</x:v>
      </x:c>
      <x:c r="D3139" s="168" t="str">
        <x:v>CONTEA CAPITAL</x:v>
      </x:c>
      <x:c r="E3139" s="168" t="str">
        <x:f>IFERROR(INDEX('Classif Gestoras'!$H$6:$H$462,MATCH(D3139,'Classif Gestoras'!$A$6:$A$462,0)),"Não classificada")</x:f>
        <x:v>Independente</x:v>
      </x:c>
      <x:c r="F3139" s="168" t="str">
        <x:v>VÓRTX DTVM</x:v>
      </x:c>
      <x:c r="G3139" s="168" t="str">
        <x:v>Não identificado</x:v>
      </x:c>
      <x:c r="H3139" s="168" t="str">
        <x:v>Financeiro</x:v>
      </x:c>
      <x:c r="I3139" s="168" t="str">
        <x:v>Crédito Consignado</x:v>
      </x:c>
      <x:c r="J3139" s="168" t="str">
        <x:v>CI</x:v>
      </x:c>
      <x:c r="K3139" s="174"/>
      <x:c r="L3139" s="187" t="str">
        <x:v>Não classificado</x:v>
      </x:c>
    </x:row>
    <x:row r="3140">
      <x:c r="A3140" s="177" t="str">
        <x:v>60.614.968/0001-30</x:v>
      </x:c>
      <x:c r="B3140" s="168" t="str">
        <x:v>CNPJ 60614968000130</x:v>
      </x:c>
      <x:c r="C3140" s="190" t="n">
        <x:v>0</x:v>
      </x:c>
      <x:c r="D3140" s="168" t="str">
        <x:v>Kanastra</x:v>
      </x:c>
      <x:c r="E3140" s="168" t="str">
        <x:f>IFERROR(INDEX('Classif Gestoras'!$H$6:$H$462,MATCH(D3140,'Classif Gestoras'!$A$6:$A$462,0)),"Não classificada")</x:f>
        <x:v>Independente</x:v>
      </x:c>
      <x:c r="F3140" s="168" t="str">
        <x:v>Limine Trust Distribuidora de Titulos e Valores Mobiliá</x:v>
      </x:c>
      <x:c r="G3140" s="168" t="str">
        <x:v>Não identificado</x:v>
      </x:c>
      <x:c r="H3140" s="168" t="str">
        <x:v>Agro, Indústria e Comércio</x:v>
      </x:c>
      <x:c r="I3140" s="168" t="str">
        <x:v>Recebíveis Comerciais</x:v>
      </x:c>
      <x:c r="J3140" s="168" t="str">
        <x:v>CI</x:v>
      </x:c>
      <x:c r="K3140" s="174"/>
      <x:c r="L3140" s="187" t="str">
        <x:v>Não classificado</x:v>
      </x:c>
    </x:row>
    <x:row r="3141">
      <x:c r="A3141" s="177" t="str">
        <x:v>45.207.034/0001-90</x:v>
      </x:c>
      <x:c r="B3141" s="168" t="str">
        <x:v>CNPJ 45207034000190</x:v>
      </x:c>
      <x:c r="C3141" s="190" t="n">
        <x:v>0</x:v>
      </x:c>
      <x:c r="D3141" s="168" t="str">
        <x:v>TAG Investimentos</x:v>
      </x:c>
      <x:c r="E3141" s="168" t="str">
        <x:f>IFERROR(INDEX('Classif Gestoras'!$H$6:$H$462,MATCH(D3141,'Classif Gestoras'!$A$6:$A$462,0)),"Não classificada")</x:f>
        <x:v>Independente</x:v>
      </x:c>
      <x:c r="F3141" s="168" t="str">
        <x:v>VÓRTX DTVM</x:v>
      </x:c>
      <x:c r="G3141" s="168" t="str">
        <x:v>Não identificado</x:v>
      </x:c>
      <x:c r="H3141" s="168" t="str">
        <x:v>Outros</x:v>
      </x:c>
      <x:c r="I3141" s="168" t="str">
        <x:v>Poder Público</x:v>
      </x:c>
      <x:c r="J3141" s="168" t="str">
        <x:v>CI</x:v>
      </x:c>
      <x:c r="K3141" s="174"/>
      <x:c r="L3141" s="187" t="str">
        <x:v>Não classificado</x:v>
      </x:c>
    </x:row>
    <x:row r="3142">
      <x:c r="A3142" s="177" t="str">
        <x:v>55.383.671/0001-70</x:v>
      </x:c>
      <x:c r="B3142" s="168" t="str">
        <x:v>AGRO RECEBÍVEIS FUNDO DE INVESTIMENTO NAS CADEIAS PRODUTIVAS DO AGRONEGÓCIO RESP LIMITADA</x:v>
      </x:c>
      <x:c r="C3142" s="190" t="n">
        <x:v>0</x:v>
      </x:c>
      <x:c r="D3142" s="168" t="str">
        <x:v>Capitânia Invest</x:v>
      </x:c>
      <x:c r="E3142" s="168" t="str">
        <x:f>IFERROR(INDEX('Classif Gestoras'!$H$6:$H$462,MATCH(D3142,'Classif Gestoras'!$A$6:$A$462,0)),"Não classificada")</x:f>
        <x:v>Independente</x:v>
      </x:c>
      <x:c r="F3142" s="168" t="str">
        <x:v>Singulare</x:v>
      </x:c>
      <x:c r="G3142" s="168" t="str">
        <x:v>QI CORRETORA DE TÍTULOS E VALORES MOBILIÁRIOS S.A.</x:v>
      </x:c>
      <x:c r="H3142" s="168" t="str">
        <x:v>Outros</x:v>
      </x:c>
      <x:c r="I3142" s="168" t="str">
        <x:v>Não se aplica</x:v>
      </x:c>
      <x:c r="J3142" s="168" t="str">
        <x:v>CI</x:v>
      </x:c>
      <x:c r="K3142" s="174" t="n">
        <x:v>3</x:v>
      </x:c>
      <x:c r="L3142" s="187" t="str">
        <x:v>Não classificado</x:v>
      </x:c>
    </x:row>
    <x:row r="3143">
      <x:c r="A3143" s="177" t="str">
        <x:v>55.347.951/0001-23</x:v>
      </x:c>
      <x:c r="B3143" s="168" t="str">
        <x:v>MUGELLO FUNDO DE INVESTIMENTO EM DIREITOS CREDITÓRIOS</x:v>
      </x:c>
      <x:c r="C3143" s="190" t="n">
        <x:v>0</x:v>
      </x:c>
      <x:c r="D3143" s="168" t="str">
        <x:v>Reag Jus</x:v>
      </x:c>
      <x:c r="E3143" s="168" t="str">
        <x:f>IFERROR(INDEX('Classif Gestoras'!$H$6:$H$462,MATCH(D3143,'Classif Gestoras'!$A$6:$A$462,0)),"Não classificada")</x:f>
        <x:v>Independente</x:v>
      </x:c>
      <x:c r="F3143" s="168" t="str">
        <x:v>REAG DTVM</x:v>
      </x:c>
      <x:c r="G3143" s="168" t="str">
        <x:v>REAG TRUST DISTRIBUIDORA DE TITULOS E VALORES MOBILIARIOS S.A.</x:v>
      </x:c>
      <x:c r="H3143" s="168" t="str">
        <x:v>Outros</x:v>
      </x:c>
      <x:c r="I3143" s="168" t="str">
        <x:v>Multicarteira Outros</x:v>
      </x:c>
      <x:c r="J3143" s="168" t="str">
        <x:v>CI</x:v>
      </x:c>
      <x:c r="K3143" s="174" t="n">
        <x:v>1</x:v>
      </x:c>
      <x:c r="L3143" s="187" t="str">
        <x:v>Proxy multicedente/multissacado — revisar</x:v>
      </x:c>
    </x:row>
    <x:row r="3144">
      <x:c r="A3144" s="177" t="str">
        <x:v>52.842.504/0001-52</x:v>
      </x:c>
      <x:c r="B3144" s="168" t="str">
        <x:v>REAG SPORTAINMENT CLAIMS FUNDO DE INVESTIMENTO EM DIREITOS CREDITÓRIOS NÃO PADRONIZADO</x:v>
      </x:c>
      <x:c r="C3144" s="190" t="n">
        <x:v>0</x:v>
      </x:c>
      <x:c r="D3144" s="168" t="str">
        <x:v>REAG AMBIENTAL GESTÃO DE RECURSOS LTDA.</x:v>
      </x:c>
      <x:c r="E3144" s="168" t="str">
        <x:f>IFERROR(INDEX('Classif Gestoras'!$H$6:$H$462,MATCH(D3144,'Classif Gestoras'!$A$6:$A$462,0)),"Não classificada")</x:f>
        <x:v>Independente</x:v>
      </x:c>
      <x:c r="F3144" s="168" t="str">
        <x:v>REAG DTVM</x:v>
      </x:c>
      <x:c r="G3144" s="168" t="str">
        <x:v>REAG TRUST DISTRIBUIDORA DE TITULOS E VALORES MOBILIARIOS S.A.</x:v>
      </x:c>
      <x:c r="H3144" s="168" t="str">
        <x:v>Outros</x:v>
      </x:c>
      <x:c r="I3144" s="168" t="str">
        <x:v>Multicarteira Outros</x:v>
      </x:c>
      <x:c r="J3144" s="168" t="str">
        <x:v>CI</x:v>
      </x:c>
      <x:c r="K3144" s="174" t="n">
        <x:v>1</x:v>
      </x:c>
      <x:c r="L3144" s="187" t="str">
        <x:v>Proxy multicedente/multissacado — revisar</x:v>
      </x:c>
    </x:row>
    <x:row r="3145">
      <x:c r="A3145" s="177" t="str">
        <x:v>42.085.816/0001-05</x:v>
      </x:c>
      <x:c r="B3145" s="168" t="str">
        <x:v>CNPJ 42085816000105</x:v>
      </x:c>
      <x:c r="C3145" s="190" t="n">
        <x:v>0</x:v>
      </x:c>
      <x:c r="D3145" s="168" t="str">
        <x:v>GENIAL GESTÃO LTDA.</x:v>
      </x:c>
      <x:c r="E3145" s="168" t="str">
        <x:f>IFERROR(INDEX('Classif Gestoras'!$H$6:$H$462,MATCH(D3145,'Classif Gestoras'!$A$6:$A$462,0)),"Não classificada")</x:f>
        <x:v>Ligada a banco</x:v>
      </x:c>
      <x:c r="F3145" s="168" t="str">
        <x:v>Banco Genial S.A.</x:v>
      </x:c>
      <x:c r="G3145" s="168" t="str">
        <x:v>Não identificado</x:v>
      </x:c>
      <x:c r="H3145" s="168" t="str">
        <x:v>Agro, Indústria e Comércio</x:v>
      </x:c>
      <x:c r="I3145" s="168" t="str">
        <x:v>Recebíveis Comerciais</x:v>
      </x:c>
      <x:c r="J3145" s="168" t="str">
        <x:v>CI</x:v>
      </x:c>
      <x:c r="K3145" s="174"/>
      <x:c r="L3145" s="187" t="str">
        <x:v>Não classificado</x:v>
      </x:c>
    </x:row>
    <x:row r="3146">
      <x:c r="A3146" s="177" t="str">
        <x:v>28.880.344/0001-51</x:v>
      </x:c>
      <x:c r="B3146" s="168" t="str">
        <x:v>CARAVELAS - FUNDO DE INVESTIMENTO EM DIREITOS CREDITÓRIOS NÃO - PADRONIZADOS - FIDC NP</x:v>
      </x:c>
      <x:c r="C3146" s="190" t="n">
        <x:v>0</x:v>
      </x:c>
      <x:c r="D3146" s="168" t="str">
        <x:v>Florida Investimentos</x:v>
      </x:c>
      <x:c r="E3146" s="168" t="str">
        <x:f>IFERROR(INDEX('Classif Gestoras'!$H$6:$H$462,MATCH(D3146,'Classif Gestoras'!$A$6:$A$462,0)),"Não classificada")</x:f>
        <x:v>Independente</x:v>
      </x:c>
      <x:c r="F3146" s="168" t="str">
        <x:v>Intra Investimentos Distribuidora de Títulos e Valores Mobiliários LTDA.</x:v>
      </x:c>
      <x:c r="G3146" s="168" t="str">
        <x:v>INTRA INVESTIMENTOS DTVM LTDA</x:v>
      </x:c>
      <x:c r="H3146" s="168" t="str">
        <x:v>Outros</x:v>
      </x:c>
      <x:c r="I3146" s="168" t="str">
        <x:v>Multicarteira Outros</x:v>
      </x:c>
      <x:c r="J3146" s="168" t="str">
        <x:v>CI</x:v>
      </x:c>
      <x:c r="K3146" s="174" t="n">
        <x:v>1</x:v>
      </x:c>
      <x:c r="L3146" s="187" t="str">
        <x:v>Proxy multicedente/multissacado — revisar</x:v>
      </x:c>
    </x:row>
    <x:row r="3147">
      <x:c r="A3147" s="177" t="str">
        <x:v>45.207.608/0001-20</x:v>
      </x:c>
      <x:c r="B3147" s="168" t="str">
        <x:v>CNPJ 45207608000120</x:v>
      </x:c>
      <x:c r="C3147" s="190" t="n">
        <x:v>0</x:v>
      </x:c>
      <x:c r="D3147" s="168" t="str">
        <x:v>BTG Pactual Asset</x:v>
      </x:c>
      <x:c r="E3147" s="168" t="str">
        <x:f>IFERROR(INDEX('Classif Gestoras'!$H$6:$H$462,MATCH(D3147,'Classif Gestoras'!$A$6:$A$462,0)),"Não classificada")</x:f>
        <x:v>Ligada a banco</x:v>
      </x:c>
      <x:c r="F3147" s="168" t="str">
        <x:v>BTG Pactual Servicos Financeiros S/A DTVM</x:v>
      </x:c>
      <x:c r="G3147" s="168" t="str">
        <x:v>Não identificado</x:v>
      </x:c>
      <x:c r="H3147" s="168" t="str">
        <x:v>Financeiro</x:v>
      </x:c>
      <x:c r="I3147" s="168" t="str">
        <x:v>Crédito Consignado</x:v>
      </x:c>
      <x:c r="J3147" s="168" t="str">
        <x:v>CI</x:v>
      </x:c>
      <x:c r="K3147" s="174"/>
      <x:c r="L3147" s="187" t="str">
        <x:v>Não classificado</x:v>
      </x:c>
    </x:row>
    <x:row r="3148">
      <x:c r="A3148" s="177" t="str">
        <x:v>20.998.989/0001-81</x:v>
      </x:c>
      <x:c r="B3148" s="168" t="str">
        <x:v>VERUM II FUNDO DE INVESTIMENTO EM DIREITOS CREDITÓRIOS NÃO PADRONIZADOS RESPONSABILIDADE LIMITADA</x:v>
      </x:c>
      <x:c r="C3148" s="190" t="n">
        <x:v>0</x:v>
      </x:c>
      <x:c r="D3148" s="168" t="str">
        <x:v>Cedro Asset Management LTDA.</x:v>
      </x:c>
      <x:c r="E3148" s="168" t="str">
        <x:f>IFERROR(INDEX('Classif Gestoras'!$H$6:$H$462,MATCH(D3148,'Classif Gestoras'!$A$6:$A$462,0)),"Não classificada")</x:f>
        <x:v>Independente</x:v>
      </x:c>
      <x:c r="F3148" s="168" t="str">
        <x:v>Finaxis Corretora de Títulos e Valores Mobiliários S.A.</x:v>
      </x:c>
      <x:c r="G3148" s="168" t="str">
        <x:v>ID CORRETORA DE TITULOS E VALORES MOBILIARIOS S.A.</x:v>
      </x:c>
      <x:c r="H3148" s="168" t="str">
        <x:v>Outros</x:v>
      </x:c>
      <x:c r="I3148" s="168" t="str">
        <x:v>Multicarteira Outros</x:v>
      </x:c>
      <x:c r="J3148" s="168" t="str">
        <x:v>CI</x:v>
      </x:c>
      <x:c r="K3148" s="174" t="n">
        <x:v>1</x:v>
      </x:c>
      <x:c r="L3148" s="187" t="str">
        <x:v>Proxy multicedente/multissacado — revisar</x:v>
      </x:c>
    </x:row>
    <x:row r="3149">
      <x:c r="A3149" s="177" t="str">
        <x:v>55.344.996/0001-44</x:v>
      </x:c>
      <x:c r="B3149" s="168" t="str">
        <x:v>SCARLET FUNDO DE INVESTIMENTO EM DIREITOS CREDITÓRIOS NÃO-PADRONIZADOS</x:v>
      </x:c>
      <x:c r="C3149" s="190" t="n">
        <x:v>0</x:v>
      </x:c>
      <x:c r="D3149" s="168" t="str">
        <x:v>REAG SPECIALTY FINANCE</x:v>
      </x:c>
      <x:c r="E3149" s="168" t="str">
        <x:f>IFERROR(INDEX('Classif Gestoras'!$H$6:$H$462,MATCH(D3149,'Classif Gestoras'!$A$6:$A$462,0)),"Não classificada")</x:f>
        <x:v>Independente</x:v>
      </x:c>
      <x:c r="F3149" s="168" t="str">
        <x:v>REAG DTVM</x:v>
      </x:c>
      <x:c r="G3149" s="168" t="str">
        <x:v>REAG TRUST DISTRIBUIDORA DE TITULOS E VALORES MOBILIARIOS S.A.</x:v>
      </x:c>
      <x:c r="H3149" s="168" t="str">
        <x:v>Outros</x:v>
      </x:c>
      <x:c r="I3149" s="168" t="str">
        <x:v>Multicarteira Outros</x:v>
      </x:c>
      <x:c r="J3149" s="168" t="str">
        <x:v>CI</x:v>
      </x:c>
      <x:c r="K3149" s="174" t="n">
        <x:v>6</x:v>
      </x:c>
      <x:c r="L3149" s="187" t="str">
        <x:v>Proxy multicedente/multissacado — revisar</x:v>
      </x:c>
    </x:row>
    <x:row r="3150">
      <x:c r="A3150" s="177" t="str">
        <x:v>52.856.288/0001-02</x:v>
      </x:c>
      <x:c r="B3150" s="168" t="str">
        <x:v>CNPJ 52856288000102</x:v>
      </x:c>
      <x:c r="C3150" s="190" t="n">
        <x:v>0</x:v>
      </x:c>
      <x:c r="D3150" s="168" t="str">
        <x:v>GENIAL GESTÃO LTDA.</x:v>
      </x:c>
      <x:c r="E3150" s="168" t="str">
        <x:f>IFERROR(INDEX('Classif Gestoras'!$H$6:$H$462,MATCH(D3150,'Classif Gestoras'!$A$6:$A$462,0)),"Não classificada")</x:f>
        <x:v>Ligada a banco</x:v>
      </x:c>
      <x:c r="F3150" s="168" t="str">
        <x:v>Banco Genial S.A.</x:v>
      </x:c>
      <x:c r="G3150" s="168" t="str">
        <x:v>Não identificado</x:v>
      </x:c>
      <x:c r="H3150" s="168" t="str">
        <x:v>Agro, Indústria e Comércio</x:v>
      </x:c>
      <x:c r="I3150" s="168" t="str">
        <x:v>Não se aplica</x:v>
      </x:c>
      <x:c r="J3150" s="168" t="str">
        <x:v>CI</x:v>
      </x:c>
      <x:c r="K3150" s="174"/>
      <x:c r="L3150" s="187" t="str">
        <x:v>Não classificado</x:v>
      </x:c>
    </x:row>
    <x:row r="3151">
      <x:c r="A3151" s="177" t="str">
        <x:v>38.315.137/0001-08</x:v>
      </x:c>
      <x:c r="B3151" s="168" t="str">
        <x:v>FUNDO DE INVESTIMENTO EM DIREITOS CREDITÓRIOS ESTRUTURADO ZIG</x:v>
      </x:c>
      <x:c r="C3151" s="190" t="n">
        <x:v>0</x:v>
      </x:c>
      <x:c r="D3151" s="168" t="str">
        <x:v>Solis</x:v>
      </x:c>
      <x:c r="E3151" s="168" t="str">
        <x:f>IFERROR(INDEX('Classif Gestoras'!$H$6:$H$462,MATCH(D3151,'Classif Gestoras'!$A$6:$A$462,0)),"Não classificada")</x:f>
        <x:v>Independente</x:v>
      </x:c>
      <x:c r="F3151" s="168" t="str">
        <x:v>HEMERA DTVM</x:v>
      </x:c>
      <x:c r="G3151" s="168" t="str">
        <x:v>HEMERA DISTRIBUIDORA DE TITULOS E VALORES MOBILIARIOS LTDA</x:v>
      </x:c>
      <x:c r="H3151" s="168" t="str">
        <x:v>Outros</x:v>
      </x:c>
      <x:c r="I3151" s="168" t="str">
        <x:v>Multicarteira Outros</x:v>
      </x:c>
      <x:c r="J3151" s="168" t="str">
        <x:v>CI</x:v>
      </x:c>
      <x:c r="K3151" s="174" t="n">
        <x:v>0</x:v>
      </x:c>
      <x:c r="L3151" s="187" t="str">
        <x:v>Proxy multicedente/multissacado — revisar</x:v>
      </x:c>
    </x:row>
    <x:row r="3152">
      <x:c r="A3152" s="177" t="str">
        <x:v>41.970.246/0001-73</x:v>
      </x:c>
      <x:c r="B3152" s="168" t="str">
        <x:v>JASPE FUNDO DE INVESTIMENTO EM DIREITOS CREDITÓRIOS RESPONSABILIDADE LIMITADA</x:v>
      </x:c>
      <x:c r="C3152" s="190" t="n">
        <x:v>0</x:v>
      </x:c>
      <x:c r="D3152" s="168" t="str">
        <x:v>POLÍGONO CAPITAL LTDA.</x:v>
      </x:c>
      <x:c r="E3152" s="168" t="str">
        <x:f>IFERROR(INDEX('Classif Gestoras'!$H$6:$H$462,MATCH(D3152,'Classif Gestoras'!$A$6:$A$462,0)),"Não classificada")</x:f>
        <x:v>Independente</x:v>
      </x:c>
      <x:c r="F3152" s="168" t="str">
        <x:v>Finvest Digital</x:v>
      </x:c>
      <x:c r="G3152" s="168" t="str">
        <x:v>LIMINE TRUST DISTRIBUIDORA DE TITULOS E VALORES MOBILIARIOS LTDA.</x:v>
      </x:c>
      <x:c r="H3152" s="168" t="str">
        <x:v>Outros</x:v>
      </x:c>
      <x:c r="I3152" s="168" t="str">
        <x:v>Multicarteira Outros</x:v>
      </x:c>
      <x:c r="J3152" s="168" t="str">
        <x:v>CI</x:v>
      </x:c>
      <x:c r="K3152" s="174" t="n">
        <x:v>0</x:v>
      </x:c>
      <x:c r="L3152" s="187" t="str">
        <x:v>Proxy multicedente/multissacado — revisar</x:v>
      </x:c>
    </x:row>
    <x:row r="3153">
      <x:c r="A3153" s="177" t="str">
        <x:v>45.938.195/0001-53</x:v>
      </x:c>
      <x:c r="B3153" s="168" t="str">
        <x:v>FUNDO DE INVESTIMENTO EM DIREITOS CREDITÓRIOS TRADING I</x:v>
      </x:c>
      <x:c r="C3153" s="190" t="n">
        <x:v>0</x:v>
      </x:c>
      <x:c r="D3153" s="168" t="str">
        <x:v>REAG GESTÃO DE CRÉDITO</x:v>
      </x:c>
      <x:c r="E3153" s="168" t="str">
        <x:f>IFERROR(INDEX('Classif Gestoras'!$H$6:$H$462,MATCH(D3153,'Classif Gestoras'!$A$6:$A$462,0)),"Não classificada")</x:f>
        <x:v>Independente</x:v>
      </x:c>
      <x:c r="F3153" s="168" t="str">
        <x:v>REAG DTVM</x:v>
      </x:c>
      <x:c r="G3153" s="168" t="str">
        <x:v>REAG TRUST DISTRIBUIDORA DE TITULOS E VALORES MOBILIARIOS S.A.</x:v>
      </x:c>
      <x:c r="H3153" s="168" t="str">
        <x:v>Agro, Indústria e Comércio</x:v>
      </x:c>
      <x:c r="I3153" s="168" t="str">
        <x:v>Recebíveis Comerciais</x:v>
      </x:c>
      <x:c r="J3153" s="168" t="str">
        <x:v>CI</x:v>
      </x:c>
      <x:c r="K3153" s="174" t="n">
        <x:v>9</x:v>
      </x:c>
      <x:c r="L3153" s="187" t="str">
        <x:v>Não classificado</x:v>
      </x:c>
    </x:row>
    <x:row r="3154">
      <x:c r="A3154" s="177" t="str">
        <x:v>36.815.016/0001-08</x:v>
      </x:c>
      <x:c r="B3154" s="168" t="str">
        <x:v>CNPJ 36815016000108</x:v>
      </x:c>
      <x:c r="C3154" s="190" t="n">
        <x:v>0</x:v>
      </x:c>
      <x:c r="D3154" s="168" t="str">
        <x:v>Reag Administradora de Recursos Ltda</x:v>
      </x:c>
      <x:c r="E3154" s="168" t="str">
        <x:f>IFERROR(INDEX('Classif Gestoras'!$H$6:$H$462,MATCH(D3154,'Classif Gestoras'!$A$6:$A$462,0)),"Não classificada")</x:f>
        <x:v>Independente</x:v>
      </x:c>
      <x:c r="F3154" s="168" t="str">
        <x:v>REAG DTVM</x:v>
      </x:c>
      <x:c r="G3154" s="168" t="str">
        <x:v>Não identificado</x:v>
      </x:c>
      <x:c r="H3154" s="168" t="str">
        <x:v>Fomento Mercantil</x:v>
      </x:c>
      <x:c r="I3154" s="168" t="str">
        <x:v>Fomento Mercantil</x:v>
      </x:c>
      <x:c r="J3154" s="168" t="str">
        <x:v>CI</x:v>
      </x:c>
      <x:c r="K3154" s="174"/>
      <x:c r="L3154" s="187" t="str">
        <x:v>Não classificado</x:v>
      </x:c>
    </x:row>
    <x:row r="3155">
      <x:c r="A3155" s="177" t="str">
        <x:v>55.201.186/0001-39</x:v>
      </x:c>
      <x:c r="B3155" s="168" t="str">
        <x:v>KOLEOS FUNDO DE INVESTIMENTO EM DIREITOS CREDITÓRIOS</x:v>
      </x:c>
      <x:c r="C3155" s="190" t="n">
        <x:v>0</x:v>
      </x:c>
      <x:c r="D3155" s="168" t="str">
        <x:v>Reag Jus</x:v>
      </x:c>
      <x:c r="E3155" s="168" t="str">
        <x:f>IFERROR(INDEX('Classif Gestoras'!$H$6:$H$462,MATCH(D3155,'Classif Gestoras'!$A$6:$A$462,0)),"Não classificada")</x:f>
        <x:v>Independente</x:v>
      </x:c>
      <x:c r="F3155" s="168" t="str">
        <x:v>REAG DTVM</x:v>
      </x:c>
      <x:c r="G3155" s="168" t="str">
        <x:v>REAG TRUST DISTRIBUIDORA DE TITULOS E VALORES MOBILIARIOS S.A.</x:v>
      </x:c>
      <x:c r="H3155" s="168" t="str">
        <x:v>Outros</x:v>
      </x:c>
      <x:c r="I3155" s="168" t="str">
        <x:v>Multicarteira Outros</x:v>
      </x:c>
      <x:c r="J3155" s="168" t="str">
        <x:v>CI</x:v>
      </x:c>
      <x:c r="K3155" s="174" t="n">
        <x:v>1</x:v>
      </x:c>
      <x:c r="L3155" s="187" t="str">
        <x:v>Proxy multicedente/multissacado — revisar</x:v>
      </x:c>
    </x:row>
    <x:row r="3156">
      <x:c r="A3156" s="177" t="str">
        <x:v>33.536.066/0001-50</x:v>
      </x:c>
      <x:c r="B3156" s="168" t="str">
        <x:v>CNPJ 33536066000150</x:v>
      </x:c>
      <x:c r="C3156" s="190" t="n">
        <x:v>0</x:v>
      </x:c>
      <x:c r="D3156" s="168" t="str">
        <x:v>Oliveira Trust Servicer</x:v>
      </x:c>
      <x:c r="E3156" s="168" t="str">
        <x:f>IFERROR(INDEX('Classif Gestoras'!$H$6:$H$462,MATCH(D3156,'Classif Gestoras'!$A$6:$A$462,0)),"Não classificada")</x:f>
        <x:v>Independente</x:v>
      </x:c>
      <x:c r="F3156" s="168" t="str">
        <x:v>Oliveira Trust DTVM</x:v>
      </x:c>
      <x:c r="G3156" s="168" t="str">
        <x:v>Não identificado</x:v>
      </x:c>
      <x:c r="H3156" s="168" t="str">
        <x:v>Financeiro</x:v>
      </x:c>
      <x:c r="I3156" s="168" t="str">
        <x:v>Crédito Consignado</x:v>
      </x:c>
      <x:c r="J3156" s="168" t="str">
        <x:v>CI</x:v>
      </x:c>
      <x:c r="K3156" s="174"/>
      <x:c r="L3156" s="187" t="str">
        <x:v>Não classificado</x:v>
      </x:c>
    </x:row>
    <x:row r="3157">
      <x:c r="A3157" s="177" t="str">
        <x:v>51.752.029/0001-60</x:v>
      </x:c>
      <x:c r="B3157" s="168" t="str">
        <x:v>LATACHE LEGAL CLAIMS FUNDO DE INVESTIMENTO EM DIREITOS CREDITÓRIOS NÃO-PADRONIZADO</x:v>
      </x:c>
      <x:c r="C3157" s="190" t="n">
        <x:v>0</x:v>
      </x:c>
      <x:c r="D3157" s="168" t="str">
        <x:v>Latache Capital</x:v>
      </x:c>
      <x:c r="E3157" s="168" t="str">
        <x:f>IFERROR(INDEX('Classif Gestoras'!$H$6:$H$462,MATCH(D3157,'Classif Gestoras'!$A$6:$A$462,0)),"Não classificada")</x:f>
        <x:v>Independente</x:v>
      </x:c>
      <x:c r="F3157" s="168" t="str">
        <x:v>REAG DTVM</x:v>
      </x:c>
      <x:c r="G3157" s="168" t="str">
        <x:v>REAG TRUST DISTRIBUIDORA DE TITULOS E VALORES MOBILIARIOS S.A.</x:v>
      </x:c>
      <x:c r="H3157" s="168" t="str">
        <x:v>Outros</x:v>
      </x:c>
      <x:c r="I3157" s="168" t="str">
        <x:v>Multicarteira Outros</x:v>
      </x:c>
      <x:c r="J3157" s="168" t="str">
        <x:v>CI</x:v>
      </x:c>
      <x:c r="K3157" s="174" t="n">
        <x:v>1</x:v>
      </x:c>
      <x:c r="L3157" s="187" t="str">
        <x:v>Proxy multicedente/multissacado — revisar</x:v>
      </x:c>
    </x:row>
    <x:row r="3158">
      <x:c r="A3158" s="177" t="str">
        <x:v>41.705.933/0001-61</x:v>
      </x:c>
      <x:c r="B3158" s="168" t="str">
        <x:v>JADE FUNDO DE INVESTIMENTO EM DIREITOS CREDITÓRIOS RESPONSABILIDADE LIMITADA</x:v>
      </x:c>
      <x:c r="C3158" s="190" t="n">
        <x:v>0</x:v>
      </x:c>
      <x:c r="D3158" s="168" t="str">
        <x:v>POLÍGONO CAPITAL LTDA.</x:v>
      </x:c>
      <x:c r="E3158" s="168" t="str">
        <x:f>IFERROR(INDEX('Classif Gestoras'!$H$6:$H$462,MATCH(D3158,'Classif Gestoras'!$A$6:$A$462,0)),"Não classificada")</x:f>
        <x:v>Independente</x:v>
      </x:c>
      <x:c r="F3158" s="168" t="str">
        <x:v>Finvest Digital</x:v>
      </x:c>
      <x:c r="G3158" s="168" t="str">
        <x:v>Não identificado</x:v>
      </x:c>
      <x:c r="H3158" s="168" t="str">
        <x:v>Outros</x:v>
      </x:c>
      <x:c r="I3158" s="168" t="str">
        <x:v>Multicarteira Outros</x:v>
      </x:c>
      <x:c r="J3158" s="168" t="str">
        <x:v>CI</x:v>
      </x:c>
      <x:c r="K3158" s="174" t="n">
        <x:v>0</x:v>
      </x:c>
      <x:c r="L3158" s="187" t="str">
        <x:v>Proxy multicedente/multissacado — revisar</x:v>
      </x:c>
    </x:row>
    <x:row r="3159">
      <x:c r="A3159" s="177" t="str">
        <x:v>51.749.986/0001-38</x:v>
      </x:c>
      <x:c r="B3159" s="168" t="str">
        <x:v>IPO FUNDO DE INVESTIMENTO EM DIREITOS CREDITÓRIOS - RESPONSABILIDADE LIMITADA</x:v>
      </x:c>
      <x:c r="C3159" s="190" t="n">
        <x:v>0</x:v>
      </x:c>
      <x:c r="D3159" s="168" t="str">
        <x:v>QI GESTAO DE RECURSOS LTDA</x:v>
      </x:c>
      <x:c r="E3159" s="168" t="str">
        <x:f>IFERROR(INDEX('Classif Gestoras'!$H$6:$H$462,MATCH(D3159,'Classif Gestoras'!$A$6:$A$462,0)),"Não classificada")</x:f>
        <x:v>Independente</x:v>
      </x:c>
      <x:c r="F3159" s="168" t="str">
        <x:v>QI DISTRIBUIDORA DE TITULOS E VALORES MOBILIARIOS LTDA</x:v>
      </x:c>
      <x:c r="G3159" s="168" t="str">
        <x:v>LASTRO RDV DTVM LTDA</x:v>
      </x:c>
      <x:c r="H3159" s="168" t="str">
        <x:v>Outros</x:v>
      </x:c>
      <x:c r="I3159" s="168" t="str">
        <x:v>Multicarteira Outros</x:v>
      </x:c>
      <x:c r="J3159" s="168" t="str">
        <x:v>CI</x:v>
      </x:c>
      <x:c r="K3159" s="174" t="n">
        <x:v>0</x:v>
      </x:c>
      <x:c r="L3159" s="187" t="str">
        <x:v>Proxy multicedente/multissacado — revisar</x:v>
      </x:c>
    </x:row>
    <x:row r="3160">
      <x:c r="A3160" s="177" t="str">
        <x:v>59.656.036/0001-70</x:v>
      </x:c>
      <x:c r="B3160" s="168" t="str">
        <x:v>HELVETIA FUNDO DE INVESTIMENTO EM COTAS DE FUNDO DE INVESTIMENTO EM DIREITOS CREDITÓRIOS</x:v>
      </x:c>
      <x:c r="C3160" s="190" t="n">
        <x:v>0</x:v>
      </x:c>
      <x:c r="D3160" s="168" t="str">
        <x:v>Redwood Asset Management</x:v>
      </x:c>
      <x:c r="E3160" s="168" t="str">
        <x:f>IFERROR(INDEX('Classif Gestoras'!$H$6:$H$462,MATCH(D3160,'Classif Gestoras'!$A$6:$A$462,0)),"Não classificada")</x:f>
        <x:v>Independente</x:v>
      </x:c>
      <x:c r="F3160" s="168" t="str">
        <x:v>PLANNER CV</x:v>
      </x:c>
      <x:c r="G3160" s="168" t="str">
        <x:v>PLANNER CORRETORA DE VALORES S.A.</x:v>
      </x:c>
      <x:c r="H3160" s="168" t="str">
        <x:v>Outros</x:v>
      </x:c>
      <x:c r="I3160" s="168" t="str">
        <x:v>Multicarteira Outros</x:v>
      </x:c>
      <x:c r="J3160" s="168" t="str">
        <x:v>CI</x:v>
      </x:c>
      <x:c r="K3160" s="174" t="n">
        <x:v>6</x:v>
      </x:c>
      <x:c r="L3160" s="187" t="str">
        <x:v>Proxy multicedente/multissacado — revisar</x:v>
      </x:c>
    </x:row>
    <x:row r="3161">
      <x:c r="A3161" s="177" t="str">
        <x:v>41.673.465/0001-90</x:v>
      </x:c>
      <x:c r="B3161" s="168" t="str">
        <x:v>HILL FUNDO DE INVESTIMENTO EM DIREITOS CREDITÓRIOS NÃO PADRONIZADOS</x:v>
      </x:c>
      <x:c r="C3161" s="190" t="n">
        <x:v>0</x:v>
      </x:c>
      <x:c r="D3161" s="168" t="str">
        <x:v>Reag Jus</x:v>
      </x:c>
      <x:c r="E3161" s="168" t="str">
        <x:f>IFERROR(INDEX('Classif Gestoras'!$H$6:$H$462,MATCH(D3161,'Classif Gestoras'!$A$6:$A$462,0)),"Não classificada")</x:f>
        <x:v>Independente</x:v>
      </x:c>
      <x:c r="F3161" s="168" t="str">
        <x:v>REAG DTVM</x:v>
      </x:c>
      <x:c r="G3161" s="168" t="str">
        <x:v>REAG TRUST DISTRIBUIDORA DE TITULOS E VALORES MOBILIARIOS S.A.</x:v>
      </x:c>
      <x:c r="H3161" s="168" t="str">
        <x:v>Outros</x:v>
      </x:c>
      <x:c r="I3161" s="168" t="str">
        <x:v>Multicarteira Outros</x:v>
      </x:c>
      <x:c r="J3161" s="168" t="str">
        <x:v>CI</x:v>
      </x:c>
      <x:c r="K3161" s="174" t="n">
        <x:v>1</x:v>
      </x:c>
      <x:c r="L3161" s="187" t="str">
        <x:v>Proxy multicedente/multissacado — revisar</x:v>
      </x:c>
    </x:row>
    <x:row r="3162">
      <x:c r="A3162" s="177" t="str">
        <x:v>31.392.303/0001-20</x:v>
      </x:c>
      <x:c r="B3162" s="168" t="str">
        <x:v>CNPJ 31392303000120</x:v>
      </x:c>
      <x:c r="C3162" s="190" t="n">
        <x:v>0</x:v>
      </x:c>
      <x:c r="D3162" s="168" t="str">
        <x:v>Harbour Capital</x:v>
      </x:c>
      <x:c r="E3162" s="168" t="str">
        <x:f>IFERROR(INDEX('Classif Gestoras'!$H$6:$H$462,MATCH(D3162,'Classif Gestoras'!$A$6:$A$462,0)),"Não classificada")</x:f>
        <x:v>Independente</x:v>
      </x:c>
      <x:c r="F3162" s="168" t="str">
        <x:v>MASTER S/A CORRETORA</x:v>
      </x:c>
      <x:c r="G3162" s="168" t="str">
        <x:v>Não identificado</x:v>
      </x:c>
      <x:c r="H3162" s="168" t="str">
        <x:v>Outros</x:v>
      </x:c>
      <x:c r="I3162" s="168" t="str">
        <x:v>Fomento Mercantil</x:v>
      </x:c>
      <x:c r="J3162" s="168" t="str">
        <x:v>CI</x:v>
      </x:c>
      <x:c r="K3162" s="174"/>
      <x:c r="L3162" s="187" t="str">
        <x:v>Não classificado</x:v>
      </x:c>
    </x:row>
    <x:row r="3163">
      <x:c r="A3163" s="177" t="str">
        <x:v>41.649.863/0001-71</x:v>
      </x:c>
      <x:c r="B3163" s="168" t="str">
        <x:v>WALL FUNDO DE INVESTIMENTO EM DIREITOS CREDITÓRIOS</x:v>
      </x:c>
      <x:c r="C3163" s="190" t="n">
        <x:v>0</x:v>
      </x:c>
      <x:c r="D3163" s="168" t="str">
        <x:v>TERCON ASSET MANAGEMENT</x:v>
      </x:c>
      <x:c r="E3163" s="168" t="str">
        <x:f>IFERROR(INDEX('Classif Gestoras'!$H$6:$H$462,MATCH(D3163,'Classif Gestoras'!$A$6:$A$462,0)),"Não classificada")</x:f>
        <x:v>Independente</x:v>
      </x:c>
      <x:c r="F3163" s="168" t="str">
        <x:v>Singulare</x:v>
      </x:c>
      <x:c r="G3163" s="168" t="str">
        <x:v>LIMINE TRUST DISTRIBUIDORA DE TITULOS E VALORES MOBILIARIOS LTDA.</x:v>
      </x:c>
      <x:c r="H3163" s="168" t="str">
        <x:v>Fomento Mercantil</x:v>
      </x:c>
      <x:c r="I3163" s="168" t="str">
        <x:v>Fomento Mercantil</x:v>
      </x:c>
      <x:c r="J3163" s="168" t="str">
        <x:v>CI</x:v>
      </x:c>
      <x:c r="K3163" s="174" t="n">
        <x:v>1</x:v>
      </x:c>
      <x:c r="L3163" s="187" t="str">
        <x:v>Não classificado</x:v>
      </x:c>
    </x:row>
    <x:row r="3164">
      <x:c r="A3164" s="177" t="str">
        <x:v>53.193.689/0001-84</x:v>
      </x:c>
      <x:c r="B3164" s="168" t="str">
        <x:v>LUGANO FUNDO DE INVESTIMENTO EM DIREITOS CREDITÓRIOS NÃO PADRONIZADOS</x:v>
      </x:c>
      <x:c r="C3164" s="190" t="n">
        <x:v>0</x:v>
      </x:c>
      <x:c r="D3164" s="168" t="str">
        <x:v>Redwood Asset Management</x:v>
      </x:c>
      <x:c r="E3164" s="168" t="str">
        <x:f>IFERROR(INDEX('Classif Gestoras'!$H$6:$H$462,MATCH(D3164,'Classif Gestoras'!$A$6:$A$462,0)),"Não classificada")</x:f>
        <x:v>Independente</x:v>
      </x:c>
      <x:c r="F3164" s="168" t="str">
        <x:v>PLANNER CV</x:v>
      </x:c>
      <x:c r="G3164" s="168" t="str">
        <x:v>PLANNER CORRETORA DE VALORES S.A.</x:v>
      </x:c>
      <x:c r="H3164" s="168" t="str">
        <x:v>Fomento Mercantil</x:v>
      </x:c>
      <x:c r="I3164" s="168" t="str">
        <x:v>Fomento Mercantil</x:v>
      </x:c>
      <x:c r="J3164" s="168" t="str">
        <x:v>CI</x:v>
      </x:c>
      <x:c r="K3164" s="174" t="n">
        <x:v>15</x:v>
      </x:c>
      <x:c r="L3164" s="187" t="str">
        <x:v>Não classificado</x:v>
      </x:c>
    </x:row>
    <x:row r="3165">
      <x:c r="A3165" s="177" t="str">
        <x:v>51.707.901/0001-59</x:v>
      </x:c>
      <x:c r="B3165" s="168" t="str">
        <x:v>CNPJ 51707901000159</x:v>
      </x:c>
      <x:c r="C3165" s="190" t="n">
        <x:v>0</x:v>
      </x:c>
      <x:c r="D3165" s="168" t="str">
        <x:v>CERES ASSET</x:v>
      </x:c>
      <x:c r="E3165" s="168" t="str">
        <x:f>IFERROR(INDEX('Classif Gestoras'!$H$6:$H$462,MATCH(D3165,'Classif Gestoras'!$A$6:$A$462,0)),"Não classificada")</x:f>
        <x:v>Independente</x:v>
      </x:c>
      <x:c r="F3165" s="168" t="str">
        <x:v>Singulare</x:v>
      </x:c>
      <x:c r="G3165" s="168" t="str">
        <x:v>Não identificado</x:v>
      </x:c>
      <x:c r="H3165" s="168" t="str">
        <x:v>Agro, Indústria e Comércio</x:v>
      </x:c>
      <x:c r="I3165" s="168" t="str">
        <x:v>Não se aplica</x:v>
      </x:c>
      <x:c r="J3165" s="168" t="str">
        <x:v>CI</x:v>
      </x:c>
      <x:c r="K3165" s="174"/>
      <x:c r="L3165" s="187" t="str">
        <x:v>Não classificado</x:v>
      </x:c>
    </x:row>
    <x:row r="3166">
      <x:c r="A3166" s="177" t="str">
        <x:v>51.707.771/0001-54</x:v>
      </x:c>
      <x:c r="B3166" s="168" t="str">
        <x:v>ROVER FUNDO DE INVESTIMENTO EM DIREITOS CREDITÓRIOS</x:v>
      </x:c>
      <x:c r="C3166" s="190" t="n">
        <x:v>0</x:v>
      </x:c>
      <x:c r="D3166" s="168" t="str">
        <x:v>Reag Administradora de Recursos Ltda</x:v>
      </x:c>
      <x:c r="E3166" s="168" t="str">
        <x:f>IFERROR(INDEX('Classif Gestoras'!$H$6:$H$462,MATCH(D3166,'Classif Gestoras'!$A$6:$A$462,0)),"Não classificada")</x:f>
        <x:v>Independente</x:v>
      </x:c>
      <x:c r="F3166" s="168" t="str">
        <x:v>REAG DTVM</x:v>
      </x:c>
      <x:c r="G3166" s="168" t="str">
        <x:v>REAG TRUST DISTRIBUIDORA DE TITULOS E VALORES MOBILIARIOS S.A.</x:v>
      </x:c>
      <x:c r="H3166" s="168" t="str">
        <x:v>Outros</x:v>
      </x:c>
      <x:c r="I3166" s="168" t="str">
        <x:v>Multicarteira Outros</x:v>
      </x:c>
      <x:c r="J3166" s="168" t="str">
        <x:v>CI</x:v>
      </x:c>
      <x:c r="K3166" s="174" t="n">
        <x:v>3</x:v>
      </x:c>
      <x:c r="L3166" s="187" t="str">
        <x:v>Proxy multicedente/multissacado — revisar</x:v>
      </x:c>
    </x:row>
    <x:row r="3167">
      <x:c r="A3167" s="177" t="str">
        <x:v>46.879.163/0001-97</x:v>
      </x:c>
      <x:c r="B3167" s="168" t="str">
        <x:v>CAPITAL MULTICRÉDITOS FUNDO DE INVESTIMENTO EM DIREITOS CREDITÓRIOS NÃO-PADRONIZADO</x:v>
      </x:c>
      <x:c r="C3167" s="190" t="n">
        <x:v>0</x:v>
      </x:c>
      <x:c r="D3167" s="168" t="str">
        <x:v>GFS INVESTIMENTOS</x:v>
      </x:c>
      <x:c r="E3167" s="168" t="str">
        <x:f>IFERROR(INDEX('Classif Gestoras'!$H$6:$H$462,MATCH(D3167,'Classif Gestoras'!$A$6:$A$462,0)),"Não classificada")</x:f>
        <x:v>Independente</x:v>
      </x:c>
      <x:c r="F3167" s="168" t="str">
        <x:v>REAG DTVM</x:v>
      </x:c>
      <x:c r="G3167" s="168" t="str">
        <x:v>REAG TRUST DISTRIBUIDORA DE TITULOS E VALORES MOBILIARIOS S.A.</x:v>
      </x:c>
      <x:c r="H3167" s="168" t="str">
        <x:v>Outros</x:v>
      </x:c>
      <x:c r="I3167" s="168" t="str">
        <x:v>Multicarteira Outros</x:v>
      </x:c>
      <x:c r="J3167" s="168" t="str">
        <x:v>CI</x:v>
      </x:c>
      <x:c r="K3167" s="174" t="n">
        <x:v>2</x:v>
      </x:c>
      <x:c r="L3167" s="187" t="str">
        <x:v>Proxy multicedente/multissacado — revisar</x:v>
      </x:c>
    </x:row>
    <x:row r="3168">
      <x:c r="A3168" s="177" t="str">
        <x:v>22.397.315/0001-57</x:v>
      </x:c>
      <x:c r="B3168" s="168" t="str">
        <x:v>BLUMENAU FUNDO DE INVESTIMENTO EM DIREITOS CREDITÓRIOS</x:v>
      </x:c>
      <x:c r="C3168" s="190" t="n">
        <x:v>0</x:v>
      </x:c>
      <x:c r="D3168" s="168" t="str">
        <x:v>TERCON ASSET MANAGEMENT</x:v>
      </x:c>
      <x:c r="E3168" s="168" t="str">
        <x:f>IFERROR(INDEX('Classif Gestoras'!$H$6:$H$462,MATCH(D3168,'Classif Gestoras'!$A$6:$A$462,0)),"Não classificada")</x:f>
        <x:v>Independente</x:v>
      </x:c>
      <x:c r="F3168" s="168" t="str">
        <x:v>MASTER S/A CORRETORA</x:v>
      </x:c>
      <x:c r="G3168" s="168" t="str">
        <x:v>ID CORRETORA DE TITULOS E VALORES MOBILIARIOS S.A.</x:v>
      </x:c>
      <x:c r="H3168" s="168" t="str">
        <x:v>Fomento Mercantil</x:v>
      </x:c>
      <x:c r="I3168" s="168" t="str">
        <x:v>Fomento Mercantil</x:v>
      </x:c>
      <x:c r="J3168" s="168" t="str">
        <x:v>CI</x:v>
      </x:c>
      <x:c r="K3168" s="174" t="n">
        <x:v>7</x:v>
      </x:c>
      <x:c r="L3168" s="187" t="str">
        <x:v>Não classificado</x:v>
      </x:c>
    </x:row>
    <x:row r="3169">
      <x:c r="A3169" s="177" t="str">
        <x:v>46.879.210/0001-00</x:v>
      </x:c>
      <x:c r="B3169" s="168" t="str">
        <x:v>CNPJ 46879210000100</x:v>
      </x:c>
      <x:c r="C3169" s="190" t="n">
        <x:v>0</x:v>
      </x:c>
      <x:c r="D3169" s="168" t="str">
        <x:v>Reag Administradora de Recursos Ltda</x:v>
      </x:c>
      <x:c r="E3169" s="168" t="str">
        <x:f>IFERROR(INDEX('Classif Gestoras'!$H$6:$H$462,MATCH(D3169,'Classif Gestoras'!$A$6:$A$462,0)),"Não classificada")</x:f>
        <x:v>Independente</x:v>
      </x:c>
      <x:c r="F3169" s="168" t="str">
        <x:v>REAG DTVM</x:v>
      </x:c>
      <x:c r="G3169" s="168" t="str">
        <x:v>Não identificado</x:v>
      </x:c>
      <x:c r="H3169" s="168" t="str">
        <x:v>Outros</x:v>
      </x:c>
      <x:c r="I3169" s="168" t="str">
        <x:v>Multicarteira Outros</x:v>
      </x:c>
      <x:c r="J3169" s="168" t="str">
        <x:v>CI</x:v>
      </x:c>
      <x:c r="K3169" s="174"/>
      <x:c r="L3169" s="187" t="str">
        <x:v>Proxy multicedente/multissacado — revisar</x:v>
      </x:c>
    </x:row>
    <x:row r="3170">
      <x:c r="A3170" s="177" t="str">
        <x:v>46.879.223/0001-71</x:v>
      </x:c>
      <x:c r="B3170" s="168" t="str">
        <x:v>GOLDEN BRIDGE FUNDO DE INVESTIMENTO EM DIREITOS CREDITORIOS NAO PADRONIZADOS</x:v>
      </x:c>
      <x:c r="C3170" s="190" t="n">
        <x:v>0</x:v>
      </x:c>
      <x:c r="D3170" s="168" t="str">
        <x:v>Reag Administradora de Recursos Ltda</x:v>
      </x:c>
      <x:c r="E3170" s="168" t="str">
        <x:f>IFERROR(INDEX('Classif Gestoras'!$H$6:$H$462,MATCH(D3170,'Classif Gestoras'!$A$6:$A$462,0)),"Não classificada")</x:f>
        <x:v>Independente</x:v>
      </x:c>
      <x:c r="F3170" s="168" t="str">
        <x:v>REAG DTVM</x:v>
      </x:c>
      <x:c r="G3170" s="168" t="str">
        <x:v>REAG TRUST DISTRIBUIDORA DE TITULOS E VALORES MOBILIARIOS S.A.</x:v>
      </x:c>
      <x:c r="H3170" s="168" t="str">
        <x:v>Outros</x:v>
      </x:c>
      <x:c r="I3170" s="168" t="str">
        <x:v>Poder Público</x:v>
      </x:c>
      <x:c r="J3170" s="168" t="str">
        <x:v>CI</x:v>
      </x:c>
      <x:c r="K3170" s="174" t="n">
        <x:v>1</x:v>
      </x:c>
      <x:c r="L3170" s="187" t="str">
        <x:v>Não classificado</x:v>
      </x:c>
    </x:row>
    <x:row r="3171">
      <x:c r="A3171" s="177" t="str">
        <x:v>54.950.304/0001-49</x:v>
      </x:c>
      <x:c r="B3171" s="168" t="str">
        <x:v>VENTURE FINANCE FUNDO DE INVESTIMENTO EM DIREITOS CREDITÓRIOS</x:v>
      </x:c>
      <x:c r="C3171" s="190" t="n">
        <x:v>0</x:v>
      </x:c>
      <x:c r="D3171" s="168" t="str">
        <x:v>Acura Gestora de Recursos LTDA.</x:v>
      </x:c>
      <x:c r="E3171" s="168" t="str">
        <x:f>IFERROR(INDEX('Classif Gestoras'!$H$6:$H$462,MATCH(D3171,'Classif Gestoras'!$A$6:$A$462,0)),"Não classificada")</x:f>
        <x:v>Independente</x:v>
      </x:c>
      <x:c r="F3171" s="168" t="str">
        <x:v>SEFER DTVM</x:v>
      </x:c>
      <x:c r="G3171" s="168" t="str">
        <x:v>REAG TRUST DISTRIBUIDORA DE TITULOS E VALORES MOBILIARIOS S.A.</x:v>
      </x:c>
      <x:c r="H3171" s="168" t="str">
        <x:v>Outros</x:v>
      </x:c>
      <x:c r="I3171" s="168" t="str">
        <x:v>Multicarteira Outros</x:v>
      </x:c>
      <x:c r="J3171" s="168" t="str">
        <x:v>CI</x:v>
      </x:c>
      <x:c r="K3171" s="174" t="n">
        <x:v>1</x:v>
      </x:c>
      <x:c r="L3171" s="187" t="str">
        <x:v>Proxy multicedente/multissacado — revisar</x:v>
      </x:c>
    </x:row>
    <x:row r="3172">
      <x:c r="A3172" s="177" t="str">
        <x:v>46.909.301/0001-33</x:v>
      </x:c>
      <x:c r="B3172" s="168" t="str">
        <x:v>CNPJ 46909301000133</x:v>
      </x:c>
      <x:c r="C3172" s="190" t="n">
        <x:v>0</x:v>
      </x:c>
      <x:c r="D3172" s="168" t="str">
        <x:v>Reag Administradora de Recursos Ltda</x:v>
      </x:c>
      <x:c r="E3172" s="168" t="str">
        <x:f>IFERROR(INDEX('Classif Gestoras'!$H$6:$H$462,MATCH(D3172,'Classif Gestoras'!$A$6:$A$462,0)),"Não classificada")</x:f>
        <x:v>Independente</x:v>
      </x:c>
      <x:c r="F3172" s="168" t="str">
        <x:v>REAG DTVM</x:v>
      </x:c>
      <x:c r="G3172" s="168" t="str">
        <x:v>Não identificado</x:v>
      </x:c>
      <x:c r="H3172" s="168" t="str">
        <x:v>Outros</x:v>
      </x:c>
      <x:c r="I3172" s="168" t="str">
        <x:v>Multicarteira Outros</x:v>
      </x:c>
      <x:c r="J3172" s="168" t="str">
        <x:v>CI</x:v>
      </x:c>
      <x:c r="K3172" s="174"/>
      <x:c r="L3172" s="187" t="str">
        <x:v>Proxy multicedente/multissacado — revisar</x:v>
      </x:c>
    </x:row>
    <x:row r="3173">
      <x:c r="A3173" s="177" t="str">
        <x:v>54.852.109/0001-86</x:v>
      </x:c>
      <x:c r="B3173" s="168" t="str">
        <x:v>VALKYRIES FUNDO DE INVESTIMENTOS EM DIREITOS CREDITÓRIOS</x:v>
      </x:c>
      <x:c r="C3173" s="190" t="n">
        <x:v>0</x:v>
      </x:c>
      <x:c r="D3173" s="168" t="str">
        <x:v>Reag Jus</x:v>
      </x:c>
      <x:c r="E3173" s="168" t="str">
        <x:f>IFERROR(INDEX('Classif Gestoras'!$H$6:$H$462,MATCH(D3173,'Classif Gestoras'!$A$6:$A$462,0)),"Não classificada")</x:f>
        <x:v>Independente</x:v>
      </x:c>
      <x:c r="F3173" s="168" t="str">
        <x:v>REAG DTVM</x:v>
      </x:c>
      <x:c r="G3173" s="168" t="str">
        <x:v>REAG TRUST DISTRIBUIDORA DE TITULOS E VALORES MOBILIARIOS S.A.</x:v>
      </x:c>
      <x:c r="H3173" s="168" t="str">
        <x:v>Outros</x:v>
      </x:c>
      <x:c r="I3173" s="168" t="str">
        <x:v>Multicarteira Outros</x:v>
      </x:c>
      <x:c r="J3173" s="168" t="str">
        <x:v>CI</x:v>
      </x:c>
      <x:c r="K3173" s="174" t="n">
        <x:v>1</x:v>
      </x:c>
      <x:c r="L3173" s="187" t="str">
        <x:v>Proxy multicedente/multissacado — revisar</x:v>
      </x:c>
    </x:row>
    <x:row r="3174">
      <x:c r="A3174" s="177" t="str">
        <x:v>57.661.136/0001-60</x:v>
      </x:c>
      <x:c r="B3174" s="168" t="str">
        <x:v>CRAWFORD FUNDO DE INVESTIMENTO EM DIREITOS CREDITÓRIOS</x:v>
      </x:c>
      <x:c r="C3174" s="190" t="n">
        <x:v>0</x:v>
      </x:c>
      <x:c r="D3174" s="168" t="str">
        <x:v>Reag Jus</x:v>
      </x:c>
      <x:c r="E3174" s="168" t="str">
        <x:f>IFERROR(INDEX('Classif Gestoras'!$H$6:$H$462,MATCH(D3174,'Classif Gestoras'!$A$6:$A$462,0)),"Não classificada")</x:f>
        <x:v>Independente</x:v>
      </x:c>
      <x:c r="F3174" s="168" t="str">
        <x:v>REAG DTVM</x:v>
      </x:c>
      <x:c r="G3174" s="168" t="str">
        <x:v>Não identificado</x:v>
      </x:c>
      <x:c r="H3174" s="168" t="str">
        <x:v>Outros</x:v>
      </x:c>
      <x:c r="I3174" s="168" t="str">
        <x:v>Multicarteira Outros</x:v>
      </x:c>
      <x:c r="J3174" s="168" t="str">
        <x:v>CI</x:v>
      </x:c>
      <x:c r="K3174" s="174" t="n">
        <x:v>1</x:v>
      </x:c>
      <x:c r="L3174" s="187" t="str">
        <x:v>Proxy multicedente/multissacado — revisar</x:v>
      </x:c>
    </x:row>
    <x:row r="3175">
      <x:c r="A3175" s="177" t="str">
        <x:v>46.930.099/0001-21</x:v>
      </x:c>
      <x:c r="B3175" s="168" t="str">
        <x:v>BALLANGEN 82 FUNDO DE INVESTIMENTO EM DIREITOS CREDITÓRIOS NÃO-PADRONIZADOS</x:v>
      </x:c>
      <x:c r="C3175" s="190" t="n">
        <x:v>0</x:v>
      </x:c>
      <x:c r="D3175" s="168" t="str">
        <x:v>Reag Administradora de Recursos Ltda</x:v>
      </x:c>
      <x:c r="E3175" s="168" t="str">
        <x:f>IFERROR(INDEX('Classif Gestoras'!$H$6:$H$462,MATCH(D3175,'Classif Gestoras'!$A$6:$A$462,0)),"Não classificada")</x:f>
        <x:v>Independente</x:v>
      </x:c>
      <x:c r="F3175" s="168" t="str">
        <x:v>REAG DTVM</x:v>
      </x:c>
      <x:c r="G3175" s="168" t="str">
        <x:v>REAG TRUST DISTRIBUIDORA DE TITULOS E VALORES MOBILIARIOS S.A.</x:v>
      </x:c>
      <x:c r="H3175" s="168" t="str">
        <x:v>Outros</x:v>
      </x:c>
      <x:c r="I3175" s="168" t="str">
        <x:v>Multicarteira Outros</x:v>
      </x:c>
      <x:c r="J3175" s="168" t="str">
        <x:v>CI</x:v>
      </x:c>
      <x:c r="K3175" s="174" t="n">
        <x:v>1</x:v>
      </x:c>
      <x:c r="L3175" s="187" t="str">
        <x:v>Proxy multicedente/multissacado — revisar</x:v>
      </x:c>
    </x:row>
    <x:row r="3176">
      <x:c r="A3176" s="177" t="str">
        <x:v>46.930.133/0001-68</x:v>
      </x:c>
      <x:c r="B3176" s="168" t="str">
        <x:v>BARDU 82 FUNDO DE INVESTIMENTO EM DIREITOS CREDITORIOS NAO PADRONIZADOS</x:v>
      </x:c>
      <x:c r="C3176" s="190" t="n">
        <x:v>0</x:v>
      </x:c>
      <x:c r="D3176" s="168" t="str">
        <x:v>Reag Administradora de Recursos Ltda</x:v>
      </x:c>
      <x:c r="E3176" s="168" t="str">
        <x:f>IFERROR(INDEX('Classif Gestoras'!$H$6:$H$462,MATCH(D3176,'Classif Gestoras'!$A$6:$A$462,0)),"Não classificada")</x:f>
        <x:v>Independente</x:v>
      </x:c>
      <x:c r="F3176" s="168" t="str">
        <x:v>REAG DTVM</x:v>
      </x:c>
      <x:c r="G3176" s="168" t="str">
        <x:v>PLANNER CORRETORA DE VALORES S.A.</x:v>
      </x:c>
      <x:c r="H3176" s="168" t="str">
        <x:v>Fomento Mercantil</x:v>
      </x:c>
      <x:c r="I3176" s="168" t="str">
        <x:v>Fomento Mercantil</x:v>
      </x:c>
      <x:c r="J3176" s="168" t="str">
        <x:v>CI</x:v>
      </x:c>
      <x:c r="K3176" s="174" t="n">
        <x:v>1</x:v>
      </x:c>
      <x:c r="L3176" s="187" t="str">
        <x:v>Não classificado</x:v>
      </x:c>
    </x:row>
    <x:row r="3177">
      <x:c r="A3177" s="177" t="str">
        <x:v>47.085.563/0001-93</x:v>
      </x:c>
      <x:c r="B3177" s="168" t="str">
        <x:v>CNPJ 47085563000193</x:v>
      </x:c>
      <x:c r="C3177" s="190" t="n">
        <x:v>0</x:v>
      </x:c>
      <x:c r="D3177" s="168" t="str">
        <x:v>JIVE INVESTMENTS</x:v>
      </x:c>
      <x:c r="E3177" s="168" t="str">
        <x:f>IFERROR(INDEX('Classif Gestoras'!$H$6:$H$462,MATCH(D3177,'Classif Gestoras'!$A$6:$A$462,0)),"Não classificada")</x:f>
        <x:v>Independente</x:v>
      </x:c>
      <x:c r="F3177" s="168" t="str">
        <x:v>MAF Distribuidora de Títulos e Valores Mobiliários S.A.</x:v>
      </x:c>
      <x:c r="G3177" s="168" t="str">
        <x:v>Não identificado</x:v>
      </x:c>
      <x:c r="H3177" s="168" t="str">
        <x:v>Outros</x:v>
      </x:c>
      <x:c r="I3177" s="168" t="str">
        <x:v>Multicarteira Outros</x:v>
      </x:c>
      <x:c r="J3177" s="168" t="str">
        <x:v>CI</x:v>
      </x:c>
      <x:c r="K3177" s="174"/>
      <x:c r="L3177" s="187" t="str">
        <x:v>Proxy multicedente/multissacado — revisar</x:v>
      </x:c>
    </x:row>
    <x:row r="3178">
      <x:c r="A3178" s="177" t="str">
        <x:v>22.945.880/0001-01</x:v>
      </x:c>
      <x:c r="B3178" s="168" t="str">
        <x:v>REAG SPECIAL SITUATION FUNDO DE INVESTIMENTO EM DIREITOS CREDITÓRIOS ABERTO</x:v>
      </x:c>
      <x:c r="C3178" s="190" t="n">
        <x:v>0</x:v>
      </x:c>
      <x:c r="D3178" s="168" t="str">
        <x:v>Reag Administradora de Recursos Ltda</x:v>
      </x:c>
      <x:c r="E3178" s="168" t="str">
        <x:f>IFERROR(INDEX('Classif Gestoras'!$H$6:$H$462,MATCH(D3178,'Classif Gestoras'!$A$6:$A$462,0)),"Não classificada")</x:f>
        <x:v>Independente</x:v>
      </x:c>
      <x:c r="F3178" s="168" t="str">
        <x:v>REAG DTVM</x:v>
      </x:c>
      <x:c r="G3178" s="168" t="str">
        <x:v>REAG TRUST DISTRIBUIDORA DE TITULOS E VALORES MOBILIARIOS S.A.</x:v>
      </x:c>
      <x:c r="H3178" s="168" t="str">
        <x:v>Outros</x:v>
      </x:c>
      <x:c r="I3178" s="168" t="str">
        <x:v>Multicarteira Outros</x:v>
      </x:c>
      <x:c r="J3178" s="168" t="str">
        <x:v>CI</x:v>
      </x:c>
      <x:c r="K3178" s="174" t="n">
        <x:v>3</x:v>
      </x:c>
      <x:c r="L3178" s="187" t="str">
        <x:v>Proxy multicedente/multissacado — revisar</x:v>
      </x:c>
    </x:row>
    <x:row r="3179">
      <x:c r="A3179" s="177" t="str">
        <x:v>41.593.704/0001-00</x:v>
      </x:c>
      <x:c r="B3179" s="168" t="str">
        <x:v>INDÚSTRIA Q1 FUNDO DE INVESTIMENTO EM DIREITOS CREDITÓRIOS</x:v>
      </x:c>
      <x:c r="C3179" s="190" t="n">
        <x:v>0</x:v>
      </x:c>
      <x:c r="D3179" s="168" t="str">
        <x:v>Chimera Capital Asset Management Ltda.</x:v>
      </x:c>
      <x:c r="E3179" s="168" t="str">
        <x:f>IFERROR(INDEX('Classif Gestoras'!$H$6:$H$462,MATCH(D3179,'Classif Gestoras'!$A$6:$A$462,0)),"Não classificada")</x:f>
        <x:v>Independente</x:v>
      </x:c>
      <x:c r="F3179" s="168" t="str">
        <x:v>REAG DTVM</x:v>
      </x:c>
      <x:c r="G3179" s="168" t="str">
        <x:v>REAG TRUST DISTRIBUIDORA DE TITULOS E VALORES MOBILIARIOS S.A.</x:v>
      </x:c>
      <x:c r="H3179" s="168" t="str">
        <x:v>Outros</x:v>
      </x:c>
      <x:c r="I3179" s="168" t="str">
        <x:v>Multicarteira Outros</x:v>
      </x:c>
      <x:c r="J3179" s="168" t="str">
        <x:v>CI</x:v>
      </x:c>
      <x:c r="K3179" s="174" t="n">
        <x:v>5</x:v>
      </x:c>
      <x:c r="L3179" s="187" t="str">
        <x:v>Proxy multicedente/multissacado — revisar</x:v>
      </x:c>
    </x:row>
    <x:row r="3180">
      <x:c r="A3180" s="177" t="str">
        <x:v>13.344.834/0001-66</x:v>
      </x:c>
      <x:c r="B3180" s="168" t="str">
        <x:v>INCENTIVO FUNDO DE INVESTIMENTO EM DIREITOS CREDITÓRIOS MULTISSETORIAL II</x:v>
      </x:c>
      <x:c r="C3180" s="190" t="n">
        <x:v>0</x:v>
      </x:c>
      <x:c r="D3180" s="168" t="str">
        <x:v>GENIAL GESTÃO LTDA.</x:v>
      </x:c>
      <x:c r="E3180" s="168" t="str">
        <x:f>IFERROR(INDEX('Classif Gestoras'!$H$6:$H$462,MATCH(D3180,'Classif Gestoras'!$A$6:$A$462,0)),"Não classificada")</x:f>
        <x:v>Ligada a banco</x:v>
      </x:c>
      <x:c r="F3180" s="168" t="str">
        <x:v>RJI Investimentos</x:v>
      </x:c>
      <x:c r="G3180" s="168" t="str">
        <x:v>RJI CORRETORA DE TÍTULOS E VALORES MOBILIÁRIOS LTDA.</x:v>
      </x:c>
      <x:c r="H3180" s="168" t="str">
        <x:v>Outros</x:v>
      </x:c>
      <x:c r="I3180" s="168" t="str">
        <x:v>Multicarteira Outros</x:v>
      </x:c>
      <x:c r="J3180" s="168" t="str">
        <x:v>CI</x:v>
      </x:c>
      <x:c r="K3180" s="174" t="n">
        <x:v>12</x:v>
      </x:c>
      <x:c r="L3180" s="187" t="str">
        <x:v>Proxy multicedente/multissacado — revisar</x:v>
      </x:c>
    </x:row>
    <x:row r="3181">
      <x:c r="A3181" s="177" t="str">
        <x:v>53.147.924/0001-81</x:v>
      </x:c>
      <x:c r="B3181" s="168" t="str">
        <x:v>CNPJ 53147924000181</x:v>
      </x:c>
      <x:c r="C3181" s="190" t="n">
        <x:v>0</x:v>
      </x:c>
      <x:c r="D3181" s="168" t="str">
        <x:v>JGP Gestão de Crédito LTDA.</x:v>
      </x:c>
      <x:c r="E3181" s="168" t="str">
        <x:f>IFERROR(INDEX('Classif Gestoras'!$H$6:$H$462,MATCH(D3181,'Classif Gestoras'!$A$6:$A$462,0)),"Não classificada")</x:f>
        <x:v>Independente</x:v>
      </x:c>
      <x:c r="F3181" s="168" t="str">
        <x:v>Oliveira Trust DTVM</x:v>
      </x:c>
      <x:c r="G3181" s="168" t="str">
        <x:v>Não identificado</x:v>
      </x:c>
      <x:c r="H3181" s="168" t="str">
        <x:v>Agro, Indústria e Comércio</x:v>
      </x:c>
      <x:c r="I3181" s="168" t="str">
        <x:v>Não se aplica</x:v>
      </x:c>
      <x:c r="J3181" s="168" t="str">
        <x:v>CI</x:v>
      </x:c>
      <x:c r="K3181" s="174"/>
      <x:c r="L3181" s="187" t="str">
        <x:v>Não classificado</x:v>
      </x:c>
    </x:row>
    <x:row r="3182">
      <x:c r="A3182" s="177" t="str">
        <x:v>33.512.487/0001-40</x:v>
      </x:c>
      <x:c r="B3182" s="168" t="str">
        <x:v>CNPJ 33512487000140</x:v>
      </x:c>
      <x:c r="C3182" s="190" t="n">
        <x:v>0</x:v>
      </x:c>
      <x:c r="D3182" s="168" t="str">
        <x:v>Veritas Capital Management</x:v>
      </x:c>
      <x:c r="E3182" s="168" t="str">
        <x:f>IFERROR(INDEX('Classif Gestoras'!$H$6:$H$462,MATCH(D3182,'Classif Gestoras'!$A$6:$A$462,0)),"Não classificada")</x:f>
        <x:v>Independente</x:v>
      </x:c>
      <x:c r="F3182" s="168" t="str">
        <x:v>Banvox DTVM</x:v>
      </x:c>
      <x:c r="G3182" s="168" t="str">
        <x:v>Não identificado</x:v>
      </x:c>
      <x:c r="H3182" s="168" t="str">
        <x:v>Outros</x:v>
      </x:c>
      <x:c r="I3182" s="168" t="str">
        <x:v>Multicarteira Outros</x:v>
      </x:c>
      <x:c r="J3182" s="168" t="str">
        <x:v>CI</x:v>
      </x:c>
      <x:c r="K3182" s="174"/>
      <x:c r="L3182" s="187" t="str">
        <x:v>Proxy multicedente/multissacado — revisar</x:v>
      </x:c>
    </x:row>
    <x:row r="3183">
      <x:c r="A3183" s="177" t="str">
        <x:v>27.538.324/0001-34</x:v>
      </x:c>
      <x:c r="B3183" s="168" t="str">
        <x:v>FUNDO DE INVESTIMENTO EM DIREITOS CREDITÓRIOS DB CRÉDITO GLOBAL</x:v>
      </x:c>
      <x:c r="C3183" s="190" t="n">
        <x:v>0</x:v>
      </x:c>
      <x:c r="D3183" s="168" t="str">
        <x:v>ELLO ASSET MANAGEMENT</x:v>
      </x:c>
      <x:c r="E3183" s="168" t="str">
        <x:f>IFERROR(INDEX('Classif Gestoras'!$H$6:$H$462,MATCH(D3183,'Classif Gestoras'!$A$6:$A$462,0)),"Não classificada")</x:f>
        <x:v>Independente</x:v>
      </x:c>
      <x:c r="F3183" s="168" t="str">
        <x:v>Intra Investimentos Distribuidora de Títulos e Valores Mobiliários LTDA.</x:v>
      </x:c>
      <x:c r="G3183" s="168" t="str">
        <x:v>Não identificado</x:v>
      </x:c>
      <x:c r="H3183" s="168" t="str">
        <x:v>Outros</x:v>
      </x:c>
      <x:c r="I3183" s="168" t="str">
        <x:v>Multicarteira Outros</x:v>
      </x:c>
      <x:c r="J3183" s="168" t="str">
        <x:v>CI</x:v>
      </x:c>
      <x:c r="K3183" s="174" t="n">
        <x:v>5</x:v>
      </x:c>
      <x:c r="L3183" s="187" t="str">
        <x:v>Proxy multicedente/multissacado — revisar</x:v>
      </x:c>
    </x:row>
    <x:row r="3184">
      <x:c r="A3184" s="177" t="str">
        <x:v>46.073.588/0001-04</x:v>
      </x:c>
      <x:c r="B3184" s="168" t="str">
        <x:v>NANBAN II FUNDO DE INVESTIMENTO EM DIREITOS CREDITÓRIOS RESPONSABILIDADE LIMITADA</x:v>
      </x:c>
      <x:c r="C3184" s="190" t="n">
        <x:v>0</x:v>
      </x:c>
      <x:c r="D3184" s="168" t="str">
        <x:v>BRL TRUST DTVM</x:v>
      </x:c>
      <x:c r="E3184" s="168" t="str">
        <x:f>IFERROR(INDEX('Classif Gestoras'!$H$6:$H$462,MATCH(D3184,'Classif Gestoras'!$A$6:$A$462,0)),"Não classificada")</x:f>
        <x:v>Independente</x:v>
      </x:c>
      <x:c r="F3184" s="168" t="str">
        <x:v>BRL TRUST DTVM</x:v>
      </x:c>
      <x:c r="G3184" s="168" t="str">
        <x:v>ID CORRETORA DE TITULOS E VALORES MOBILIARIOS S.A.</x:v>
      </x:c>
      <x:c r="H3184" s="168" t="str">
        <x:v>Outros</x:v>
      </x:c>
      <x:c r="I3184" s="168" t="str">
        <x:v>Recuperação</x:v>
      </x:c>
      <x:c r="J3184" s="168" t="str">
        <x:v>CI</x:v>
      </x:c>
      <x:c r="K3184" s="174" t="n">
        <x:v>2</x:v>
      </x:c>
      <x:c r="L3184" s="187" t="str">
        <x:v>Não classificado</x:v>
      </x:c>
    </x:row>
    <x:row r="3185">
      <x:c r="A3185" s="177" t="str">
        <x:v>45.880.888/0001-32</x:v>
      </x:c>
      <x:c r="B3185" s="168" t="str">
        <x:v>CNPJ 45880888000132</x:v>
      </x:c>
      <x:c r="C3185" s="190" t="n">
        <x:v>0</x:v>
      </x:c>
      <x:c r="D3185" s="168" t="str">
        <x:v>Chimera Capital Asset Management Ltda.</x:v>
      </x:c>
      <x:c r="E3185" s="168" t="str">
        <x:f>IFERROR(INDEX('Classif Gestoras'!$H$6:$H$462,MATCH(D3185,'Classif Gestoras'!$A$6:$A$462,0)),"Não classificada")</x:f>
        <x:v>Independente</x:v>
      </x:c>
      <x:c r="F3185" s="168" t="str">
        <x:v>REAG DTVM</x:v>
      </x:c>
      <x:c r="G3185" s="168" t="str">
        <x:v>Não identificado</x:v>
      </x:c>
      <x:c r="H3185" s="168" t="str">
        <x:v>Agro, Indústria e Comércio</x:v>
      </x:c>
      <x:c r="I3185" s="168" t="str">
        <x:v>Crédito Corporativo</x:v>
      </x:c>
      <x:c r="J3185" s="168" t="str">
        <x:v>CI</x:v>
      </x:c>
      <x:c r="K3185" s="174"/>
      <x:c r="L3185" s="187" t="str">
        <x:v>Não classificado</x:v>
      </x:c>
    </x:row>
    <x:row r="3186">
      <x:c r="A3186" s="177" t="str">
        <x:v>52.967.434/0001-69</x:v>
      </x:c>
      <x:c r="B3186" s="168" t="str">
        <x:v>LEGACY FUNDO DE INVESTIMENTO EM DIREITOS CREDITÓRIOS</x:v>
      </x:c>
      <x:c r="C3186" s="190" t="n">
        <x:v>0</x:v>
      </x:c>
      <x:c r="D3186" s="168" t="str">
        <x:v>Reag Jus</x:v>
      </x:c>
      <x:c r="E3186" s="168" t="str">
        <x:f>IFERROR(INDEX('Classif Gestoras'!$H$6:$H$462,MATCH(D3186,'Classif Gestoras'!$A$6:$A$462,0)),"Não classificada")</x:f>
        <x:v>Independente</x:v>
      </x:c>
      <x:c r="F3186" s="168" t="str">
        <x:v>REAG DTVM</x:v>
      </x:c>
      <x:c r="G3186" s="168" t="str">
        <x:v>REAG TRUST DISTRIBUIDORA DE TITULOS E VALORES MOBILIARIOS S.A.</x:v>
      </x:c>
      <x:c r="H3186" s="168" t="str">
        <x:v>Outros</x:v>
      </x:c>
      <x:c r="I3186" s="168" t="str">
        <x:v>Multicarteira Outros</x:v>
      </x:c>
      <x:c r="J3186" s="168" t="str">
        <x:v>CI</x:v>
      </x:c>
      <x:c r="K3186" s="174" t="n">
        <x:v>1</x:v>
      </x:c>
      <x:c r="L3186" s="187" t="str">
        <x:v>Proxy multicedente/multissacado — revisar</x:v>
      </x:c>
    </x:row>
    <x:row r="3187">
      <x:c r="A3187" s="177" t="str">
        <x:v>45.899.684/0001-43</x:v>
      </x:c>
      <x:c r="B3187" s="168" t="str">
        <x:v>LEGALCERT FUNDO DE INVESTIMENTO EM DIREITOS CREDITÓRIOS NAO - PADRONIZADOS</x:v>
      </x:c>
      <x:c r="C3187" s="190" t="n">
        <x:v>0</x:v>
      </x:c>
      <x:c r="D3187" s="168" t="str">
        <x:v>IDGR</x:v>
      </x:c>
      <x:c r="E3187" s="168" t="str">
        <x:f>IFERROR(INDEX('Classif Gestoras'!$H$6:$H$462,MATCH(D3187,'Classif Gestoras'!$A$6:$A$462,0)),"Não classificada")</x:f>
        <x:v>Independente</x:v>
      </x:c>
      <x:c r="F3187" s="168" t="str">
        <x:v>ID Corretora de Títulos e Valores Mobiliários S.A.</x:v>
      </x:c>
      <x:c r="G3187" s="168" t="str">
        <x:v>ID CORRETORA DE TITULOS E VALORES MOBILIARIOS S.A.</x:v>
      </x:c>
      <x:c r="H3187" s="168" t="str">
        <x:v>Outros</x:v>
      </x:c>
      <x:c r="I3187" s="168" t="str">
        <x:v>Multicarteira Outros</x:v>
      </x:c>
      <x:c r="J3187" s="168" t="str">
        <x:v>CI</x:v>
      </x:c>
      <x:c r="K3187" s="174" t="n">
        <x:v>2</x:v>
      </x:c>
      <x:c r="L3187" s="187" t="str">
        <x:v>Proxy multicedente/multissacado — revisar</x:v>
      </x:c>
    </x:row>
    <x:row r="3188">
      <x:c r="A3188" s="177" t="str">
        <x:v>45.899.975/0001-31</x:v>
      </x:c>
      <x:c r="B3188" s="168" t="str">
        <x:v>KRONOS FUNDO DE INVESTIMENTO EM DIREITOS CREDITÓRIOS NÃO-PADRONIZADOS RESPONSABILIDADE LIMITADA</x:v>
      </x:c>
      <x:c r="C3188" s="190" t="n">
        <x:v>0</x:v>
      </x:c>
      <x:c r="D3188" s="168" t="str">
        <x:v>IDGR</x:v>
      </x:c>
      <x:c r="E3188" s="168" t="str">
        <x:f>IFERROR(INDEX('Classif Gestoras'!$H$6:$H$462,MATCH(D3188,'Classif Gestoras'!$A$6:$A$462,0)),"Não classificada")</x:f>
        <x:v>Independente</x:v>
      </x:c>
      <x:c r="F3188" s="168" t="str">
        <x:v>ID Corretora de Títulos e Valores Mobiliários S.A.</x:v>
      </x:c>
      <x:c r="G3188" s="168" t="str">
        <x:v>ID CORRETORA DE TITULOS E VALORES MOBILIARIOS S.A.</x:v>
      </x:c>
      <x:c r="H3188" s="168" t="str">
        <x:v>Outros</x:v>
      </x:c>
      <x:c r="I3188" s="168" t="str">
        <x:v>Multicarteira Outros</x:v>
      </x:c>
      <x:c r="J3188" s="168" t="str">
        <x:v>CI</x:v>
      </x:c>
      <x:c r="K3188" s="174" t="n">
        <x:v>0</x:v>
      </x:c>
      <x:c r="L3188" s="187" t="str">
        <x:v>Proxy multicedente/multissacado — revisar</x:v>
      </x:c>
    </x:row>
    <x:row r="3189">
      <x:c r="A3189" s="177" t="str">
        <x:v>33.076.242/0001-18</x:v>
      </x:c>
      <x:c r="B3189" s="168" t="str">
        <x:v>WORKCAP AGRO FUNDO DE INVESTIMENTO EM DIREITOS CREDITORIOS RESPONSABILIDADE LIMITADA</x:v>
      </x:c>
      <x:c r="C3189" s="190" t="n">
        <x:v>0</x:v>
      </x:c>
      <x:c r="D3189" s="168" t="str">
        <x:v>BTG Pactual Asset</x:v>
      </x:c>
      <x:c r="E3189" s="168" t="str">
        <x:f>IFERROR(INDEX('Classif Gestoras'!$H$6:$H$462,MATCH(D3189,'Classif Gestoras'!$A$6:$A$462,0)),"Não classificada")</x:f>
        <x:v>Ligada a banco</x:v>
      </x:c>
      <x:c r="F3189" s="168" t="str">
        <x:v>BTG Pactual Servicos Financeiros S/A DTVM</x:v>
      </x:c>
      <x:c r="G3189" s="168" t="str">
        <x:v>BANCO FINAXIS S.A.</x:v>
      </x:c>
      <x:c r="H3189" s="168" t="str">
        <x:v>Agro, Indústria e Comércio</x:v>
      </x:c>
      <x:c r="I3189" s="168" t="str">
        <x:v>Recebíveis Comerciais</x:v>
      </x:c>
      <x:c r="J3189" s="168" t="str">
        <x:v>CI</x:v>
      </x:c>
      <x:c r="K3189" s="174" t="n">
        <x:v>6</x:v>
      </x:c>
      <x:c r="L3189" s="187" t="str">
        <x:v>Não classificado</x:v>
      </x:c>
    </x:row>
    <x:row r="3190">
      <x:c r="A3190" s="177" t="str">
        <x:v>54.851.716/0001-21</x:v>
      </x:c>
      <x:c r="B3190" s="168" t="str">
        <x:v>PINPAG FUNDO DE INVESTIMENTO EM DIREITOS CREDITÓRIOS RESPONSABILIDADE LIMITADA</x:v>
      </x:c>
      <x:c r="C3190" s="190" t="n">
        <x:v>0</x:v>
      </x:c>
      <x:c r="D3190" s="168" t="str">
        <x:v>Catálise Investimentos</x:v>
      </x:c>
      <x:c r="E3190" s="168" t="str">
        <x:f>IFERROR(INDEX('Classif Gestoras'!$H$6:$H$462,MATCH(D3190,'Classif Gestoras'!$A$6:$A$462,0)),"Não classificada")</x:f>
        <x:v>Independente</x:v>
      </x:c>
      <x:c r="F3190" s="168" t="str">
        <x:v>BANCO DAYCOVAL S/A</x:v>
      </x:c>
      <x:c r="G3190" s="168" t="str">
        <x:v>BANCO DAYCOVAL S.A.</x:v>
      </x:c>
      <x:c r="H3190" s="168" t="str">
        <x:v>Agro, Indústria e Comércio</x:v>
      </x:c>
      <x:c r="I3190" s="168" t="str">
        <x:v>Recebíveis Comerciais</x:v>
      </x:c>
      <x:c r="J3190" s="168" t="str">
        <x:v>CI</x:v>
      </x:c>
      <x:c r="K3190" s="174" t="n">
        <x:v>0</x:v>
      </x:c>
      <x:c r="L3190" s="187" t="str">
        <x:v>Não classificado</x:v>
      </x:c>
    </x:row>
    <x:row r="3191">
      <x:c r="A3191" s="177" t="str">
        <x:v>11.902.354/0001-48</x:v>
      </x:c>
      <x:c r="B3191" s="168" t="str">
        <x:v>FM1 FUNDO DE INVESTIMENTO EM DIREITOS CREDITÓRIOS- RESPONSABILIDADE LIMITADA</x:v>
      </x:c>
      <x:c r="C3191" s="190" t="n">
        <x:v>0</x:v>
      </x:c>
      <x:c r="D3191" s="168" t="str">
        <x:v>BNY MELLON SERVICOS</x:v>
      </x:c>
      <x:c r="E3191" s="168" t="str">
        <x:f>IFERROR(INDEX('Classif Gestoras'!$H$6:$H$462,MATCH(D3191,'Classif Gestoras'!$A$6:$A$462,0)),"Não classificada")</x:f>
        <x:v>Independente</x:v>
      </x:c>
      <x:c r="F3191" s="168" t="str">
        <x:v>BNY MELLON SERVICOS</x:v>
      </x:c>
      <x:c r="G3191" s="168" t="str">
        <x:v>BNY MELLON BANCO S.A.</x:v>
      </x:c>
      <x:c r="H3191" s="168" t="str">
        <x:v>Outros</x:v>
      </x:c>
      <x:c r="I3191" s="168" t="str">
        <x:v>Multicarteira Outros</x:v>
      </x:c>
      <x:c r="J3191" s="168" t="str">
        <x:v>CI</x:v>
      </x:c>
      <x:c r="K3191" s="174" t="n">
        <x:v>14</x:v>
      </x:c>
      <x:c r="L3191" s="187" t="str">
        <x:v>Proxy multicedente/multissacado — revisar</x:v>
      </x:c>
    </x:row>
    <x:row r="3192">
      <x:c r="A3192" s="177" t="str">
        <x:v>36.741.133/0001-66</x:v>
      </x:c>
      <x:c r="B3192" s="168" t="str">
        <x:v>CNPJ 36741133000166</x:v>
      </x:c>
      <x:c r="C3192" s="190" t="n">
        <x:v>0</x:v>
      </x:c>
      <x:c r="D3192" s="168" t="str">
        <x:v>GESTORA DE RECURSOS ID - GRID LTDA.</x:v>
      </x:c>
      <x:c r="E3192" s="168" t="str">
        <x:f>IFERROR(INDEX('Classif Gestoras'!$H$6:$H$462,MATCH(D3192,'Classif Gestoras'!$A$6:$A$462,0)),"Não classificada")</x:f>
        <x:v>Independente</x:v>
      </x:c>
      <x:c r="F3192" s="168" t="str">
        <x:v>ID Corretora de Títulos e Valores Mobiliários S.A.</x:v>
      </x:c>
      <x:c r="G3192" s="168" t="str">
        <x:v>Não identificado</x:v>
      </x:c>
      <x:c r="H3192" s="168" t="str">
        <x:v>Outros</x:v>
      </x:c>
      <x:c r="I3192" s="168" t="str">
        <x:v>Não se aplica</x:v>
      </x:c>
      <x:c r="J3192" s="168" t="str">
        <x:v>CI</x:v>
      </x:c>
      <x:c r="K3192" s="174"/>
      <x:c r="L3192" s="187" t="str">
        <x:v>Não classificado</x:v>
      </x:c>
    </x:row>
    <x:row r="3193">
      <x:c r="A3193" s="177" t="str">
        <x:v>45.953.215/0001-65</x:v>
      </x:c>
      <x:c r="B3193" s="168" t="str">
        <x:v>CNPJ 45953215000165</x:v>
      </x:c>
      <x:c r="C3193" s="190" t="n">
        <x:v>0</x:v>
      </x:c>
      <x:c r="D3193" s="168" t="str">
        <x:v>Integral Investimentos</x:v>
      </x:c>
      <x:c r="E3193" s="168" t="str">
        <x:f>IFERROR(INDEX('Classif Gestoras'!$H$6:$H$462,MATCH(D3193,'Classif Gestoras'!$A$6:$A$462,0)),"Não classificada")</x:f>
        <x:v>Independente</x:v>
      </x:c>
      <x:c r="F3193" s="168" t="str">
        <x:v>Banco Genial S.A.</x:v>
      </x:c>
      <x:c r="G3193" s="168" t="str">
        <x:v>Não identificado</x:v>
      </x:c>
      <x:c r="H3193" s="168" t="str">
        <x:v>Agro, Indústria e Comércio</x:v>
      </x:c>
      <x:c r="I3193" s="168" t="str">
        <x:v>Crédito Corporativo</x:v>
      </x:c>
      <x:c r="J3193" s="168" t="str">
        <x:v>CI</x:v>
      </x:c>
      <x:c r="K3193" s="174"/>
      <x:c r="L3193" s="187" t="str">
        <x:v>Não classificado</x:v>
      </x:c>
    </x:row>
    <x:row r="3194">
      <x:c r="A3194" s="177" t="str">
        <x:v>51.863.941/0001-90</x:v>
      </x:c>
      <x:c r="B3194" s="168" t="str">
        <x:v>CNPJ 51863941000190</x:v>
      </x:c>
      <x:c r="C3194" s="190" t="n">
        <x:v>0</x:v>
      </x:c>
      <x:c r="D3194" s="168" t="str">
        <x:v>Eco Gestão de Ativos LTDA.</x:v>
      </x:c>
      <x:c r="E3194" s="168" t="str">
        <x:f>IFERROR(INDEX('Classif Gestoras'!$H$6:$H$462,MATCH(D3194,'Classif Gestoras'!$A$6:$A$462,0)),"Não classificada")</x:f>
        <x:v>Independente</x:v>
      </x:c>
      <x:c r="F3194" s="168" t="str">
        <x:v>BANCO DAYCOVAL S/A</x:v>
      </x:c>
      <x:c r="G3194" s="168" t="str">
        <x:v>Não identificado</x:v>
      </x:c>
      <x:c r="H3194" s="168" t="str">
        <x:v>Agro, Indústria e Comércio</x:v>
      </x:c>
      <x:c r="I3194" s="168" t="str">
        <x:v>Não se aplica</x:v>
      </x:c>
      <x:c r="J3194" s="168" t="str">
        <x:v>CI</x:v>
      </x:c>
      <x:c r="K3194" s="174"/>
      <x:c r="L3194" s="187" t="str">
        <x:v>Não classificado</x:v>
      </x:c>
    </x:row>
    <x:row r="3195">
      <x:c r="A3195" s="177" t="str">
        <x:v>41.970.097/0001-42</x:v>
      </x:c>
      <x:c r="B3195" s="168" t="str">
        <x:v>NAIA ZETTA VENTURE DEBT FUNDO DE INVESTIMENTO EM DIREITOS CREDITÓRIOS</x:v>
      </x:c>
      <x:c r="C3195" s="190" t="n">
        <x:v>0</x:v>
      </x:c>
      <x:c r="D3195" s="168" t="str">
        <x:v>Naia Capital Gestão e Consultoria Financeira Ltda.</x:v>
      </x:c>
      <x:c r="E3195" s="168" t="str">
        <x:f>IFERROR(INDEX('Classif Gestoras'!$H$6:$H$462,MATCH(D3195,'Classif Gestoras'!$A$6:$A$462,0)),"Não classificada")</x:f>
        <x:v>Independente</x:v>
      </x:c>
      <x:c r="F3195" s="168" t="str">
        <x:v>Finvest Digital</x:v>
      </x:c>
      <x:c r="G3195" s="168" t="str">
        <x:v>FINVEST DISTRIBUIDORA DE TÍTULOS E VALORES MOBILIÁRIOS LTDA.</x:v>
      </x:c>
      <x:c r="H3195" s="168" t="str">
        <x:v>Outros</x:v>
      </x:c>
      <x:c r="I3195" s="168" t="str">
        <x:v>Multicarteira Outros</x:v>
      </x:c>
      <x:c r="J3195" s="168" t="str">
        <x:v>CI</x:v>
      </x:c>
      <x:c r="K3195" s="174" t="n">
        <x:v>2</x:v>
      </x:c>
      <x:c r="L3195" s="187" t="str">
        <x:v>Proxy multicedente/multissacado — revisar</x:v>
      </x:c>
    </x:row>
    <x:row r="3196">
      <x:c r="A3196" s="177" t="str">
        <x:v>46.082.809/0001-00</x:v>
      </x:c>
      <x:c r="B3196" s="168" t="str">
        <x:v>CNPJ 46082809000100</x:v>
      </x:c>
      <x:c r="C3196" s="190" t="n">
        <x:v>0</x:v>
      </x:c>
      <x:c r="D3196" s="168" t="str">
        <x:v>Solis</x:v>
      </x:c>
      <x:c r="E3196" s="168" t="str">
        <x:f>IFERROR(INDEX('Classif Gestoras'!$H$6:$H$462,MATCH(D3196,'Classif Gestoras'!$A$6:$A$462,0)),"Não classificada")</x:f>
        <x:v>Independente</x:v>
      </x:c>
      <x:c r="F3196" s="168" t="str">
        <x:v>HEMERA DTVM</x:v>
      </x:c>
      <x:c r="G3196" s="168" t="str">
        <x:v>Não identificado</x:v>
      </x:c>
      <x:c r="H3196" s="168" t="str">
        <x:v>Financeiro</x:v>
      </x:c>
      <x:c r="I3196" s="168" t="str">
        <x:v>Crédito Consignado</x:v>
      </x:c>
      <x:c r="J3196" s="168" t="str">
        <x:v>CI</x:v>
      </x:c>
      <x:c r="K3196" s="174"/>
      <x:c r="L3196" s="187" t="str">
        <x:v>Não classificado</x:v>
      </x:c>
    </x:row>
    <x:row r="3197">
      <x:c r="A3197" s="177" t="str">
        <x:v>27.614.527/0001-62</x:v>
      </x:c>
      <x:c r="B3197" s="168" t="str">
        <x:v>CNPJ 27614527000162</x:v>
      </x:c>
      <x:c r="C3197" s="190" t="n">
        <x:v>0</x:v>
      </x:c>
      <x:c r="D3197" s="168" t="str">
        <x:v>ANGÁ ASSET MANAGEMENT</x:v>
      </x:c>
      <x:c r="E3197" s="168" t="str">
        <x:f>IFERROR(INDEX('Classif Gestoras'!$H$6:$H$462,MATCH(D3197,'Classif Gestoras'!$A$6:$A$462,0)),"Não classificada")</x:f>
        <x:v>Independente</x:v>
      </x:c>
      <x:c r="F3197" s="168" t="str">
        <x:v>BTG Pactual Servicos Financeiros S/A DTVM</x:v>
      </x:c>
      <x:c r="G3197" s="168" t="str">
        <x:v>Não identificado</x:v>
      </x:c>
      <x:c r="H3197" s="168" t="str">
        <x:v>Financeiro</x:v>
      </x:c>
      <x:c r="I3197" s="168" t="str">
        <x:v>Crédito Consignado</x:v>
      </x:c>
      <x:c r="J3197" s="168" t="str">
        <x:v>CI</x:v>
      </x:c>
      <x:c r="K3197" s="174"/>
      <x:c r="L3197" s="187" t="str">
        <x:v>Não classificado</x:v>
      </x:c>
    </x:row>
    <x:row r="3198">
      <x:c r="A3198" s="177" t="str">
        <x:v>53.032.051/0001-61</x:v>
      </x:c>
      <x:c r="B3198" s="168" t="str">
        <x:v>CNPJ 53032051000161</x:v>
      </x:c>
      <x:c r="C3198" s="190" t="n">
        <x:v>0</x:v>
      </x:c>
      <x:c r="D3198" s="168" t="str">
        <x:v>Milênio Capital</x:v>
      </x:c>
      <x:c r="E3198" s="168" t="str">
        <x:f>IFERROR(INDEX('Classif Gestoras'!$H$6:$H$462,MATCH(D3198,'Classif Gestoras'!$A$6:$A$462,0)),"Não classificada")</x:f>
        <x:v>Independente</x:v>
      </x:c>
      <x:c r="F3198" s="168" t="str">
        <x:v>VÓRTX DTVM</x:v>
      </x:c>
      <x:c r="G3198" s="168" t="str">
        <x:v>Não identificado</x:v>
      </x:c>
      <x:c r="H3198" s="168" t="str">
        <x:v>Financeiro</x:v>
      </x:c>
      <x:c r="I3198" s="168" t="str">
        <x:v>Crédito Pessoal</x:v>
      </x:c>
      <x:c r="J3198" s="168" t="str">
        <x:v>CI</x:v>
      </x:c>
      <x:c r="K3198" s="174"/>
      <x:c r="L3198" s="187" t="str">
        <x:v>Não classificado</x:v>
      </x:c>
    </x:row>
    <x:row r="3199">
      <x:c r="A3199" s="177" t="str">
        <x:v>60.707.793/0001-05</x:v>
      </x:c>
      <x:c r="B3199" s="168" t="str">
        <x:v>VIVACE SHOPPING FUNDO DE INVESTIMENTO EM DIREITOS CREDITÓRIOS</x:v>
      </x:c>
      <x:c r="C3199" s="190" t="n">
        <x:v>0</x:v>
      </x:c>
      <x:c r="D3199" s="168" t="str">
        <x:v>REAG PORTFOLIO SOLUTIONS</x:v>
      </x:c>
      <x:c r="E3199" s="168" t="str">
        <x:f>IFERROR(INDEX('Classif Gestoras'!$H$6:$H$462,MATCH(D3199,'Classif Gestoras'!$A$6:$A$462,0)),"Não classificada")</x:f>
        <x:v>Independente</x:v>
      </x:c>
      <x:c r="F3199" s="168" t="str">
        <x:v>REAG DTVM</x:v>
      </x:c>
      <x:c r="G3199" s="168" t="str">
        <x:v>REAG TRUST DISTRIBUIDORA DE TITULOS E VALORES MOBILIARIOS S.A.</x:v>
      </x:c>
      <x:c r="H3199" s="168" t="str">
        <x:v>Outros</x:v>
      </x:c>
      <x:c r="I3199" s="168" t="str">
        <x:v>Multicarteira Outros</x:v>
      </x:c>
      <x:c r="J3199" s="168" t="str">
        <x:v>CI</x:v>
      </x:c>
      <x:c r="K3199" s="174" t="n">
        <x:v>2</x:v>
      </x:c>
      <x:c r="L3199" s="187" t="str">
        <x:v>Proxy multicedente/multissacado — revisar</x:v>
      </x:c>
    </x:row>
    <x:row r="3200">
      <x:c r="A3200" s="177" t="str">
        <x:v>21.862.162/0001-09</x:v>
      </x:c>
      <x:c r="B3200" s="168" t="str">
        <x:v>CNPJ 21862162000109</x:v>
      </x:c>
      <x:c r="C3200" s="190" t="n">
        <x:v>0</x:v>
      </x:c>
      <x:c r="D3200" s="168" t="str">
        <x:v>ANGÁ ASSET MANAGEMENT</x:v>
      </x:c>
      <x:c r="E3200" s="168" t="str">
        <x:f>IFERROR(INDEX('Classif Gestoras'!$H$6:$H$462,MATCH(D3200,'Classif Gestoras'!$A$6:$A$462,0)),"Não classificada")</x:f>
        <x:v>Independente</x:v>
      </x:c>
      <x:c r="F3200" s="168" t="str">
        <x:v>NECTON INVESTIMENTOS</x:v>
      </x:c>
      <x:c r="G3200" s="168" t="str">
        <x:v>Não identificado</x:v>
      </x:c>
      <x:c r="H3200" s="168" t="str">
        <x:v>Financeiro</x:v>
      </x:c>
      <x:c r="I3200" s="168" t="str">
        <x:v>Crédito Consignado</x:v>
      </x:c>
      <x:c r="J3200" s="168" t="str">
        <x:v>CI</x:v>
      </x:c>
      <x:c r="K3200" s="174"/>
      <x:c r="L3200" s="187" t="str">
        <x:v>Não classificado</x:v>
      </x:c>
    </x:row>
    <x:row r="3201">
      <x:c r="A3201" s="177" t="str">
        <x:v>57.544.715/0001-22</x:v>
      </x:c>
      <x:c r="B3201" s="168" t="str">
        <x:v>CNPJ 57544715000122</x:v>
      </x:c>
      <x:c r="C3201" s="190" t="n">
        <x:v>0</x:v>
      </x:c>
      <x:c r="D3201" s="168" t="str">
        <x:v>Blue Solutions</x:v>
      </x:c>
      <x:c r="E3201" s="168" t="str">
        <x:f>IFERROR(INDEX('Classif Gestoras'!$H$6:$H$462,MATCH(D3201,'Classif Gestoras'!$A$6:$A$462,0)),"Não classificada")</x:f>
        <x:v>Independente</x:v>
      </x:c>
      <x:c r="F3201" s="168" t="str">
        <x:v>Banvox DTVM</x:v>
      </x:c>
      <x:c r="G3201" s="168" t="str">
        <x:v>Não identificado</x:v>
      </x:c>
      <x:c r="H3201" s="168" t="str">
        <x:v>Outros</x:v>
      </x:c>
      <x:c r="I3201" s="168" t="str">
        <x:v>Multicarteira Outros</x:v>
      </x:c>
      <x:c r="J3201" s="168" t="str">
        <x:v>CI</x:v>
      </x:c>
      <x:c r="K3201" s="174"/>
      <x:c r="L3201" s="187" t="str">
        <x:v>Proxy multicedente/multissacado — revisar</x:v>
      </x:c>
    </x:row>
    <x:row r="3202">
      <x:c r="A3202" s="177" t="str">
        <x:v>41.776.416/0001-83</x:v>
      </x:c>
      <x:c r="B3202" s="168" t="str">
        <x:v>RHODONITE FUNDO DE INVESTIMENTO EM DIREITOS CREDITÓRIOS NÃO-PADRONIZADOS</x:v>
      </x:c>
      <x:c r="C3202" s="190" t="n">
        <x:v>0</x:v>
      </x:c>
      <x:c r="D3202" s="168" t="str">
        <x:v>Reag Administradora de Recursos Ltda</x:v>
      </x:c>
      <x:c r="E3202" s="168" t="str">
        <x:f>IFERROR(INDEX('Classif Gestoras'!$H$6:$H$462,MATCH(D3202,'Classif Gestoras'!$A$6:$A$462,0)),"Não classificada")</x:f>
        <x:v>Independente</x:v>
      </x:c>
      <x:c r="F3202" s="168" t="str">
        <x:v>REAG DTVM</x:v>
      </x:c>
      <x:c r="G3202" s="168" t="str">
        <x:v>REAG TRUST DISTRIBUIDORA DE TITULOS E VALORES MOBILIARIOS S.A.</x:v>
      </x:c>
      <x:c r="H3202" s="168" t="str">
        <x:v>Fomento Mercantil</x:v>
      </x:c>
      <x:c r="I3202" s="168" t="str">
        <x:v>Fomento Mercantil</x:v>
      </x:c>
      <x:c r="J3202" s="168" t="str">
        <x:v>CI</x:v>
      </x:c>
      <x:c r="K3202" s="174" t="n">
        <x:v>2</x:v>
      </x:c>
      <x:c r="L3202" s="187" t="str">
        <x:v>Não classificado</x:v>
      </x:c>
    </x:row>
    <x:row r="3203">
      <x:c r="A3203" s="177" t="str">
        <x:v>33.512.396/0001-05</x:v>
      </x:c>
      <x:c r="B3203" s="168" t="str">
        <x:v>CNPJ 33512396000105</x:v>
      </x:c>
      <x:c r="C3203" s="190" t="n">
        <x:v>0</x:v>
      </x:c>
      <x:c r="D3203" s="168" t="str">
        <x:v>REAG GESTÃO DE CRÉDITO</x:v>
      </x:c>
      <x:c r="E3203" s="168" t="str">
        <x:f>IFERROR(INDEX('Classif Gestoras'!$H$6:$H$462,MATCH(D3203,'Classif Gestoras'!$A$6:$A$462,0)),"Não classificada")</x:f>
        <x:v>Independente</x:v>
      </x:c>
      <x:c r="F3203" s="168" t="str">
        <x:v>Banvox DTVM</x:v>
      </x:c>
      <x:c r="G3203" s="168" t="str">
        <x:v>Não identificado</x:v>
      </x:c>
      <x:c r="H3203" s="168" t="str">
        <x:v>Financeiro</x:v>
      </x:c>
      <x:c r="I3203" s="168" t="str">
        <x:v>Financiamento de Veículos</x:v>
      </x:c>
      <x:c r="J3203" s="168" t="str">
        <x:v>CI</x:v>
      </x:c>
      <x:c r="K3203" s="174"/>
      <x:c r="L3203" s="187" t="str">
        <x:v>Não classificado</x:v>
      </x:c>
    </x:row>
    <x:row r="3204">
      <x:c r="A3204" s="177" t="str">
        <x:v>63.729.457/0001-51</x:v>
      </x:c>
      <x:c r="B3204" s="168" t="str">
        <x:v>CNPJ 63729457000151</x:v>
      </x:c>
      <x:c r="C3204" s="190" t="n">
        <x:v>0</x:v>
      </x:c>
      <x:c r="D3204" s="168" t="str">
        <x:v>Quadra Gestão de Recursos S.A.</x:v>
      </x:c>
      <x:c r="E3204" s="168" t="str">
        <x:f>IFERROR(INDEX('Classif Gestoras'!$H$6:$H$462,MATCH(D3204,'Classif Gestoras'!$A$6:$A$462,0)),"Não classificada")</x:f>
        <x:v>Independente</x:v>
      </x:c>
      <x:c r="F3204" s="168" t="str">
        <x:v>BTG Pactual Servicos Financeiros S/A DTVM</x:v>
      </x:c>
      <x:c r="G3204" s="168" t="str">
        <x:v>Não identificado</x:v>
      </x:c>
      <x:c r="H3204" s="168" t="str">
        <x:v>Outros</x:v>
      </x:c>
      <x:c r="I3204" s="168" t="str">
        <x:v>Multicarteira Outros</x:v>
      </x:c>
      <x:c r="J3204" s="168" t="str">
        <x:v>CI</x:v>
      </x:c>
      <x:c r="K3204" s="174"/>
      <x:c r="L3204" s="187" t="str">
        <x:v>Proxy multicedente/multissacado — revisar</x:v>
      </x:c>
    </x:row>
    <x:row r="3205">
      <x:c r="A3205" s="177" t="str">
        <x:v>21.917.325/0001-03</x:v>
      </x:c>
      <x:c r="B3205" s="168" t="str">
        <x:v>LABRADOR FUNDO DE INVESTIMENTO EM DIREITOS CREDITÓRIOS</x:v>
      </x:c>
      <x:c r="C3205" s="190" t="n">
        <x:v>0</x:v>
      </x:c>
      <x:c r="D3205" s="168" t="str">
        <x:v>TERCON ASSET MANAGEMENT</x:v>
      </x:c>
      <x:c r="E3205" s="168" t="str">
        <x:f>IFERROR(INDEX('Classif Gestoras'!$H$6:$H$462,MATCH(D3205,'Classif Gestoras'!$A$6:$A$462,0)),"Não classificada")</x:f>
        <x:v>Independente</x:v>
      </x:c>
      <x:c r="F3205" s="168" t="str">
        <x:v>Limine Trust Distribuidora de Titulos e Valores Mobiliá</x:v>
      </x:c>
      <x:c r="G3205" s="168" t="str">
        <x:v>LIMINE TRUST DISTRIBUIDORA DE TITULOS E VALORES MOBILIARIOS LTDA.</x:v>
      </x:c>
      <x:c r="H3205" s="168" t="str">
        <x:v>Agro, Indústria e Comércio</x:v>
      </x:c>
      <x:c r="I3205" s="168" t="str">
        <x:v>Recebíveis Comerciais</x:v>
      </x:c>
      <x:c r="J3205" s="168" t="str">
        <x:v>CI</x:v>
      </x:c>
      <x:c r="K3205" s="174" t="n">
        <x:v>5</x:v>
      </x:c>
      <x:c r="L3205" s="187" t="str">
        <x:v>Não classificado</x:v>
      </x:c>
    </x:row>
    <x:row r="3206">
      <x:c r="A3206" s="177" t="str">
        <x:v>41.776.322/0001-04</x:v>
      </x:c>
      <x:c r="B3206" s="168" t="str">
        <x:v>CNPJ 41776322000104</x:v>
      </x:c>
      <x:c r="C3206" s="190" t="n">
        <x:v>0</x:v>
      </x:c>
      <x:c r="D3206" s="168" t="str">
        <x:v>Reag Administradora de Recursos Ltda</x:v>
      </x:c>
      <x:c r="E3206" s="168" t="str">
        <x:f>IFERROR(INDEX('Classif Gestoras'!$H$6:$H$462,MATCH(D3206,'Classif Gestoras'!$A$6:$A$462,0)),"Não classificada")</x:f>
        <x:v>Independente</x:v>
      </x:c>
      <x:c r="F3206" s="168" t="str">
        <x:v>REAG DTVM</x:v>
      </x:c>
      <x:c r="G3206" s="168" t="str">
        <x:v>Não identificado</x:v>
      </x:c>
      <x:c r="H3206" s="168" t="str">
        <x:v>Outros</x:v>
      </x:c>
      <x:c r="I3206" s="168" t="str">
        <x:v>Multicarteira Outros</x:v>
      </x:c>
      <x:c r="J3206" s="168" t="str">
        <x:v>CI</x:v>
      </x:c>
      <x:c r="K3206" s="174"/>
      <x:c r="L3206" s="187" t="str">
        <x:v>Proxy multicedente/multissacado — revisar</x:v>
      </x:c>
    </x:row>
    <x:row r="3207">
      <x:c r="A3207" s="177" t="str">
        <x:v>51.821.352/0001-49</x:v>
      </x:c>
      <x:c r="B3207" s="168" t="str">
        <x:v>CNPJ 51821352000149</x:v>
      </x:c>
      <x:c r="C3207" s="190" t="n">
        <x:v>0</x:v>
      </x:c>
      <x:c r="D3207" s="168" t="str">
        <x:v>D3 Capital</x:v>
      </x:c>
      <x:c r="E3207" s="168" t="str">
        <x:f>IFERROR(INDEX('Classif Gestoras'!$H$6:$H$462,MATCH(D3207,'Classif Gestoras'!$A$6:$A$462,0)),"Não classificada")</x:f>
        <x:v>Independente</x:v>
      </x:c>
      <x:c r="F3207" s="168" t="str">
        <x:v>AZUMI DISTRIBUIDORA DE TÍTULOS E VALORES MOBILIÁRIOS LT</x:v>
      </x:c>
      <x:c r="G3207" s="168" t="str">
        <x:v>Não identificado</x:v>
      </x:c>
      <x:c r="H3207" s="168" t="str">
        <x:v>Outros</x:v>
      </x:c>
      <x:c r="I3207" s="168" t="str">
        <x:v>Multicarteira Outros</x:v>
      </x:c>
      <x:c r="J3207" s="168" t="str">
        <x:v>CI</x:v>
      </x:c>
      <x:c r="K3207" s="174"/>
      <x:c r="L3207" s="187" t="str">
        <x:v>Proxy multicedente/multissacado — revisar</x:v>
      </x:c>
    </x:row>
    <x:row r="3208">
      <x:c r="A3208" s="177" t="str">
        <x:v>51.785.049/0001-38</x:v>
      </x:c>
      <x:c r="B3208" s="168" t="str">
        <x:v>CNPJ 51785049000138</x:v>
      </x:c>
      <x:c r="C3208" s="190" t="n">
        <x:v>0</x:v>
      </x:c>
      <x:c r="D3208" s="168" t="str">
        <x:v>Solis</x:v>
      </x:c>
      <x:c r="E3208" s="168" t="str">
        <x:f>IFERROR(INDEX('Classif Gestoras'!$H$6:$H$462,MATCH(D3208,'Classif Gestoras'!$A$6:$A$462,0)),"Não classificada")</x:f>
        <x:v>Independente</x:v>
      </x:c>
      <x:c r="F3208" s="168" t="str">
        <x:v>VÓRTX DTVM</x:v>
      </x:c>
      <x:c r="G3208" s="168" t="str">
        <x:v>Não identificado</x:v>
      </x:c>
      <x:c r="H3208" s="168" t="str">
        <x:v>Financeiro</x:v>
      </x:c>
      <x:c r="I3208" s="168" t="str">
        <x:v>Crédito Consignado</x:v>
      </x:c>
      <x:c r="J3208" s="168" t="str">
        <x:v>CI</x:v>
      </x:c>
      <x:c r="K3208" s="174"/>
      <x:c r="L3208" s="187" t="str">
        <x:v>Não classificado</x:v>
      </x:c>
    </x:row>
    <x:row r="3209">
      <x:c r="A3209" s="177" t="str">
        <x:v>33.256.023/0001-10</x:v>
      </x:c>
      <x:c r="B3209" s="168" t="str">
        <x:v>CNPJ 33256023000110</x:v>
      </x:c>
      <x:c r="C3209" s="190" t="n">
        <x:v>0</x:v>
      </x:c>
      <x:c r="D3209" s="168" t="str">
        <x:v>Fram Capital Gestão de Ativos Ltda</x:v>
      </x:c>
      <x:c r="E3209" s="168" t="str">
        <x:f>IFERROR(INDEX('Classif Gestoras'!$H$6:$H$462,MATCH(D3209,'Classif Gestoras'!$A$6:$A$462,0)),"Não classificada")</x:f>
        <x:v>Independente</x:v>
      </x:c>
      <x:c r="F3209" s="168" t="str">
        <x:v>OSLO DTVM S. A.</x:v>
      </x:c>
      <x:c r="G3209" s="168" t="str">
        <x:v>Não identificado</x:v>
      </x:c>
      <x:c r="H3209" s="168" t="str">
        <x:v>Outros</x:v>
      </x:c>
      <x:c r="I3209" s="168" t="str">
        <x:v>Multicarteira Outros</x:v>
      </x:c>
      <x:c r="J3209" s="168" t="str">
        <x:v>CI</x:v>
      </x:c>
      <x:c r="K3209" s="174"/>
      <x:c r="L3209" s="187" t="str">
        <x:v>Proxy multicedente/multissacado — revisar</x:v>
      </x:c>
    </x:row>
    <x:row r="3210">
      <x:c r="A3210" s="177" t="str">
        <x:v>61.529.519/0001-56</x:v>
      </x:c>
      <x:c r="B3210" s="168" t="str">
        <x:v>PACUÍBA II FUNDO DE INVESTIMENTO EM DIREITOS CREDITÓRIOS</x:v>
      </x:c>
      <x:c r="C3210" s="190" t="n">
        <x:v>0</x:v>
      </x:c>
      <x:c r="D3210" s="168" t="str">
        <x:v>Versal Finance Gestão de Recursos LTDA.</x:v>
      </x:c>
      <x:c r="E3210" s="168" t="str">
        <x:f>IFERROR(INDEX('Classif Gestoras'!$H$6:$H$462,MATCH(D3210,'Classif Gestoras'!$A$6:$A$462,0)),"Não classificada")</x:f>
        <x:v>Independente</x:v>
      </x:c>
      <x:c r="F3210" s="168" t="str">
        <x:v>PLANNER CV</x:v>
      </x:c>
      <x:c r="G3210" s="168" t="str">
        <x:v>PLANNER CORRETORA DE VALORES S.A.</x:v>
      </x:c>
      <x:c r="H3210" s="168" t="str">
        <x:v>Outros</x:v>
      </x:c>
      <x:c r="I3210" s="168" t="str">
        <x:v>Multicarteira Outros</x:v>
      </x:c>
      <x:c r="J3210" s="168" t="str">
        <x:v>CI</x:v>
      </x:c>
      <x:c r="K3210" s="174" t="n">
        <x:v>1</x:v>
      </x:c>
      <x:c r="L3210" s="187" t="str">
        <x:v>Proxy multicedente/multissacado — revisar</x:v>
      </x:c>
    </x:row>
    <x:row r="3211">
      <x:c r="A3211" s="177" t="str">
        <x:v>57.269.975/0001-37</x:v>
      </x:c>
      <x:c r="B3211" s="168" t="str">
        <x:v>TERPSÍCORE FUNDO DE INVESTIMENTO EM DIREITOS CREDITÓRIOS</x:v>
      </x:c>
      <x:c r="C3211" s="190" t="n">
        <x:v>0</x:v>
      </x:c>
      <x:c r="D3211" s="168" t="str">
        <x:v>Reag Jus</x:v>
      </x:c>
      <x:c r="E3211" s="168" t="str">
        <x:f>IFERROR(INDEX('Classif Gestoras'!$H$6:$H$462,MATCH(D3211,'Classif Gestoras'!$A$6:$A$462,0)),"Não classificada")</x:f>
        <x:v>Independente</x:v>
      </x:c>
      <x:c r="F3211" s="168" t="str">
        <x:v>REAG DTVM</x:v>
      </x:c>
      <x:c r="G3211" s="168" t="str">
        <x:v>REAG TRUST DISTRIBUIDORA DE TITULOS E VALORES MOBILIARIOS S.A.</x:v>
      </x:c>
      <x:c r="H3211" s="168" t="str">
        <x:v>Outros</x:v>
      </x:c>
      <x:c r="I3211" s="168" t="str">
        <x:v>Multicarteira Outros</x:v>
      </x:c>
      <x:c r="J3211" s="168" t="str">
        <x:v>CI</x:v>
      </x:c>
      <x:c r="K3211" s="174" t="n">
        <x:v>1</x:v>
      </x:c>
      <x:c r="L3211" s="187" t="str">
        <x:v>Proxy multicedente/multissacado — revisar</x:v>
      </x:c>
    </x:row>
    <x:row r="3212">
      <x:c r="A3212" s="177" t="str">
        <x:v>32.388.204/0001-38</x:v>
      </x:c>
      <x:c r="B3212" s="168" t="str">
        <x:v>CNPJ 32388204000138</x:v>
      </x:c>
      <x:c r="C3212" s="190" t="n">
        <x:v>0</x:v>
      </x:c>
      <x:c r="D3212" s="168" t="str">
        <x:v>SOSU CAPITAL GESTÃO DE INVESTIMENTOS LTDA.</x:v>
      </x:c>
      <x:c r="E3212" s="168" t="str">
        <x:f>IFERROR(INDEX('Classif Gestoras'!$H$6:$H$462,MATCH(D3212,'Classif Gestoras'!$A$6:$A$462,0)),"Não classificada")</x:f>
        <x:v>Independente</x:v>
      </x:c>
      <x:c r="F3212" s="168" t="str">
        <x:v>BRL TRUST DTVM</x:v>
      </x:c>
      <x:c r="G3212" s="168" t="str">
        <x:v>Não identificado</x:v>
      </x:c>
      <x:c r="H3212" s="168" t="str">
        <x:v>Outros</x:v>
      </x:c>
      <x:c r="I3212" s="168" t="str">
        <x:v>Poder Público</x:v>
      </x:c>
      <x:c r="J3212" s="168" t="str">
        <x:v>CI</x:v>
      </x:c>
      <x:c r="K3212" s="174"/>
      <x:c r="L3212" s="187" t="str">
        <x:v>Não classificado</x:v>
      </x:c>
    </x:row>
    <x:row r="3213">
      <x:c r="A3213" s="177" t="str">
        <x:v>43.145.848/0001-11</x:v>
      </x:c>
      <x:c r="B3213" s="168" t="str">
        <x:v>CAROUGE 41 FUNDO DE INVESTIMENTO EM DIREITOS CREDITÓRIOS NÃO PADRONIZADO</x:v>
      </x:c>
      <x:c r="C3213" s="190" t="n">
        <x:v>0</x:v>
      </x:c>
      <x:c r="D3213" s="168" t="str">
        <x:v>Latache Capital</x:v>
      </x:c>
      <x:c r="E3213" s="168" t="str">
        <x:f>IFERROR(INDEX('Classif Gestoras'!$H$6:$H$462,MATCH(D3213,'Classif Gestoras'!$A$6:$A$462,0)),"Não classificada")</x:f>
        <x:v>Independente</x:v>
      </x:c>
      <x:c r="F3213" s="168" t="str">
        <x:v>REAG DTVM</x:v>
      </x:c>
      <x:c r="G3213" s="168" t="str">
        <x:v>PLANNER CORRETORA DE VALORES S.A.</x:v>
      </x:c>
      <x:c r="H3213" s="168" t="str">
        <x:v>Outros</x:v>
      </x:c>
      <x:c r="I3213" s="168" t="str">
        <x:v>Multicarteira Outros</x:v>
      </x:c>
      <x:c r="J3213" s="168" t="str">
        <x:v>CI</x:v>
      </x:c>
      <x:c r="K3213" s="174" t="n">
        <x:v>4</x:v>
      </x:c>
      <x:c r="L3213" s="187" t="str">
        <x:v>Proxy multicedente/multissacado — revisar</x:v>
      </x:c>
    </x:row>
    <x:row r="3214">
      <x:c r="A3214" s="177" t="str">
        <x:v>55.928.021/0001-63</x:v>
      </x:c>
      <x:c r="B3214" s="168" t="str">
        <x:v>FUNDO DE INVESTIMENTO EM DIREITOS CREDITÓRIOS BDR KYIV I</x:v>
      </x:c>
      <x:c r="C3214" s="190" t="n">
        <x:v>0</x:v>
      </x:c>
      <x:c r="D3214" s="168" t="str">
        <x:v>BDR Asset</x:v>
      </x:c>
      <x:c r="E3214" s="168" t="str">
        <x:f>IFERROR(INDEX('Classif Gestoras'!$H$6:$H$462,MATCH(D3214,'Classif Gestoras'!$A$6:$A$462,0)),"Não classificada")</x:f>
        <x:v>Independente</x:v>
      </x:c>
      <x:c r="F3214" s="168" t="str">
        <x:v>VÓRTX DTVM</x:v>
      </x:c>
      <x:c r="G3214" s="168" t="str">
        <x:v>BANCO DAYCOVAL S.A.</x:v>
      </x:c>
      <x:c r="H3214" s="168" t="str">
        <x:v>Outros</x:v>
      </x:c>
      <x:c r="I3214" s="168" t="str">
        <x:v>Multicarteira Outros</x:v>
      </x:c>
      <x:c r="J3214" s="168" t="str">
        <x:v>CI</x:v>
      </x:c>
      <x:c r="K3214" s="174" t="n">
        <x:v>9</x:v>
      </x:c>
      <x:c r="L3214" s="187" t="str">
        <x:v>Proxy multicedente/multissacado — revisar</x:v>
      </x:c>
    </x:row>
    <x:row r="3215">
      <x:c r="A3215" s="177" t="str">
        <x:v>20.209.230/0001-72</x:v>
      </x:c>
      <x:c r="B3215" s="168" t="str">
        <x:v>MBM FUNDO DE INVESTIMENTO EM DIREITOS CREDITÓRIOS NÃO-PADRONIZADOS</x:v>
      </x:c>
      <x:c r="C3215" s="190" t="n">
        <x:v>0</x:v>
      </x:c>
      <x:c r="D3215" s="168" t="str">
        <x:v>Tyr Gestao de Recursos Ltda</x:v>
      </x:c>
      <x:c r="E3215" s="168" t="str">
        <x:f>IFERROR(INDEX('Classif Gestoras'!$H$6:$H$462,MATCH(D3215,'Classif Gestoras'!$A$6:$A$462,0)),"Não classificada")</x:f>
        <x:v>Independente</x:v>
      </x:c>
      <x:c r="F3215" s="168" t="str">
        <x:v>Intra Investimentos Distribuidora de Títulos e Valores Mobiliários LTDA.</x:v>
      </x:c>
      <x:c r="G3215" s="168" t="str">
        <x:v>INTRA INVESTIMENTOS DTVM LTDA</x:v>
      </x:c>
      <x:c r="H3215" s="168" t="str">
        <x:v>Fomento Mercantil</x:v>
      </x:c>
      <x:c r="I3215" s="168" t="str">
        <x:v>Fomento Mercantil</x:v>
      </x:c>
      <x:c r="J3215" s="168" t="str">
        <x:v>CI</x:v>
      </x:c>
      <x:c r="K3215" s="174" t="n">
        <x:v>2</x:v>
      </x:c>
      <x:c r="L3215" s="187" t="str">
        <x:v>Não classificado</x:v>
      </x:c>
    </x:row>
    <x:row r="3216">
      <x:c r="A3216" s="177" t="str">
        <x:v>52.286.115/0001-98</x:v>
      </x:c>
      <x:c r="B3216" s="168" t="str">
        <x:v>CNPJ 52286115000198</x:v>
      </x:c>
      <x:c r="C3216" s="190" t="n">
        <x:v>0</x:v>
      </x:c>
      <x:c r="D3216" s="168" t="str">
        <x:v>Milênio Capital</x:v>
      </x:c>
      <x:c r="E3216" s="168" t="str">
        <x:f>IFERROR(INDEX('Classif Gestoras'!$H$6:$H$462,MATCH(D3216,'Classif Gestoras'!$A$6:$A$462,0)),"Não classificada")</x:f>
        <x:v>Independente</x:v>
      </x:c>
      <x:c r="F3216" s="168" t="str">
        <x:v>Oliveira Trust DTVM</x:v>
      </x:c>
      <x:c r="G3216" s="168" t="str">
        <x:v>Não identificado</x:v>
      </x:c>
      <x:c r="H3216" s="168" t="str">
        <x:v>Agro, Indústria e Comércio</x:v>
      </x:c>
      <x:c r="I3216" s="168" t="str">
        <x:v>Agronegócio</x:v>
      </x:c>
      <x:c r="J3216" s="168" t="str">
        <x:v>CI</x:v>
      </x:c>
      <x:c r="K3216" s="174"/>
      <x:c r="L3216" s="187" t="str">
        <x:v>Não classificado</x:v>
      </x:c>
    </x:row>
    <x:row r="3217">
      <x:c r="A3217" s="177" t="str">
        <x:v>65.564.636/0001-01</x:v>
      </x:c>
      <x:c r="B3217" s="168" t="str">
        <x:v>NEO CONSIGNADO PRIVADO PULL I FUNDO DE INVESTIMENTO EM DIREITOS CREDITÓRIOS RESP LIMITADA</x:v>
      </x:c>
      <x:c r="C3217" s="190" t="n">
        <x:v>0</x:v>
      </x:c>
      <x:c r="D3217" s="168" t="str">
        <x:v>SPECIAL SITUATIONS NEO GESTAO DE RECURSOS LTDA</x:v>
      </x:c>
      <x:c r="E3217" s="168" t="str">
        <x:f>IFERROR(INDEX('Classif Gestoras'!$H$6:$H$462,MATCH(D3217,'Classif Gestoras'!$A$6:$A$462,0)),"Não classificada")</x:f>
        <x:v>Independente</x:v>
      </x:c>
      <x:c r="F3217" s="168" t="str">
        <x:v>VÓRTX DTVM</x:v>
      </x:c>
      <x:c r="G3217" s="168" t="str">
        <x:v>VORTX DISTRIBUIDORA DE TITULOS E VALORES MOBILIARIOS LTDA.</x:v>
      </x:c>
      <x:c r="H3217" s="168" t="str">
        <x:v>Financeiro</x:v>
      </x:c>
      <x:c r="I3217" s="168" t="str">
        <x:v>Crédito Consignado</x:v>
      </x:c>
      <x:c r="J3217" s="168" t="str">
        <x:v>CI</x:v>
      </x:c>
      <x:c r="K3217" s="174" t="n">
        <x:v>2</x:v>
      </x:c>
      <x:c r="L3217" s="187" t="str">
        <x:v>Não classificado</x:v>
      </x:c>
    </x:row>
    <x:row r="3218">
      <x:c r="A3218" s="177" t="str">
        <x:v>37.606.580/0001-75</x:v>
      </x:c>
      <x:c r="B3218" s="168" t="str">
        <x:v>OPENCO FUNDO DE INVESTIMENTO EM DIREITOS CREDITORIOS</x:v>
      </x:c>
      <x:c r="C3218" s="190" t="n">
        <x:v>0</x:v>
      </x:c>
      <x:c r="D3218" s="168" t="str">
        <x:v>VERT Gestora de Recursos Financeiros Ltda.</x:v>
      </x:c>
      <x:c r="E3218" s="168" t="str">
        <x:f>IFERROR(INDEX('Classif Gestoras'!$H$6:$H$462,MATCH(D3218,'Classif Gestoras'!$A$6:$A$462,0)),"Não classificada")</x:f>
        <x:v>Independente</x:v>
      </x:c>
      <x:c r="F3218" s="168" t="str">
        <x:v>VERT Distribuidora de Títulos e Valores Mobiliários Ltd</x:v>
      </x:c>
      <x:c r="G3218" s="168" t="str">
        <x:v>Não identificado</x:v>
      </x:c>
      <x:c r="H3218" s="168" t="str">
        <x:v>Financeiro</x:v>
      </x:c>
      <x:c r="I3218" s="168" t="str">
        <x:v>Crédito Pessoal</x:v>
      </x:c>
      <x:c r="J3218" s="168" t="str">
        <x:v>CI</x:v>
      </x:c>
      <x:c r="K3218" s="174" t="n">
        <x:v>0</x:v>
      </x:c>
      <x:c r="L3218" s="187" t="str">
        <x:v>Não classificado</x:v>
      </x:c>
    </x:row>
    <x:row r="3219">
      <x:c r="A3219" s="177" t="str">
        <x:v>43.164.899/0001-90</x:v>
      </x:c>
      <x:c r="B3219" s="168" t="str">
        <x:v>MÉLIUZ FUNDO DE INVESTIMENTO EM DIREITOS CREDITÓRIOS</x:v>
      </x:c>
      <x:c r="C3219" s="190" t="n">
        <x:v>0</x:v>
      </x:c>
      <x:c r="D3219" s="168" t="str">
        <x:v>POLÍGONO CAPITAL LTDA.</x:v>
      </x:c>
      <x:c r="E3219" s="168" t="str">
        <x:f>IFERROR(INDEX('Classif Gestoras'!$H$6:$H$462,MATCH(D3219,'Classif Gestoras'!$A$6:$A$462,0)),"Não classificada")</x:f>
        <x:v>Independente</x:v>
      </x:c>
      <x:c r="F3219" s="168" t="str">
        <x:v>Finvest Digital</x:v>
      </x:c>
      <x:c r="G3219" s="168" t="str">
        <x:v>FINVEST DISTRIBUIDORA DE TÍTULOS E VALORES MOBILIÁRIOS LTDA.</x:v>
      </x:c>
      <x:c r="H3219" s="168" t="str">
        <x:v>Financeiro</x:v>
      </x:c>
      <x:c r="I3219" s="168" t="str">
        <x:v>Multicarteira Financeiro</x:v>
      </x:c>
      <x:c r="J3219" s="168" t="str">
        <x:v>CI</x:v>
      </x:c>
      <x:c r="K3219" s="174" t="n">
        <x:v>0</x:v>
      </x:c>
      <x:c r="L3219" s="187" t="str">
        <x:v>Proxy multicedente/multissacado — revisar</x:v>
      </x:c>
    </x:row>
    <x:row r="3220">
      <x:c r="A3220" s="177" t="str">
        <x:v>42.605.393/0001-07</x:v>
      </x:c>
      <x:c r="B3220" s="168" t="str">
        <x:v>FUNDO DE INVESTIMENTO EM DIREITOS CREDITÓRIOS QUASAR DUCOCO</x:v>
      </x:c>
      <x:c r="C3220" s="190" t="n">
        <x:v>0</x:v>
      </x:c>
      <x:c r="D3220" s="168" t="str">
        <x:v>Chimera Capital Asset Management Ltda.</x:v>
      </x:c>
      <x:c r="E3220" s="168" t="str">
        <x:f>IFERROR(INDEX('Classif Gestoras'!$H$6:$H$462,MATCH(D3220,'Classif Gestoras'!$A$6:$A$462,0)),"Não classificada")</x:f>
        <x:v>Independente</x:v>
      </x:c>
      <x:c r="F3220" s="168" t="str">
        <x:v>REAG DTVM</x:v>
      </x:c>
      <x:c r="G3220" s="168" t="str">
        <x:v>REAG TRUST DISTRIBUIDORA DE TITULOS E VALORES MOBILIARIOS S.A.</x:v>
      </x:c>
      <x:c r="H3220" s="168" t="str">
        <x:v>Agro, Indústria e Comércio</x:v>
      </x:c>
      <x:c r="I3220" s="168" t="str">
        <x:v>Recebíveis Comerciais</x:v>
      </x:c>
      <x:c r="J3220" s="168" t="str">
        <x:v>CI</x:v>
      </x:c>
      <x:c r="K3220" s="174" t="n">
        <x:v>4</x:v>
      </x:c>
      <x:c r="L3220" s="187" t="str">
        <x:v>Não classificado</x:v>
      </x:c>
    </x:row>
    <x:row r="3221">
      <x:c r="A3221" s="177" t="str">
        <x:v>37.123.017/0001-46</x:v>
      </x:c>
      <x:c r="B3221" s="168" t="str">
        <x:v>CNPJ 37123017000146</x:v>
      </x:c>
      <x:c r="C3221" s="190" t="n">
        <x:v>0</x:v>
      </x:c>
      <x:c r="D3221" s="168" t="str">
        <x:v>Iron Capital</x:v>
      </x:c>
      <x:c r="E3221" s="168" t="str">
        <x:f>IFERROR(INDEX('Classif Gestoras'!$H$6:$H$462,MATCH(D3221,'Classif Gestoras'!$A$6:$A$462,0)),"Não classificada")</x:f>
        <x:v>Independente</x:v>
      </x:c>
      <x:c r="F3221" s="168" t="str">
        <x:v>VÓRTX DTVM</x:v>
      </x:c>
      <x:c r="G3221" s="168" t="str">
        <x:v>Não identificado</x:v>
      </x:c>
      <x:c r="H3221" s="168" t="str">
        <x:v>Financeiro</x:v>
      </x:c>
      <x:c r="I3221" s="168" t="str">
        <x:v>Crédito Consignado</x:v>
      </x:c>
      <x:c r="J3221" s="168" t="str">
        <x:v>CI</x:v>
      </x:c>
      <x:c r="K3221" s="174"/>
      <x:c r="L3221" s="187" t="str">
        <x:v>Não classificado</x:v>
      </x:c>
    </x:row>
    <x:row r="3222">
      <x:c r="A3222" s="177" t="str">
        <x:v>52.594.798/0001-40</x:v>
      </x:c>
      <x:c r="B3222" s="168" t="str">
        <x:v>CNPJ 52594798000140</x:v>
      </x:c>
      <x:c r="C3222" s="190" t="n">
        <x:v>0</x:v>
      </x:c>
      <x:c r="D3222" s="168" t="str">
        <x:v>ALTINVEST</x:v>
      </x:c>
      <x:c r="E3222" s="168" t="str">
        <x:f>IFERROR(INDEX('Classif Gestoras'!$H$6:$H$462,MATCH(D3222,'Classif Gestoras'!$A$6:$A$462,0)),"Não classificada")</x:f>
        <x:v>Independente</x:v>
      </x:c>
      <x:c r="F3222" s="168" t="str">
        <x:v>REAG DTVM</x:v>
      </x:c>
      <x:c r="G3222" s="168" t="str">
        <x:v>Não identificado</x:v>
      </x:c>
      <x:c r="H3222" s="168" t="str">
        <x:v>Financeiro</x:v>
      </x:c>
      <x:c r="I3222" s="168" t="str">
        <x:v>Crédito Consignado</x:v>
      </x:c>
      <x:c r="J3222" s="168" t="str">
        <x:v>CI</x:v>
      </x:c>
      <x:c r="K3222" s="174"/>
      <x:c r="L3222" s="187" t="str">
        <x:v>Não classificado</x:v>
      </x:c>
    </x:row>
    <x:row r="3223">
      <x:c r="A3223" s="177" t="str">
        <x:v>19.476.304/0001-58</x:v>
      </x:c>
      <x:c r="B3223" s="168" t="str">
        <x:v>LATACHE II DISTRESSED FUNDO DE INVESTIMENTO EM DIREITOS CREDITORIOS NAO PADRONIZADOS</x:v>
      </x:c>
      <x:c r="C3223" s="190" t="n">
        <x:v>0</x:v>
      </x:c>
      <x:c r="D3223" s="168" t="str">
        <x:v>Latache Capital</x:v>
      </x:c>
      <x:c r="E3223" s="168" t="str">
        <x:f>IFERROR(INDEX('Classif Gestoras'!$H$6:$H$462,MATCH(D3223,'Classif Gestoras'!$A$6:$A$462,0)),"Não classificada")</x:f>
        <x:v>Independente</x:v>
      </x:c>
      <x:c r="F3223" s="168" t="str">
        <x:v>PLANNER CV</x:v>
      </x:c>
      <x:c r="G3223" s="168" t="str">
        <x:v>PLANNER CORRETORA DE VALORES S.A.</x:v>
      </x:c>
      <x:c r="H3223" s="168" t="str">
        <x:v>Outros</x:v>
      </x:c>
      <x:c r="I3223" s="168" t="str">
        <x:v>Multicarteira Outros</x:v>
      </x:c>
      <x:c r="J3223" s="168" t="str">
        <x:v>CI</x:v>
      </x:c>
      <x:c r="K3223" s="174" t="n">
        <x:v>1</x:v>
      </x:c>
      <x:c r="L3223" s="187" t="str">
        <x:v>Proxy multicedente/multissacado — revisar</x:v>
      </x:c>
    </x:row>
    <x:row r="3224">
      <x:c r="A3224" s="177" t="str">
        <x:v>43.309.233/0001-83</x:v>
      </x:c>
      <x:c r="B3224" s="168" t="str">
        <x:v>CNPJ 43309233000183</x:v>
      </x:c>
      <x:c r="C3224" s="190" t="n">
        <x:v>0</x:v>
      </x:c>
      <x:c r="D3224" s="168" t="str">
        <x:v>Farmtech Gestão de Recursos Ltda.</x:v>
      </x:c>
      <x:c r="E3224" s="168" t="str">
        <x:f>IFERROR(INDEX('Classif Gestoras'!$H$6:$H$462,MATCH(D3224,'Classif Gestoras'!$A$6:$A$462,0)),"Não classificada")</x:f>
        <x:v>Independente</x:v>
      </x:c>
      <x:c r="F3224" s="168" t="str">
        <x:v>Oliveira Trust DTVM</x:v>
      </x:c>
      <x:c r="G3224" s="168" t="str">
        <x:v>Não identificado</x:v>
      </x:c>
      <x:c r="H3224" s="168" t="str">
        <x:v>Agro, Indústria e Comércio</x:v>
      </x:c>
      <x:c r="I3224" s="168" t="str">
        <x:v>Agronegócio</x:v>
      </x:c>
      <x:c r="J3224" s="168" t="str">
        <x:v>CI</x:v>
      </x:c>
      <x:c r="K3224" s="174"/>
      <x:c r="L3224" s="187" t="str">
        <x:v>Não classificado</x:v>
      </x:c>
    </x:row>
    <x:row r="3225">
      <x:c r="A3225" s="177" t="str">
        <x:v>32.274.625/0001-38</x:v>
      </x:c>
      <x:c r="B3225" s="168" t="str">
        <x:v>WELLESLEY FUNDO DE INVESTIMENTO EM DIREITOS CREDITÓRIOS RESPONSABILIDADE LIMITADA</x:v>
      </x:c>
      <x:c r="C3225" s="190" t="n">
        <x:v>0</x:v>
      </x:c>
      <x:c r="D3225" s="168" t="str">
        <x:v>MODAL ASSET</x:v>
      </x:c>
      <x:c r="E3225" s="168" t="str">
        <x:f>IFERROR(INDEX('Classif Gestoras'!$H$6:$H$462,MATCH(D3225,'Classif Gestoras'!$A$6:$A$462,0)),"Não classificada")</x:f>
        <x:v>Ligada a banco</x:v>
      </x:c>
      <x:c r="F3225" s="168" t="str">
        <x:v>MAF Distribuidora de Títulos e Valores Mobiliários S.A.</x:v>
      </x:c>
      <x:c r="G3225" s="168" t="str">
        <x:v>MAF DISTRIBUIDORA DE TITULOS E VALORES MOBILIARIOS S.A.</x:v>
      </x:c>
      <x:c r="H3225" s="168" t="str">
        <x:v>Outros</x:v>
      </x:c>
      <x:c r="I3225" s="168" t="str">
        <x:v>Multicarteira Outros</x:v>
      </x:c>
      <x:c r="J3225" s="168" t="str">
        <x:v>CI</x:v>
      </x:c>
      <x:c r="K3225" s="174" t="n">
        <x:v>1</x:v>
      </x:c>
      <x:c r="L3225" s="187" t="str">
        <x:v>Proxy multicedente/multissacado — revisar</x:v>
      </x:c>
    </x:row>
    <x:row r="3226">
      <x:c r="A3226" s="177" t="str">
        <x:v>37.645.417/0001-11</x:v>
      </x:c>
      <x:c r="B3226" s="168" t="str">
        <x:v>CNPJ 37645417000111</x:v>
      </x:c>
      <x:c r="C3226" s="190" t="n">
        <x:v>0</x:v>
      </x:c>
      <x:c r="D3226" s="168" t="str">
        <x:v>Brave Asset</x:v>
      </x:c>
      <x:c r="E3226" s="168" t="str">
        <x:f>IFERROR(INDEX('Classif Gestoras'!$H$6:$H$462,MATCH(D3226,'Classif Gestoras'!$A$6:$A$462,0)),"Não classificada")</x:f>
        <x:v>Independente</x:v>
      </x:c>
      <x:c r="F3226" s="168" t="str">
        <x:v>BRL TRUST DTVM</x:v>
      </x:c>
      <x:c r="G3226" s="168" t="str">
        <x:v>Não identificado</x:v>
      </x:c>
      <x:c r="H3226" s="168" t="str">
        <x:v>Agro, Indústria e Comércio</x:v>
      </x:c>
      <x:c r="I3226" s="168" t="str">
        <x:v>Não se aplica</x:v>
      </x:c>
      <x:c r="J3226" s="168" t="str">
        <x:v>CI</x:v>
      </x:c>
      <x:c r="K3226" s="174"/>
      <x:c r="L3226" s="187" t="str">
        <x:v>Não classificado</x:v>
      </x:c>
    </x:row>
    <x:row r="3227">
      <x:c r="A3227" s="177" t="str">
        <x:v>55.898.077/0001-12</x:v>
      </x:c>
      <x:c r="B3227" s="168" t="str">
        <x:v>TITÂNIA FUNDO DE INVESTIMENTO EM DIREITOS CREDITÓRIOS</x:v>
      </x:c>
      <x:c r="C3227" s="190" t="n">
        <x:v>0</x:v>
      </x:c>
      <x:c r="D3227" s="168" t="str">
        <x:v>Reag Jus</x:v>
      </x:c>
      <x:c r="E3227" s="168" t="str">
        <x:f>IFERROR(INDEX('Classif Gestoras'!$H$6:$H$462,MATCH(D3227,'Classif Gestoras'!$A$6:$A$462,0)),"Não classificada")</x:f>
        <x:v>Independente</x:v>
      </x:c>
      <x:c r="F3227" s="168" t="str">
        <x:v>REAG DTVM</x:v>
      </x:c>
      <x:c r="G3227" s="168" t="str">
        <x:v>REAG TRUST DISTRIBUIDORA DE TITULOS E VALORES MOBILIARIOS S.A.</x:v>
      </x:c>
      <x:c r="H3227" s="168" t="str">
        <x:v>Outros</x:v>
      </x:c>
      <x:c r="I3227" s="168" t="str">
        <x:v>Multicarteira Outros</x:v>
      </x:c>
      <x:c r="J3227" s="168" t="str">
        <x:v>CI</x:v>
      </x:c>
      <x:c r="K3227" s="174" t="n">
        <x:v>1</x:v>
      </x:c>
      <x:c r="L3227" s="187" t="str">
        <x:v>Proxy multicedente/multissacado — revisar</x:v>
      </x:c>
    </x:row>
    <x:row r="3228">
      <x:c r="A3228" s="177" t="str">
        <x:v>42.518.422/0001-01</x:v>
      </x:c>
      <x:c r="B3228" s="168" t="str">
        <x:v>ALVORADA SC FUNDO DE INVESTIMENTO NAS CADEIAS PRODUTIVAS DO AGRONEGÓCIO - FIDC RESP LIMITADA</x:v>
      </x:c>
      <x:c r="C3228" s="190" t="n">
        <x:v>0</x:v>
      </x:c>
      <x:c r="D3228" s="168" t="str">
        <x:v>Legatus Asset Management</x:v>
      </x:c>
      <x:c r="E3228" s="168" t="str">
        <x:f>IFERROR(INDEX('Classif Gestoras'!$H$6:$H$462,MATCH(D3228,'Classif Gestoras'!$A$6:$A$462,0)),"Não classificada")</x:f>
        <x:v>Independente</x:v>
      </x:c>
      <x:c r="F3228" s="168" t="str">
        <x:v>PLANNER CV</x:v>
      </x:c>
      <x:c r="G3228" s="168" t="str">
        <x:v>PLANNER CORRETORA DE VALORES S.A.</x:v>
      </x:c>
      <x:c r="H3228" s="168" t="str">
        <x:v>Outros</x:v>
      </x:c>
      <x:c r="I3228" s="168" t="str">
        <x:v>Não se aplica</x:v>
      </x:c>
      <x:c r="J3228" s="168" t="str">
        <x:v>CI</x:v>
      </x:c>
      <x:c r="K3228" s="174" t="n">
        <x:v>6</x:v>
      </x:c>
      <x:c r="L3228" s="187" t="str">
        <x:v>Não classificado</x:v>
      </x:c>
    </x:row>
    <x:row r="3229">
      <x:c r="A3229" s="177" t="str">
        <x:v>56.908.218/0001-01</x:v>
      </x:c>
      <x:c r="B3229" s="168" t="str">
        <x:v>CNPJ 56908218000101</x:v>
      </x:c>
      <x:c r="C3229" s="190" t="n">
        <x:v>0</x:v>
      </x:c>
      <x:c r="D3229" s="168" t="str">
        <x:v>Reag Administradora de Recursos Ltda</x:v>
      </x:c>
      <x:c r="E3229" s="168" t="str">
        <x:f>IFERROR(INDEX('Classif Gestoras'!$H$6:$H$462,MATCH(D3229,'Classif Gestoras'!$A$6:$A$462,0)),"Não classificada")</x:f>
        <x:v>Independente</x:v>
      </x:c>
      <x:c r="F3229" s="168" t="str">
        <x:v>REAG DTVM</x:v>
      </x:c>
      <x:c r="G3229" s="168" t="str">
        <x:v>Não identificado</x:v>
      </x:c>
      <x:c r="H3229" s="168" t="str">
        <x:v>Fomento Mercantil</x:v>
      </x:c>
      <x:c r="I3229" s="168" t="str">
        <x:v>Fomento Mercantil</x:v>
      </x:c>
      <x:c r="J3229" s="168" t="str">
        <x:v>CI</x:v>
      </x:c>
      <x:c r="K3229" s="174"/>
      <x:c r="L3229" s="187" t="str">
        <x:v>Não classificado</x:v>
      </x:c>
    </x:row>
    <x:row r="3230">
      <x:c r="A3230" s="177" t="str">
        <x:v>56.936.116/0001-91</x:v>
      </x:c>
      <x:c r="B3230" s="168" t="str">
        <x:v>CNPJ 56936116000191</x:v>
      </x:c>
      <x:c r="C3230" s="190" t="n">
        <x:v>0</x:v>
      </x:c>
      <x:c r="D3230" s="168" t="str">
        <x:v>FAR - FATOR ADMINIST</x:v>
      </x:c>
      <x:c r="E3230" s="168" t="str">
        <x:f>IFERROR(INDEX('Classif Gestoras'!$H$6:$H$462,MATCH(D3230,'Classif Gestoras'!$A$6:$A$462,0)),"Não classificada")</x:f>
        <x:v>Independente</x:v>
      </x:c>
      <x:c r="F3230" s="168" t="str">
        <x:v>Singulare</x:v>
      </x:c>
      <x:c r="G3230" s="168" t="str">
        <x:v>Não identificado</x:v>
      </x:c>
      <x:c r="H3230" s="168" t="str">
        <x:v>Agro, Indústria e Comércio</x:v>
      </x:c>
      <x:c r="I3230" s="168" t="str">
        <x:v>Não se aplica</x:v>
      </x:c>
      <x:c r="J3230" s="168" t="str">
        <x:v>CI</x:v>
      </x:c>
      <x:c r="K3230" s="174"/>
      <x:c r="L3230" s="187" t="str">
        <x:v>Não classificado</x:v>
      </x:c>
    </x:row>
    <x:row r="3231">
      <x:c r="A3231" s="177" t="str">
        <x:v>56.945.961/0001-23</x:v>
      </x:c>
      <x:c r="B3231" s="168" t="str">
        <x:v>VANTAGE FUNDO DE INVESTIMENTO EM DIREITOS CREDITÓRIOS</x:v>
      </x:c>
      <x:c r="C3231" s="190" t="n">
        <x:v>0</x:v>
      </x:c>
      <x:c r="D3231" s="168" t="str">
        <x:v>Reag Jus</x:v>
      </x:c>
      <x:c r="E3231" s="168" t="str">
        <x:f>IFERROR(INDEX('Classif Gestoras'!$H$6:$H$462,MATCH(D3231,'Classif Gestoras'!$A$6:$A$462,0)),"Não classificada")</x:f>
        <x:v>Independente</x:v>
      </x:c>
      <x:c r="F3231" s="168" t="str">
        <x:v>REAG DTVM</x:v>
      </x:c>
      <x:c r="G3231" s="168" t="str">
        <x:v>REAG TRUST DISTRIBUIDORA DE TITULOS E VALORES MOBILIARIOS S.A.</x:v>
      </x:c>
      <x:c r="H3231" s="168" t="str">
        <x:v>Outros</x:v>
      </x:c>
      <x:c r="I3231" s="168" t="str">
        <x:v>Multicarteira Outros</x:v>
      </x:c>
      <x:c r="J3231" s="168" t="str">
        <x:v>CI</x:v>
      </x:c>
      <x:c r="K3231" s="174" t="n">
        <x:v>1</x:v>
      </x:c>
      <x:c r="L3231" s="187" t="str">
        <x:v>Proxy multicedente/multissacado — revisar</x:v>
      </x:c>
    </x:row>
    <x:row r="3232">
      <x:c r="A3232" s="177" t="str">
        <x:v>43.616.501/0001-00</x:v>
      </x:c>
      <x:c r="B3232" s="168" t="str">
        <x:v>CNPJ 43616501000100</x:v>
      </x:c>
      <x:c r="C3232" s="190" t="n">
        <x:v>0</x:v>
      </x:c>
      <x:c r="D3232" s="168" t="str">
        <x:v>Milênio Capital</x:v>
      </x:c>
      <x:c r="E3232" s="168" t="str">
        <x:f>IFERROR(INDEX('Classif Gestoras'!$H$6:$H$462,MATCH(D3232,'Classif Gestoras'!$A$6:$A$462,0)),"Não classificada")</x:f>
        <x:v>Independente</x:v>
      </x:c>
      <x:c r="F3232" s="168" t="str">
        <x:v>Oliveira Trust DTVM</x:v>
      </x:c>
      <x:c r="G3232" s="168" t="str">
        <x:v>Não identificado</x:v>
      </x:c>
      <x:c r="H3232" s="168" t="str">
        <x:v>Agro, Indústria e Comércio</x:v>
      </x:c>
      <x:c r="I3232" s="168" t="str">
        <x:v>Não se aplica</x:v>
      </x:c>
      <x:c r="J3232" s="168" t="str">
        <x:v>CI</x:v>
      </x:c>
      <x:c r="K3232" s="174"/>
      <x:c r="L3232" s="187" t="str">
        <x:v>Não classificado</x:v>
      </x:c>
    </x:row>
    <x:row r="3233">
      <x:c r="A3233" s="177" t="str">
        <x:v>32.510.621/0001-01</x:v>
      </x:c>
      <x:c r="B3233" s="168" t="str">
        <x:v>CNPJ 32510621000101</x:v>
      </x:c>
      <x:c r="C3233" s="190" t="n">
        <x:v>0</x:v>
      </x:c>
      <x:c r="D3233" s="168" t="str">
        <x:v>Multiplica Capital</x:v>
      </x:c>
      <x:c r="E3233" s="168" t="str">
        <x:f>IFERROR(INDEX('Classif Gestoras'!$H$6:$H$462,MATCH(D3233,'Classif Gestoras'!$A$6:$A$462,0)),"Não classificada")</x:f>
        <x:v>Independente</x:v>
      </x:c>
      <x:c r="F3233" s="168" t="str">
        <x:v>Singulare</x:v>
      </x:c>
      <x:c r="G3233" s="168" t="str">
        <x:v>Não identificado</x:v>
      </x:c>
      <x:c r="H3233" s="168" t="str">
        <x:v>Fomento Mercantil</x:v>
      </x:c>
      <x:c r="I3233" s="168" t="str">
        <x:v>Fomento Mercantil</x:v>
      </x:c>
      <x:c r="J3233" s="168" t="str">
        <x:v>CI</x:v>
      </x:c>
      <x:c r="K3233" s="174"/>
      <x:c r="L3233" s="187" t="str">
        <x:v>Não classificado</x:v>
      </x:c>
    </x:row>
    <x:row r="3234">
      <x:c r="A3234" s="177" t="str">
        <x:v>56.971.420/0001-70</x:v>
      </x:c>
      <x:c r="B3234" s="168" t="str">
        <x:v>CNPJ 56971420000170</x:v>
      </x:c>
      <x:c r="C3234" s="190" t="n">
        <x:v>0</x:v>
      </x:c>
      <x:c r="D3234" s="168" t="str">
        <x:v>CARMEL GESTORA DE ATIVOS LTDA</x:v>
      </x:c>
      <x:c r="E3234" s="168" t="str">
        <x:f>IFERROR(INDEX('Classif Gestoras'!$H$6:$H$462,MATCH(D3234,'Classif Gestoras'!$A$6:$A$462,0)),"Não classificada")</x:f>
        <x:v>Independente</x:v>
      </x:c>
      <x:c r="F3234" s="168" t="str">
        <x:v>MONETAR DISTRIBUIDORA DE TITUL</x:v>
      </x:c>
      <x:c r="G3234" s="168" t="str">
        <x:v>Não identificado</x:v>
      </x:c>
      <x:c r="H3234" s="168" t="str">
        <x:v>Outros</x:v>
      </x:c>
      <x:c r="I3234" s="168" t="str">
        <x:v>Multicarteira Outros</x:v>
      </x:c>
      <x:c r="J3234" s="168" t="str">
        <x:v>CI</x:v>
      </x:c>
      <x:c r="K3234" s="174"/>
      <x:c r="L3234" s="187" t="str">
        <x:v>Proxy multicedente/multissacado — revisar</x:v>
      </x:c>
    </x:row>
    <x:row r="3235">
      <x:c r="A3235" s="177" t="str">
        <x:v>56.973.069/0001-56</x:v>
      </x:c>
      <x:c r="B3235" s="168" t="str">
        <x:v>FUNDO DE INVESTIMENTO EM DIREITOS CREDITÓRIOS DE RESPONSABILIDADE LIMITADA ABERTO UR</x:v>
      </x:c>
      <x:c r="C3235" s="190" t="n">
        <x:v>0</x:v>
      </x:c>
      <x:c r="D3235" s="168" t="str">
        <x:v>Brave Asset</x:v>
      </x:c>
      <x:c r="E3235" s="168" t="str">
        <x:f>IFERROR(INDEX('Classif Gestoras'!$H$6:$H$462,MATCH(D3235,'Classif Gestoras'!$A$6:$A$462,0)),"Não classificada")</x:f>
        <x:v>Independente</x:v>
      </x:c>
      <x:c r="F3235" s="168" t="str">
        <x:v>BANCO DAYCOVAL S/A</x:v>
      </x:c>
      <x:c r="G3235" s="168" t="str">
        <x:v>BANCO DAYCOVAL S.A.</x:v>
      </x:c>
      <x:c r="H3235" s="168" t="str">
        <x:v>Agro, Indústria e Comércio</x:v>
      </x:c>
      <x:c r="I3235" s="168" t="str">
        <x:v>Recebíveis Comerciais</x:v>
      </x:c>
      <x:c r="J3235" s="168" t="str">
        <x:v>CI</x:v>
      </x:c>
      <x:c r="K3235" s="174" t="n">
        <x:v>5</x:v>
      </x:c>
      <x:c r="L3235" s="187" t="str">
        <x:v>Não classificado</x:v>
      </x:c>
    </x:row>
    <x:row r="3236">
      <x:c r="A3236" s="177" t="str">
        <x:v>42.518.256/0001-35</x:v>
      </x:c>
      <x:c r="B3236" s="168" t="str">
        <x:v>CNPJ 42518256000135</x:v>
      </x:c>
      <x:c r="C3236" s="190" t="n">
        <x:v>0</x:v>
      </x:c>
      <x:c r="D3236" s="168" t="str">
        <x:v>Libertas Asset</x:v>
      </x:c>
      <x:c r="E3236" s="168" t="str">
        <x:f>IFERROR(INDEX('Classif Gestoras'!$H$6:$H$462,MATCH(D3236,'Classif Gestoras'!$A$6:$A$462,0)),"Não classificada")</x:f>
        <x:v>Independente</x:v>
      </x:c>
      <x:c r="F3236" s="168" t="str">
        <x:v>ACTUAL DTVM</x:v>
      </x:c>
      <x:c r="G3236" s="168" t="str">
        <x:v>Não identificado</x:v>
      </x:c>
      <x:c r="H3236" s="168" t="str">
        <x:v>Outros</x:v>
      </x:c>
      <x:c r="I3236" s="168" t="str">
        <x:v>Multicarteira Outros</x:v>
      </x:c>
      <x:c r="J3236" s="168" t="str">
        <x:v>CI</x:v>
      </x:c>
      <x:c r="K3236" s="174"/>
      <x:c r="L3236" s="187" t="str">
        <x:v>Proxy multicedente/multissacado — revisar</x:v>
      </x:c>
    </x:row>
    <x:row r="3237">
      <x:c r="A3237" s="177" t="str">
        <x:v>55.823.114/0001-23</x:v>
      </x:c>
      <x:c r="B3237" s="168" t="str">
        <x:v>MANSELL FUNDO DE INVESTIMENTO EM DIREITOS CREDITÓRIOS</x:v>
      </x:c>
      <x:c r="C3237" s="190" t="n">
        <x:v>0</x:v>
      </x:c>
      <x:c r="D3237" s="168" t="str">
        <x:v>Reag Jus</x:v>
      </x:c>
      <x:c r="E3237" s="168" t="str">
        <x:f>IFERROR(INDEX('Classif Gestoras'!$H$6:$H$462,MATCH(D3237,'Classif Gestoras'!$A$6:$A$462,0)),"Não classificada")</x:f>
        <x:v>Independente</x:v>
      </x:c>
      <x:c r="F3237" s="168" t="str">
        <x:v>REAG DTVM</x:v>
      </x:c>
      <x:c r="G3237" s="168" t="str">
        <x:v>REAG TRUST DISTRIBUIDORA DE TITULOS E VALORES MOBILIARIOS S.A.</x:v>
      </x:c>
      <x:c r="H3237" s="168" t="str">
        <x:v>Outros</x:v>
      </x:c>
      <x:c r="I3237" s="168" t="str">
        <x:v>Multicarteira Outros</x:v>
      </x:c>
      <x:c r="J3237" s="168" t="str">
        <x:v>CI</x:v>
      </x:c>
      <x:c r="K3237" s="174" t="n">
        <x:v>1</x:v>
      </x:c>
      <x:c r="L3237" s="187" t="str">
        <x:v>Proxy multicedente/multissacado — revisar</x:v>
      </x:c>
    </x:row>
    <x:row r="3238">
      <x:c r="A3238" s="177" t="str">
        <x:v>55.808.689/0001-77</x:v>
      </x:c>
      <x:c r="B3238" s="168" t="str">
        <x:v>CNPJ 55808689000177</x:v>
      </x:c>
      <x:c r="C3238" s="190" t="n">
        <x:v>0</x:v>
      </x:c>
      <x:c r="D3238" s="168" t="str">
        <x:v>Chimera Capital Asset Management Ltda.</x:v>
      </x:c>
      <x:c r="E3238" s="168" t="str">
        <x:f>IFERROR(INDEX('Classif Gestoras'!$H$6:$H$462,MATCH(D3238,'Classif Gestoras'!$A$6:$A$462,0)),"Não classificada")</x:f>
        <x:v>Independente</x:v>
      </x:c>
      <x:c r="F3238" s="168" t="str">
        <x:v>MONETAR DISTRIBUIDORA DE TITUL</x:v>
      </x:c>
      <x:c r="G3238" s="168" t="str">
        <x:v>Não identificado</x:v>
      </x:c>
      <x:c r="H3238" s="168" t="str">
        <x:v>Outros</x:v>
      </x:c>
      <x:c r="I3238" s="168" t="str">
        <x:v>Poder Público</x:v>
      </x:c>
      <x:c r="J3238" s="168" t="str">
        <x:v>CI</x:v>
      </x:c>
      <x:c r="K3238" s="174"/>
      <x:c r="L3238" s="187" t="str">
        <x:v>Não classificado</x:v>
      </x:c>
    </x:row>
    <x:row r="3239">
      <x:c r="A3239" s="177" t="str">
        <x:v>42.700.668/0001-91</x:v>
      </x:c>
      <x:c r="B3239" s="168" t="str">
        <x:v>GRAND - FUNDO DE INVESTIMENTO EM DIREITOS CREDITÓRIOS NÃO PADRONIZADOS RESPONSABILIDADE LIMITADA</x:v>
      </x:c>
      <x:c r="C3239" s="190" t="n">
        <x:v>0</x:v>
      </x:c>
      <x:c r="D3239" s="168" t="str">
        <x:v>GESTORA DE RECURSOS ID - GRID LTDA.</x:v>
      </x:c>
      <x:c r="E3239" s="168" t="str">
        <x:f>IFERROR(INDEX('Classif Gestoras'!$H$6:$H$462,MATCH(D3239,'Classif Gestoras'!$A$6:$A$462,0)),"Não classificada")</x:f>
        <x:v>Independente</x:v>
      </x:c>
      <x:c r="F3239" s="168" t="str">
        <x:v>DILLON S.A DTVM</x:v>
      </x:c>
      <x:c r="G3239" s="168" t="str">
        <x:v>Não identificado</x:v>
      </x:c>
      <x:c r="H3239" s="168" t="str">
        <x:v>Fomento Mercantil</x:v>
      </x:c>
      <x:c r="I3239" s="168" t="str">
        <x:v>Fomento Mercantil</x:v>
      </x:c>
      <x:c r="J3239" s="168" t="str">
        <x:v>CI</x:v>
      </x:c>
      <x:c r="K3239" s="174" t="n">
        <x:v>1</x:v>
      </x:c>
      <x:c r="L3239" s="187" t="str">
        <x:v>Não classificado</x:v>
      </x:c>
    </x:row>
    <x:row r="3240">
      <x:c r="A3240" s="177" t="str">
        <x:v>60.076.899/0001-58</x:v>
      </x:c>
      <x:c r="B3240" s="168" t="str">
        <x:v>BRASPRESS URBANO 2 FUNDO DE INVESTIMENTO EM DIREITOS CREDITÓRIOS</x:v>
      </x:c>
      <x:c r="C3240" s="190" t="n">
        <x:v>0</x:v>
      </x:c>
      <x:c r="D3240" s="168" t="str">
        <x:v>OURO PRETO INVESTIMENTOS</x:v>
      </x:c>
      <x:c r="E3240" s="168" t="str">
        <x:f>IFERROR(INDEX('Classif Gestoras'!$H$6:$H$462,MATCH(D3240,'Classif Gestoras'!$A$6:$A$462,0)),"Não classificada")</x:f>
        <x:v>Independente</x:v>
      </x:c>
      <x:c r="F3240" s="168" t="str">
        <x:v>Limine Trust Distribuidora de Titulos e Valores Mobiliá</x:v>
      </x:c>
      <x:c r="G3240" s="168" t="str">
        <x:v>LIMINE TRUST DISTRIBUIDORA DE TITULOS E VALORES MOBILIARIOS LTDA.</x:v>
      </x:c>
      <x:c r="H3240" s="168" t="str">
        <x:v>Outros</x:v>
      </x:c>
      <x:c r="I3240" s="168" t="str">
        <x:v>Multicarteira Outros</x:v>
      </x:c>
      <x:c r="J3240" s="168" t="str">
        <x:v>CI</x:v>
      </x:c>
      <x:c r="K3240" s="174" t="n">
        <x:v>2</x:v>
      </x:c>
      <x:c r="L3240" s="187" t="str">
        <x:v>Proxy multicedente/multissacado — revisar</x:v>
      </x:c>
    </x:row>
    <x:row r="3241">
      <x:c r="A3241" s="177" t="str">
        <x:v>43.104.412/0001-84</x:v>
      </x:c>
      <x:c r="B3241" s="168" t="str">
        <x:v>CNPJ 43104412000184</x:v>
      </x:c>
      <x:c r="C3241" s="190" t="n">
        <x:v>0</x:v>
      </x:c>
      <x:c r="D3241" s="168" t="str">
        <x:v>Kanastra</x:v>
      </x:c>
      <x:c r="E3241" s="168" t="str">
        <x:f>IFERROR(INDEX('Classif Gestoras'!$H$6:$H$462,MATCH(D3241,'Classif Gestoras'!$A$6:$A$462,0)),"Não classificada")</x:f>
        <x:v>Independente</x:v>
      </x:c>
      <x:c r="F3241" s="168" t="str">
        <x:v>Limine Trust Distribuidora de Titulos e Valores Mobiliá</x:v>
      </x:c>
      <x:c r="G3241" s="168" t="str">
        <x:v>Não identificado</x:v>
      </x:c>
      <x:c r="H3241" s="168" t="str">
        <x:v>Financeiro</x:v>
      </x:c>
      <x:c r="I3241" s="168" t="str">
        <x:v>Multicarteira Financeiro</x:v>
      </x:c>
      <x:c r="J3241" s="168" t="str">
        <x:v>CI</x:v>
      </x:c>
      <x:c r="K3241" s="174"/>
      <x:c r="L3241" s="187" t="str">
        <x:v>Proxy multicedente/multissacado — revisar</x:v>
      </x:c>
    </x:row>
    <x:row r="3242">
      <x:c r="A3242" s="177" t="str">
        <x:v>60.351.586/0001-60</x:v>
      </x:c>
      <x:c r="B3242" s="168" t="str">
        <x:v>CITRINO TEMPO CAPTOR II FUNDO DE INVESTIMENTO EM DIREITOS CREDITÓRIOS</x:v>
      </x:c>
      <x:c r="C3242" s="190" t="n">
        <x:v>0</x:v>
      </x:c>
      <x:c r="D3242" s="168" t="str">
        <x:v>Citrino Gestão de Recursos LTD</x:v>
      </x:c>
      <x:c r="E3242" s="168" t="str">
        <x:f>IFERROR(INDEX('Classif Gestoras'!$H$6:$H$462,MATCH(D3242,'Classif Gestoras'!$A$6:$A$462,0)),"Não classificada")</x:f>
        <x:v>Independente</x:v>
      </x:c>
      <x:c r="F3242" s="168" t="str">
        <x:v>Limine Trust Distribuidora de Titulos e Valores Mobiliá</x:v>
      </x:c>
      <x:c r="G3242" s="168" t="str">
        <x:v>LIMINE TRUST DISTRIBUIDORA DE TITULOS E VALORES MOBILIARIOS LTDA.</x:v>
      </x:c>
      <x:c r="H3242" s="168" t="str">
        <x:v>Outros</x:v>
      </x:c>
      <x:c r="I3242" s="168" t="str">
        <x:v>Multicarteira Outros</x:v>
      </x:c>
      <x:c r="J3242" s="168" t="str">
        <x:v>CI</x:v>
      </x:c>
      <x:c r="K3242" s="174" t="n">
        <x:v>2</x:v>
      </x:c>
      <x:c r="L3242" s="187" t="str">
        <x:v>Proxy multicedente/multissacado — revisar</x:v>
      </x:c>
    </x:row>
    <x:row r="3243">
      <x:c r="A3243" s="177" t="str">
        <x:v>43.104.380/0001-17</x:v>
      </x:c>
      <x:c r="B3243" s="168" t="str">
        <x:v>MIXTEL MULTI FUNDO DE INVESTIMENTO EM DIREITOS CREDITÓRIOS</x:v>
      </x:c>
      <x:c r="C3243" s="190" t="n">
        <x:v>0</x:v>
      </x:c>
      <x:c r="D3243" s="168" t="str">
        <x:v>BRL TRUST DTVM</x:v>
      </x:c>
      <x:c r="E3243" s="168" t="str">
        <x:f>IFERROR(INDEX('Classif Gestoras'!$H$6:$H$462,MATCH(D3243,'Classif Gestoras'!$A$6:$A$462,0)),"Não classificada")</x:f>
        <x:v>Independente</x:v>
      </x:c>
      <x:c r="F3243" s="168" t="str">
        <x:v>BRL TRUST DTVM</x:v>
      </x:c>
      <x:c r="G3243" s="168" t="str">
        <x:v>Não identificado</x:v>
      </x:c>
      <x:c r="H3243" s="168" t="str">
        <x:v>Agro, Indústria e Comércio</x:v>
      </x:c>
      <x:c r="I3243" s="168" t="str">
        <x:v>Recebíveis Comerciais</x:v>
      </x:c>
      <x:c r="J3243" s="168" t="str">
        <x:v>CI</x:v>
      </x:c>
      <x:c r="K3243" s="174" t="n">
        <x:v>4</x:v>
      </x:c>
      <x:c r="L3243" s="187" t="str">
        <x:v>Não classificado</x:v>
      </x:c>
    </x:row>
    <x:row r="3244">
      <x:c r="A3244" s="177" t="str">
        <x:v>28.472.333/0001-32</x:v>
      </x:c>
      <x:c r="B3244" s="168" t="str">
        <x:v>CNPJ 28472333000132</x:v>
      </x:c>
      <x:c r="C3244" s="190" t="n">
        <x:v>0</x:v>
      </x:c>
      <x:c r="D3244" s="168" t="str">
        <x:v>POLÍGONO CAPITAL LTDA.</x:v>
      </x:c>
      <x:c r="E3244" s="168" t="str">
        <x:f>IFERROR(INDEX('Classif Gestoras'!$H$6:$H$462,MATCH(D3244,'Classif Gestoras'!$A$6:$A$462,0)),"Não classificada")</x:f>
        <x:v>Independente</x:v>
      </x:c>
      <x:c r="F3244" s="168" t="str">
        <x:v>VÓRTX DTVM</x:v>
      </x:c>
      <x:c r="G3244" s="168" t="str">
        <x:v>Não identificado</x:v>
      </x:c>
      <x:c r="H3244" s="168" t="str">
        <x:v>Financeiro</x:v>
      </x:c>
      <x:c r="I3244" s="168" t="str">
        <x:v>Multicarteira Financeiro</x:v>
      </x:c>
      <x:c r="J3244" s="168" t="str">
        <x:v>CI</x:v>
      </x:c>
      <x:c r="K3244" s="174"/>
      <x:c r="L3244" s="187" t="str">
        <x:v>Proxy multicedente/multissacado — revisar</x:v>
      </x:c>
    </x:row>
    <x:row r="3245">
      <x:c r="A3245" s="177" t="str">
        <x:v>42.794.134/0001-71</x:v>
      </x:c>
      <x:c r="B3245" s="168" t="str">
        <x:v>CNPJ 42794134000171</x:v>
      </x:c>
      <x:c r="C3245" s="190" t="n">
        <x:v>0</x:v>
      </x:c>
      <x:c r="D3245" s="168" t="str">
        <x:v>REAG GESTÃO DE CRÉDITO</x:v>
      </x:c>
      <x:c r="E3245" s="168" t="str">
        <x:f>IFERROR(INDEX('Classif Gestoras'!$H$6:$H$462,MATCH(D3245,'Classif Gestoras'!$A$6:$A$462,0)),"Não classificada")</x:f>
        <x:v>Independente</x:v>
      </x:c>
      <x:c r="F3245" s="168" t="str">
        <x:v>Banvox DTVM</x:v>
      </x:c>
      <x:c r="G3245" s="168" t="str">
        <x:v>Não identificado</x:v>
      </x:c>
      <x:c r="H3245" s="168" t="str">
        <x:v>Financeiro</x:v>
      </x:c>
      <x:c r="I3245" s="168" t="str">
        <x:v>Financiamento de Veículos</x:v>
      </x:c>
      <x:c r="J3245" s="168" t="str">
        <x:v>CI</x:v>
      </x:c>
      <x:c r="K3245" s="174"/>
      <x:c r="L3245" s="187" t="str">
        <x:v>Não classificado</x:v>
      </x:c>
    </x:row>
    <x:row r="3246">
      <x:c r="A3246" s="177" t="str">
        <x:v>66.619.014/0001-04</x:v>
      </x:c>
      <x:c r="B3246" s="168" t="str">
        <x:v>CNPJ 66619014000104</x:v>
      </x:c>
      <x:c r="C3246" s="190" t="n">
        <x:v>0</x:v>
      </x:c>
      <x:c r="D3246" s="168" t="str">
        <x:v>REAG LEGAL CLAIMS GESTÃO DE ATIVOS</x:v>
      </x:c>
      <x:c r="E3246" s="168" t="str">
        <x:f>IFERROR(INDEX('Classif Gestoras'!$H$6:$H$462,MATCH(D3246,'Classif Gestoras'!$A$6:$A$462,0)),"Não classificada")</x:f>
        <x:v>Independente</x:v>
      </x:c>
      <x:c r="F3246" s="168" t="str">
        <x:v>PLANNER CV</x:v>
      </x:c>
      <x:c r="G3246" s="168" t="str">
        <x:v>Não identificado</x:v>
      </x:c>
      <x:c r="H3246" s="168" t="str">
        <x:v>Outros</x:v>
      </x:c>
      <x:c r="I3246" s="168" t="str">
        <x:v>Poder Público</x:v>
      </x:c>
      <x:c r="J3246" s="168" t="str">
        <x:v>CI</x:v>
      </x:c>
      <x:c r="K3246" s="174"/>
      <x:c r="L3246" s="187" t="str">
        <x:v>Não classificado</x:v>
      </x:c>
    </x:row>
    <x:row r="3247">
      <x:c r="A3247" s="177" t="str">
        <x:v>56.240.777/0001-88</x:v>
      </x:c>
      <x:c r="B3247" s="168" t="str">
        <x:v>CNPJ 56240777000188</x:v>
      </x:c>
      <x:c r="C3247" s="190" t="n">
        <x:v>0</x:v>
      </x:c>
      <x:c r="D3247" s="168" t="str">
        <x:v>EXA CAPITAL ASSET</x:v>
      </x:c>
      <x:c r="E3247" s="168" t="str">
        <x:f>IFERROR(INDEX('Classif Gestoras'!$H$6:$H$462,MATCH(D3247,'Classif Gestoras'!$A$6:$A$462,0)),"Não classificada")</x:f>
        <x:v>Independente</x:v>
      </x:c>
      <x:c r="F3247" s="168" t="str">
        <x:v>XPI CCTVM S/A</x:v>
      </x:c>
      <x:c r="G3247" s="168" t="str">
        <x:v>Não identificado</x:v>
      </x:c>
      <x:c r="H3247" s="168" t="str">
        <x:v>Agro, Indústria e Comércio</x:v>
      </x:c>
      <x:c r="I3247" s="168" t="str">
        <x:v>Não se aplica</x:v>
      </x:c>
      <x:c r="J3247" s="168" t="str">
        <x:v>CI</x:v>
      </x:c>
      <x:c r="K3247" s="174"/>
      <x:c r="L3247" s="187" t="str">
        <x:v>Não classificado</x:v>
      </x:c>
    </x:row>
    <x:row r="3248">
      <x:c r="A3248" s="177" t="str">
        <x:v>42.813.981/0001-36</x:v>
      </x:c>
      <x:c r="B3248" s="168" t="str">
        <x:v>METALFRIO SOLUTIONS FUNDO DE INVESTIMENTO EM DIREITOS CREDITÓRIOS</x:v>
      </x:c>
      <x:c r="C3248" s="190" t="n">
        <x:v>0</x:v>
      </x:c>
      <x:c r="D3248" s="168" t="str">
        <x:v>WNT Gestora de Recursos Ltda.</x:v>
      </x:c>
      <x:c r="E3248" s="168" t="str">
        <x:f>IFERROR(INDEX('Classif Gestoras'!$H$6:$H$462,MATCH(D3248,'Classif Gestoras'!$A$6:$A$462,0)),"Não classificada")</x:f>
        <x:v>Independente</x:v>
      </x:c>
      <x:c r="F3248" s="168" t="str">
        <x:v>Singulare</x:v>
      </x:c>
      <x:c r="G3248" s="168" t="str">
        <x:v>WNT CAPITAL DISTRIBUIDORA DE TITULOS E VALORES MOBILIARIOS S.A.</x:v>
      </x:c>
      <x:c r="H3248" s="168" t="str">
        <x:v>Outros</x:v>
      </x:c>
      <x:c r="I3248" s="168" t="str">
        <x:v>Multicarteira Outros</x:v>
      </x:c>
      <x:c r="J3248" s="168" t="str">
        <x:v>CI</x:v>
      </x:c>
      <x:c r="K3248" s="174" t="n">
        <x:v>1</x:v>
      </x:c>
      <x:c r="L3248" s="187" t="str">
        <x:v>Proxy multicedente/multissacado — revisar</x:v>
      </x:c>
    </x:row>
    <x:row r="3249">
      <x:c r="A3249" s="177" t="str">
        <x:v>56.190.298/0001-02</x:v>
      </x:c>
      <x:c r="B3249" s="168" t="str">
        <x:v>CNPJ 56190298000102</x:v>
      </x:c>
      <x:c r="C3249" s="190" t="n">
        <x:v>0</x:v>
      </x:c>
      <x:c r="D3249" s="168" t="str">
        <x:v>Kanastra</x:v>
      </x:c>
      <x:c r="E3249" s="168" t="str">
        <x:f>IFERROR(INDEX('Classif Gestoras'!$H$6:$H$462,MATCH(D3249,'Classif Gestoras'!$A$6:$A$462,0)),"Não classificada")</x:f>
        <x:v>Independente</x:v>
      </x:c>
      <x:c r="F3249" s="168" t="str">
        <x:v>Limine Trust Distribuidora de Titulos e Valores Mobiliá</x:v>
      </x:c>
      <x:c r="G3249" s="168" t="str">
        <x:v>Não identificado</x:v>
      </x:c>
      <x:c r="H3249" s="168" t="str">
        <x:v>Outros</x:v>
      </x:c>
      <x:c r="I3249" s="168" t="str">
        <x:v>Multicarteira Outros</x:v>
      </x:c>
      <x:c r="J3249" s="168" t="str">
        <x:v>CI</x:v>
      </x:c>
      <x:c r="K3249" s="174"/>
      <x:c r="L3249" s="187" t="str">
        <x:v>Proxy multicedente/multissacado — revisar</x:v>
      </x:c>
    </x:row>
    <x:row r="3250">
      <x:c r="A3250" s="177" t="str">
        <x:v>56.112.269/0001-14</x:v>
      </x:c>
      <x:c r="B3250" s="168" t="str">
        <x:v>CNPJ 56112269000114</x:v>
      </x:c>
      <x:c r="C3250" s="190" t="n">
        <x:v>0</x:v>
      </x:c>
      <x:c r="D3250" s="168" t="str">
        <x:v>BTG Pactual Asset</x:v>
      </x:c>
      <x:c r="E3250" s="168" t="str">
        <x:f>IFERROR(INDEX('Classif Gestoras'!$H$6:$H$462,MATCH(D3250,'Classif Gestoras'!$A$6:$A$462,0)),"Não classificada")</x:f>
        <x:v>Ligada a banco</x:v>
      </x:c>
      <x:c r="F3250" s="168" t="str">
        <x:v>BTG Pactual Servicos Financeiros S/A DTVM</x:v>
      </x:c>
      <x:c r="G3250" s="168" t="str">
        <x:v>Não identificado</x:v>
      </x:c>
      <x:c r="H3250" s="168" t="str">
        <x:v>Outros</x:v>
      </x:c>
      <x:c r="I3250" s="168" t="str">
        <x:v>Multicarteira Outros</x:v>
      </x:c>
      <x:c r="J3250" s="168" t="str">
        <x:v>CI</x:v>
      </x:c>
      <x:c r="K3250" s="174"/>
      <x:c r="L3250" s="187" t="str">
        <x:v>Proxy multicedente/multissacado — revisar</x:v>
      </x:c>
    </x:row>
    <x:row r="3251">
      <x:c r="A3251" s="177" t="str">
        <x:v>52.351.713/0001-01</x:v>
      </x:c>
      <x:c r="B3251" s="168" t="str">
        <x:v>CNPJ 52351713000101</x:v>
      </x:c>
      <x:c r="C3251" s="190" t="n">
        <x:v>0</x:v>
      </x:c>
      <x:c r="D3251" s="168" t="str">
        <x:v>Reag Administradora de Recursos Ltda</x:v>
      </x:c>
      <x:c r="E3251" s="168" t="str">
        <x:f>IFERROR(INDEX('Classif Gestoras'!$H$6:$H$462,MATCH(D3251,'Classif Gestoras'!$A$6:$A$462,0)),"Não classificada")</x:f>
        <x:v>Independente</x:v>
      </x:c>
      <x:c r="F3251" s="168" t="str">
        <x:v>REAG DTVM</x:v>
      </x:c>
      <x:c r="G3251" s="168" t="str">
        <x:v>Não identificado</x:v>
      </x:c>
      <x:c r="H3251" s="168" t="str">
        <x:v>Fomento Mercantil</x:v>
      </x:c>
      <x:c r="I3251" s="168" t="str">
        <x:v>Fomento Mercantil</x:v>
      </x:c>
      <x:c r="J3251" s="168" t="str">
        <x:v>CI</x:v>
      </x:c>
      <x:c r="K3251" s="174"/>
      <x:c r="L3251" s="187" t="str">
        <x:v>Não classificado</x:v>
      </x:c>
    </x:row>
    <x:row r="3252">
      <x:c r="A3252" s="177" t="str">
        <x:v>56.069.419/0001-54</x:v>
      </x:c>
      <x:c r="B3252" s="168" t="str">
        <x:v>CLEAM CAPITAL BANK FUNDO DE INVESTIMENTO EM DIREITOS CREDITÓRIOS</x:v>
      </x:c>
      <x:c r="C3252" s="190" t="n">
        <x:v>0</x:v>
      </x:c>
      <x:c r="D3252" s="168" t="str">
        <x:v>URBANO ADMINISTRAÇÃO DE RECURSOS LTDA</x:v>
      </x:c>
      <x:c r="E3252" s="168" t="str">
        <x:f>IFERROR(INDEX('Classif Gestoras'!$H$6:$H$462,MATCH(D3252,'Classif Gestoras'!$A$6:$A$462,0)),"Não classificada")</x:f>
        <x:v>Independente</x:v>
      </x:c>
      <x:c r="F3252" s="168" t="str">
        <x:v>Limine Trust Distribuidora de Titulos e Valores Mobiliá</x:v>
      </x:c>
      <x:c r="G3252" s="168" t="str">
        <x:v>LIMINE TRUST DISTRIBUIDORA DE TITULOS E VALORES MOBILIARIOS LTDA.</x:v>
      </x:c>
      <x:c r="H3252" s="168" t="str">
        <x:v>Fomento Mercantil</x:v>
      </x:c>
      <x:c r="I3252" s="168" t="str">
        <x:v>Fomento Mercantil</x:v>
      </x:c>
      <x:c r="J3252" s="168" t="str">
        <x:v>CI</x:v>
      </x:c>
      <x:c r="K3252" s="174" t="n">
        <x:v>3</x:v>
      </x:c>
      <x:c r="L3252" s="187" t="str">
        <x:v>Não classificado</x:v>
      </x:c>
    </x:row>
    <x:row r="3253">
      <x:c r="A3253" s="177" t="str">
        <x:v>42.860.938/0001-21</x:v>
      </x:c>
      <x:c r="B3253" s="168" t="str">
        <x:v>CNPJ 42860938000121</x:v>
      </x:c>
      <x:c r="C3253" s="190" t="n">
        <x:v>0</x:v>
      </x:c>
      <x:c r="D3253" s="168" t="str">
        <x:v>REAG GESTÃO DE CRÉDITO</x:v>
      </x:c>
      <x:c r="E3253" s="168" t="str">
        <x:f>IFERROR(INDEX('Classif Gestoras'!$H$6:$H$462,MATCH(D3253,'Classif Gestoras'!$A$6:$A$462,0)),"Não classificada")</x:f>
        <x:v>Independente</x:v>
      </x:c>
      <x:c r="F3253" s="168" t="str">
        <x:v>Banvox DTVM</x:v>
      </x:c>
      <x:c r="G3253" s="168" t="str">
        <x:v>Não identificado</x:v>
      </x:c>
      <x:c r="H3253" s="168" t="str">
        <x:v>Financeiro</x:v>
      </x:c>
      <x:c r="I3253" s="168" t="str">
        <x:v>Financiamento de Veículos</x:v>
      </x:c>
      <x:c r="J3253" s="168" t="str">
        <x:v>CI</x:v>
      </x:c>
      <x:c r="K3253" s="174"/>
      <x:c r="L3253" s="187" t="str">
        <x:v>Não classificado</x:v>
      </x:c>
    </x:row>
    <x:row r="3254">
      <x:c r="A3254" s="177" t="str">
        <x:v>56.052.655/0001-68</x:v>
      </x:c>
      <x:c r="B3254" s="168" t="str">
        <x:v>HORTÊNCIA FUNDO DE INVESTIMENTO EM DIREITOS CREDITÓRIOS</x:v>
      </x:c>
      <x:c r="C3254" s="190" t="n">
        <x:v>0</x:v>
      </x:c>
      <x:c r="D3254" s="168" t="str">
        <x:v>REAG PORTFOLIO SOLUTIONS</x:v>
      </x:c>
      <x:c r="E3254" s="168" t="str">
        <x:f>IFERROR(INDEX('Classif Gestoras'!$H$6:$H$462,MATCH(D3254,'Classif Gestoras'!$A$6:$A$462,0)),"Não classificada")</x:f>
        <x:v>Independente</x:v>
      </x:c>
      <x:c r="F3254" s="168" t="str">
        <x:v>REAG DTVM</x:v>
      </x:c>
      <x:c r="G3254" s="168" t="str">
        <x:v>REAG TRUST DISTRIBUIDORA DE TITULOS E VALORES MOBILIARIOS S.A.</x:v>
      </x:c>
      <x:c r="H3254" s="168" t="str">
        <x:v>Outros</x:v>
      </x:c>
      <x:c r="I3254" s="168" t="str">
        <x:v>Multicarteira Outros</x:v>
      </x:c>
      <x:c r="J3254" s="168" t="str">
        <x:v>CI</x:v>
      </x:c>
      <x:c r="K3254" s="174" t="n">
        <x:v>1</x:v>
      </x:c>
      <x:c r="L3254" s="187" t="str">
        <x:v>Proxy multicedente/multissacado — revisar</x:v>
      </x:c>
    </x:row>
    <x:row r="3255">
      <x:c r="A3255" s="177" t="str">
        <x:v>66.188.571/0001-00</x:v>
      </x:c>
      <x:c r="B3255" s="168" t="str">
        <x:v>IPCRED FUNDO DE INVESTIMENTO EM DIREITOS CREDITÓRIOS</x:v>
      </x:c>
      <x:c r="C3255" s="190" t="n">
        <x:v>0</x:v>
      </x:c>
      <x:c r="D3255" s="168" t="str">
        <x:v>RIOS ASSET</x:v>
      </x:c>
      <x:c r="E3255" s="168" t="str">
        <x:f>IFERROR(INDEX('Classif Gestoras'!$H$6:$H$462,MATCH(D3255,'Classif Gestoras'!$A$6:$A$462,0)),"Não classificada")</x:f>
        <x:v>Independente</x:v>
      </x:c>
      <x:c r="F3255" s="168" t="str">
        <x:v>AZUMI DISTRIBUIDORA DE TÍTULOS E VALORES MOBILIÁRIOS LT</x:v>
      </x:c>
      <x:c r="G3255" s="168" t="str">
        <x:v>AZUMI DISTRIBUIDORA DE TÍTULOS E VALORES MOBILIÁRIOS LTDA.</x:v>
      </x:c>
      <x:c r="H3255" s="168" t="str">
        <x:v>Fomento Mercantil</x:v>
      </x:c>
      <x:c r="I3255" s="168" t="str">
        <x:v>Fomento Mercantil</x:v>
      </x:c>
      <x:c r="J3255" s="168" t="str">
        <x:v>CI</x:v>
      </x:c>
      <x:c r="K3255" s="174" t="n">
        <x:v>2</x:v>
      </x:c>
      <x:c r="L3255" s="187" t="str">
        <x:v>Não classificado</x:v>
      </x:c>
    </x:row>
    <x:row r="3256">
      <x:c r="A3256" s="177" t="str">
        <x:v>52.512.069/0001-06</x:v>
      </x:c>
      <x:c r="B3256" s="168" t="str">
        <x:v>CNPJ 52512069000106</x:v>
      </x:c>
      <x:c r="C3256" s="190" t="n">
        <x:v>0</x:v>
      </x:c>
      <x:c r="D3256" s="168" t="str">
        <x:v>Bradesco Asset</x:v>
      </x:c>
      <x:c r="E3256" s="168" t="str">
        <x:f>IFERROR(INDEX('Classif Gestoras'!$H$6:$H$462,MATCH(D3256,'Classif Gestoras'!$A$6:$A$462,0)),"Não classificada")</x:f>
        <x:v>Ligada a banco</x:v>
      </x:c>
      <x:c r="F3256" s="168" t="str">
        <x:v>Oliveira Trust DTVM</x:v>
      </x:c>
      <x:c r="G3256" s="168" t="str">
        <x:v>Não identificado</x:v>
      </x:c>
      <x:c r="H3256" s="168" t="str">
        <x:v>Agro, Indústria e Comércio</x:v>
      </x:c>
      <x:c r="I3256" s="168" t="str">
        <x:v>Não se aplica</x:v>
      </x:c>
      <x:c r="J3256" s="168" t="str">
        <x:v>CI</x:v>
      </x:c>
      <x:c r="K3256" s="174"/>
      <x:c r="L3256" s="187" t="str">
        <x:v>Não classificado</x:v>
      </x:c>
    </x:row>
    <x:row r="3257">
      <x:c r="A3257" s="177" t="str">
        <x:v>56.049.721/0001-40</x:v>
      </x:c>
      <x:c r="B3257" s="168" t="str">
        <x:v>CNPJ 56049721000140</x:v>
      </x:c>
      <x:c r="C3257" s="190" t="n">
        <x:v>0</x:v>
      </x:c>
      <x:c r="D3257" s="168" t="str">
        <x:v>Reag Administradora de Recursos Ltda</x:v>
      </x:c>
      <x:c r="E3257" s="168" t="str">
        <x:f>IFERROR(INDEX('Classif Gestoras'!$H$6:$H$462,MATCH(D3257,'Classif Gestoras'!$A$6:$A$462,0)),"Não classificada")</x:f>
        <x:v>Independente</x:v>
      </x:c>
      <x:c r="F3257" s="168" t="str">
        <x:v>REAG DTVM</x:v>
      </x:c>
      <x:c r="G3257" s="168" t="str">
        <x:v>Não identificado</x:v>
      </x:c>
      <x:c r="H3257" s="168" t="str">
        <x:v>Financeiro</x:v>
      </x:c>
      <x:c r="I3257" s="168" t="str">
        <x:v>Crédito Consignado</x:v>
      </x:c>
      <x:c r="J3257" s="168" t="str">
        <x:v>CI</x:v>
      </x:c>
      <x:c r="K3257" s="174"/>
      <x:c r="L3257" s="187" t="str">
        <x:v>Não classificado</x:v>
      </x:c>
    </x:row>
    <x:row r="3258">
      <x:c r="A3258" s="177" t="str">
        <x:v>60.091.623/0001-49</x:v>
      </x:c>
      <x:c r="B3258" s="168" t="str">
        <x:v>BTG LEGATO PMFO 2 FUNDO DE INVESTIMENTO EM DIREITOS CREDITÓRIOS RESPONSABILIDADE LIMITADA</x:v>
      </x:c>
      <x:c r="C3258" s="190" t="n">
        <x:v>0</x:v>
      </x:c>
      <x:c r="D3258" s="168" t="str">
        <x:v>BTG Pactual Asset</x:v>
      </x:c>
      <x:c r="E3258" s="168" t="str">
        <x:f>IFERROR(INDEX('Classif Gestoras'!$H$6:$H$462,MATCH(D3258,'Classif Gestoras'!$A$6:$A$462,0)),"Não classificada")</x:f>
        <x:v>Ligada a banco</x:v>
      </x:c>
      <x:c r="F3258" s="168" t="str">
        <x:v>BTG Pactual Servicos Financeiros S/A DTVM</x:v>
      </x:c>
      <x:c r="G3258" s="168" t="str">
        <x:v>BANCO BTG PACTUAL S/A</x:v>
      </x:c>
      <x:c r="H3258" s="168" t="str">
        <x:v>Outros</x:v>
      </x:c>
      <x:c r="I3258" s="168" t="str">
        <x:v>Multicarteira Outros</x:v>
      </x:c>
      <x:c r="J3258" s="168" t="str">
        <x:v>CI</x:v>
      </x:c>
      <x:c r="K3258" s="174" t="n">
        <x:v>1</x:v>
      </x:c>
      <x:c r="L3258" s="187" t="str">
        <x:v>Proxy multicedente/multissacado — revisar</x:v>
      </x:c>
    </x:row>
    <x:row r="3259">
      <x:c r="A3259" s="177" t="str">
        <x:v>66.057.868/0001-36</x:v>
      </x:c>
      <x:c r="B3259" s="168" t="str">
        <x:v>AMETISTA III FUNDO DE INVESTIMENTOS EM DIREITOS CREDITÓRIOS - RESPONSABILIDADE LIMITADA</x:v>
      </x:c>
      <x:c r="C3259" s="190" t="n">
        <x:v>0</x:v>
      </x:c>
      <x:c r="D3259" s="168" t="str">
        <x:v>Solis</x:v>
      </x:c>
      <x:c r="E3259" s="168" t="str">
        <x:f>IFERROR(INDEX('Classif Gestoras'!$H$6:$H$462,MATCH(D3259,'Classif Gestoras'!$A$6:$A$462,0)),"Não classificada")</x:f>
        <x:v>Independente</x:v>
      </x:c>
      <x:c r="F3259" s="168" t="str">
        <x:v>VÓRTX DTVM</x:v>
      </x:c>
      <x:c r="G3259" s="168" t="str">
        <x:v>VORTX DISTRIBUIDORA DE TITULOS E VALORES MOBILIARIOS LTDA.</x:v>
      </x:c>
      <x:c r="H3259" s="168" t="str">
        <x:v>Financeiro</x:v>
      </x:c>
      <x:c r="I3259" s="168" t="str">
        <x:v>Crédito Consignado</x:v>
      </x:c>
      <x:c r="J3259" s="168" t="str">
        <x:v>CI</x:v>
      </x:c>
      <x:c r="K3259" s="174" t="n">
        <x:v>26</x:v>
      </x:c>
      <x:c r="L3259" s="187" t="str">
        <x:v>Não classificado</x:v>
      </x:c>
    </x:row>
    <x:row r="3260">
      <x:c r="A3260" s="177" t="str">
        <x:v>56.045.805/0001-06</x:v>
      </x:c>
      <x:c r="B3260" s="168" t="str">
        <x:v>BB CLAIM FUNDO DE INVESTIMENTO EM DIREITOS CREDITÓRIOS NÃO PADRONIZADOS</x:v>
      </x:c>
      <x:c r="C3260" s="190" t="n">
        <x:v>0</x:v>
      </x:c>
      <x:c r="D3260" s="168" t="str">
        <x:v>4i Capital Ltda</x:v>
      </x:c>
      <x:c r="E3260" s="168" t="str">
        <x:f>IFERROR(INDEX('Classif Gestoras'!$H$6:$H$462,MATCH(D3260,'Classif Gestoras'!$A$6:$A$462,0)),"Não classificada")</x:f>
        <x:v>Independente</x:v>
      </x:c>
      <x:c r="F3260" s="168" t="str">
        <x:v>REAG DTVM</x:v>
      </x:c>
      <x:c r="G3260" s="168" t="str">
        <x:v>REAG TRUST DISTRIBUIDORA DE TITULOS E VALORES MOBILIARIOS S.A.</x:v>
      </x:c>
      <x:c r="H3260" s="168" t="str">
        <x:v>Outros</x:v>
      </x:c>
      <x:c r="I3260" s="168" t="str">
        <x:v>Multicarteira Outros</x:v>
      </x:c>
      <x:c r="J3260" s="168" t="str">
        <x:v>CI</x:v>
      </x:c>
      <x:c r="K3260" s="174" t="n">
        <x:v>4</x:v>
      </x:c>
      <x:c r="L3260" s="187" t="str">
        <x:v>Proxy multicedente/multissacado — revisar</x:v>
      </x:c>
    </x:row>
    <x:row r="3261">
      <x:c r="A3261" s="177" t="str">
        <x:v>65.953.190/0001-07</x:v>
      </x:c>
      <x:c r="B3261" s="168" t="str">
        <x:v>VERIDIUM STRUCTURED FUNDO DE INVESTIMENTO EM DIREITOS CREDITÓRIOS</x:v>
      </x:c>
      <x:c r="C3261" s="190" t="n">
        <x:v>0</x:v>
      </x:c>
      <x:c r="D3261" s="168" t="str">
        <x:v>B.Side Wealth</x:v>
      </x:c>
      <x:c r="E3261" s="168" t="str">
        <x:f>IFERROR(INDEX('Classif Gestoras'!$H$6:$H$462,MATCH(D3261,'Classif Gestoras'!$A$6:$A$462,0)),"Não classificada")</x:f>
        <x:v>Independente</x:v>
      </x:c>
      <x:c r="F3261" s="168" t="str">
        <x:v>Qore DTVM</x:v>
      </x:c>
      <x:c r="G3261" s="168" t="str">
        <x:v>Não identificado</x:v>
      </x:c>
      <x:c r="H3261" s="168" t="str">
        <x:v>Outros</x:v>
      </x:c>
      <x:c r="I3261" s="168" t="str">
        <x:v>Multicarteira Outros</x:v>
      </x:c>
      <x:c r="J3261" s="168" t="str">
        <x:v>CI</x:v>
      </x:c>
      <x:c r="K3261" s="174" t="n">
        <x:v>2</x:v>
      </x:c>
      <x:c r="L3261" s="187" t="str">
        <x:v>Proxy multicedente/multissacado — revisar</x:v>
      </x:c>
    </x:row>
    <x:row r="3262">
      <x:c r="A3262" s="177" t="str">
        <x:v>56.746.022/0001-50</x:v>
      </x:c>
      <x:c r="B3262" s="168" t="str">
        <x:v>BJ FUNDO DE INVESTIMENTO EM DIREITOS CREDITÓRIOS</x:v>
      </x:c>
      <x:c r="C3262" s="190" t="n">
        <x:v>0</x:v>
      </x:c>
      <x:c r="D3262" s="168" t="str">
        <x:v>TERCON ASSET MANAGEMENT</x:v>
      </x:c>
      <x:c r="E3262" s="168" t="str">
        <x:f>IFERROR(INDEX('Classif Gestoras'!$H$6:$H$462,MATCH(D3262,'Classif Gestoras'!$A$6:$A$462,0)),"Não classificada")</x:f>
        <x:v>Independente</x:v>
      </x:c>
      <x:c r="F3262" s="168" t="str">
        <x:v>MASTER S/A CORRETORA</x:v>
      </x:c>
      <x:c r="G3262" s="168" t="str">
        <x:v>MASTER S/A CORRETORA DE CAMBIO, TITULOS E VALORES MOBILIARIOS</x:v>
      </x:c>
      <x:c r="H3262" s="168" t="str">
        <x:v>Fomento Mercantil</x:v>
      </x:c>
      <x:c r="I3262" s="168" t="str">
        <x:v>Fomento Mercantil</x:v>
      </x:c>
      <x:c r="J3262" s="168" t="str">
        <x:v>CI</x:v>
      </x:c>
      <x:c r="K3262" s="174" t="n">
        <x:v>1</x:v>
      </x:c>
      <x:c r="L3262" s="187" t="str">
        <x:v>Não classificado</x:v>
      </x:c>
    </x:row>
    <x:row r="3263">
      <x:c r="A3263" s="177" t="str">
        <x:v>60.252.007/0001-22</x:v>
      </x:c>
      <x:c r="B3263" s="168" t="str">
        <x:v>BAY FUNDO DE INVESTIMENTO EM DIREITOS CREDITÓRIOS</x:v>
      </x:c>
      <x:c r="C3263" s="190" t="n">
        <x:v>0</x:v>
      </x:c>
      <x:c r="D3263" s="168" t="str">
        <x:v>OURO PRETO INVESTIMENTOS</x:v>
      </x:c>
      <x:c r="E3263" s="168" t="str">
        <x:f>IFERROR(INDEX('Classif Gestoras'!$H$6:$H$462,MATCH(D3263,'Classif Gestoras'!$A$6:$A$462,0)),"Não classificada")</x:f>
        <x:v>Independente</x:v>
      </x:c>
      <x:c r="F3263" s="168" t="str">
        <x:v>Limine Trust Distribuidora de Titulos e Valores Mobiliá</x:v>
      </x:c>
      <x:c r="G3263" s="168" t="str">
        <x:v>LIMINE TRUST DISTRIBUIDORA DE TITULOS E VALORES MOBILIARIOS LTDA.</x:v>
      </x:c>
      <x:c r="H3263" s="168" t="str">
        <x:v>Financeiro</x:v>
      </x:c>
      <x:c r="I3263" s="168" t="str">
        <x:v>Multicarteira Financeiro</x:v>
      </x:c>
      <x:c r="J3263" s="168" t="str">
        <x:v>CI</x:v>
      </x:c>
      <x:c r="K3263" s="174" t="n">
        <x:v>3</x:v>
      </x:c>
      <x:c r="L3263" s="187" t="str">
        <x:v>Proxy multicedente/multissacado — revisar</x:v>
      </x:c>
    </x:row>
    <x:row r="3264">
      <x:c r="A3264" s="177" t="str">
        <x:v>65.880.344/0001-88</x:v>
      </x:c>
      <x:c r="B3264" s="168" t="str">
        <x:v>HCS VELA LASER FUNDO DE INVESTIMENTO EM DIREITOS CREDITÓRIOS RESPONSABILIDADE LIMITADA</x:v>
      </x:c>
      <x:c r="C3264" s="190" t="n">
        <x:v>0</x:v>
      </x:c>
      <x:c r="D3264" s="168" t="str">
        <x:v>HCS</x:v>
      </x:c>
      <x:c r="E3264" s="168" t="str">
        <x:f>IFERROR(INDEX('Classif Gestoras'!$H$6:$H$462,MATCH(D3264,'Classif Gestoras'!$A$6:$A$462,0)),"Não classificada")</x:f>
        <x:v>Independente</x:v>
      </x:c>
      <x:c r="F3264" s="168" t="str">
        <x:v>VÓRTX DTVM</x:v>
      </x:c>
      <x:c r="G3264" s="168" t="str">
        <x:v>VORTX DISTRIBUIDORA DE TITULOS E VALORES MOBILIARIOS LTDA.</x:v>
      </x:c>
      <x:c r="H3264" s="168" t="str">
        <x:v>Outros</x:v>
      </x:c>
      <x:c r="I3264" s="168" t="str">
        <x:v>Multicarteira Outros</x:v>
      </x:c>
      <x:c r="J3264" s="168" t="str">
        <x:v>CI</x:v>
      </x:c>
      <x:c r="K3264" s="174" t="n">
        <x:v>1</x:v>
      </x:c>
      <x:c r="L3264" s="187" t="str">
        <x:v>Proxy multicedente/multissacado — revisar</x:v>
      </x:c>
    </x:row>
    <x:row r="3265">
      <x:c r="A3265" s="177" t="str">
        <x:v>56.006.480/0001-52</x:v>
      </x:c>
      <x:c r="B3265" s="168" t="str">
        <x:v>RHODES FUNDO DE INVESTIMENTO EM DIREITOS CREDITÓRIOS</x:v>
      </x:c>
      <x:c r="C3265" s="190" t="n">
        <x:v>0</x:v>
      </x:c>
      <x:c r="D3265" s="168" t="str">
        <x:v>Positiva Investimentos Ltda</x:v>
      </x:c>
      <x:c r="E3265" s="168" t="str">
        <x:f>IFERROR(INDEX('Classif Gestoras'!$H$6:$H$462,MATCH(D3265,'Classif Gestoras'!$A$6:$A$462,0)),"Não classificada")</x:f>
        <x:v>Independente</x:v>
      </x:c>
      <x:c r="F3265" s="168" t="str">
        <x:v>PLANNER CV</x:v>
      </x:c>
      <x:c r="G3265" s="168" t="str">
        <x:v>QORE DISTRIBUIDORA DE TÍTULOS E VALORES MOBILIÁRIOS LTDA.</x:v>
      </x:c>
      <x:c r="H3265" s="168" t="str">
        <x:v>Outros</x:v>
      </x:c>
      <x:c r="I3265" s="168" t="str">
        <x:v>Multicarteira Outros</x:v>
      </x:c>
      <x:c r="J3265" s="168" t="str">
        <x:v>CI</x:v>
      </x:c>
      <x:c r="K3265" s="174" t="n">
        <x:v>1</x:v>
      </x:c>
      <x:c r="L3265" s="187" t="str">
        <x:v>Proxy multicedente/multissacado — revisar</x:v>
      </x:c>
    </x:row>
    <x:row r="3266">
      <x:c r="A3266" s="177" t="str">
        <x:v>42.921.964/0001-12</x:v>
      </x:c>
      <x:c r="B3266" s="168" t="str">
        <x:v>CNPJ 42921964000112</x:v>
      </x:c>
      <x:c r="C3266" s="190" t="n">
        <x:v>0</x:v>
      </x:c>
      <x:c r="D3266" s="168" t="str">
        <x:v>DAYCOVAL ASSET MANAG</x:v>
      </x:c>
      <x:c r="E3266" s="168" t="str">
        <x:f>IFERROR(INDEX('Classif Gestoras'!$H$6:$H$462,MATCH(D3266,'Classif Gestoras'!$A$6:$A$462,0)),"Não classificada")</x:f>
        <x:v>Ligada a banco</x:v>
      </x:c>
      <x:c r="F3266" s="168" t="str">
        <x:v>BANCO DAYCOVAL S/A</x:v>
      </x:c>
      <x:c r="G3266" s="168" t="str">
        <x:v>Não identificado</x:v>
      </x:c>
      <x:c r="H3266" s="168" t="str">
        <x:v>Financeiro</x:v>
      </x:c>
      <x:c r="I3266" s="168" t="str">
        <x:v>Multicarteira Financeiro</x:v>
      </x:c>
      <x:c r="J3266" s="168" t="str">
        <x:v>CI</x:v>
      </x:c>
      <x:c r="K3266" s="174"/>
      <x:c r="L3266" s="187" t="str">
        <x:v>Proxy multicedente/multissacado — revisar</x:v>
      </x:c>
    </x:row>
    <x:row r="3267">
      <x:c r="A3267" s="177" t="str">
        <x:v>60.261.285/0001-46</x:v>
      </x:c>
      <x:c r="B3267" s="168" t="str">
        <x:v>FUNDO DE INVESTIMENTO EM DIREITOS CREDITÓRIOS LEIRIA - RESPONSABILIDADE LIMITADA</x:v>
      </x:c>
      <x:c r="C3267" s="190" t="n">
        <x:v>0</x:v>
      </x:c>
      <x:c r="D3267" s="168" t="str">
        <x:v>Blue Solutions</x:v>
      </x:c>
      <x:c r="E3267" s="168" t="str">
        <x:f>IFERROR(INDEX('Classif Gestoras'!$H$6:$H$462,MATCH(D3267,'Classif Gestoras'!$A$6:$A$462,0)),"Não classificada")</x:f>
        <x:v>Independente</x:v>
      </x:c>
      <x:c r="F3267" s="168" t="str">
        <x:v>Banvox DTVM</x:v>
      </x:c>
      <x:c r="G3267" s="168" t="str">
        <x:v>BANVOX DISTRIBUIDORA DE TITULOS E VALORES MOBILIARIOS LTDA</x:v>
      </x:c>
      <x:c r="H3267" s="168" t="str">
        <x:v>Outros</x:v>
      </x:c>
      <x:c r="I3267" s="168" t="str">
        <x:v>Multicarteira Outros</x:v>
      </x:c>
      <x:c r="J3267" s="168" t="str">
        <x:v>CI</x:v>
      </x:c>
      <x:c r="K3267" s="174" t="n">
        <x:v>1</x:v>
      </x:c>
      <x:c r="L3267" s="187" t="str">
        <x:v>Proxy multicedente/multissacado — revisar</x:v>
      </x:c>
    </x:row>
    <x:row r="3268">
      <x:c r="A3268" s="177" t="str">
        <x:v>60.078.440/0001-93</x:v>
      </x:c>
      <x:c r="B3268" s="168" t="str">
        <x:v>ANTARES FUNDO DE INVESTIMENTO EM DIREITOS CREDITÓRIOS</x:v>
      </x:c>
      <x:c r="C3268" s="190" t="n">
        <x:v>0</x:v>
      </x:c>
      <x:c r="D3268" s="168" t="str">
        <x:v>Kanastra</x:v>
      </x:c>
      <x:c r="E3268" s="168" t="str">
        <x:f>IFERROR(INDEX('Classif Gestoras'!$H$6:$H$462,MATCH(D3268,'Classif Gestoras'!$A$6:$A$462,0)),"Não classificada")</x:f>
        <x:v>Independente</x:v>
      </x:c>
      <x:c r="F3268" s="168" t="str">
        <x:v>Limine Trust Distribuidora de Titulos e Valores Mobiliá</x:v>
      </x:c>
      <x:c r="G3268" s="168" t="str">
        <x:v>LIMINE TRUST DISTRIBUIDORA DE TITULOS E VALORES MOBILIARIOS LTDA.</x:v>
      </x:c>
      <x:c r="H3268" s="168" t="str">
        <x:v>Outros</x:v>
      </x:c>
      <x:c r="I3268" s="168" t="str">
        <x:v>Multicarteira Outros</x:v>
      </x:c>
      <x:c r="J3268" s="168" t="str">
        <x:v>CI</x:v>
      </x:c>
      <x:c r="K3268" s="174" t="n">
        <x:v>1</x:v>
      </x:c>
      <x:c r="L3268" s="187" t="str">
        <x:v>Proxy multicedente/multissacado — revisar</x:v>
      </x:c>
    </x:row>
    <x:row r="3269">
      <x:c r="A3269" s="177" t="str">
        <x:v>60.282.653/0001-32</x:v>
      </x:c>
      <x:c r="B3269" s="168" t="str">
        <x:v>VIATOR FUNDO DE INVESTIMENTO EM DIREITOS CREDITÓRIOS FEEDER RESPONSABILIDADE LIMITADA</x:v>
      </x:c>
      <x:c r="C3269" s="190" t="n">
        <x:v>0</x:v>
      </x:c>
      <x:c r="D3269" s="168" t="str">
        <x:v>GESTORA DE RECURSOS ID - GRID LTDA.</x:v>
      </x:c>
      <x:c r="E3269" s="168" t="str">
        <x:f>IFERROR(INDEX('Classif Gestoras'!$H$6:$H$462,MATCH(D3269,'Classif Gestoras'!$A$6:$A$462,0)),"Não classificada")</x:f>
        <x:v>Independente</x:v>
      </x:c>
      <x:c r="F3269" s="168" t="str">
        <x:v>ID Corretora de Títulos e Valores Mobiliários S.A.</x:v>
      </x:c>
      <x:c r="G3269" s="168" t="str">
        <x:v>ID CORRETORA DE TITULOS E VALORES MOBILIARIOS S.A.</x:v>
      </x:c>
      <x:c r="H3269" s="168" t="str">
        <x:v>Outros</x:v>
      </x:c>
      <x:c r="I3269" s="168" t="str">
        <x:v>Multicarteira Outros</x:v>
      </x:c>
      <x:c r="J3269" s="168" t="str">
        <x:v>CI</x:v>
      </x:c>
      <x:c r="K3269" s="174" t="n">
        <x:v>0</x:v>
      </x:c>
      <x:c r="L3269" s="187" t="str">
        <x:v>Proxy multicedente/multissacado — revisar</x:v>
      </x:c>
    </x:row>
    <x:row r="3270">
      <x:c r="A3270" s="177" t="str">
        <x:v>56.806.049/0001-90</x:v>
      </x:c>
      <x:c r="B3270" s="168" t="str">
        <x:v>CNPJ 56806049000190</x:v>
      </x:c>
      <x:c r="C3270" s="190" t="n">
        <x:v>0</x:v>
      </x:c>
      <x:c r="D3270" s="168" t="str">
        <x:v>OPEA GESTORA DE RECURSOS</x:v>
      </x:c>
      <x:c r="E3270" s="168" t="str">
        <x:f>IFERROR(INDEX('Classif Gestoras'!$H$6:$H$462,MATCH(D3270,'Classif Gestoras'!$A$6:$A$462,0)),"Não classificada")</x:f>
        <x:v>Independente</x:v>
      </x:c>
      <x:c r="F3270" s="168" t="str">
        <x:v>BANCO DAYCOVAL S/A</x:v>
      </x:c>
      <x:c r="G3270" s="168" t="str">
        <x:v>Não identificado</x:v>
      </x:c>
      <x:c r="H3270" s="168" t="str">
        <x:v>Financeiro</x:v>
      </x:c>
      <x:c r="I3270" s="168" t="str">
        <x:v>Não se aplica</x:v>
      </x:c>
      <x:c r="J3270" s="168" t="str">
        <x:v>CI</x:v>
      </x:c>
      <x:c r="K3270" s="174"/>
      <x:c r="L3270" s="187" t="str">
        <x:v>Não classificado</x:v>
      </x:c>
    </x:row>
    <x:row r="3271">
      <x:c r="A3271" s="177" t="str">
        <x:v>43.740.863/0001-08</x:v>
      </x:c>
      <x:c r="B3271" s="168" t="str">
        <x:v>MUFFY FUNDO DE INVESTIMENTO EM DIREITOS CREDITÓRIOS - NÃO PADRONIZADOS</x:v>
      </x:c>
      <x:c r="C3271" s="190" t="n">
        <x:v>0</x:v>
      </x:c>
      <x:c r="D3271" s="168" t="str">
        <x:v>Reag Administradora de Recursos Ltda</x:v>
      </x:c>
      <x:c r="E3271" s="168" t="str">
        <x:f>IFERROR(INDEX('Classif Gestoras'!$H$6:$H$462,MATCH(D3271,'Classif Gestoras'!$A$6:$A$462,0)),"Não classificada")</x:f>
        <x:v>Independente</x:v>
      </x:c>
      <x:c r="F3271" s="168" t="str">
        <x:v>REAG DTVM</x:v>
      </x:c>
      <x:c r="G3271" s="168" t="str">
        <x:v>REAG TRUST DISTRIBUIDORA DE TITULOS E VALORES MOBILIARIOS S.A.</x:v>
      </x:c>
      <x:c r="H3271" s="168" t="str">
        <x:v>Financeiro</x:v>
      </x:c>
      <x:c r="I3271" s="168" t="str">
        <x:v>Multicarteira Financeiro</x:v>
      </x:c>
      <x:c r="J3271" s="168" t="str">
        <x:v>CI</x:v>
      </x:c>
      <x:c r="K3271" s="174" t="n">
        <x:v>1</x:v>
      </x:c>
      <x:c r="L3271" s="187" t="str">
        <x:v>Proxy multicedente/multissacado — revisar</x:v>
      </x:c>
    </x:row>
    <x:row r="3272">
      <x:c r="A3272" s="177" t="str">
        <x:v>52.609.463/0001-59</x:v>
      </x:c>
      <x:c r="B3272" s="168" t="str">
        <x:v>STARK FUNDO DE INVESTIMENTO EM DIREITOS CREDITÓRIOS</x:v>
      </x:c>
      <x:c r="C3272" s="190" t="n">
        <x:v>0</x:v>
      </x:c>
      <x:c r="D3272" s="168" t="str">
        <x:v>Reag Jus</x:v>
      </x:c>
      <x:c r="E3272" s="168" t="str">
        <x:f>IFERROR(INDEX('Classif Gestoras'!$H$6:$H$462,MATCH(D3272,'Classif Gestoras'!$A$6:$A$462,0)),"Não classificada")</x:f>
        <x:v>Independente</x:v>
      </x:c>
      <x:c r="F3272" s="168" t="str">
        <x:v>REAG DTVM</x:v>
      </x:c>
      <x:c r="G3272" s="168" t="str">
        <x:v>REAG TRUST DISTRIBUIDORA DE TITULOS E VALORES MOBILIARIOS S.A.</x:v>
      </x:c>
      <x:c r="H3272" s="168" t="str">
        <x:v>Outros</x:v>
      </x:c>
      <x:c r="I3272" s="168" t="str">
        <x:v>Multicarteira Outros</x:v>
      </x:c>
      <x:c r="J3272" s="168" t="str">
        <x:v>CI</x:v>
      </x:c>
      <x:c r="K3272" s="174" t="n">
        <x:v>1</x:v>
      </x:c>
      <x:c r="L3272" s="187" t="str">
        <x:v>Proxy multicedente/multissacado — revisar</x:v>
      </x:c>
    </x:row>
    <x:row r="3273">
      <x:c r="A3273" s="177" t="str">
        <x:v>20.906.292/0001-33</x:v>
      </x:c>
      <x:c r="B3273" s="168" t="str">
        <x:v>TRUST FUNDO DE INVESTIMENTO EM DIREITOS CREDITÓRIOS</x:v>
      </x:c>
      <x:c r="C3273" s="190" t="n">
        <x:v>0</x:v>
      </x:c>
      <x:c r="D3273" s="168" t="str">
        <x:v>TERCON ASSET MANAGEMENT</x:v>
      </x:c>
      <x:c r="E3273" s="168" t="str">
        <x:f>IFERROR(INDEX('Classif Gestoras'!$H$6:$H$462,MATCH(D3273,'Classif Gestoras'!$A$6:$A$462,0)),"Não classificada")</x:f>
        <x:v>Independente</x:v>
      </x:c>
      <x:c r="F3273" s="168" t="str">
        <x:v>Limine Trust Distribuidora de Titulos e Valores Mobiliá</x:v>
      </x:c>
      <x:c r="G3273" s="168" t="str">
        <x:v>LIMINE TRUST DISTRIBUIDORA DE TITULOS E VALORES MOBILIARIOS LTDA.</x:v>
      </x:c>
      <x:c r="H3273" s="168" t="str">
        <x:v>Fomento Mercantil</x:v>
      </x:c>
      <x:c r="I3273" s="168" t="str">
        <x:v>Fomento Mercantil</x:v>
      </x:c>
      <x:c r="J3273" s="168" t="str">
        <x:v>CI</x:v>
      </x:c>
      <x:c r="K3273" s="174" t="n">
        <x:v>2</x:v>
      </x:c>
      <x:c r="L3273" s="187" t="str">
        <x:v>Não classificado</x:v>
      </x:c>
    </x:row>
    <x:row r="3274">
      <x:c r="A3274" s="177" t="str">
        <x:v>37.780.694/0001-37</x:v>
      </x:c>
      <x:c r="B3274" s="168" t="str">
        <x:v>SONAR PRECATÓRIOS FUNDO DE INVESTIMENTO EM DIREITOS CREDITÓRIOS</x:v>
      </x:c>
      <x:c r="C3274" s="190" t="n">
        <x:v>0</x:v>
      </x:c>
      <x:c r="D3274" s="168" t="str">
        <x:v>Sonar Investimentos</x:v>
      </x:c>
      <x:c r="E3274" s="168" t="str">
        <x:f>IFERROR(INDEX('Classif Gestoras'!$H$6:$H$462,MATCH(D3274,'Classif Gestoras'!$A$6:$A$462,0)),"Não classificada")</x:f>
        <x:v>Independente</x:v>
      </x:c>
      <x:c r="F3274" s="168" t="str">
        <x:v>Limine Trust Distribuidora de Titulos e Valores Mobiliá</x:v>
      </x:c>
      <x:c r="G3274" s="168" t="str">
        <x:v>LIMINE TRUST DISTRIBUIDORA DE TITULOS E VALORES MOBILIARIOS LTDA.</x:v>
      </x:c>
      <x:c r="H3274" s="168" t="str">
        <x:v>Outros</x:v>
      </x:c>
      <x:c r="I3274" s="168" t="str">
        <x:v>Multicarteira Outros</x:v>
      </x:c>
      <x:c r="J3274" s="168" t="str">
        <x:v>CI</x:v>
      </x:c>
      <x:c r="K3274" s="174" t="n">
        <x:v>16</x:v>
      </x:c>
      <x:c r="L3274" s="187" t="str">
        <x:v>Proxy multicedente/multissacado — revisar</x:v>
      </x:c>
    </x:row>
    <x:row r="3275">
      <x:c r="A3275" s="177" t="str">
        <x:v>55.686.549/0001-73</x:v>
      </x:c>
      <x:c r="B3275" s="168" t="str">
        <x:v>CNPJ 55686549000173</x:v>
      </x:c>
      <x:c r="C3275" s="190" t="n">
        <x:v>0</x:v>
      </x:c>
      <x:c r="D3275" s="168" t="str">
        <x:v>ARC Capital</x:v>
      </x:c>
      <x:c r="E3275" s="168" t="str">
        <x:f>IFERROR(INDEX('Classif Gestoras'!$H$6:$H$462,MATCH(D3275,'Classif Gestoras'!$A$6:$A$462,0)),"Não classificada")</x:f>
        <x:v>Independente</x:v>
      </x:c>
      <x:c r="F3275" s="168" t="str">
        <x:v>REAG DTVM</x:v>
      </x:c>
      <x:c r="G3275" s="168" t="str">
        <x:v>Não identificado</x:v>
      </x:c>
      <x:c r="H3275" s="168" t="str">
        <x:v>Financeiro</x:v>
      </x:c>
      <x:c r="I3275" s="168" t="str">
        <x:v>Não se aplica</x:v>
      </x:c>
      <x:c r="J3275" s="168" t="str">
        <x:v>CI</x:v>
      </x:c>
      <x:c r="K3275" s="174"/>
      <x:c r="L3275" s="187" t="str">
        <x:v>Não classificado</x:v>
      </x:c>
    </x:row>
    <x:row r="3276">
      <x:c r="A3276" s="177" t="str">
        <x:v>09.577.075/0001-04</x:v>
      </x:c>
      <x:c r="B3276" s="168" t="str">
        <x:v>CNPJ 09577075000104</x:v>
      </x:c>
      <x:c r="C3276" s="190" t="n">
        <x:v>0</x:v>
      </x:c>
      <x:c r="D3276" s="168" t="str">
        <x:v>Cultinvest Asset</x:v>
      </x:c>
      <x:c r="E3276" s="168" t="str">
        <x:f>IFERROR(INDEX('Classif Gestoras'!$H$6:$H$462,MATCH(D3276,'Classif Gestoras'!$A$6:$A$462,0)),"Não classificada")</x:f>
        <x:v>Independente</x:v>
      </x:c>
      <x:c r="F3276" s="168" t="str">
        <x:v>S3 Caceis Brasil Distribuidora de Títulos e Valores Mob</x:v>
      </x:c>
      <x:c r="G3276" s="168" t="str">
        <x:v>Não identificado</x:v>
      </x:c>
      <x:c r="H3276" s="168" t="str">
        <x:v>Financeiro</x:v>
      </x:c>
      <x:c r="I3276" s="168" t="str">
        <x:v>Financiamento de Veículos</x:v>
      </x:c>
      <x:c r="J3276" s="168" t="str">
        <x:v>CI</x:v>
      </x:c>
      <x:c r="K3276" s="174"/>
      <x:c r="L3276" s="187" t="str">
        <x:v>Não classificado</x:v>
      </x:c>
    </x:row>
    <x:row r="3277">
      <x:c r="A3277" s="177" t="str">
        <x:v>57.131.490/0001-82</x:v>
      </x:c>
      <x:c r="B3277" s="168" t="str">
        <x:v>CNPJ 57131490000182</x:v>
      </x:c>
      <x:c r="C3277" s="190" t="n">
        <x:v>0</x:v>
      </x:c>
      <x:c r="D3277" s="168" t="str">
        <x:v>FATOR INNOVATION LTDA</x:v>
      </x:c>
      <x:c r="E3277" s="168" t="str">
        <x:f>IFERROR(INDEX('Classif Gestoras'!$H$6:$H$462,MATCH(D3277,'Classif Gestoras'!$A$6:$A$462,0)),"Não classificada")</x:f>
        <x:v>Independente</x:v>
      </x:c>
      <x:c r="F3277" s="168" t="str">
        <x:v>Singulare</x:v>
      </x:c>
      <x:c r="G3277" s="168" t="str">
        <x:v>Não identificado</x:v>
      </x:c>
      <x:c r="H3277" s="168" t="str">
        <x:v>Agro, Indústria e Comércio</x:v>
      </x:c>
      <x:c r="I3277" s="168" t="str">
        <x:v>Não se aplica</x:v>
      </x:c>
      <x:c r="J3277" s="168" t="str">
        <x:v>CI</x:v>
      </x:c>
      <x:c r="K3277" s="174"/>
      <x:c r="L3277" s="187" t="str">
        <x:v>Não classificado</x:v>
      </x:c>
    </x:row>
    <x:row r="3278">
      <x:c r="A3278" s="177" t="str">
        <x:v>37.931.360/0001-17</x:v>
      </x:c>
      <x:c r="B3278" s="168" t="str">
        <x:v>CNPJ 37931360000117</x:v>
      </x:c>
      <x:c r="C3278" s="190" t="n">
        <x:v>0</x:v>
      </x:c>
      <x:c r="D3278" s="168" t="str">
        <x:v>BLUEWAVE ASSET LTDA</x:v>
      </x:c>
      <x:c r="E3278" s="168" t="str">
        <x:f>IFERROR(INDEX('Classif Gestoras'!$H$6:$H$462,MATCH(D3278,'Classif Gestoras'!$A$6:$A$462,0)),"Não classificada")</x:f>
        <x:v>Independente</x:v>
      </x:c>
      <x:c r="F3278" s="168" t="str">
        <x:v>VÓRTX DTVM</x:v>
      </x:c>
      <x:c r="G3278" s="168" t="str">
        <x:v>Não identificado</x:v>
      </x:c>
      <x:c r="H3278" s="168" t="str">
        <x:v>Agro, Indústria e Comércio</x:v>
      </x:c>
      <x:c r="I3278" s="168" t="str">
        <x:v>Recebíveis Comerciais</x:v>
      </x:c>
      <x:c r="J3278" s="168" t="str">
        <x:v>CI</x:v>
      </x:c>
      <x:c r="K3278" s="174"/>
      <x:c r="L3278" s="187" t="str">
        <x:v>Não classificado</x:v>
      </x:c>
    </x:row>
    <x:row r="3279">
      <x:c r="A3279" s="177" t="str">
        <x:v>32.156.003/0001-05</x:v>
      </x:c>
      <x:c r="B3279" s="168" t="str">
        <x:v>ATLÂNTICO CORPORATE FUNDO DE INVESTIMENTO EM DIREITOS CREDITÓRIOS NÃO - PADRONIZADOS</x:v>
      </x:c>
      <x:c r="C3279" s="190" t="n">
        <x:v>0</x:v>
      </x:c>
      <x:c r="D3279" s="168" t="str">
        <x:v>Hyperion</x:v>
      </x:c>
      <x:c r="E3279" s="168" t="str">
        <x:f>IFERROR(INDEX('Classif Gestoras'!$H$6:$H$462,MATCH(D3279,'Classif Gestoras'!$A$6:$A$462,0)),"Não classificada")</x:f>
        <x:v>Independente</x:v>
      </x:c>
      <x:c r="F3279" s="168" t="str">
        <x:v>SEFER DTVM</x:v>
      </x:c>
      <x:c r="G3279" s="168" t="str">
        <x:v>ID CORRETORA DE TITULOS E VALORES MOBILIARIOS S.A.</x:v>
      </x:c>
      <x:c r="H3279" s="168" t="str">
        <x:v>Outros</x:v>
      </x:c>
      <x:c r="I3279" s="168" t="str">
        <x:v>Multicarteira Outros</x:v>
      </x:c>
      <x:c r="J3279" s="168" t="str">
        <x:v>CI</x:v>
      </x:c>
      <x:c r="K3279" s="174" t="n">
        <x:v>2</x:v>
      </x:c>
      <x:c r="L3279" s="187" t="str">
        <x:v>Proxy multicedente/multissacado — revisar</x:v>
      </x:c>
    </x:row>
    <x:row r="3280">
      <x:c r="A3280" s="177" t="str">
        <x:v>42.317.295/0001-74</x:v>
      </x:c>
      <x:c r="B3280" s="168" t="str">
        <x:v>CONDOLIVRE FUNDO DE INVESTIMENTO EM DIREITOS CREDITÓRIOS - RESPONSABILIDADE LIMITADA</x:v>
      </x:c>
      <x:c r="C3280" s="190" t="n">
        <x:v>0</x:v>
      </x:c>
      <x:c r="D3280" s="168" t="str">
        <x:v>Kanastra</x:v>
      </x:c>
      <x:c r="E3280" s="168" t="str">
        <x:f>IFERROR(INDEX('Classif Gestoras'!$H$6:$H$462,MATCH(D3280,'Classif Gestoras'!$A$6:$A$462,0)),"Não classificada")</x:f>
        <x:v>Independente</x:v>
      </x:c>
      <x:c r="F3280" s="168" t="str">
        <x:v>Limine Trust Distribuidora de Titulos e Valores Mobiliá</x:v>
      </x:c>
      <x:c r="G3280" s="168" t="str">
        <x:v>VORTX DISTRIBUIDORA DE TITULOS E VALORES MOBILIARIOS LTDA.</x:v>
      </x:c>
      <x:c r="H3280" s="168" t="str">
        <x:v>Fomento Mercantil</x:v>
      </x:c>
      <x:c r="I3280" s="168" t="str">
        <x:v>Fomento Mercantil</x:v>
      </x:c>
      <x:c r="J3280" s="168" t="str">
        <x:v>CI</x:v>
      </x:c>
      <x:c r="K3280" s="174" t="n">
        <x:v>36</x:v>
      </x:c>
      <x:c r="L3280" s="187" t="str">
        <x:v>Não classificado</x:v>
      </x:c>
    </x:row>
    <x:row r="3281">
      <x:c r="A3281" s="177" t="str">
        <x:v>60.453.358/0001-00</x:v>
      </x:c>
      <x:c r="B3281" s="168" t="str">
        <x:v>CNPJ 60453358000100</x:v>
      </x:c>
      <x:c r="C3281" s="190" t="n">
        <x:v>0</x:v>
      </x:c>
      <x:c r="D3281" s="168" t="str">
        <x:v>Vega</x:v>
      </x:c>
      <x:c r="E3281" s="168" t="str">
        <x:f>IFERROR(INDEX('Classif Gestoras'!$H$6:$H$462,MATCH(D3281,'Classif Gestoras'!$A$6:$A$462,0)),"Não classificada")</x:f>
        <x:v>Independente</x:v>
      </x:c>
      <x:c r="F3281" s="168" t="str">
        <x:v>BTG Pactual Servicos Financeiros S/A DTVM</x:v>
      </x:c>
      <x:c r="G3281" s="168" t="str">
        <x:v>Não identificado</x:v>
      </x:c>
      <x:c r="H3281" s="168" t="str">
        <x:v>Outros</x:v>
      </x:c>
      <x:c r="I3281" s="168" t="str">
        <x:v>Multicarteira Outros</x:v>
      </x:c>
      <x:c r="J3281" s="168" t="str">
        <x:v>CIPC</x:v>
      </x:c>
      <x:c r="K3281" s="174"/>
      <x:c r="L3281" s="187" t="str">
        <x:v>Proxy multicedente/multissacado — revisar</x:v>
      </x:c>
    </x:row>
    <x:row r="3282">
      <x:c r="A3282" s="177" t="str">
        <x:v>52.112.288/0001-90</x:v>
      </x:c>
      <x:c r="B3282" s="168" t="str">
        <x:v>CNPJ 52112288000190</x:v>
      </x:c>
      <x:c r="C3282" s="190" t="n">
        <x:v>0</x:v>
      </x:c>
      <x:c r="D3282" s="168" t="str">
        <x:v>POLÍGONO CAPITAL LTDA.</x:v>
      </x:c>
      <x:c r="E3282" s="168" t="str">
        <x:f>IFERROR(INDEX('Classif Gestoras'!$H$6:$H$462,MATCH(D3282,'Classif Gestoras'!$A$6:$A$462,0)),"Não classificada")</x:f>
        <x:v>Independente</x:v>
      </x:c>
      <x:c r="F3282" s="168" t="str">
        <x:v>BTG Pactual Servicos Financeiros S/A DTVM</x:v>
      </x:c>
      <x:c r="G3282" s="168" t="str">
        <x:v>Não identificado</x:v>
      </x:c>
      <x:c r="H3282" s="168" t="str">
        <x:v>Fomento Mercantil</x:v>
      </x:c>
      <x:c r="I3282" s="168" t="str">
        <x:v>Fomento Mercantil</x:v>
      </x:c>
      <x:c r="J3282" s="168" t="str">
        <x:v>CI</x:v>
      </x:c>
      <x:c r="K3282" s="174"/>
      <x:c r="L3282" s="187" t="str">
        <x:v>Não classificado</x:v>
      </x:c>
    </x:row>
    <x:row r="3283">
      <x:c r="A3283" s="177" t="str">
        <x:v>42.299.306/0001-30</x:v>
      </x:c>
      <x:c r="B3283" s="168" t="str">
        <x:v>CNPJ 42299306000130</x:v>
      </x:c>
      <x:c r="C3283" s="190" t="n">
        <x:v>0</x:v>
      </x:c>
      <x:c r="D3283" s="168" t="str">
        <x:v>GENIAL GESTÃO LTDA.</x:v>
      </x:c>
      <x:c r="E3283" s="168" t="str">
        <x:f>IFERROR(INDEX('Classif Gestoras'!$H$6:$H$462,MATCH(D3283,'Classif Gestoras'!$A$6:$A$462,0)),"Não classificada")</x:f>
        <x:v>Ligada a banco</x:v>
      </x:c>
      <x:c r="F3283" s="168" t="str">
        <x:v>Banco Genial S.A.</x:v>
      </x:c>
      <x:c r="G3283" s="168" t="str">
        <x:v>Não identificado</x:v>
      </x:c>
      <x:c r="H3283" s="168" t="str">
        <x:v>Financeiro</x:v>
      </x:c>
      <x:c r="I3283" s="168" t="str">
        <x:v>Crédito Pessoal</x:v>
      </x:c>
      <x:c r="J3283" s="168" t="str">
        <x:v>CI</x:v>
      </x:c>
      <x:c r="K3283" s="174"/>
      <x:c r="L3283" s="187" t="str">
        <x:v>Não classificado</x:v>
      </x:c>
    </x:row>
    <x:row r="3284">
      <x:c r="A3284" s="177" t="str">
        <x:v>32.113.853/0001-26</x:v>
      </x:c>
      <x:c r="B3284" s="168" t="str">
        <x:v>CNPJ 32113853000126</x:v>
      </x:c>
      <x:c r="C3284" s="190" t="n">
        <x:v>0</x:v>
      </x:c>
      <x:c r="D3284" s="168" t="str">
        <x:v>OURO PRETO INVESTIMENTOS</x:v>
      </x:c>
      <x:c r="E3284" s="168" t="str">
        <x:f>IFERROR(INDEX('Classif Gestoras'!$H$6:$H$462,MATCH(D3284,'Classif Gestoras'!$A$6:$A$462,0)),"Não classificada")</x:f>
        <x:v>Independente</x:v>
      </x:c>
      <x:c r="F3284" s="168" t="str">
        <x:v>MONETAR DISTRIBUIDORA DE TITUL</x:v>
      </x:c>
      <x:c r="G3284" s="168" t="str">
        <x:v>Não identificado</x:v>
      </x:c>
      <x:c r="H3284" s="168" t="str">
        <x:v>Agro, Indústria e Comércio</x:v>
      </x:c>
      <x:c r="I3284" s="168" t="str">
        <x:v>Infraestrutura</x:v>
      </x:c>
      <x:c r="J3284" s="168" t="str">
        <x:v>CI</x:v>
      </x:c>
      <x:c r="K3284" s="174"/>
      <x:c r="L3284" s="187" t="str">
        <x:v>Não classificado</x:v>
      </x:c>
    </x:row>
    <x:row r="3285">
      <x:c r="A3285" s="177" t="str">
        <x:v>55.657.680/0001-02</x:v>
      </x:c>
      <x:c r="B3285" s="168" t="str">
        <x:v>CNPJ 55657680000102</x:v>
      </x:c>
      <x:c r="C3285" s="190" t="n">
        <x:v>0</x:v>
      </x:c>
      <x:c r="D3285" s="168" t="str">
        <x:v>Bocom BBM Corretora de Câmbio e Valores Mobiliários S.A</x:v>
      </x:c>
      <x:c r="E3285" s="168" t="str">
        <x:f>IFERROR(INDEX('Classif Gestoras'!$H$6:$H$462,MATCH(D3285,'Classif Gestoras'!$A$6:$A$462,0)),"Não classificada")</x:f>
        <x:v>Independente</x:v>
      </x:c>
      <x:c r="F3285" s="168" t="str">
        <x:v>BNY MELLON SERVICOS</x:v>
      </x:c>
      <x:c r="G3285" s="168" t="str">
        <x:v>Não identificado</x:v>
      </x:c>
      <x:c r="H3285" s="168" t="str">
        <x:v>Agro, Indústria e Comércio</x:v>
      </x:c>
      <x:c r="I3285" s="168" t="str">
        <x:v>Não se aplica</x:v>
      </x:c>
      <x:c r="J3285" s="168" t="str">
        <x:v>CI</x:v>
      </x:c>
      <x:c r="K3285" s="174"/>
      <x:c r="L3285" s="187" t="str">
        <x:v>Não classificado</x:v>
      </x:c>
    </x:row>
    <x:row r="3286">
      <x:c r="A3286" s="177" t="str">
        <x:v>55.626.390/0001-00</x:v>
      </x:c>
      <x:c r="B3286" s="168" t="str">
        <x:v>OX FUNDO DE INVESTIMENTO EM DIREITOS CREDITÓRIOS</x:v>
      </x:c>
      <x:c r="C3286" s="190" t="n">
        <x:v>0</x:v>
      </x:c>
      <x:c r="D3286" s="168" t="str">
        <x:v>ASSET MANAGEMENT</x:v>
      </x:c>
      <x:c r="E3286" s="168" t="str">
        <x:f>IFERROR(INDEX('Classif Gestoras'!$H$6:$H$462,MATCH(D3286,'Classif Gestoras'!$A$6:$A$462,0)),"Não classificada")</x:f>
        <x:v>Independente</x:v>
      </x:c>
      <x:c r="F3286" s="168" t="str">
        <x:v>AZUMI DISTRIBUIDORA DE TÍTULOS E VALORES MOBILIÁRIOS LT</x:v>
      </x:c>
      <x:c r="G3286" s="168" t="str">
        <x:v>AZUMI DISTRIBUIDORA DE TÍTULOS E VALORES MOBILIÁRIOS LTDA.</x:v>
      </x:c>
      <x:c r="H3286" s="168" t="str">
        <x:v>Fomento Mercantil</x:v>
      </x:c>
      <x:c r="I3286" s="168" t="str">
        <x:v>Fomento Mercantil</x:v>
      </x:c>
      <x:c r="J3286" s="168" t="str">
        <x:v>CI</x:v>
      </x:c>
      <x:c r="K3286" s="174" t="n">
        <x:v>1</x:v>
      </x:c>
      <x:c r="L3286" s="187" t="str">
        <x:v>Não classificado</x:v>
      </x:c>
    </x:row>
    <x:row r="3287">
      <x:c r="A3287" s="177" t="str">
        <x:v>57.187.234/0001-07</x:v>
      </x:c>
      <x:c r="B3287" s="168" t="str">
        <x:v>CNPJ 57187234000107</x:v>
      </x:c>
      <x:c r="C3287" s="190" t="n">
        <x:v>0</x:v>
      </x:c>
      <x:c r="D3287" s="168" t="str">
        <x:v>Milênio Capital</x:v>
      </x:c>
      <x:c r="E3287" s="168" t="str">
        <x:f>IFERROR(INDEX('Classif Gestoras'!$H$6:$H$462,MATCH(D3287,'Classif Gestoras'!$A$6:$A$462,0)),"Não classificada")</x:f>
        <x:v>Independente</x:v>
      </x:c>
      <x:c r="F3287" s="168" t="str">
        <x:v>Oliveira Trust DTVM</x:v>
      </x:c>
      <x:c r="G3287" s="168" t="str">
        <x:v>Não identificado</x:v>
      </x:c>
      <x:c r="H3287" s="168" t="str">
        <x:v>Agro, Indústria e Comércio</x:v>
      </x:c>
      <x:c r="I3287" s="168" t="str">
        <x:v>Não se aplica</x:v>
      </x:c>
      <x:c r="J3287" s="168" t="str">
        <x:v>CI</x:v>
      </x:c>
      <x:c r="K3287" s="174"/>
      <x:c r="L3287" s="187" t="str">
        <x:v>Não classificado</x:v>
      </x:c>
    </x:row>
    <x:row r="3288">
      <x:c r="A3288" s="177" t="str">
        <x:v>55.609.516/0001-20</x:v>
      </x:c>
      <x:c r="B3288" s="168" t="str">
        <x:v>SIGHT FUNDO DE INVESTIMENTO EM DIREITOS CREDITÓRIOS RESPONSABILIDADE LIMITADA</x:v>
      </x:c>
      <x:c r="C3288" s="190" t="n">
        <x:v>0</x:v>
      </x:c>
      <x:c r="D3288" s="168" t="str">
        <x:v>MAM ASSET MANAGEMENT</x:v>
      </x:c>
      <x:c r="E3288" s="168" t="str">
        <x:f>IFERROR(INDEX('Classif Gestoras'!$H$6:$H$462,MATCH(D3288,'Classif Gestoras'!$A$6:$A$462,0)),"Não classificada")</x:f>
        <x:v>Independente</x:v>
      </x:c>
      <x:c r="F3288" s="168" t="str">
        <x:v>MASTER S/A CORRETORA</x:v>
      </x:c>
      <x:c r="G3288" s="168" t="str">
        <x:v>ID CORRETORA DE TITULOS E VALORES MOBILIARIOS S.A.</x:v>
      </x:c>
      <x:c r="H3288" s="168" t="str">
        <x:v>Agro, Indústria e Comércio</x:v>
      </x:c>
      <x:c r="I3288" s="168" t="str">
        <x:v>Recebíveis Comerciais</x:v>
      </x:c>
      <x:c r="J3288" s="168" t="str">
        <x:v>CI</x:v>
      </x:c>
      <x:c r="K3288" s="174" t="n">
        <x:v>1</x:v>
      </x:c>
      <x:c r="L3288" s="187" t="str">
        <x:v>Não classificado</x:v>
      </x:c>
    </x:row>
    <x:row r="3289">
      <x:c r="A3289" s="177" t="str">
        <x:v>32.024.768/0001-91</x:v>
      </x:c>
      <x:c r="B3289" s="168" t="str">
        <x:v>CNPJ 32024768000191</x:v>
      </x:c>
      <x:c r="C3289" s="190" t="n">
        <x:v>0</x:v>
      </x:c>
      <x:c r="D3289" s="168" t="str">
        <x:v>GFS INVESTIMENTOS</x:v>
      </x:c>
      <x:c r="E3289" s="168" t="str">
        <x:f>IFERROR(INDEX('Classif Gestoras'!$H$6:$H$462,MATCH(D3289,'Classif Gestoras'!$A$6:$A$462,0)),"Não classificada")</x:f>
        <x:v>Independente</x:v>
      </x:c>
      <x:c r="F3289" s="168" t="str">
        <x:v>PLANNER CV</x:v>
      </x:c>
      <x:c r="G3289" s="168" t="str">
        <x:v>Não identificado</x:v>
      </x:c>
      <x:c r="H3289" s="168" t="str">
        <x:v>Fomento Mercantil</x:v>
      </x:c>
      <x:c r="I3289" s="168" t="str">
        <x:v>Fomento Mercantil</x:v>
      </x:c>
      <x:c r="J3289" s="168" t="str">
        <x:v>CI</x:v>
      </x:c>
      <x:c r="K3289" s="174"/>
      <x:c r="L3289" s="187" t="str">
        <x:v>Não classificado</x:v>
      </x:c>
    </x:row>
    <x:row r="3290">
      <x:c r="A3290" s="177" t="str">
        <x:v>44.395.626/0001-10</x:v>
      </x:c>
      <x:c r="B3290" s="168" t="str">
        <x:v>CNPJ 44395626000110</x:v>
      </x:c>
      <x:c r="C3290" s="190" t="n">
        <x:v>0</x:v>
      </x:c>
      <x:c r="D3290" s="168" t="str">
        <x:v>Iggy Investimentos</x:v>
      </x:c>
      <x:c r="E3290" s="168" t="str">
        <x:f>IFERROR(INDEX('Classif Gestoras'!$H$6:$H$462,MATCH(D3290,'Classif Gestoras'!$A$6:$A$462,0)),"Não classificada")</x:f>
        <x:v>Independente</x:v>
      </x:c>
      <x:c r="F3290" s="168" t="str">
        <x:v>Singulare</x:v>
      </x:c>
      <x:c r="G3290" s="168" t="str">
        <x:v>Não identificado</x:v>
      </x:c>
      <x:c r="H3290" s="168" t="str">
        <x:v>Fomento Mercantil</x:v>
      </x:c>
      <x:c r="I3290" s="168" t="str">
        <x:v>Fomento Mercantil</x:v>
      </x:c>
      <x:c r="J3290" s="168" t="str">
        <x:v>CI</x:v>
      </x:c>
      <x:c r="K3290" s="174"/>
      <x:c r="L3290" s="187" t="str">
        <x:v>Não classificado</x:v>
      </x:c>
    </x:row>
    <x:row r="3291">
      <x:c r="A3291" s="177" t="str">
        <x:v>52.719.781/0001-72</x:v>
      </x:c>
      <x:c r="B3291" s="168" t="str">
        <x:v>ST 3001 FUNDO DE INVESTIMENTO EM DIREITOS CREDITÓRIOS</x:v>
      </x:c>
      <x:c r="C3291" s="190" t="n">
        <x:v>0</x:v>
      </x:c>
      <x:c r="D3291" s="168" t="str">
        <x:v>Strata Capital</x:v>
      </x:c>
      <x:c r="E3291" s="168" t="str">
        <x:f>IFERROR(INDEX('Classif Gestoras'!$H$6:$H$462,MATCH(D3291,'Classif Gestoras'!$A$6:$A$462,0)),"Não classificada")</x:f>
        <x:v>Independente</x:v>
      </x:c>
      <x:c r="F3291" s="168" t="str">
        <x:v>PLANNER CV</x:v>
      </x:c>
      <x:c r="G3291" s="168" t="str">
        <x:v>ID CORRETORA DE TITULOS E VALORES MOBILIARIOS S.A.</x:v>
      </x:c>
      <x:c r="H3291" s="168" t="str">
        <x:v>Outros</x:v>
      </x:c>
      <x:c r="I3291" s="168" t="str">
        <x:v>Multicarteira Outros</x:v>
      </x:c>
      <x:c r="J3291" s="168" t="str">
        <x:v>CI</x:v>
      </x:c>
      <x:c r="K3291" s="174" t="n">
        <x:v>2</x:v>
      </x:c>
      <x:c r="L3291" s="187" t="str">
        <x:v>Proxy multicedente/multissacado — revisar</x:v>
      </x:c>
    </x:row>
    <x:row r="3292">
      <x:c r="A3292" s="177" t="str">
        <x:v>44.479.362/0001-82</x:v>
      </x:c>
      <x:c r="B3292" s="168" t="str">
        <x:v>GUAJUVIRA FUNDO DE INVESTIMENTO EM DIREITOS CREDITÓRIOS NÃO-PADRONIZADOS - RESPONSABILIDADE LIMITADA</x:v>
      </x:c>
      <x:c r="C3292" s="190" t="n">
        <x:v>0</x:v>
      </x:c>
      <x:c r="D3292" s="168" t="str">
        <x:v>Kanastra</x:v>
      </x:c>
      <x:c r="E3292" s="168" t="str">
        <x:f>IFERROR(INDEX('Classif Gestoras'!$H$6:$H$462,MATCH(D3292,'Classif Gestoras'!$A$6:$A$462,0)),"Não classificada")</x:f>
        <x:v>Independente</x:v>
      </x:c>
      <x:c r="F3292" s="168" t="str">
        <x:v>Limine Trust Distribuidora de Titulos e Valores Mobiliá</x:v>
      </x:c>
      <x:c r="G3292" s="168" t="str">
        <x:v>LIMINE TRUST DISTRIBUIDORA DE TITULOS E VALORES MOBILIARIOS LTDA.</x:v>
      </x:c>
      <x:c r="H3292" s="168" t="str">
        <x:v>Outros</x:v>
      </x:c>
      <x:c r="I3292" s="168" t="str">
        <x:v>Multicarteira Outros</x:v>
      </x:c>
      <x:c r="J3292" s="168" t="str">
        <x:v>CI</x:v>
      </x:c>
      <x:c r="K3292" s="174" t="n">
        <x:v>0</x:v>
      </x:c>
      <x:c r="L3292" s="187" t="str">
        <x:v>Proxy multicedente/multissacado — revisar</x:v>
      </x:c>
    </x:row>
    <x:row r="3293">
      <x:c r="A3293" s="177" t="str">
        <x:v>57.251.224/0001-93</x:v>
      </x:c>
      <x:c r="B3293" s="168" t="str">
        <x:v>CNPJ 57251224000193</x:v>
      </x:c>
      <x:c r="C3293" s="190" t="n">
        <x:v>0</x:v>
      </x:c>
      <x:c r="D3293" s="168" t="str">
        <x:v>Milênio Capital</x:v>
      </x:c>
      <x:c r="E3293" s="168" t="str">
        <x:f>IFERROR(INDEX('Classif Gestoras'!$H$6:$H$462,MATCH(D3293,'Classif Gestoras'!$A$6:$A$462,0)),"Não classificada")</x:f>
        <x:v>Independente</x:v>
      </x:c>
      <x:c r="F3293" s="168" t="str">
        <x:v>Oliveira Trust DTVM</x:v>
      </x:c>
      <x:c r="G3293" s="168" t="str">
        <x:v>Não identificado</x:v>
      </x:c>
      <x:c r="H3293" s="168" t="str">
        <x:v>Agro, Indústria e Comércio</x:v>
      </x:c>
      <x:c r="I3293" s="168" t="str">
        <x:v>Não se aplica</x:v>
      </x:c>
      <x:c r="J3293" s="168" t="str">
        <x:v>CI</x:v>
      </x:c>
      <x:c r="K3293" s="174"/>
      <x:c r="L3293" s="187" t="str">
        <x:v>Não classificado</x:v>
      </x:c>
    </x:row>
    <x:row r="3294">
      <x:c r="A3294" s="177" t="str">
        <x:v>44.585.657/0001-33</x:v>
      </x:c>
      <x:c r="B3294" s="168" t="str">
        <x:v>MONET FUNDO DE INVESTIMENTO EM DIREITOS CREDITÓRIOS NÃO PADRONIZADOS</x:v>
      </x:c>
      <x:c r="C3294" s="190" t="n">
        <x:v>0</x:v>
      </x:c>
      <x:c r="D3294" s="168" t="str">
        <x:v>ASSET MANAGEMENT</x:v>
      </x:c>
      <x:c r="E3294" s="168" t="str">
        <x:f>IFERROR(INDEX('Classif Gestoras'!$H$6:$H$462,MATCH(D3294,'Classif Gestoras'!$A$6:$A$462,0)),"Não classificada")</x:f>
        <x:v>Independente</x:v>
      </x:c>
      <x:c r="F3294" s="168" t="str">
        <x:v>AZUMI DISTRIBUIDORA DE TÍTULOS E VALORES MOBILIÁRIOS LT</x:v>
      </x:c>
      <x:c r="G3294" s="168" t="str">
        <x:v>AZUMI DISTRIBUIDORA DE TÍTULOS E VALORES MOBILIÁRIOS LTDA.</x:v>
      </x:c>
      <x:c r="H3294" s="168" t="str">
        <x:v>Outros</x:v>
      </x:c>
      <x:c r="I3294" s="168" t="str">
        <x:v>Multicarteira Outros</x:v>
      </x:c>
      <x:c r="J3294" s="168" t="str">
        <x:v>CI</x:v>
      </x:c>
      <x:c r="K3294" s="174" t="n">
        <x:v>0</x:v>
      </x:c>
      <x:c r="L3294" s="187" t="str">
        <x:v>Proxy multicedente/multissacado — revisar</x:v>
      </x:c>
    </x:row>
    <x:row r="3295">
      <x:c r="A3295" s="177" t="str">
        <x:v>57.258.316/0001-03</x:v>
      </x:c>
      <x:c r="B3295" s="168" t="str">
        <x:v>CNPJ 57258316000103</x:v>
      </x:c>
      <x:c r="C3295" s="190" t="n">
        <x:v>0</x:v>
      </x:c>
      <x:c r="D3295" s="168" t="str">
        <x:v>BAYCAP</x:v>
      </x:c>
      <x:c r="E3295" s="168" t="str">
        <x:f>IFERROR(INDEX('Classif Gestoras'!$H$6:$H$462,MATCH(D3295,'Classif Gestoras'!$A$6:$A$462,0)),"Não classificada")</x:f>
        <x:v>Independente</x:v>
      </x:c>
      <x:c r="F3295" s="168" t="str">
        <x:v>Limine Trust Distribuidora de Titulos e Valores Mobiliá</x:v>
      </x:c>
      <x:c r="G3295" s="168" t="str">
        <x:v>Não identificado</x:v>
      </x:c>
      <x:c r="H3295" s="168" t="str">
        <x:v>Financeiro</x:v>
      </x:c>
      <x:c r="I3295" s="168" t="str">
        <x:v>Crédito Imobiliário</x:v>
      </x:c>
      <x:c r="J3295" s="168" t="str">
        <x:v>CI</x:v>
      </x:c>
      <x:c r="K3295" s="174"/>
      <x:c r="L3295" s="187" t="str">
        <x:v>Não classificado</x:v>
      </x:c>
    </x:row>
    <x:row r="3296">
      <x:c r="A3296" s="177" t="str">
        <x:v>57.259.989/0001-70</x:v>
      </x:c>
      <x:c r="B3296" s="168" t="str">
        <x:v>CNPJ 57259989000170</x:v>
      </x:c>
      <x:c r="C3296" s="190" t="n">
        <x:v>0</x:v>
      </x:c>
      <x:c r="D3296" s="168" t="str">
        <x:v>OPEA GESTORA DE RECURSOS</x:v>
      </x:c>
      <x:c r="E3296" s="168" t="str">
        <x:f>IFERROR(INDEX('Classif Gestoras'!$H$6:$H$462,MATCH(D3296,'Classif Gestoras'!$A$6:$A$462,0)),"Não classificada")</x:f>
        <x:v>Independente</x:v>
      </x:c>
      <x:c r="F3296" s="168" t="str">
        <x:v>Oliveira Trust DTVM</x:v>
      </x:c>
      <x:c r="G3296" s="168" t="str">
        <x:v>Não identificado</x:v>
      </x:c>
      <x:c r="H3296" s="168" t="str">
        <x:v>Agro, Indústria e Comércio</x:v>
      </x:c>
      <x:c r="I3296" s="168" t="str">
        <x:v>Não se aplica</x:v>
      </x:c>
      <x:c r="J3296" s="168" t="str">
        <x:v>CI</x:v>
      </x:c>
      <x:c r="K3296" s="174"/>
      <x:c r="L3296" s="187" t="str">
        <x:v>Não classificado</x:v>
      </x:c>
    </x:row>
    <x:row r="3297">
      <x:c r="A3297" s="177" t="str">
        <x:v>60.493.763/0001-43</x:v>
      </x:c>
      <x:c r="B3297" s="168" t="str">
        <x:v>CLM II FUNDO DE INVESTIMENTO EM DIREITOS CREDITÓRIOS MULTISSETORIAL</x:v>
      </x:c>
      <x:c r="C3297" s="190" t="n">
        <x:v>0</x:v>
      </x:c>
      <x:c r="D3297" s="168" t="str">
        <x:v>OURO PRETO INVESTIMENTOS</x:v>
      </x:c>
      <x:c r="E3297" s="168" t="str">
        <x:f>IFERROR(INDEX('Classif Gestoras'!$H$6:$H$462,MATCH(D3297,'Classif Gestoras'!$A$6:$A$462,0)),"Não classificada")</x:f>
        <x:v>Independente</x:v>
      </x:c>
      <x:c r="F3297" s="168" t="str">
        <x:v>Limine Trust Distribuidora de Titulos e Valores Mobiliá</x:v>
      </x:c>
      <x:c r="G3297" s="168" t="str">
        <x:v>LIMINE TRUST DISTRIBUIDORA DE TITULOS E VALORES MOBILIARIOS LTDA.</x:v>
      </x:c>
      <x:c r="H3297" s="168" t="str">
        <x:v>Fomento Mercantil</x:v>
      </x:c>
      <x:c r="I3297" s="168" t="str">
        <x:v>Fomento Mercantil</x:v>
      </x:c>
      <x:c r="J3297" s="168" t="str">
        <x:v>CI</x:v>
      </x:c>
      <x:c r="K3297" s="174" t="n">
        <x:v>3</x:v>
      </x:c>
      <x:c r="L3297" s="187" t="str">
        <x:v>Não classificado</x:v>
      </x:c>
    </x:row>
    <x:row r="3298">
      <x:c r="A3298" s="177" t="str">
        <x:v>57.679.175/0001-94</x:v>
      </x:c>
      <x:c r="B3298" s="168" t="str">
        <x:v>ZANDVOORT FUNDO DE INVESTIMENTO EM DIREITOS CREDITÓRIOS NÃO PADRONIZADOS</x:v>
      </x:c>
      <x:c r="C3298" s="190" t="n">
        <x:v>0</x:v>
      </x:c>
      <x:c r="D3298" s="168" t="str">
        <x:v>Reag Jus</x:v>
      </x:c>
      <x:c r="E3298" s="168" t="str">
        <x:f>IFERROR(INDEX('Classif Gestoras'!$H$6:$H$462,MATCH(D3298,'Classif Gestoras'!$A$6:$A$462,0)),"Não classificada")</x:f>
        <x:v>Independente</x:v>
      </x:c>
      <x:c r="F3298" s="168" t="str">
        <x:v>REAG DTVM</x:v>
      </x:c>
      <x:c r="G3298" s="168" t="str">
        <x:v>REAG TRUST DISTRIBUIDORA DE TITULOS E VALORES MOBILIARIOS S.A.</x:v>
      </x:c>
      <x:c r="H3298" s="168" t="str">
        <x:v>Outros</x:v>
      </x:c>
      <x:c r="I3298" s="168" t="str">
        <x:v>Multicarteira Outros</x:v>
      </x:c>
      <x:c r="J3298" s="168" t="str">
        <x:v>CI</x:v>
      </x:c>
      <x:c r="K3298" s="174" t="n">
        <x:v>1</x:v>
      </x:c>
      <x:c r="L3298" s="187" t="str">
        <x:v>Proxy multicedente/multissacado — revisar</x:v>
      </x:c>
    </x:row>
    <x:row r="3299">
      <x:c r="A3299" s="177" t="str">
        <x:v>36.977.475/0001-80</x:v>
      </x:c>
      <x:c r="B3299" s="168" t="str">
        <x:v>CNPJ 36977475000180</x:v>
      </x:c>
      <x:c r="C3299" s="190" t="n">
        <x:v>0</x:v>
      </x:c>
      <x:c r="D3299" s="168" t="str">
        <x:v>Tyr Gestao de Recursos Ltda</x:v>
      </x:c>
      <x:c r="E3299" s="168" t="str">
        <x:f>IFERROR(INDEX('Classif Gestoras'!$H$6:$H$462,MATCH(D3299,'Classif Gestoras'!$A$6:$A$462,0)),"Não classificada")</x:f>
        <x:v>Independente</x:v>
      </x:c>
      <x:c r="F3299" s="168" t="str">
        <x:v>Intra Investimentos Distribuidora de Títulos e Valores Mobiliários LTDA.</x:v>
      </x:c>
      <x:c r="G3299" s="168" t="str">
        <x:v>Não identificado</x:v>
      </x:c>
      <x:c r="H3299" s="168" t="str">
        <x:v>Fomento Mercantil</x:v>
      </x:c>
      <x:c r="I3299" s="168" t="str">
        <x:v>Fomento Mercantil</x:v>
      </x:c>
      <x:c r="J3299" s="168" t="str">
        <x:v>CI</x:v>
      </x:c>
      <x:c r="K3299" s="174"/>
      <x:c r="L3299" s="187" t="str">
        <x:v>Não classificado</x:v>
      </x:c>
    </x:row>
    <x:row r="3300">
      <x:c r="A3300" s="177" t="str">
        <x:v>42.246.784/0001-82</x:v>
      </x:c>
      <x:c r="B3300" s="168" t="str">
        <x:v>CNPJ 42246784000182</x:v>
      </x:c>
      <x:c r="C3300" s="190" t="n">
        <x:v>0</x:v>
      </x:c>
      <x:c r="D3300" s="168" t="str">
        <x:v>TAG Investimentos</x:v>
      </x:c>
      <x:c r="E3300" s="168" t="str">
        <x:f>IFERROR(INDEX('Classif Gestoras'!$H$6:$H$462,MATCH(D3300,'Classif Gestoras'!$A$6:$A$462,0)),"Não classificada")</x:f>
        <x:v>Independente</x:v>
      </x:c>
      <x:c r="F3300" s="168" t="str">
        <x:v>VÓRTX DTVM</x:v>
      </x:c>
      <x:c r="G3300" s="168" t="str">
        <x:v>Não identificado</x:v>
      </x:c>
      <x:c r="H3300" s="168" t="str">
        <x:v>Outros</x:v>
      </x:c>
      <x:c r="I3300" s="168" t="str">
        <x:v>Multicarteira Outros</x:v>
      </x:c>
      <x:c r="J3300" s="168" t="str">
        <x:v>CI</x:v>
      </x:c>
      <x:c r="K3300" s="174"/>
      <x:c r="L3300" s="187" t="str">
        <x:v>Proxy multicedente/multissacado — revisar</x:v>
      </x:c>
    </x:row>
    <x:row r="3301">
      <x:c r="A3301" s="177" t="str">
        <x:v>57.268.846/0001-24</x:v>
      </x:c>
      <x:c r="B3301" s="168" t="str">
        <x:v>FANGIO FUNDO DE INVESTIMENTO EM DIREITOS CREDITÓRIOS</x:v>
      </x:c>
      <x:c r="C3301" s="190" t="n">
        <x:v>0</x:v>
      </x:c>
      <x:c r="D3301" s="168" t="str">
        <x:v>Reag Jus</x:v>
      </x:c>
      <x:c r="E3301" s="168" t="str">
        <x:f>IFERROR(INDEX('Classif Gestoras'!$H$6:$H$462,MATCH(D3301,'Classif Gestoras'!$A$6:$A$462,0)),"Não classificada")</x:f>
        <x:v>Independente</x:v>
      </x:c>
      <x:c r="F3301" s="168" t="str">
        <x:v>REAG DTVM</x:v>
      </x:c>
      <x:c r="G3301" s="168" t="str">
        <x:v>REAG TRUST DISTRIBUIDORA DE TITULOS E VALORES MOBILIARIOS S.A.</x:v>
      </x:c>
      <x:c r="H3301" s="168" t="str">
        <x:v>Outros</x:v>
      </x:c>
      <x:c r="I3301" s="168" t="str">
        <x:v>Multicarteira Outros</x:v>
      </x:c>
      <x:c r="J3301" s="168" t="str">
        <x:v>CI</x:v>
      </x:c>
      <x:c r="K3301" s="174" t="n">
        <x:v>1</x:v>
      </x:c>
      <x:c r="L3301" s="187" t="str">
        <x:v>Proxy multicedente/multissacado — revisar</x:v>
      </x:c>
    </x:row>
    <x:row r="3302">
      <x:c r="A3302" s="177" t="str">
        <x:v>37.036.208/0001-70</x:v>
      </x:c>
      <x:c r="B3302" s="168" t="str">
        <x:v>UNIQUE PRIME FUNDO DE INVESTIMENTO EM DIREITOS CREDITÓRIOS - RESPONSABILIDADE LIMITADA</x:v>
      </x:c>
      <x:c r="C3302" s="190" t="n">
        <x:v>0</x:v>
      </x:c>
      <x:c r="D3302" s="168" t="str">
        <x:v>Artesanal Investimentos</x:v>
      </x:c>
      <x:c r="E3302" s="168" t="str">
        <x:f>IFERROR(INDEX('Classif Gestoras'!$H$6:$H$462,MATCH(D3302,'Classif Gestoras'!$A$6:$A$462,0)),"Não classificada")</x:f>
        <x:v>Independente</x:v>
      </x:c>
      <x:c r="F3302" s="168" t="str">
        <x:v>Singulare</x:v>
      </x:c>
      <x:c r="G3302" s="168" t="str">
        <x:v>QI CORRETORA DE TÍTULOS E VALORES MOBILIÁRIOS S.A.</x:v>
      </x:c>
      <x:c r="H3302" s="168" t="str">
        <x:v>Outros</x:v>
      </x:c>
      <x:c r="I3302" s="168" t="str">
        <x:v>Fomento Mercantil</x:v>
      </x:c>
      <x:c r="J3302" s="168" t="str">
        <x:v>CI</x:v>
      </x:c>
      <x:c r="K3302" s="174" t="n">
        <x:v>0</x:v>
      </x:c>
      <x:c r="L3302" s="187" t="str">
        <x:v>Não classificado</x:v>
      </x:c>
    </x:row>
    <x:row r="3303">
      <x:c r="A3303" s="177" t="str">
        <x:v>42.357.817/0001-61</x:v>
      </x:c>
      <x:c r="B3303" s="168" t="str">
        <x:v>CONCRETO FUNDO DE INVESTIMENTO EM DIREITOS CREDITÓRIOS NÃO PADRONIZADOS RESP LIMITADA</x:v>
      </x:c>
      <x:c r="C3303" s="190" t="n">
        <x:v>0</x:v>
      </x:c>
      <x:c r="D3303" s="168" t="str">
        <x:v>SMART AGRO INVESTIMENTOS LTDA.</x:v>
      </x:c>
      <x:c r="E3303" s="168" t="str">
        <x:f>IFERROR(INDEX('Classif Gestoras'!$H$6:$H$462,MATCH(D3303,'Classif Gestoras'!$A$6:$A$462,0)),"Não classificada")</x:f>
        <x:v>Independente</x:v>
      </x:c>
      <x:c r="F3303" s="168" t="str">
        <x:v>SEFER DTVM</x:v>
      </x:c>
      <x:c r="G3303" s="168" t="str">
        <x:v>ID CORRETORA DE TITULOS E VALORES MOBILIARIOS S.A.</x:v>
      </x:c>
      <x:c r="H3303" s="168" t="str">
        <x:v>Fomento Mercantil</x:v>
      </x:c>
      <x:c r="I3303" s="168" t="str">
        <x:v>Fomento Mercantil</x:v>
      </x:c>
      <x:c r="J3303" s="168" t="str">
        <x:v>CI</x:v>
      </x:c>
      <x:c r="K3303" s="174" t="n">
        <x:v>18</x:v>
      </x:c>
      <x:c r="L3303" s="187" t="str">
        <x:v>Não classificado</x:v>
      </x:c>
    </x:row>
    <x:row r="3304">
      <x:c r="A3304" s="177" t="str">
        <x:v>64.988.177/0001-20</x:v>
      </x:c>
      <x:c r="B3304" s="168" t="str">
        <x:v>ALGARVE HANOVER FUNDO DE INVESTIMENTO EM DIREITOS CREDITÓRIOS RESPONSABILIDADE LIMITADA</x:v>
      </x:c>
      <x:c r="C3304" s="190" t="n">
        <x:v>0</x:v>
      </x:c>
      <x:c r="D3304" s="168" t="str">
        <x:v>Algarve Capital</x:v>
      </x:c>
      <x:c r="E3304" s="168" t="str">
        <x:f>IFERROR(INDEX('Classif Gestoras'!$H$6:$H$462,MATCH(D3304,'Classif Gestoras'!$A$6:$A$462,0)),"Não classificada")</x:f>
        <x:v>Independente</x:v>
      </x:c>
      <x:c r="F3304" s="168" t="str">
        <x:v>LIONS DTVM</x:v>
      </x:c>
      <x:c r="G3304" s="168" t="str">
        <x:v>LIONS TRUST DISTRIBUIDORA DE TÍTULOS E VALORES MOBILIÁRIOS LTDA.</x:v>
      </x:c>
      <x:c r="H3304" s="168" t="str">
        <x:v>Outros</x:v>
      </x:c>
      <x:c r="I3304" s="168" t="str">
        <x:v>Multicarteira Outros</x:v>
      </x:c>
      <x:c r="J3304" s="168" t="str">
        <x:v>CI</x:v>
      </x:c>
      <x:c r="K3304" s="174" t="n">
        <x:v>2</x:v>
      </x:c>
      <x:c r="L3304" s="187" t="str">
        <x:v>Proxy multicedente/multissacado — revisar</x:v>
      </x:c>
    </x:row>
    <x:row r="3305">
      <x:c r="A3305" s="177" t="str">
        <x:v>14.481.752/0001-26</x:v>
      </x:c>
      <x:c r="B3305" s="168" t="str">
        <x:v>CNPJ 14481752000126</x:v>
      </x:c>
      <x:c r="C3305" s="190" t="n">
        <x:v>0</x:v>
      </x:c>
      <x:c r="D3305" s="168" t="str">
        <x:v>PMFO ESPORTES, ARTES E ENTRETENIMENTO</x:v>
      </x:c>
      <x:c r="E3305" s="168" t="str">
        <x:f>IFERROR(INDEX('Classif Gestoras'!$H$6:$H$462,MATCH(D3305,'Classif Gestoras'!$A$6:$A$462,0)),"Não classificada")</x:f>
        <x:v>Independente</x:v>
      </x:c>
      <x:c r="F3305" s="168" t="str">
        <x:v>Singulare</x:v>
      </x:c>
      <x:c r="G3305" s="168" t="str">
        <x:v>Não identificado</x:v>
      </x:c>
      <x:c r="H3305" s="168" t="str">
        <x:v>Outros</x:v>
      </x:c>
      <x:c r="I3305" s="168" t="str">
        <x:v>Não se aplica</x:v>
      </x:c>
      <x:c r="J3305" s="168" t="str">
        <x:v>CI</x:v>
      </x:c>
      <x:c r="K3305" s="174"/>
      <x:c r="L3305" s="187" t="str">
        <x:v>Não classificado</x:v>
      </x:c>
    </x:row>
    <x:row r="3306">
      <x:c r="A3306" s="177" t="str">
        <x:v>52.609.670/0001-03</x:v>
      </x:c>
      <x:c r="B3306" s="168" t="str">
        <x:v>IRÍDIO FUNDO DE INVESTIMENTO EM DIREITOS CREDITÓRIOS</x:v>
      </x:c>
      <x:c r="C3306" s="190" t="n">
        <x:v>0</x:v>
      </x:c>
      <x:c r="D3306" s="168" t="str">
        <x:v>Reag Jus</x:v>
      </x:c>
      <x:c r="E3306" s="168" t="str">
        <x:f>IFERROR(INDEX('Classif Gestoras'!$H$6:$H$462,MATCH(D3306,'Classif Gestoras'!$A$6:$A$462,0)),"Não classificada")</x:f>
        <x:v>Independente</x:v>
      </x:c>
      <x:c r="F3306" s="168" t="str">
        <x:v>REAG DTVM</x:v>
      </x:c>
      <x:c r="G3306" s="168" t="str">
        <x:v>REAG TRUST DISTRIBUIDORA DE TITULOS E VALORES MOBILIARIOS S.A.</x:v>
      </x:c>
      <x:c r="H3306" s="168" t="str">
        <x:v>Outros</x:v>
      </x:c>
      <x:c r="I3306" s="168" t="str">
        <x:v>Multicarteira Outros</x:v>
      </x:c>
      <x:c r="J3306" s="168" t="str">
        <x:v>CI</x:v>
      </x:c>
      <x:c r="K3306" s="174" t="n">
        <x:v>1</x:v>
      </x:c>
      <x:c r="L3306" s="187" t="str">
        <x:v>Proxy multicedente/multissacado — revisar</x:v>
      </x:c>
    </x:row>
    <x:row r="3307">
      <x:c r="A3307" s="177" t="str">
        <x:v>57.028.406/0001-08</x:v>
      </x:c>
      <x:c r="B3307" s="168" t="str">
        <x:v>IS GREEN SOLFÁCIL VI FUNDO DE INVESTIMENTO EM DIREITOS CREDITÓRIOS RESPONSABILIDADE LIMITADA</x:v>
      </x:c>
      <x:c r="C3307" s="190" t="n">
        <x:v>0</x:v>
      </x:c>
      <x:c r="D3307" s="168" t="str">
        <x:v>Régia Capital Ltda</x:v>
      </x:c>
      <x:c r="E3307" s="168" t="str">
        <x:f>IFERROR(INDEX('Classif Gestoras'!$H$6:$H$462,MATCH(D3307,'Classif Gestoras'!$A$6:$A$462,0)),"Não classificada")</x:f>
        <x:v>Independente</x:v>
      </x:c>
      <x:c r="F3307" s="168" t="str">
        <x:v>Limine Trust Distribuidora de Titulos e Valores Mobiliá</x:v>
      </x:c>
      <x:c r="G3307" s="168" t="str">
        <x:v>LIMINE TRUST DISTRIBUIDORA DE TITULOS E VALORES MOBILIARIOS LTDA.</x:v>
      </x:c>
      <x:c r="H3307" s="168" t="str">
        <x:v>Financeiro</x:v>
      </x:c>
      <x:c r="I3307" s="168" t="str">
        <x:v>Crédito Pessoal</x:v>
      </x:c>
      <x:c r="J3307" s="168" t="str">
        <x:v>CI</x:v>
      </x:c>
      <x:c r="K3307" s="174" t="n">
        <x:v>13</x:v>
      </x:c>
      <x:c r="L3307" s="187" t="str">
        <x:v>Não classificado</x:v>
      </x:c>
    </x:row>
    <x:row r="3308">
      <x:c r="A3308" s="177" t="str">
        <x:v>43.809.819/0001-07</x:v>
      </x:c>
      <x:c r="B3308" s="168" t="str">
        <x:v>SARAFINA FUNDO DE INVESTIMENTO EM DIREITOS CREDITÓRIOS NÃO PADRONIZADOS</x:v>
      </x:c>
      <x:c r="C3308" s="190" t="n">
        <x:v>0</x:v>
      </x:c>
      <x:c r="D3308" s="168" t="str">
        <x:v>Reag Administradora de Recursos Ltda</x:v>
      </x:c>
      <x:c r="E3308" s="168" t="str">
        <x:f>IFERROR(INDEX('Classif Gestoras'!$H$6:$H$462,MATCH(D3308,'Classif Gestoras'!$A$6:$A$462,0)),"Não classificada")</x:f>
        <x:v>Independente</x:v>
      </x:c>
      <x:c r="F3308" s="168" t="str">
        <x:v>REAG DTVM</x:v>
      </x:c>
      <x:c r="G3308" s="168" t="str">
        <x:v>REAG TRUST DISTRIBUIDORA DE TITULOS E VALORES MOBILIARIOS S.A.</x:v>
      </x:c>
      <x:c r="H3308" s="168" t="str">
        <x:v>Fomento Mercantil</x:v>
      </x:c>
      <x:c r="I3308" s="168" t="str">
        <x:v>Fomento Mercantil</x:v>
      </x:c>
      <x:c r="J3308" s="168" t="str">
        <x:v>CI</x:v>
      </x:c>
      <x:c r="K3308" s="174" t="n">
        <x:v>1</x:v>
      </x:c>
      <x:c r="L3308" s="187" t="str">
        <x:v>Não classificado</x:v>
      </x:c>
    </x:row>
    <x:row r="3309">
      <x:c r="A3309" s="177" t="str">
        <x:v>12.138.813/0001-21</x:v>
      </x:c>
      <x:c r="B3309" s="168" t="str">
        <x:v>FUNDO DE INVESTIMENTO EM DIREITOS CREDITÓRIOS MULTISETORIAL MASTER III</x:v>
      </x:c>
      <x:c r="C3309" s="190" t="n">
        <x:v>0</x:v>
      </x:c>
      <x:c r="D3309" s="168" t="str">
        <x:v>Plural</x:v>
      </x:c>
      <x:c r="E3309" s="168" t="str">
        <x:f>IFERROR(INDEX('Classif Gestoras'!$H$6:$H$462,MATCH(D3309,'Classif Gestoras'!$A$6:$A$462,0)),"Não classificada")</x:f>
        <x:v>Ligada a banco</x:v>
      </x:c>
      <x:c r="F3309" s="168" t="str">
        <x:v>Genial Investimentos Corretora de Valores Mobiliários S.A.</x:v>
      </x:c>
      <x:c r="G3309" s="168" t="str">
        <x:v>BANCO GENIAL S.A.</x:v>
      </x:c>
      <x:c r="H3309" s="168" t="str">
        <x:v>Outros</x:v>
      </x:c>
      <x:c r="I3309" s="168" t="str">
        <x:v>Multicarteira Outros</x:v>
      </x:c>
      <x:c r="J3309" s="168" t="str">
        <x:v>CI</x:v>
      </x:c>
      <x:c r="K3309" s="174" t="n">
        <x:v>50</x:v>
      </x:c>
      <x:c r="L3309" s="187" t="str">
        <x:v>Proxy multicedente/multissacado — revisar</x:v>
      </x:c>
    </x:row>
    <x:row r="3310">
      <x:c r="A3310" s="177" t="str">
        <x:v>52.635.689/0001-24</x:v>
      </x:c>
      <x:c r="B3310" s="168" t="str">
        <x:v>CNPJ 52635689000124</x:v>
      </x:c>
      <x:c r="C3310" s="190" t="n">
        <x:v>0</x:v>
      </x:c>
      <x:c r="D3310" s="168" t="str">
        <x:v>IDGR</x:v>
      </x:c>
      <x:c r="E3310" s="168" t="str">
        <x:f>IFERROR(INDEX('Classif Gestoras'!$H$6:$H$462,MATCH(D3310,'Classif Gestoras'!$A$6:$A$462,0)),"Não classificada")</x:f>
        <x:v>Independente</x:v>
      </x:c>
      <x:c r="F3310" s="168" t="str">
        <x:v>ID Corretora de Títulos e Valores Mobiliários S.A.</x:v>
      </x:c>
      <x:c r="G3310" s="168" t="str">
        <x:v>Não identificado</x:v>
      </x:c>
      <x:c r="H3310" s="168" t="str">
        <x:v>Outros</x:v>
      </x:c>
      <x:c r="I3310" s="168" t="str">
        <x:v>Multicarteira Outros</x:v>
      </x:c>
      <x:c r="J3310" s="168" t="str">
        <x:v>CI</x:v>
      </x:c>
      <x:c r="K3310" s="174"/>
      <x:c r="L3310" s="187" t="str">
        <x:v>Proxy multicedente/multissacado — revisar</x:v>
      </x:c>
    </x:row>
    <x:row r="3311">
      <x:c r="A3311" s="177" t="str">
        <x:v>43.809.891/0001-34</x:v>
      </x:c>
      <x:c r="B3311" s="168" t="str">
        <x:v>ENGELBERG 41 FUNDO DE INVESTIMENTO EM DIREITOS CREDITÓRIOS NÃO-PADRONIZADOS</x:v>
      </x:c>
      <x:c r="C3311" s="190" t="n">
        <x:v>0</x:v>
      </x:c>
      <x:c r="D3311" s="168" t="str">
        <x:v>Reag Administradora de Recursos Ltda</x:v>
      </x:c>
      <x:c r="E3311" s="168" t="str">
        <x:f>IFERROR(INDEX('Classif Gestoras'!$H$6:$H$462,MATCH(D3311,'Classif Gestoras'!$A$6:$A$462,0)),"Não classificada")</x:f>
        <x:v>Independente</x:v>
      </x:c>
      <x:c r="F3311" s="168" t="str">
        <x:v>REAG DTVM</x:v>
      </x:c>
      <x:c r="G3311" s="168" t="str">
        <x:v>REAG TRUST DISTRIBUIDORA DE TITULOS E VALORES MOBILIARIOS S.A.</x:v>
      </x:c>
      <x:c r="H3311" s="168" t="str">
        <x:v>Outros</x:v>
      </x:c>
      <x:c r="I3311" s="168" t="str">
        <x:v>Recuperação</x:v>
      </x:c>
      <x:c r="J3311" s="168" t="str">
        <x:v>CI</x:v>
      </x:c>
      <x:c r="K3311" s="174" t="n">
        <x:v>6</x:v>
      </x:c>
      <x:c r="L3311" s="187" t="str">
        <x:v>Não classificado</x:v>
      </x:c>
    </x:row>
    <x:row r="3312">
      <x:c r="A3312" s="177" t="str">
        <x:v>52.200.745/0001-06</x:v>
      </x:c>
      <x:c r="B3312" s="168" t="str">
        <x:v>AKIREDE FUNDO DE INVESTIMENTO EM DIREITOS CREDITÓRIOS</x:v>
      </x:c>
      <x:c r="C3312" s="190" t="n">
        <x:v>0</x:v>
      </x:c>
      <x:c r="D3312" s="168" t="str">
        <x:v>TERCON ASSET MANAGEMENT</x:v>
      </x:c>
      <x:c r="E3312" s="168" t="str">
        <x:f>IFERROR(INDEX('Classif Gestoras'!$H$6:$H$462,MATCH(D3312,'Classif Gestoras'!$A$6:$A$462,0)),"Não classificada")</x:f>
        <x:v>Independente</x:v>
      </x:c>
      <x:c r="F3312" s="168" t="str">
        <x:v>Limine Trust Distribuidora de Titulos e Valores Mobiliá</x:v>
      </x:c>
      <x:c r="G3312" s="168" t="str">
        <x:v>LIMINE TRUST DISTRIBUIDORA DE TITULOS E VALORES MOBILIARIOS LTDA.</x:v>
      </x:c>
      <x:c r="H3312" s="168" t="str">
        <x:v>Outros</x:v>
      </x:c>
      <x:c r="I3312" s="168" t="str">
        <x:v>Multicarteira Outros</x:v>
      </x:c>
      <x:c r="J3312" s="168" t="str">
        <x:v>CI</x:v>
      </x:c>
      <x:c r="K3312" s="174" t="n">
        <x:v>9</x:v>
      </x:c>
      <x:c r="L3312" s="187" t="str">
        <x:v>Proxy multicedente/multissacado — revisar</x:v>
      </x:c>
    </x:row>
    <x:row r="3313">
      <x:c r="A3313" s="177" t="str">
        <x:v>43.866.371/0001-63</x:v>
      </x:c>
      <x:c r="B3313" s="168" t="str">
        <x:v>CNPJ 43866371000163</x:v>
      </x:c>
      <x:c r="C3313" s="190" t="n">
        <x:v>0</x:v>
      </x:c>
      <x:c r="D3313" s="168" t="str">
        <x:v>Milênio Capital</x:v>
      </x:c>
      <x:c r="E3313" s="168" t="str">
        <x:f>IFERROR(INDEX('Classif Gestoras'!$H$6:$H$462,MATCH(D3313,'Classif Gestoras'!$A$6:$A$462,0)),"Não classificada")</x:f>
        <x:v>Independente</x:v>
      </x:c>
      <x:c r="F3313" s="168" t="str">
        <x:v>VÓRTX DTVM</x:v>
      </x:c>
      <x:c r="G3313" s="168" t="str">
        <x:v>Não identificado</x:v>
      </x:c>
      <x:c r="H3313" s="168" t="str">
        <x:v>Agro, Indústria e Comércio</x:v>
      </x:c>
      <x:c r="I3313" s="168" t="str">
        <x:v>Recebíveis Comerciais</x:v>
      </x:c>
      <x:c r="J3313" s="168" t="str">
        <x:v>CI</x:v>
      </x:c>
      <x:c r="K3313" s="174"/>
      <x:c r="L3313" s="187" t="str">
        <x:v>Não classificado</x:v>
      </x:c>
    </x:row>
    <x:row r="3314">
      <x:c r="A3314" s="177" t="str">
        <x:v>43.946.439/0001-14</x:v>
      </x:c>
      <x:c r="B3314" s="168" t="str">
        <x:v>ATIVOS JUDICIAIS PEC - I - FUNDO DE INVESTIMENTO EM DIREITOS CREDITÓRIOS E DE RESP LIMITADA</x:v>
      </x:c>
      <x:c r="C3314" s="190" t="n">
        <x:v>0</x:v>
      </x:c>
      <x:c r="D3314" s="168" t="str">
        <x:v>Iron Capital</x:v>
      </x:c>
      <x:c r="E3314" s="168" t="str">
        <x:f>IFERROR(INDEX('Classif Gestoras'!$H$6:$H$462,MATCH(D3314,'Classif Gestoras'!$A$6:$A$462,0)),"Não classificada")</x:f>
        <x:v>Independente</x:v>
      </x:c>
      <x:c r="F3314" s="168" t="str">
        <x:v>TRUSTEE DTVM</x:v>
      </x:c>
      <x:c r="G3314" s="168" t="str">
        <x:v>ID CORRETORA DE TITULOS E VALORES MOBILIARIOS S.A.</x:v>
      </x:c>
      <x:c r="H3314" s="168" t="str">
        <x:v>Agro, Indústria e Comércio</x:v>
      </x:c>
      <x:c r="I3314" s="168" t="str">
        <x:v>Crédito Corporativo</x:v>
      </x:c>
      <x:c r="J3314" s="168" t="str">
        <x:v>CI</x:v>
      </x:c>
      <x:c r="K3314" s="174" t="n">
        <x:v>1</x:v>
      </x:c>
      <x:c r="L3314" s="187" t="str">
        <x:v>Não classificado</x:v>
      </x:c>
    </x:row>
    <x:row r="3315">
      <x:c r="A3315" s="177" t="str">
        <x:v>55.720.253/0001-21</x:v>
      </x:c>
      <x:c r="B3315" s="168" t="str">
        <x:v>ITAL FUNDO DE INVESTIMENTO EM DIREITOS CREDITÓRIOS NÃO PADRONIZADOS RESPONSABILIDADE ILIMITADA</x:v>
      </x:c>
      <x:c r="C3315" s="190" t="n">
        <x:v>0</x:v>
      </x:c>
      <x:c r="D3315" s="168" t="str">
        <x:v>Reag Administradora de Recursos Ltda</x:v>
      </x:c>
      <x:c r="E3315" s="168" t="str">
        <x:f>IFERROR(INDEX('Classif Gestoras'!$H$6:$H$462,MATCH(D3315,'Classif Gestoras'!$A$6:$A$462,0)),"Não classificada")</x:f>
        <x:v>Independente</x:v>
      </x:c>
      <x:c r="F3315" s="168" t="str">
        <x:v>REAG DTVM</x:v>
      </x:c>
      <x:c r="G3315" s="168" t="str">
        <x:v>REAG TRUST DISTRIBUIDORA DE TITULOS E VALORES MOBILIARIOS S.A.</x:v>
      </x:c>
      <x:c r="H3315" s="168" t="str">
        <x:v>Outros</x:v>
      </x:c>
      <x:c r="I3315" s="168" t="str">
        <x:v>Multicarteira Outros</x:v>
      </x:c>
      <x:c r="J3315" s="168" t="str">
        <x:v>CI</x:v>
      </x:c>
      <x:c r="K3315" s="174" t="n">
        <x:v>1</x:v>
      </x:c>
      <x:c r="L3315" s="187" t="str">
        <x:v>Proxy multicedente/multissacado — revisar</x:v>
      </x:c>
    </x:row>
    <x:row r="3316">
      <x:c r="A3316" s="177" t="str">
        <x:v>44.124.465/0001-20</x:v>
      </x:c>
      <x:c r="B3316" s="168" t="str">
        <x:v>CNPJ 44124465000120</x:v>
      </x:c>
      <x:c r="C3316" s="190" t="n">
        <x:v>0</x:v>
      </x:c>
      <x:c r="D3316" s="168" t="str">
        <x:v>Integral Investimentos</x:v>
      </x:c>
      <x:c r="E3316" s="168" t="str">
        <x:f>IFERROR(INDEX('Classif Gestoras'!$H$6:$H$462,MATCH(D3316,'Classif Gestoras'!$A$6:$A$462,0)),"Não classificada")</x:f>
        <x:v>Independente</x:v>
      </x:c>
      <x:c r="F3316" s="168" t="str">
        <x:v>Banco Genial S.A.</x:v>
      </x:c>
      <x:c r="G3316" s="168" t="str">
        <x:v>Não identificado</x:v>
      </x:c>
      <x:c r="H3316" s="168" t="str">
        <x:v>Agro, Indústria e Comércio</x:v>
      </x:c>
      <x:c r="I3316" s="168" t="str">
        <x:v>Recebíveis Comerciais</x:v>
      </x:c>
      <x:c r="J3316" s="168" t="str">
        <x:v>CI</x:v>
      </x:c>
      <x:c r="K3316" s="174"/>
      <x:c r="L3316" s="187" t="str">
        <x:v>Não classificado</x:v>
      </x:c>
    </x:row>
    <x:row r="3317">
      <x:c r="A3317" s="177" t="str">
        <x:v>64.685.957/0001-00</x:v>
      </x:c>
      <x:c r="B3317" s="168" t="str">
        <x:v>MAPLE CAPITAL FUNDO DE INVESTIMENTO EM DIREITOS CREDITORIOS</x:v>
      </x:c>
      <x:c r="C3317" s="190" t="n">
        <x:v>0</x:v>
      </x:c>
      <x:c r="D3317" s="168" t="str">
        <x:v>Fortis Gestora de Recursos LTDA</x:v>
      </x:c>
      <x:c r="E3317" s="168" t="str">
        <x:f>IFERROR(INDEX('Classif Gestoras'!$H$6:$H$462,MATCH(D3317,'Classif Gestoras'!$A$6:$A$462,0)),"Não classificada")</x:f>
        <x:v>Independente</x:v>
      </x:c>
      <x:c r="F3317" s="168" t="str">
        <x:v>ACTUAL DTVM</x:v>
      </x:c>
      <x:c r="G3317" s="168" t="str">
        <x:v>TRUSTEE DISTRIBUIDORA DE TITULOS E VALORES MOBILIARIOS LTDA.</x:v>
      </x:c>
      <x:c r="H3317" s="168" t="str">
        <x:v>Outros</x:v>
      </x:c>
      <x:c r="I3317" s="168" t="str">
        <x:v>Multicarteira Outros</x:v>
      </x:c>
      <x:c r="J3317" s="168" t="str">
        <x:v>CI</x:v>
      </x:c>
      <x:c r="K3317" s="174" t="n">
        <x:v>1</x:v>
      </x:c>
      <x:c r="L3317" s="187" t="str">
        <x:v>Proxy multicedente/multissacado — revisar</x:v>
      </x:c>
    </x:row>
    <x:row r="3318">
      <x:c r="A3318" s="177" t="str">
        <x:v>44.124.617/0001-94</x:v>
      </x:c>
      <x:c r="B3318" s="168" t="str">
        <x:v>CNPJ 44124617000194</x:v>
      </x:c>
      <x:c r="C3318" s="190" t="n">
        <x:v>0</x:v>
      </x:c>
      <x:c r="D3318" s="168" t="str">
        <x:v>GENIAL GESTÃO LTDA.</x:v>
      </x:c>
      <x:c r="E3318" s="168" t="str">
        <x:f>IFERROR(INDEX('Classif Gestoras'!$H$6:$H$462,MATCH(D3318,'Classif Gestoras'!$A$6:$A$462,0)),"Não classificada")</x:f>
        <x:v>Ligada a banco</x:v>
      </x:c>
      <x:c r="F3318" s="168" t="str">
        <x:v>Banco Genial S.A.</x:v>
      </x:c>
      <x:c r="G3318" s="168" t="str">
        <x:v>Não identificado</x:v>
      </x:c>
      <x:c r="H3318" s="168" t="str">
        <x:v>Agro, Indústria e Comércio</x:v>
      </x:c>
      <x:c r="I3318" s="168" t="str">
        <x:v>Recebíveis Comerciais</x:v>
      </x:c>
      <x:c r="J3318" s="168" t="str">
        <x:v>CI</x:v>
      </x:c>
      <x:c r="K3318" s="174"/>
      <x:c r="L3318" s="187" t="str">
        <x:v>Não classificado</x:v>
      </x:c>
    </x:row>
    <x:row r="3319">
      <x:c r="A3319" s="177" t="str">
        <x:v>55.711.612/0001-84</x:v>
      </x:c>
      <x:c r="B3319" s="168" t="str">
        <x:v>TARTUS FUNDO DE INVESTIMENTO EM DIREITOS CREDITÓRIOS NÃO PADRONIZADOS</x:v>
      </x:c>
      <x:c r="C3319" s="190" t="n">
        <x:v>0</x:v>
      </x:c>
      <x:c r="D3319" s="168" t="str">
        <x:v>Reag Jus</x:v>
      </x:c>
      <x:c r="E3319" s="168" t="str">
        <x:f>IFERROR(INDEX('Classif Gestoras'!$H$6:$H$462,MATCH(D3319,'Classif Gestoras'!$A$6:$A$462,0)),"Não classificada")</x:f>
        <x:v>Independente</x:v>
      </x:c>
      <x:c r="F3319" s="168" t="str">
        <x:v>REAG DTVM</x:v>
      </x:c>
      <x:c r="G3319" s="168" t="str">
        <x:v>REAG TRUST DISTRIBUIDORA DE TITULOS E VALORES MOBILIARIOS S.A.</x:v>
      </x:c>
      <x:c r="H3319" s="168" t="str">
        <x:v>Outros</x:v>
      </x:c>
      <x:c r="I3319" s="168" t="str">
        <x:v>Recuperação</x:v>
      </x:c>
      <x:c r="J3319" s="168" t="str">
        <x:v>CI</x:v>
      </x:c>
      <x:c r="K3319" s="174" t="n">
        <x:v>1</x:v>
      </x:c>
      <x:c r="L3319" s="187" t="str">
        <x:v>Não classificado</x:v>
      </x:c>
    </x:row>
    <x:row r="3320">
      <x:c r="A3320" s="177" t="str">
        <x:v>55.691.548/0001-17</x:v>
      </x:c>
      <x:c r="B3320" s="168" t="str">
        <x:v>LIQ FUNDO DE INVESTIMENTO NAS CADEIAS PRODUTIVAS AGROINDUSTRIAIS - FIAGRO - DIREITOS CREDITÓRIOS</x:v>
      </x:c>
      <x:c r="C3320" s="190" t="n">
        <x:v>0</x:v>
      </x:c>
      <x:c r="D3320" s="168" t="str">
        <x:v>ALTAVISTA CAPITAL</x:v>
      </x:c>
      <x:c r="E3320" s="168" t="str">
        <x:f>IFERROR(INDEX('Classif Gestoras'!$H$6:$H$462,MATCH(D3320,'Classif Gestoras'!$A$6:$A$462,0)),"Não classificada")</x:f>
        <x:v>Independente</x:v>
      </x:c>
      <x:c r="F3320" s="168" t="str">
        <x:v>PLANNER CV</x:v>
      </x:c>
      <x:c r="G3320" s="168" t="str">
        <x:v>PLANNER CORRETORA DE VALORES S.A.</x:v>
      </x:c>
      <x:c r="H3320" s="168" t="str">
        <x:v>Agro, Indústria e Comércio</x:v>
      </x:c>
      <x:c r="I3320" s="168" t="str">
        <x:v>Agronegócio</x:v>
      </x:c>
      <x:c r="J3320" s="168" t="str">
        <x:v>CI</x:v>
      </x:c>
      <x:c r="K3320" s="174" t="n">
        <x:v>1</x:v>
      </x:c>
      <x:c r="L3320" s="187" t="str">
        <x:v>Não classificado</x:v>
      </x:c>
    </x:row>
    <x:row r="3321">
      <x:c r="A3321" s="177" t="str">
        <x:v>52.200.741/0001-10</x:v>
      </x:c>
      <x:c r="B3321" s="168" t="str">
        <x:v>NORDE FUNDO DE INVESTIMENTO EM DIREITOS CREDITÓRIOS</x:v>
      </x:c>
      <x:c r="C3321" s="190" t="n">
        <x:v>0</x:v>
      </x:c>
      <x:c r="D3321" s="168" t="str">
        <x:v>Real Investor Asset Management</x:v>
      </x:c>
      <x:c r="E3321" s="168" t="str">
        <x:f>IFERROR(INDEX('Classif Gestoras'!$H$6:$H$462,MATCH(D3321,'Classif Gestoras'!$A$6:$A$462,0)),"Não classificada")</x:f>
        <x:v>Independente</x:v>
      </x:c>
      <x:c r="F3321" s="168" t="str">
        <x:v>Limine Trust Distribuidora de Titulos e Valores Mobiliá</x:v>
      </x:c>
      <x:c r="G3321" s="168" t="str">
        <x:v>LIMINE TRUST DISTRIBUIDORA DE TITULOS E VALORES MOBILIARIOS LTDA.</x:v>
      </x:c>
      <x:c r="H3321" s="168" t="str">
        <x:v>Outros</x:v>
      </x:c>
      <x:c r="I3321" s="168" t="str">
        <x:v>Multicarteira Outros</x:v>
      </x:c>
      <x:c r="J3321" s="168" t="str">
        <x:v>CI</x:v>
      </x:c>
      <x:c r="K3321" s="174" t="n">
        <x:v>1</x:v>
      </x:c>
      <x:c r="L3321" s="187" t="str">
        <x:v>Proxy multicedente/multissacado — revisar</x:v>
      </x:c>
    </x:row>
    <x:row r="3322">
      <x:c r="A3322" s="177" t="str">
        <x:v>44.173.269/0001-45</x:v>
      </x:c>
      <x:c r="B3322" s="168" t="str">
        <x:v>CNPJ 44173269000145</x:v>
      </x:c>
      <x:c r="C3322" s="190" t="n">
        <x:v>0</x:v>
      </x:c>
      <x:c r="D3322" s="168" t="str">
        <x:v>BTG Pactual Asset</x:v>
      </x:c>
      <x:c r="E3322" s="168" t="str">
        <x:f>IFERROR(INDEX('Classif Gestoras'!$H$6:$H$462,MATCH(D3322,'Classif Gestoras'!$A$6:$A$462,0)),"Não classificada")</x:f>
        <x:v>Ligada a banco</x:v>
      </x:c>
      <x:c r="F3322" s="168" t="str">
        <x:v>BTG Pactual Servicos Financeiros S/A DTVM</x:v>
      </x:c>
      <x:c r="G3322" s="168" t="str">
        <x:v>Não identificado</x:v>
      </x:c>
      <x:c r="H3322" s="168" t="str">
        <x:v>Agro, Indústria e Comércio</x:v>
      </x:c>
      <x:c r="I3322" s="168" t="str">
        <x:v>Não se aplica</x:v>
      </x:c>
      <x:c r="J3322" s="168" t="str">
        <x:v>CI</x:v>
      </x:c>
      <x:c r="K3322" s="174"/>
      <x:c r="L3322" s="187" t="str">
        <x:v>Não classificado</x:v>
      </x:c>
    </x:row>
    <x:row r="3323">
      <x:c r="A3323" s="177" t="str">
        <x:v>44.173.416/0001-87</x:v>
      </x:c>
      <x:c r="B3323" s="168" t="str">
        <x:v>CNPJ 44173416000187</x:v>
      </x:c>
      <x:c r="C3323" s="190" t="n">
        <x:v>0</x:v>
      </x:c>
      <x:c r="D3323" s="168" t="str">
        <x:v>BTG Gestora</x:v>
      </x:c>
      <x:c r="E3323" s="168" t="str">
        <x:f>IFERROR(INDEX('Classif Gestoras'!$H$6:$H$462,MATCH(D3323,'Classif Gestoras'!$A$6:$A$462,0)),"Não classificada")</x:f>
        <x:v>Ligada a banco</x:v>
      </x:c>
      <x:c r="F3323" s="168" t="str">
        <x:v>BTG Pactual Servicos Financeiros S/A DTVM</x:v>
      </x:c>
      <x:c r="G3323" s="168" t="str">
        <x:v>Não identificado</x:v>
      </x:c>
      <x:c r="H3323" s="168" t="str">
        <x:v>Agro, Indústria e Comércio</x:v>
      </x:c>
      <x:c r="I3323" s="168" t="str">
        <x:v>Não se aplica</x:v>
      </x:c>
      <x:c r="J3323" s="168" t="str">
        <x:v>CI</x:v>
      </x:c>
      <x:c r="K3323" s="174"/>
      <x:c r="L3323" s="187" t="str">
        <x:v>Não classificado</x:v>
      </x:c>
    </x:row>
    <x:row r="3324">
      <x:c r="A3324" s="177" t="str">
        <x:v>60.395.009/0001-70</x:v>
      </x:c>
      <x:c r="B3324" s="168" t="str">
        <x:v>EC CAPITAL MARKETS FUNDO DE INVESTIMENTO EM DIREITOS CREDITÓRIOS</x:v>
      </x:c>
      <x:c r="C3324" s="190" t="n">
        <x:v>0</x:v>
      </x:c>
      <x:c r="D3324" s="168" t="str">
        <x:v>REAG PORTFOLIO SOLUTIONS</x:v>
      </x:c>
      <x:c r="E3324" s="168" t="str">
        <x:f>IFERROR(INDEX('Classif Gestoras'!$H$6:$H$462,MATCH(D3324,'Classif Gestoras'!$A$6:$A$462,0)),"Não classificada")</x:f>
        <x:v>Independente</x:v>
      </x:c>
      <x:c r="F3324" s="168" t="str">
        <x:v>REAG DTVM</x:v>
      </x:c>
      <x:c r="G3324" s="168" t="str">
        <x:v>REAG TRUST DISTRIBUIDORA DE TITULOS E VALORES MOBILIARIOS S.A.</x:v>
      </x:c>
      <x:c r="H3324" s="168" t="str">
        <x:v>Agro, Indústria e Comércio</x:v>
      </x:c>
      <x:c r="I3324" s="168" t="str">
        <x:v>Crédito Corporativo</x:v>
      </x:c>
      <x:c r="J3324" s="168" t="str">
        <x:v>CI</x:v>
      </x:c>
      <x:c r="K3324" s="174" t="n">
        <x:v>1</x:v>
      </x:c>
      <x:c r="L3324" s="187" t="str">
        <x:v>Não classificado</x:v>
      </x:c>
    </x:row>
    <x:row r="3325">
      <x:c r="A3325" s="177" t="str">
        <x:v>57.076.795/0001-39</x:v>
      </x:c>
      <x:c r="B3325" s="168" t="str">
        <x:v>CNPJ 57076795000139</x:v>
      </x:c>
      <x:c r="C3325" s="190" t="n">
        <x:v>0</x:v>
      </x:c>
      <x:c r="D3325" s="168" t="str">
        <x:v>Éxes</x:v>
      </x:c>
      <x:c r="E3325" s="168" t="str">
        <x:f>IFERROR(INDEX('Classif Gestoras'!$H$6:$H$462,MATCH(D3325,'Classif Gestoras'!$A$6:$A$462,0)),"Não classificada")</x:f>
        <x:v>Independente</x:v>
      </x:c>
      <x:c r="F3325" s="168" t="str">
        <x:v>BTG Pactual Servicos Financeiros S/A DTVM</x:v>
      </x:c>
      <x:c r="G3325" s="168" t="str">
        <x:v>Não identificado</x:v>
      </x:c>
      <x:c r="H3325" s="168" t="str">
        <x:v>Agro, Indústria e Comércio</x:v>
      </x:c>
      <x:c r="I3325" s="168" t="str">
        <x:v>Não se aplica</x:v>
      </x:c>
      <x:c r="J3325" s="168" t="str">
        <x:v>CI</x:v>
      </x:c>
      <x:c r="K3325" s="174"/>
      <x:c r="L3325" s="187" t="str">
        <x:v>Não classificado</x:v>
      </x:c>
    </x:row>
    <x:row r="3326">
      <x:c r="A3326" s="177" t="str">
        <x:v>64.630.838/0001-41</x:v>
      </x:c>
      <x:c r="B3326" s="168" t="str">
        <x:v>MODDE PERFORMANCE FUNDO DE INVESTIMENTO EM DIREITOS CREDITÓRIOS DE RESPONSABILIDADE LIMITADA</x:v>
      </x:c>
      <x:c r="C3326" s="190" t="n">
        <x:v>0</x:v>
      </x:c>
      <x:c r="D3326" s="168" t="str">
        <x:v>OKEAN INVEST</x:v>
      </x:c>
      <x:c r="E3326" s="168" t="str">
        <x:f>IFERROR(INDEX('Classif Gestoras'!$H$6:$H$462,MATCH(D3326,'Classif Gestoras'!$A$6:$A$462,0)),"Não classificada")</x:f>
        <x:v>Independente</x:v>
      </x:c>
      <x:c r="F3326" s="168" t="str">
        <x:v>Singulare</x:v>
      </x:c>
      <x:c r="G3326" s="168" t="str">
        <x:v>Não identificado</x:v>
      </x:c>
      <x:c r="H3326" s="168" t="str">
        <x:v>Fomento Mercantil</x:v>
      </x:c>
      <x:c r="I3326" s="168" t="str">
        <x:v>Fomento Mercantil</x:v>
      </x:c>
      <x:c r="J3326" s="168" t="str">
        <x:v>CI</x:v>
      </x:c>
      <x:c r="K3326" s="174" t="n">
        <x:v>2</x:v>
      </x:c>
      <x:c r="L3326" s="187" t="str">
        <x:v>Não classificado</x:v>
      </x:c>
    </x:row>
    <x:row r="3327">
      <x:c r="A3327" s="177" t="str">
        <x:v>13.509.993/0001-73</x:v>
      </x:c>
      <x:c r="B3327" s="168" t="str">
        <x:v>CNPJ 13509993000173</x:v>
      </x:c>
      <x:c r="C3327" s="190" t="n">
        <x:v>0</x:v>
      </x:c>
      <x:c r="D3327" s="168" t="str">
        <x:v>Polo Capital Gestão de Recurso</x:v>
      </x:c>
      <x:c r="E3327" s="168" t="str">
        <x:f>IFERROR(INDEX('Classif Gestoras'!$H$6:$H$462,MATCH(D3327,'Classif Gestoras'!$A$6:$A$462,0)),"Não classificada")</x:f>
        <x:v>Independente</x:v>
      </x:c>
      <x:c r="F3327" s="168" t="str">
        <x:v>S3 Caceis Brasil Distribuidora de Títulos e Valores Mob</x:v>
      </x:c>
      <x:c r="G3327" s="168" t="str">
        <x:v>Não identificado</x:v>
      </x:c>
      <x:c r="H3327" s="168" t="str">
        <x:v>Outros</x:v>
      </x:c>
      <x:c r="I3327" s="168" t="str">
        <x:v>Multicategoria</x:v>
      </x:c>
      <x:c r="J3327" s="168" t="str">
        <x:v>CI</x:v>
      </x:c>
      <x:c r="K3327" s="174"/>
      <x:c r="L3327" s="187" t="str">
        <x:v>Não classificado</x:v>
      </x:c>
    </x:row>
    <x:row r="3328">
      <x:c r="A3328" s="177" t="str">
        <x:v>60.398.327/0001-95</x:v>
      </x:c>
      <x:c r="B3328" s="168" t="str">
        <x:v>CNPJ 60398327000195</x:v>
      </x:c>
      <x:c r="C3328" s="190" t="n">
        <x:v>0</x:v>
      </x:c>
      <x:c r="D3328" s="168" t="str">
        <x:v>Reag Jus</x:v>
      </x:c>
      <x:c r="E3328" s="168" t="str">
        <x:f>IFERROR(INDEX('Classif Gestoras'!$H$6:$H$462,MATCH(D3328,'Classif Gestoras'!$A$6:$A$462,0)),"Não classificada")</x:f>
        <x:v>Independente</x:v>
      </x:c>
      <x:c r="F3328" s="168" t="str">
        <x:v>REAG DTVM</x:v>
      </x:c>
      <x:c r="G3328" s="168" t="str">
        <x:v>Não identificado</x:v>
      </x:c>
      <x:c r="H3328" s="168" t="str">
        <x:v>Outros</x:v>
      </x:c>
      <x:c r="I3328" s="168" t="str">
        <x:v>Multiestratégia</x:v>
      </x:c>
      <x:c r="J3328" s="168" t="str">
        <x:v>CI</x:v>
      </x:c>
      <x:c r="K3328" s="174"/>
      <x:c r="L3328" s="187" t="str">
        <x:v>Não classificado</x:v>
      </x:c>
    </x:row>
    <x:row r="3329">
      <x:c r="A3329" s="177" t="str">
        <x:v>32.222.848/0001-51</x:v>
      </x:c>
      <x:c r="B3329" s="168" t="str">
        <x:v>CNPJ 32222848000151</x:v>
      </x:c>
      <x:c r="C3329" s="190" t="n">
        <x:v>0</x:v>
      </x:c>
      <x:c r="D3329" s="168" t="str">
        <x:v>ANGÁ ASSET MANAGEMENT</x:v>
      </x:c>
      <x:c r="E3329" s="168" t="str">
        <x:f>IFERROR(INDEX('Classif Gestoras'!$H$6:$H$462,MATCH(D3329,'Classif Gestoras'!$A$6:$A$462,0)),"Não classificada")</x:f>
        <x:v>Independente</x:v>
      </x:c>
      <x:c r="F3329" s="168" t="str">
        <x:v>BTG Pactual Servicos Financeiros S/A DTVM</x:v>
      </x:c>
      <x:c r="G3329" s="168" t="str">
        <x:v>Não identificado</x:v>
      </x:c>
      <x:c r="H3329" s="168" t="str">
        <x:v>Financeiro</x:v>
      </x:c>
      <x:c r="I3329" s="168" t="str">
        <x:v>Crédito Consignado</x:v>
      </x:c>
      <x:c r="J3329" s="168" t="str">
        <x:v>CI</x:v>
      </x:c>
      <x:c r="K3329" s="174"/>
      <x:c r="L3329" s="187" t="str">
        <x:v>Não classificado</x:v>
      </x:c>
    </x:row>
    <x:row r="3330">
      <x:c r="A3330" s="177" t="str">
        <x:v>32.182.678/0001-29</x:v>
      </x:c>
      <x:c r="B3330" s="168" t="str">
        <x:v>CNPJ 32182678000129</x:v>
      </x:c>
      <x:c r="C3330" s="190" t="n">
        <x:v>0</x:v>
      </x:c>
      <x:c r="D3330" s="168" t="str">
        <x:v>Riza Securitização e Carteiras</x:v>
      </x:c>
      <x:c r="E3330" s="168" t="str">
        <x:f>IFERROR(INDEX('Classif Gestoras'!$H$6:$H$462,MATCH(D3330,'Classif Gestoras'!$A$6:$A$462,0)),"Não classificada")</x:f>
        <x:v>Independente</x:v>
      </x:c>
      <x:c r="F3330" s="168" t="str">
        <x:v>OSLO DTVM S. A.</x:v>
      </x:c>
      <x:c r="G3330" s="168" t="str">
        <x:v>Não identificado</x:v>
      </x:c>
      <x:c r="H3330" s="168" t="str">
        <x:v>Agro, Indústria e Comércio</x:v>
      </x:c>
      <x:c r="I3330" s="168" t="str">
        <x:v>Recebíveis Comerciais</x:v>
      </x:c>
      <x:c r="J3330" s="168" t="str">
        <x:v>CI</x:v>
      </x:c>
      <x:c r="K3330" s="174"/>
      <x:c r="L3330" s="187" t="str">
        <x:v>Não classificado</x:v>
      </x:c>
    </x:row>
    <x:row r="3331">
      <x:c r="A3331" s="177" t="str">
        <x:v>32.159.534/0001-51</x:v>
      </x:c>
      <x:c r="B3331" s="168" t="str">
        <x:v>CNPJ 32159534000151</x:v>
      </x:c>
      <x:c r="C3331" s="190" t="n">
        <x:v>0</x:v>
      </x:c>
      <x:c r="D3331" s="168" t="str">
        <x:v>Itau Unibanco</x:v>
      </x:c>
      <x:c r="E3331" s="168" t="str">
        <x:f>IFERROR(INDEX('Classif Gestoras'!$H$6:$H$462,MATCH(D3331,'Classif Gestoras'!$A$6:$A$462,0)),"Não classificada")</x:f>
        <x:v>Ligada a banco</x:v>
      </x:c>
      <x:c r="F3331" s="168" t="str">
        <x:v>INTRAG DIST. DE TÍTU</x:v>
      </x:c>
      <x:c r="G3331" s="168" t="str">
        <x:v>Não identificado</x:v>
      </x:c>
      <x:c r="H3331" s="168" t="str">
        <x:v>Outros</x:v>
      </x:c>
      <x:c r="I3331" s="168" t="str">
        <x:v>Não se aplica</x:v>
      </x:c>
      <x:c r="J3331" s="168" t="str">
        <x:v>CI</x:v>
      </x:c>
      <x:c r="K3331" s="174"/>
      <x:c r="L3331" s="187" t="str">
        <x:v>Não classificado</x:v>
      </x:c>
    </x:row>
    <x:row r="3332">
      <x:c r="A3332" s="177" t="str">
        <x:v>60.399.596/0001-76</x:v>
      </x:c>
      <x:c r="B3332" s="168" t="str">
        <x:v>CNPJ 60399596000176</x:v>
      </x:c>
      <x:c r="C3332" s="190" t="n">
        <x:v>0</x:v>
      </x:c>
      <x:c r="D3332" s="168" t="str">
        <x:v>Reag Jus</x:v>
      </x:c>
      <x:c r="E3332" s="168" t="str">
        <x:f>IFERROR(INDEX('Classif Gestoras'!$H$6:$H$462,MATCH(D3332,'Classif Gestoras'!$A$6:$A$462,0)),"Não classificada")</x:f>
        <x:v>Independente</x:v>
      </x:c>
      <x:c r="F3332" s="168" t="str">
        <x:v>REAG DTVM</x:v>
      </x:c>
      <x:c r="G3332" s="168" t="str">
        <x:v>Não identificado</x:v>
      </x:c>
      <x:c r="H3332" s="168" t="str">
        <x:v>Outros</x:v>
      </x:c>
      <x:c r="I3332" s="168" t="str">
        <x:v>Multiestratégia</x:v>
      </x:c>
      <x:c r="J3332" s="168" t="str">
        <x:v>CI</x:v>
      </x:c>
      <x:c r="K3332" s="174"/>
      <x:c r="L3332" s="187" t="str">
        <x:v>Não classificado</x:v>
      </x:c>
    </x:row>
    <x:row r="3333">
      <x:c r="A3333" s="177" t="str">
        <x:v>44.668.806/0001-28</x:v>
      </x:c>
      <x:c r="B3333" s="168" t="str">
        <x:v>CNPJ 44668806000128</x:v>
      </x:c>
      <x:c r="C3333" s="190" t="n">
        <x:v>0</x:v>
      </x:c>
      <x:c r="D3333" s="168" t="str">
        <x:v>Hedge Alternative Investments</x:v>
      </x:c>
      <x:c r="E3333" s="168" t="str">
        <x:f>IFERROR(INDEX('Classif Gestoras'!$H$6:$H$462,MATCH(D3333,'Classif Gestoras'!$A$6:$A$462,0)),"Não classificada")</x:f>
        <x:v>Independente</x:v>
      </x:c>
      <x:c r="F3333" s="168" t="str">
        <x:v>HEDGE DTVM</x:v>
      </x:c>
      <x:c r="G3333" s="168" t="str">
        <x:v>Não identificado</x:v>
      </x:c>
      <x:c r="H3333" s="168" t="str">
        <x:v>Outros</x:v>
      </x:c>
      <x:c r="I3333" s="168" t="str">
        <x:v>Não se aplica</x:v>
      </x:c>
      <x:c r="J3333" s="168" t="str">
        <x:v>CI</x:v>
      </x:c>
      <x:c r="K3333" s="174"/>
      <x:c r="L3333" s="187" t="str">
        <x:v>Não classificado</x:v>
      </x:c>
    </x:row>
    <x:row r="3334">
      <x:c r="A3334" s="177" t="str">
        <x:v>41.520.452/0001-81</x:v>
      </x:c>
      <x:c r="B3334" s="168" t="str">
        <x:v>CNPJ 41520452000181</x:v>
      </x:c>
      <x:c r="C3334" s="190" t="n">
        <x:v>0</x:v>
      </x:c>
      <x:c r="D3334" s="168" t="str">
        <x:v>Catálise Investimentos</x:v>
      </x:c>
      <x:c r="E3334" s="168" t="str">
        <x:f>IFERROR(INDEX('Classif Gestoras'!$H$6:$H$462,MATCH(D3334,'Classif Gestoras'!$A$6:$A$462,0)),"Não classificada")</x:f>
        <x:v>Independente</x:v>
      </x:c>
      <x:c r="F3334" s="168" t="str">
        <x:v>Singulare</x:v>
      </x:c>
      <x:c r="G3334" s="168" t="str">
        <x:v>Não identificado</x:v>
      </x:c>
      <x:c r="H3334" s="168" t="str">
        <x:v>Agro, Indústria e Comércio</x:v>
      </x:c>
      <x:c r="I3334" s="168" t="str">
        <x:v>Não se aplica</x:v>
      </x:c>
      <x:c r="J3334" s="168" t="str">
        <x:v>CI</x:v>
      </x:c>
      <x:c r="K3334" s="174"/>
      <x:c r="L3334" s="187" t="str">
        <x:v>Não classificado</x:v>
      </x:c>
    </x:row>
    <x:row r="3335">
      <x:c r="A3335" s="177" t="str">
        <x:v>51.679.169/0001-50</x:v>
      </x:c>
      <x:c r="B3335" s="168" t="str">
        <x:v>CREDIT OPS II FUNDO DE INVESTIMENTO EM DIREITOS CREDITÓRIOS</x:v>
      </x:c>
      <x:c r="C3335" s="190" t="n">
        <x:v>0</x:v>
      </x:c>
      <x:c r="D3335" s="168" t="str">
        <x:v>Redwood Asset Management</x:v>
      </x:c>
      <x:c r="E3335" s="168" t="str">
        <x:f>IFERROR(INDEX('Classif Gestoras'!$H$6:$H$462,MATCH(D3335,'Classif Gestoras'!$A$6:$A$462,0)),"Não classificada")</x:f>
        <x:v>Independente</x:v>
      </x:c>
      <x:c r="F3335" s="168" t="str">
        <x:v>PLANNER CV</x:v>
      </x:c>
      <x:c r="G3335" s="168" t="str">
        <x:v>QORE DISTRIBUIDORA DE TÍTULOS E VALORES MOBILIÁRIOS LTDA.</x:v>
      </x:c>
      <x:c r="H3335" s="168" t="str">
        <x:v>Fomento Mercantil</x:v>
      </x:c>
      <x:c r="I3335" s="168" t="str">
        <x:v>Não se aplica</x:v>
      </x:c>
      <x:c r="J3335" s="168" t="str">
        <x:v>CI</x:v>
      </x:c>
      <x:c r="K3335" s="174" t="n">
        <x:v>1</x:v>
      </x:c>
      <x:c r="L3335" s="187" t="str">
        <x:v>Não classificado</x:v>
      </x:c>
    </x:row>
    <x:row r="3336">
      <x:c r="A3336" s="177" t="str">
        <x:v>58.304.663/0001-80</x:v>
      </x:c>
      <x:c r="B3336" s="168" t="str">
        <x:v>TCG IRON I FUNDO DE INVESTIMENTO EM DIREITOS CREDITÓRIOS - RESPONSABILIDADE LIMITADA</x:v>
      </x:c>
      <x:c r="C3336" s="190" t="n">
        <x:v>0</x:v>
      </x:c>
      <x:c r="D3336" s="168" t="str">
        <x:v>Bless Capital Gestora de Recursos Ltda.</x:v>
      </x:c>
      <x:c r="E3336" s="168" t="str">
        <x:f>IFERROR(INDEX('Classif Gestoras'!$H$6:$H$462,MATCH(D3336,'Classif Gestoras'!$A$6:$A$462,0)),"Não classificada")</x:f>
        <x:v>Independente</x:v>
      </x:c>
      <x:c r="F3336" s="168" t="str">
        <x:v>Limine Trust Distribuidora de Titulos e Valores Mobiliá</x:v>
      </x:c>
      <x:c r="G3336" s="168" t="str">
        <x:v>LIMINE TRUST DISTRIBUIDORA DE TITULOS E VALORES MOBILIARIOS LTDA.</x:v>
      </x:c>
      <x:c r="H3336" s="168" t="str">
        <x:v>Outros</x:v>
      </x:c>
      <x:c r="I3336" s="168" t="str">
        <x:v>Multicarteira Outros</x:v>
      </x:c>
      <x:c r="J3336" s="168" t="str">
        <x:v>CI</x:v>
      </x:c>
      <x:c r="K3336" s="174" t="n">
        <x:v>3</x:v>
      </x:c>
      <x:c r="L3336" s="187" t="str">
        <x:v>Proxy multicedente/multissacado — revisar</x:v>
      </x:c>
    </x:row>
    <x:row r="3337">
      <x:c r="A3337" s="177" t="str">
        <x:v>49.934.838/0001-41</x:v>
      </x:c>
      <x:c r="B3337" s="168" t="str">
        <x:v>TMOV FUNDO DE INVESTIMENTO EM DIREITOS CREDITÓRIOS</x:v>
      </x:c>
      <x:c r="C3337" s="190" t="n">
        <x:v>0</x:v>
      </x:c>
      <x:c r="D3337" s="168" t="str">
        <x:v>M8 Partners</x:v>
      </x:c>
      <x:c r="E3337" s="168" t="str">
        <x:f>IFERROR(INDEX('Classif Gestoras'!$H$6:$H$462,MATCH(D3337,'Classif Gestoras'!$A$6:$A$462,0)),"Não classificada")</x:f>
        <x:v>Independente</x:v>
      </x:c>
      <x:c r="F3337" s="168" t="str">
        <x:v>Singulare</x:v>
      </x:c>
      <x:c r="G3337" s="168" t="str">
        <x:v>QI CORRETORA DE TÍTULOS E VALORES MOBILIÁRIOS S.A.</x:v>
      </x:c>
      <x:c r="H3337" s="168" t="str">
        <x:v>Fomento Mercantil</x:v>
      </x:c>
      <x:c r="I3337" s="168" t="str">
        <x:v>Fomento Mercantil</x:v>
      </x:c>
      <x:c r="J3337" s="168" t="str">
        <x:v>CI</x:v>
      </x:c>
      <x:c r="K3337" s="174" t="n">
        <x:v>1</x:v>
      </x:c>
      <x:c r="L3337" s="187" t="str">
        <x:v>Não classificado</x:v>
      </x:c>
    </x:row>
    <x:row r="3338">
      <x:c r="A3338" s="177" t="str">
        <x:v>26.142.903/0001-09</x:v>
      </x:c>
      <x:c r="B3338" s="168" t="str">
        <x:v>AUSA FUNDO DE INVESTIMENTO EM DIREITOS CREDITÓRIOS NÃO PADRONIZADO IMOBILIÁRIO</x:v>
      </x:c>
      <x:c r="C3338" s="190" t="n">
        <x:v>0</x:v>
      </x:c>
      <x:c r="D3338" s="168" t="str">
        <x:v>POLÍGONO CAPITAL LTDA.</x:v>
      </x:c>
      <x:c r="E3338" s="168" t="str">
        <x:f>IFERROR(INDEX('Classif Gestoras'!$H$6:$H$462,MATCH(D3338,'Classif Gestoras'!$A$6:$A$462,0)),"Não classificada")</x:f>
        <x:v>Independente</x:v>
      </x:c>
      <x:c r="F3338" s="168" t="str">
        <x:v>Finvest Digital</x:v>
      </x:c>
      <x:c r="G3338" s="168" t="str">
        <x:v>Não identificado</x:v>
      </x:c>
      <x:c r="H3338" s="168" t="str">
        <x:v>Financeiro</x:v>
      </x:c>
      <x:c r="I3338" s="168" t="str">
        <x:v>Crédito Imobiliário</x:v>
      </x:c>
      <x:c r="J3338" s="168" t="str">
        <x:v>CI</x:v>
      </x:c>
      <x:c r="K3338" s="174" t="n">
        <x:v>0</x:v>
      </x:c>
      <x:c r="L3338" s="187" t="str">
        <x:v>Não classificado</x:v>
      </x:c>
    </x:row>
    <x:row r="3339">
      <x:c r="A3339" s="177" t="str">
        <x:v>30.077.584/0001-64</x:v>
      </x:c>
      <x:c r="B3339" s="168" t="str">
        <x:v>CNPJ 30077584000164</x:v>
      </x:c>
      <x:c r="C3339" s="190" t="n">
        <x:v>0</x:v>
      </x:c>
      <x:c r="D3339" s="168" t="str">
        <x:v>Vista Real Estate</x:v>
      </x:c>
      <x:c r="E3339" s="168" t="str">
        <x:f>IFERROR(INDEX('Classif Gestoras'!$H$6:$H$462,MATCH(D3339,'Classif Gestoras'!$A$6:$A$462,0)),"Não classificada")</x:f>
        <x:v>Independente</x:v>
      </x:c>
      <x:c r="F3339" s="168" t="str">
        <x:v>VÓRTX DTVM</x:v>
      </x:c>
      <x:c r="G3339" s="168" t="str">
        <x:v>Não identificado</x:v>
      </x:c>
      <x:c r="H3339" s="168" t="str">
        <x:v>Outros</x:v>
      </x:c>
      <x:c r="I3339" s="168" t="str">
        <x:v>Multicarteira Outros</x:v>
      </x:c>
      <x:c r="J3339" s="168" t="str">
        <x:v>CI</x:v>
      </x:c>
      <x:c r="K3339" s="174"/>
      <x:c r="L3339" s="187" t="str">
        <x:v>Proxy multicedente/multissacado — revisar</x:v>
      </x:c>
    </x:row>
    <x:row r="3340">
      <x:c r="A3340" s="177" t="str">
        <x:v>26.154.177/0001-36</x:v>
      </x:c>
      <x:c r="B3340" s="168" t="str">
        <x:v>CNPJ 26154177000136</x:v>
      </x:c>
      <x:c r="C3340" s="190" t="n">
        <x:v>0</x:v>
      </x:c>
      <x:c r="D3340" s="168" t="str">
        <x:v>REAG GESTÃO DE CRÉDITO</x:v>
      </x:c>
      <x:c r="E3340" s="168" t="str">
        <x:f>IFERROR(INDEX('Classif Gestoras'!$H$6:$H$462,MATCH(D3340,'Classif Gestoras'!$A$6:$A$462,0)),"Não classificada")</x:f>
        <x:v>Independente</x:v>
      </x:c>
      <x:c r="F3340" s="168" t="str">
        <x:v>Banvox DTVM</x:v>
      </x:c>
      <x:c r="G3340" s="168" t="str">
        <x:v>Não identificado</x:v>
      </x:c>
      <x:c r="H3340" s="168" t="str">
        <x:v>Financeiro</x:v>
      </x:c>
      <x:c r="I3340" s="168" t="str">
        <x:v>Financiamento de Veículos</x:v>
      </x:c>
      <x:c r="J3340" s="168" t="str">
        <x:v>CI</x:v>
      </x:c>
      <x:c r="K3340" s="174"/>
      <x:c r="L3340" s="187" t="str">
        <x:v>Não classificado</x:v>
      </x:c>
    </x:row>
    <x:row r="3341">
      <x:c r="A3341" s="177" t="str">
        <x:v>62.145.323/0001-20</x:v>
      </x:c>
      <x:c r="B3341" s="168" t="str">
        <x:v>FNX FUNDO DE INVESTIMENTO EM DIREITOS CREDITÓRIOS - RESPOSABILIDADE LIMITADA</x:v>
      </x:c>
      <x:c r="C3341" s="190" t="n">
        <x:v>0</x:v>
      </x:c>
      <x:c r="D3341" s="168" t="str">
        <x:v>Galápagos</x:v>
      </x:c>
      <x:c r="E3341" s="168" t="str">
        <x:f>IFERROR(INDEX('Classif Gestoras'!$H$6:$H$462,MATCH(D3341,'Classif Gestoras'!$A$6:$A$462,0)),"Não classificada")</x:f>
        <x:v>Independente</x:v>
      </x:c>
      <x:c r="F3341" s="168" t="str">
        <x:v>VÓRTX DTVM</x:v>
      </x:c>
      <x:c r="G3341" s="168" t="str">
        <x:v>VORTX DISTRIBUIDORA DE TITULOS E VALORES MOBILIARIOS LTDA.</x:v>
      </x:c>
      <x:c r="H3341" s="168" t="str">
        <x:v>Fomento Mercantil</x:v>
      </x:c>
      <x:c r="I3341" s="168" t="str">
        <x:v>Fomento Mercantil</x:v>
      </x:c>
      <x:c r="J3341" s="168" t="str">
        <x:v>CI</x:v>
      </x:c>
      <x:c r="K3341" s="174" t="n">
        <x:v>7</x:v>
      </x:c>
      <x:c r="L3341" s="187" t="str">
        <x:v>Não classificado</x:v>
      </x:c>
    </x:row>
    <x:row r="3342">
      <x:c r="A3342" s="177" t="str">
        <x:v>49.936.254/0001-05</x:v>
      </x:c>
      <x:c r="B3342" s="168" t="str">
        <x:v>FUNDO DE INVESTIMENTO EM DIREITOS CREDITÓRIOS CHRONOS - RESPONSABILIDADE LIMITADA</x:v>
      </x:c>
      <x:c r="C3342" s="190" t="n">
        <x:v>0</x:v>
      </x:c>
      <x:c r="D3342" s="168" t="str">
        <x:v>REAG GESTÃO DE CRÉDITO</x:v>
      </x:c>
      <x:c r="E3342" s="168" t="str">
        <x:f>IFERROR(INDEX('Classif Gestoras'!$H$6:$H$462,MATCH(D3342,'Classif Gestoras'!$A$6:$A$462,0)),"Não classificada")</x:f>
        <x:v>Independente</x:v>
      </x:c>
      <x:c r="F3342" s="168" t="str">
        <x:v>Banvox DTVM</x:v>
      </x:c>
      <x:c r="G3342" s="168" t="str">
        <x:v>LIMINE TRUST DISTRIBUIDORA DE TITULOS E VALORES MOBILIARIOS LTDA.</x:v>
      </x:c>
      <x:c r="H3342" s="168" t="str">
        <x:v>Financeiro</x:v>
      </x:c>
      <x:c r="I3342" s="168" t="str">
        <x:v>Crédito Imobiliário</x:v>
      </x:c>
      <x:c r="J3342" s="168" t="str">
        <x:v>CI</x:v>
      </x:c>
      <x:c r="K3342" s="174" t="n">
        <x:v>7</x:v>
      </x:c>
      <x:c r="L3342" s="187" t="str">
        <x:v>Não classificado</x:v>
      </x:c>
    </x:row>
    <x:row r="3343">
      <x:c r="A3343" s="177" t="str">
        <x:v>49.939.512/0001-07</x:v>
      </x:c>
      <x:c r="B3343" s="168" t="str">
        <x:v>CNPJ 49939512000107</x:v>
      </x:c>
      <x:c r="C3343" s="190" t="n">
        <x:v>0</x:v>
      </x:c>
      <x:c r="D3343" s="168" t="str">
        <x:v>BPS CAPITAL</x:v>
      </x:c>
      <x:c r="E3343" s="168" t="str">
        <x:f>IFERROR(INDEX('Classif Gestoras'!$H$6:$H$462,MATCH(D3343,'Classif Gestoras'!$A$6:$A$462,0)),"Não classificada")</x:f>
        <x:v>Independente</x:v>
      </x:c>
      <x:c r="F3343" s="168" t="str">
        <x:v>ID Corretora de Títulos e Valores Mobiliários S.A.</x:v>
      </x:c>
      <x:c r="G3343" s="168" t="str">
        <x:v>Não identificado</x:v>
      </x:c>
      <x:c r="H3343" s="168" t="str">
        <x:v>Outros</x:v>
      </x:c>
      <x:c r="I3343" s="168" t="str">
        <x:v>Multicarteira Outros</x:v>
      </x:c>
      <x:c r="J3343" s="168" t="str">
        <x:v>CI</x:v>
      </x:c>
      <x:c r="K3343" s="174"/>
      <x:c r="L3343" s="187" t="str">
        <x:v>Proxy multicedente/multissacado — revisar</x:v>
      </x:c>
    </x:row>
    <x:row r="3344">
      <x:c r="A3344" s="177" t="str">
        <x:v>35.138.055/0001-47</x:v>
      </x:c>
      <x:c r="B3344" s="168" t="str">
        <x:v>CNPJ 35138055000147</x:v>
      </x:c>
      <x:c r="C3344" s="190" t="n">
        <x:v>0</x:v>
      </x:c>
      <x:c r="D3344" s="168" t="str">
        <x:v>FigTree Capital</x:v>
      </x:c>
      <x:c r="E3344" s="168" t="str">
        <x:f>IFERROR(INDEX('Classif Gestoras'!$H$6:$H$462,MATCH(D3344,'Classif Gestoras'!$A$6:$A$462,0)),"Não classificada")</x:f>
        <x:v>Independente</x:v>
      </x:c>
      <x:c r="F3344" s="168" t="str">
        <x:v>BRL TRUST DTVM</x:v>
      </x:c>
      <x:c r="G3344" s="168" t="str">
        <x:v>Não identificado</x:v>
      </x:c>
      <x:c r="H3344" s="168" t="str">
        <x:v>Agro, Indústria e Comércio</x:v>
      </x:c>
      <x:c r="I3344" s="168" t="str">
        <x:v>Não se aplica</x:v>
      </x:c>
      <x:c r="J3344" s="168" t="str">
        <x:v>CI</x:v>
      </x:c>
      <x:c r="K3344" s="174"/>
      <x:c r="L3344" s="187" t="str">
        <x:v>Não classificado</x:v>
      </x:c>
    </x:row>
    <x:row r="3345">
      <x:c r="A3345" s="177" t="str">
        <x:v>29.883.183/0001-12</x:v>
      </x:c>
      <x:c r="B3345" s="168" t="str">
        <x:v>CNPJ 29883183000112</x:v>
      </x:c>
      <x:c r="C3345" s="190" t="n">
        <x:v>0</x:v>
      </x:c>
      <x:c r="D3345" s="168" t="str">
        <x:v>M8 Partners</x:v>
      </x:c>
      <x:c r="E3345" s="168" t="str">
        <x:f>IFERROR(INDEX('Classif Gestoras'!$H$6:$H$462,MATCH(D3345,'Classif Gestoras'!$A$6:$A$462,0)),"Não classificada")</x:f>
        <x:v>Independente</x:v>
      </x:c>
      <x:c r="F3345" s="168" t="str">
        <x:v>TRUSTEE DTVM</x:v>
      </x:c>
      <x:c r="G3345" s="168" t="str">
        <x:v>Não identificado</x:v>
      </x:c>
      <x:c r="H3345" s="168" t="str">
        <x:v>Outros</x:v>
      </x:c>
      <x:c r="I3345" s="168" t="str">
        <x:v>Multicarteira Outros</x:v>
      </x:c>
      <x:c r="J3345" s="168" t="str">
        <x:v>CI</x:v>
      </x:c>
      <x:c r="K3345" s="174"/>
      <x:c r="L3345" s="187" t="str">
        <x:v>Proxy multicedente/multissacado — revisar</x:v>
      </x:c>
    </x:row>
    <x:row r="3346">
      <x:c r="A3346" s="177" t="str">
        <x:v>58.477.763/0001-08</x:v>
      </x:c>
      <x:c r="B3346" s="168" t="str">
        <x:v>FUNDO DE INVESTIMENTO EM COTAS DE FUNDOS DE INVESTIMENTO EM DIREITOS CREDITÓRIOS CRITERIA</x:v>
      </x:c>
      <x:c r="C3346" s="190" t="n">
        <x:v>0</x:v>
      </x:c>
      <x:c r="D3346" s="168" t="str">
        <x:v>VGR - VERONA GESTORA DE RECURSOS LTDA</x:v>
      </x:c>
      <x:c r="E3346" s="168" t="str">
        <x:f>IFERROR(INDEX('Classif Gestoras'!$H$6:$H$462,MATCH(D3346,'Classif Gestoras'!$A$6:$A$462,0)),"Não classificada")</x:f>
        <x:v>Independente</x:v>
      </x:c>
      <x:c r="F3346" s="168" t="str">
        <x:v>Intra Investimentos Distribuidora de Títulos e Valores Mobiliários LTDA.</x:v>
      </x:c>
      <x:c r="G3346" s="168" t="str">
        <x:v>INTRA INVESTIMENTOS DTVM LTDA</x:v>
      </x:c>
      <x:c r="H3346" s="168" t="str">
        <x:v>Outros</x:v>
      </x:c>
      <x:c r="I3346" s="168" t="str">
        <x:v>Multicarteira Outros</x:v>
      </x:c>
      <x:c r="J3346" s="168" t="str">
        <x:v>CI</x:v>
      </x:c>
      <x:c r="K3346" s="174" t="n">
        <x:v>15</x:v>
      </x:c>
      <x:c r="L3346" s="187" t="str">
        <x:v>Proxy multicedente/multissacado — revisar</x:v>
      </x:c>
    </x:row>
    <x:row r="3347">
      <x:c r="A3347" s="177" t="str">
        <x:v>58.482.694/0001-20</x:v>
      </x:c>
      <x:c r="B3347" s="168" t="str">
        <x:v>BLIPS FUNDO DE INVESTIMENTO EM DIREITOS CREDITÓRIOS - RESPONSABILIDADE LIMITADA</x:v>
      </x:c>
      <x:c r="C3347" s="190" t="n">
        <x:v>0</x:v>
      </x:c>
      <x:c r="D3347" s="168" t="str">
        <x:v>Kanastra</x:v>
      </x:c>
      <x:c r="E3347" s="168" t="str">
        <x:f>IFERROR(INDEX('Classif Gestoras'!$H$6:$H$462,MATCH(D3347,'Classif Gestoras'!$A$6:$A$462,0)),"Não classificada")</x:f>
        <x:v>Independente</x:v>
      </x:c>
      <x:c r="F3347" s="168" t="str">
        <x:v>Limine Trust Distribuidora de Titulos e Valores Mobiliá</x:v>
      </x:c>
      <x:c r="G3347" s="168" t="str">
        <x:v>LIMINE TRUST DISTRIBUIDORA DE TITULOS E VALORES MOBILIARIOS LTDA.</x:v>
      </x:c>
      <x:c r="H3347" s="168" t="str">
        <x:v>Agro, Indústria e Comércio</x:v>
      </x:c>
      <x:c r="I3347" s="168" t="str">
        <x:v>Recebíveis Comerciais</x:v>
      </x:c>
      <x:c r="J3347" s="168" t="str">
        <x:v>CI</x:v>
      </x:c>
      <x:c r="K3347" s="174" t="n">
        <x:v>4</x:v>
      </x:c>
      <x:c r="L3347" s="187" t="str">
        <x:v>Não classificado</x:v>
      </x:c>
    </x:row>
    <x:row r="3348">
      <x:c r="A3348" s="177" t="str">
        <x:v>58.488.311/0001-21</x:v>
      </x:c>
      <x:c r="B3348" s="168" t="str">
        <x:v>CNPJ 58488311000121</x:v>
      </x:c>
      <x:c r="C3348" s="190" t="n">
        <x:v>0</x:v>
      </x:c>
      <x:c r="D3348" s="168" t="str">
        <x:v>AUGME CAPITAL GESTÃO DE RECURSOS LTDA.</x:v>
      </x:c>
      <x:c r="E3348" s="168" t="str">
        <x:f>IFERROR(INDEX('Classif Gestoras'!$H$6:$H$462,MATCH(D3348,'Classif Gestoras'!$A$6:$A$462,0)),"Não classificada")</x:f>
        <x:v>Independente</x:v>
      </x:c>
      <x:c r="F3348" s="168" t="str">
        <x:v>BANCO DAYCOVAL S/A</x:v>
      </x:c>
      <x:c r="G3348" s="168" t="str">
        <x:v>Não identificado</x:v>
      </x:c>
      <x:c r="H3348" s="168" t="str">
        <x:v>Outros</x:v>
      </x:c>
      <x:c r="I3348" s="168" t="str">
        <x:v>Multicarteira Outros</x:v>
      </x:c>
      <x:c r="J3348" s="168" t="str">
        <x:v>CIPC</x:v>
      </x:c>
      <x:c r="K3348" s="174"/>
      <x:c r="L3348" s="187" t="str">
        <x:v>Proxy multicedente/multissacado — revisar</x:v>
      </x:c>
    </x:row>
    <x:row r="3349">
      <x:c r="A3349" s="177" t="str">
        <x:v>54.003.830/0001-00</x:v>
      </x:c>
      <x:c r="B3349" s="168" t="str">
        <x:v>TRIUNPH FUNDO DE INVESTIMENTO EM DIREITOS CREDITÓRIOS NÃO PADRONIZADO</x:v>
      </x:c>
      <x:c r="C3349" s="190" t="n">
        <x:v>0</x:v>
      </x:c>
      <x:c r="D3349" s="168" t="str">
        <x:v>Reag Jus</x:v>
      </x:c>
      <x:c r="E3349" s="168" t="str">
        <x:f>IFERROR(INDEX('Classif Gestoras'!$H$6:$H$462,MATCH(D3349,'Classif Gestoras'!$A$6:$A$462,0)),"Não classificada")</x:f>
        <x:v>Independente</x:v>
      </x:c>
      <x:c r="F3349" s="168" t="str">
        <x:v>REAG DTVM</x:v>
      </x:c>
      <x:c r="G3349" s="168" t="str">
        <x:v>REAG TRUST DISTRIBUIDORA DE TITULOS E VALORES MOBILIARIOS S.A.</x:v>
      </x:c>
      <x:c r="H3349" s="168" t="str">
        <x:v>Outros</x:v>
      </x:c>
      <x:c r="I3349" s="168" t="str">
        <x:v>Multicarteira Outros</x:v>
      </x:c>
      <x:c r="J3349" s="168" t="str">
        <x:v>CI</x:v>
      </x:c>
      <x:c r="K3349" s="174" t="n">
        <x:v>1</x:v>
      </x:c>
      <x:c r="L3349" s="187" t="str">
        <x:v>Proxy multicedente/multissacado — revisar</x:v>
      </x:c>
    </x:row>
    <x:row r="3350">
      <x:c r="A3350" s="177" t="str">
        <x:v>26.199.686/0001-85</x:v>
      </x:c>
      <x:c r="B3350" s="168" t="str">
        <x:v>RIO DOCE FUNDO DE INVESTIMENTO EM DIREITOS CREDITÓRIOS NÃO PADRONIZADOS</x:v>
      </x:c>
      <x:c r="C3350" s="190" t="n">
        <x:v>0</x:v>
      </x:c>
      <x:c r="D3350" s="168" t="str">
        <x:v>Global Gestão e Investimentos</x:v>
      </x:c>
      <x:c r="E3350" s="168" t="str">
        <x:f>IFERROR(INDEX('Classif Gestoras'!$H$6:$H$462,MATCH(D3350,'Classif Gestoras'!$A$6:$A$462,0)),"Não classificada")</x:f>
        <x:v>Independente</x:v>
      </x:c>
      <x:c r="F3350" s="168" t="str">
        <x:v>Singulare</x:v>
      </x:c>
      <x:c r="G3350" s="168" t="str">
        <x:v>QI CORRETORA DE TÍTULOS E VALORES MOBILIÁRIOS S.A.</x:v>
      </x:c>
      <x:c r="H3350" s="168" t="str">
        <x:v>Fomento Mercantil</x:v>
      </x:c>
      <x:c r="I3350" s="168" t="str">
        <x:v>Fomento Mercantil</x:v>
      </x:c>
      <x:c r="J3350" s="168" t="str">
        <x:v>CI</x:v>
      </x:c>
      <x:c r="K3350" s="174" t="n">
        <x:v>0</x:v>
      </x:c>
      <x:c r="L3350" s="187" t="str">
        <x:v>Não classificado</x:v>
      </x:c>
    </x:row>
    <x:row r="3351">
      <x:c r="A3351" s="177" t="str">
        <x:v>61.349.077/0001-66</x:v>
      </x:c>
      <x:c r="B3351" s="168" t="str">
        <x:v>CNPJ 61349077000166</x:v>
      </x:c>
      <x:c r="C3351" s="190" t="n">
        <x:v>0</x:v>
      </x:c>
      <x:c r="D3351" s="168" t="str">
        <x:v>ASSET MANAGEMENT</x:v>
      </x:c>
      <x:c r="E3351" s="168" t="str">
        <x:f>IFERROR(INDEX('Classif Gestoras'!$H$6:$H$462,MATCH(D3351,'Classif Gestoras'!$A$6:$A$462,0)),"Não classificada")</x:f>
        <x:v>Independente</x:v>
      </x:c>
      <x:c r="F3351" s="168" t="str">
        <x:v>AZUMI DISTRIBUIDORA DE TÍTULOS E VALORES MOBILIÁRIOS LT</x:v>
      </x:c>
      <x:c r="G3351" s="168" t="str">
        <x:v>Não identificado</x:v>
      </x:c>
      <x:c r="H3351" s="168" t="str">
        <x:v>Outros</x:v>
      </x:c>
      <x:c r="I3351" s="168" t="str">
        <x:v>Não se aplica</x:v>
      </x:c>
      <x:c r="J3351" s="168" t="str">
        <x:v>CI</x:v>
      </x:c>
      <x:c r="K3351" s="174"/>
      <x:c r="L3351" s="187" t="str">
        <x:v>Não classificado</x:v>
      </x:c>
    </x:row>
    <x:row r="3352">
      <x:c r="A3352" s="177" t="str">
        <x:v>50.089.559/0001-08</x:v>
      </x:c>
      <x:c r="B3352" s="168" t="str">
        <x:v>CNPJ 50089559000108</x:v>
      </x:c>
      <x:c r="C3352" s="190" t="n">
        <x:v>0</x:v>
      </x:c>
      <x:c r="D3352" s="168" t="str">
        <x:v>FATOR INNOVATION LTDA</x:v>
      </x:c>
      <x:c r="E3352" s="168" t="str">
        <x:f>IFERROR(INDEX('Classif Gestoras'!$H$6:$H$462,MATCH(D3352,'Classif Gestoras'!$A$6:$A$462,0)),"Não classificada")</x:f>
        <x:v>Independente</x:v>
      </x:c>
      <x:c r="F3352" s="168" t="str">
        <x:v>Singulare</x:v>
      </x:c>
      <x:c r="G3352" s="168" t="str">
        <x:v>Não identificado</x:v>
      </x:c>
      <x:c r="H3352" s="168" t="str">
        <x:v>Agro, Indústria e Comércio</x:v>
      </x:c>
      <x:c r="I3352" s="168" t="str">
        <x:v>Não se aplica</x:v>
      </x:c>
      <x:c r="J3352" s="168" t="str">
        <x:v>CI</x:v>
      </x:c>
      <x:c r="K3352" s="174"/>
      <x:c r="L3352" s="187" t="str">
        <x:v>Não classificado</x:v>
      </x:c>
    </x:row>
    <x:row r="3353">
      <x:c r="A3353" s="177" t="str">
        <x:v>51.119.641/0001-09</x:v>
      </x:c>
      <x:c r="B3353" s="168" t="str">
        <x:v>FACIO FUNDO DE INVESTIMENTO EM DIREITOS CREDITÓRIOS FINANCEIROS DE RESPONSABILIDADE LIMITADA</x:v>
      </x:c>
      <x:c r="C3353" s="190" t="n">
        <x:v>0</x:v>
      </x:c>
      <x:c r="D3353" s="168" t="str">
        <x:v>Kanastra</x:v>
      </x:c>
      <x:c r="E3353" s="168" t="str">
        <x:f>IFERROR(INDEX('Classif Gestoras'!$H$6:$H$462,MATCH(D3353,'Classif Gestoras'!$A$6:$A$462,0)),"Não classificada")</x:f>
        <x:v>Independente</x:v>
      </x:c>
      <x:c r="F3353" s="168" t="str">
        <x:v>Limine Trust Distribuidora de Titulos e Valores Mobiliá</x:v>
      </x:c>
      <x:c r="G3353" s="168" t="str">
        <x:v>Não identificado</x:v>
      </x:c>
      <x:c r="H3353" s="168" t="str">
        <x:v>Financeiro</x:v>
      </x:c>
      <x:c r="I3353" s="168" t="str">
        <x:v>Crédito Pessoal</x:v>
      </x:c>
      <x:c r="J3353" s="168" t="str">
        <x:v>CI</x:v>
      </x:c>
      <x:c r="K3353" s="174" t="n">
        <x:v>0</x:v>
      </x:c>
      <x:c r="L3353" s="187" t="str">
        <x:v>Não classificado</x:v>
      </x:c>
    </x:row>
    <x:row r="3354">
      <x:c r="A3354" s="177" t="str">
        <x:v>58.517.380/0001-16</x:v>
      </x:c>
      <x:c r="B3354" s="168" t="str">
        <x:v>GENIAL REAL ESTATE FUNDO DE INVESTIMENTO EM DIREITOS CREDITÓRIOS DE RESPONSABILIDADE LIMITADA</x:v>
      </x:c>
      <x:c r="C3354" s="190" t="n">
        <x:v>0</x:v>
      </x:c>
      <x:c r="D3354" s="168" t="str">
        <x:v>GENIAL GESTÃO LTDA.</x:v>
      </x:c>
      <x:c r="E3354" s="168" t="str">
        <x:f>IFERROR(INDEX('Classif Gestoras'!$H$6:$H$462,MATCH(D3354,'Classif Gestoras'!$A$6:$A$462,0)),"Não classificada")</x:f>
        <x:v>Ligada a banco</x:v>
      </x:c>
      <x:c r="F3354" s="168" t="str">
        <x:v>Genial Investimentos Corretora de Valores Mobiliários S.A.</x:v>
      </x:c>
      <x:c r="G3354" s="168" t="str">
        <x:v>BANCO GENIAL S.A.</x:v>
      </x:c>
      <x:c r="H3354" s="168" t="str">
        <x:v>Financeiro</x:v>
      </x:c>
      <x:c r="I3354" s="168" t="str">
        <x:v>Crédito Imobiliário</x:v>
      </x:c>
      <x:c r="J3354" s="168" t="str">
        <x:v>CI</x:v>
      </x:c>
      <x:c r="K3354" s="174" t="n">
        <x:v>1</x:v>
      </x:c>
      <x:c r="L3354" s="187" t="str">
        <x:v>Não classificado</x:v>
      </x:c>
    </x:row>
    <x:row r="3355">
      <x:c r="A3355" s="177" t="str">
        <x:v>40.210.287/0001-07</x:v>
      </x:c>
      <x:c r="B3355" s="168" t="str">
        <x:v>CNPJ 40210287000107</x:v>
      </x:c>
      <x:c r="C3355" s="190" t="n">
        <x:v>0</x:v>
      </x:c>
      <x:c r="D3355" s="168" t="str">
        <x:v>Iron Capital</x:v>
      </x:c>
      <x:c r="E3355" s="168" t="str">
        <x:f>IFERROR(INDEX('Classif Gestoras'!$H$6:$H$462,MATCH(D3355,'Classif Gestoras'!$A$6:$A$462,0)),"Não classificada")</x:f>
        <x:v>Independente</x:v>
      </x:c>
      <x:c r="F3355" s="168" t="str">
        <x:v>VÓRTX DTVM</x:v>
      </x:c>
      <x:c r="G3355" s="168" t="str">
        <x:v>Não identificado</x:v>
      </x:c>
      <x:c r="H3355" s="168" t="str">
        <x:v>Financeiro</x:v>
      </x:c>
      <x:c r="I3355" s="168" t="str">
        <x:v>Crédito Consignado</x:v>
      </x:c>
      <x:c r="J3355" s="168" t="str">
        <x:v>CI</x:v>
      </x:c>
      <x:c r="K3355" s="174"/>
      <x:c r="L3355" s="187" t="str">
        <x:v>Não classificado</x:v>
      </x:c>
    </x:row>
    <x:row r="3356">
      <x:c r="A3356" s="177" t="str">
        <x:v>58.528.148/0001-83</x:v>
      </x:c>
      <x:c r="B3356" s="168" t="str">
        <x:v>SMASH FUNDO DE INVESTIMENTO EM DIREITOS CREDITÓRIOS NÃO PADRONIZADOS</x:v>
      </x:c>
      <x:c r="C3356" s="190" t="n">
        <x:v>0</x:v>
      </x:c>
      <x:c r="D3356" s="168" t="str">
        <x:v>REAG PORTFOLIO SOLUTIONS</x:v>
      </x:c>
      <x:c r="E3356" s="168" t="str">
        <x:f>IFERROR(INDEX('Classif Gestoras'!$H$6:$H$462,MATCH(D3356,'Classif Gestoras'!$A$6:$A$462,0)),"Não classificada")</x:f>
        <x:v>Independente</x:v>
      </x:c>
      <x:c r="F3356" s="168" t="str">
        <x:v>REAG DTVM</x:v>
      </x:c>
      <x:c r="G3356" s="168" t="str">
        <x:v>REAG TRUST DISTRIBUIDORA DE TITULOS E VALORES MOBILIARIOS S.A.</x:v>
      </x:c>
      <x:c r="H3356" s="168" t="str">
        <x:v>Outros</x:v>
      </x:c>
      <x:c r="I3356" s="168" t="str">
        <x:v>Multicarteira Outros</x:v>
      </x:c>
      <x:c r="J3356" s="168" t="str">
        <x:v>CI</x:v>
      </x:c>
      <x:c r="K3356" s="174" t="n">
        <x:v>1</x:v>
      </x:c>
      <x:c r="L3356" s="187" t="str">
        <x:v>Proxy multicedente/multissacado — revisar</x:v>
      </x:c>
    </x:row>
    <x:row r="3357">
      <x:c r="A3357" s="177" t="str">
        <x:v>58.528.925/0001-90</x:v>
      </x:c>
      <x:c r="B3357" s="168" t="str">
        <x:v>RR FUNDO DE INVESTIMENTO EM DIREITOS CREDITÓRIOS NÃO PADRONIZADOS</x:v>
      </x:c>
      <x:c r="C3357" s="190" t="n">
        <x:v>0</x:v>
      </x:c>
      <x:c r="D3357" s="168" t="str">
        <x:v>Reag Jus</x:v>
      </x:c>
      <x:c r="E3357" s="168" t="str">
        <x:f>IFERROR(INDEX('Classif Gestoras'!$H$6:$H$462,MATCH(D3357,'Classif Gestoras'!$A$6:$A$462,0)),"Não classificada")</x:f>
        <x:v>Independente</x:v>
      </x:c>
      <x:c r="F3357" s="168" t="str">
        <x:v>REAG DTVM</x:v>
      </x:c>
      <x:c r="G3357" s="168" t="str">
        <x:v>REAG TRUST DISTRIBUIDORA DE TITULOS E VALORES MOBILIARIOS S.A.</x:v>
      </x:c>
      <x:c r="H3357" s="168" t="str">
        <x:v>Outros</x:v>
      </x:c>
      <x:c r="I3357" s="168" t="str">
        <x:v>Multicarteira Outros</x:v>
      </x:c>
      <x:c r="J3357" s="168" t="str">
        <x:v>CI</x:v>
      </x:c>
      <x:c r="K3357" s="174" t="n">
        <x:v>1</x:v>
      </x:c>
      <x:c r="L3357" s="187" t="str">
        <x:v>Proxy multicedente/multissacado — revisar</x:v>
      </x:c>
    </x:row>
    <x:row r="3358">
      <x:c r="A3358" s="177" t="str">
        <x:v>50.133.597/0001-10</x:v>
      </x:c>
      <x:c r="B3358" s="168" t="str">
        <x:v>INSIGNA FUNDO DE INVESTIMENTO EM DIREITOS CREDITÓRIOS RESPONSABILIDADE LIMITADA</x:v>
      </x:c>
      <x:c r="C3358" s="190" t="n">
        <x:v>0</x:v>
      </x:c>
      <x:c r="D3358" s="168" t="str">
        <x:v>CONTEA CAPITAL</x:v>
      </x:c>
      <x:c r="E3358" s="168" t="str">
        <x:f>IFERROR(INDEX('Classif Gestoras'!$H$6:$H$462,MATCH(D3358,'Classif Gestoras'!$A$6:$A$462,0)),"Não classificada")</x:f>
        <x:v>Independente</x:v>
      </x:c>
      <x:c r="F3358" s="168" t="str">
        <x:v>ID Corretora de Títulos e Valores Mobiliários S.A.</x:v>
      </x:c>
      <x:c r="G3358" s="168" t="str">
        <x:v>ID CORRETORA DE TITULOS E VALORES MOBILIARIOS S.A.</x:v>
      </x:c>
      <x:c r="H3358" s="168" t="str">
        <x:v>Outros</x:v>
      </x:c>
      <x:c r="I3358" s="168" t="str">
        <x:v>Multicarteira Outros</x:v>
      </x:c>
      <x:c r="J3358" s="168" t="str">
        <x:v>CI</x:v>
      </x:c>
      <x:c r="K3358" s="174" t="n">
        <x:v>0</x:v>
      </x:c>
      <x:c r="L3358" s="187" t="str">
        <x:v>Proxy multicedente/multissacado — revisar</x:v>
      </x:c>
    </x:row>
    <x:row r="3359">
      <x:c r="A3359" s="177" t="str">
        <x:v>51.079.269/0001-46</x:v>
      </x:c>
      <x:c r="B3359" s="168" t="str">
        <x:v>CARNIVAL FUNDO DE INVESTIMENTO EM DIREITOS CREDITÓRIOS</x:v>
      </x:c>
      <x:c r="C3359" s="190" t="n">
        <x:v>0</x:v>
      </x:c>
      <x:c r="D3359" s="168" t="str">
        <x:v>Reag Administradora de Recursos Ltda</x:v>
      </x:c>
      <x:c r="E3359" s="168" t="str">
        <x:f>IFERROR(INDEX('Classif Gestoras'!$H$6:$H$462,MATCH(D3359,'Classif Gestoras'!$A$6:$A$462,0)),"Não classificada")</x:f>
        <x:v>Independente</x:v>
      </x:c>
      <x:c r="F3359" s="168" t="str">
        <x:v>REAG DTVM</x:v>
      </x:c>
      <x:c r="G3359" s="168" t="str">
        <x:v>REAG TRUST DISTRIBUIDORA DE TITULOS E VALORES MOBILIARIOS S.A.</x:v>
      </x:c>
      <x:c r="H3359" s="168" t="str">
        <x:v>Outros</x:v>
      </x:c>
      <x:c r="I3359" s="168" t="str">
        <x:v>Multicarteira Outros</x:v>
      </x:c>
      <x:c r="J3359" s="168" t="str">
        <x:v>CI</x:v>
      </x:c>
      <x:c r="K3359" s="174" t="n">
        <x:v>3</x:v>
      </x:c>
      <x:c r="L3359" s="187" t="str">
        <x:v>Proxy multicedente/multissacado — revisar</x:v>
      </x:c>
    </x:row>
    <x:row r="3360">
      <x:c r="A3360" s="177" t="str">
        <x:v>40.187.050/0001-44</x:v>
      </x:c>
      <x:c r="B3360" s="168" t="str">
        <x:v>CNPJ 40187050000144</x:v>
      </x:c>
      <x:c r="C3360" s="190" t="n">
        <x:v>0</x:v>
      </x:c>
      <x:c r="D3360" s="168" t="str">
        <x:v>GV ATACAMA CAPITAL LTDA.</x:v>
      </x:c>
      <x:c r="E3360" s="168" t="str">
        <x:f>IFERROR(INDEX('Classif Gestoras'!$H$6:$H$462,MATCH(D3360,'Classif Gestoras'!$A$6:$A$462,0)),"Não classificada")</x:f>
        <x:v>Independente</x:v>
      </x:c>
      <x:c r="F3360" s="168" t="str">
        <x:v>Singulare</x:v>
      </x:c>
      <x:c r="G3360" s="168" t="str">
        <x:v>Não identificado</x:v>
      </x:c>
      <x:c r="H3360" s="168" t="str">
        <x:v>Outros</x:v>
      </x:c>
      <x:c r="I3360" s="168" t="str">
        <x:v>Multiestratégia</x:v>
      </x:c>
      <x:c r="J3360" s="168" t="str">
        <x:v>CI</x:v>
      </x:c>
      <x:c r="K3360" s="174"/>
      <x:c r="L3360" s="187" t="str">
        <x:v>Não classificado</x:v>
      </x:c>
    </x:row>
    <x:row r="3361">
      <x:c r="A3361" s="177" t="str">
        <x:v>26.287.908/0001-11</x:v>
      </x:c>
      <x:c r="B3361" s="168" t="str">
        <x:v>CNPJ 26287908000111</x:v>
      </x:c>
      <x:c r="C3361" s="190" t="n">
        <x:v>0</x:v>
      </x:c>
      <x:c r="D3361" s="168" t="str">
        <x:v>ANGÁ ASSET MANAGEMENT</x:v>
      </x:c>
      <x:c r="E3361" s="168" t="str">
        <x:f>IFERROR(INDEX('Classif Gestoras'!$H$6:$H$462,MATCH(D3361,'Classif Gestoras'!$A$6:$A$462,0)),"Não classificada")</x:f>
        <x:v>Independente</x:v>
      </x:c>
      <x:c r="F3361" s="168" t="str">
        <x:v>BTG Pactual Servicos Financeiros S/A DTVM</x:v>
      </x:c>
      <x:c r="G3361" s="168" t="str">
        <x:v>Não identificado</x:v>
      </x:c>
      <x:c r="H3361" s="168" t="str">
        <x:v>Financeiro</x:v>
      </x:c>
      <x:c r="I3361" s="168" t="str">
        <x:v>Crédito Consignado</x:v>
      </x:c>
      <x:c r="J3361" s="168" t="str">
        <x:v>CI</x:v>
      </x:c>
      <x:c r="K3361" s="174"/>
      <x:c r="L3361" s="187" t="str">
        <x:v>Não classificado</x:v>
      </x:c>
    </x:row>
    <x:row r="3362">
      <x:c r="A3362" s="177" t="str">
        <x:v>50.182.107/0001-76</x:v>
      </x:c>
      <x:c r="B3362" s="168" t="str">
        <x:v>TIGER FUNDO DE INVESTIMENTO EM DIREITOS CREDITÓRIOS NÃO-PADRONIZADO</x:v>
      </x:c>
      <x:c r="C3362" s="190" t="n">
        <x:v>0</x:v>
      </x:c>
      <x:c r="D3362" s="168" t="str">
        <x:v>Reag Administradora de Recursos Ltda</x:v>
      </x:c>
      <x:c r="E3362" s="168" t="str">
        <x:f>IFERROR(INDEX('Classif Gestoras'!$H$6:$H$462,MATCH(D3362,'Classif Gestoras'!$A$6:$A$462,0)),"Não classificada")</x:f>
        <x:v>Independente</x:v>
      </x:c>
      <x:c r="F3362" s="168" t="str">
        <x:v>REAG DTVM</x:v>
      </x:c>
      <x:c r="G3362" s="168" t="str">
        <x:v>REAG TRUST DISTRIBUIDORA DE TITULOS E VALORES MOBILIARIOS S.A.</x:v>
      </x:c>
      <x:c r="H3362" s="168" t="str">
        <x:v>Outros</x:v>
      </x:c>
      <x:c r="I3362" s="168" t="str">
        <x:v>Multicarteira Outros</x:v>
      </x:c>
      <x:c r="J3362" s="168" t="str">
        <x:v>CI</x:v>
      </x:c>
      <x:c r="K3362" s="174" t="n">
        <x:v>3</x:v>
      </x:c>
      <x:c r="L3362" s="187" t="str">
        <x:v>Proxy multicedente/multissacado — revisar</x:v>
      </x:c>
    </x:row>
    <x:row r="3363">
      <x:c r="A3363" s="177" t="str">
        <x:v>26.405.893/0001-49</x:v>
      </x:c>
      <x:c r="B3363" s="168" t="str">
        <x:v>CNPJ 26405893000149</x:v>
      </x:c>
      <x:c r="C3363" s="190" t="n">
        <x:v>0</x:v>
      </x:c>
      <x:c r="D3363" s="168" t="str">
        <x:v>Quadra Gestão de Recursos S.A.</x:v>
      </x:c>
      <x:c r="E3363" s="168" t="str">
        <x:f>IFERROR(INDEX('Classif Gestoras'!$H$6:$H$462,MATCH(D3363,'Classif Gestoras'!$A$6:$A$462,0)),"Não classificada")</x:f>
        <x:v>Independente</x:v>
      </x:c>
      <x:c r="F3363" s="168" t="str">
        <x:v>VÓRTX DTVM</x:v>
      </x:c>
      <x:c r="G3363" s="168" t="str">
        <x:v>Não identificado</x:v>
      </x:c>
      <x:c r="H3363" s="168" t="str">
        <x:v>Outros</x:v>
      </x:c>
      <x:c r="I3363" s="168" t="str">
        <x:v>Multicarteira Outros</x:v>
      </x:c>
      <x:c r="J3363" s="168" t="str">
        <x:v>CI</x:v>
      </x:c>
      <x:c r="K3363" s="174"/>
      <x:c r="L3363" s="187" t="str">
        <x:v>Proxy multicedente/multissacado — revisar</x:v>
      </x:c>
    </x:row>
    <x:row r="3364">
      <x:c r="A3364" s="177" t="str">
        <x:v>54.095.003/0001-85</x:v>
      </x:c>
      <x:c r="B3364" s="168" t="str">
        <x:v>CNPJ 54095003000185</x:v>
      </x:c>
      <x:c r="C3364" s="190" t="n">
        <x:v>0</x:v>
      </x:c>
      <x:c r="D3364" s="168" t="str">
        <x:v>Redwood Asset Management</x:v>
      </x:c>
      <x:c r="E3364" s="168" t="str">
        <x:f>IFERROR(INDEX('Classif Gestoras'!$H$6:$H$462,MATCH(D3364,'Classif Gestoras'!$A$6:$A$462,0)),"Não classificada")</x:f>
        <x:v>Independente</x:v>
      </x:c>
      <x:c r="F3364" s="168" t="str">
        <x:v>PLANNER CV</x:v>
      </x:c>
      <x:c r="G3364" s="168" t="str">
        <x:v>Não identificado</x:v>
      </x:c>
      <x:c r="H3364" s="168" t="str">
        <x:v>Fomento Mercantil</x:v>
      </x:c>
      <x:c r="I3364" s="168" t="str">
        <x:v>Fomento Mercantil</x:v>
      </x:c>
      <x:c r="J3364" s="168" t="str">
        <x:v>CI</x:v>
      </x:c>
      <x:c r="K3364" s="174"/>
      <x:c r="L3364" s="187" t="str">
        <x:v>Não classificado</x:v>
      </x:c>
    </x:row>
    <x:row r="3365">
      <x:c r="A3365" s="177" t="str">
        <x:v>54.153.227/0001-04</x:v>
      </x:c>
      <x:c r="B3365" s="168" t="str">
        <x:v>FLYNN FUNDO DE INVESTIMENTO EM DIREITOS CREDITÓRIOS</x:v>
      </x:c>
      <x:c r="C3365" s="190" t="n">
        <x:v>0</x:v>
      </x:c>
      <x:c r="D3365" s="168" t="str">
        <x:v>Reag Jus</x:v>
      </x:c>
      <x:c r="E3365" s="168" t="str">
        <x:f>IFERROR(INDEX('Classif Gestoras'!$H$6:$H$462,MATCH(D3365,'Classif Gestoras'!$A$6:$A$462,0)),"Não classificada")</x:f>
        <x:v>Independente</x:v>
      </x:c>
      <x:c r="F3365" s="168" t="str">
        <x:v>REAG DTVM</x:v>
      </x:c>
      <x:c r="G3365" s="168" t="str">
        <x:v>REAG TRUST DISTRIBUIDORA DE TITULOS E VALORES MOBILIARIOS S.A.</x:v>
      </x:c>
      <x:c r="H3365" s="168" t="str">
        <x:v>Outros</x:v>
      </x:c>
      <x:c r="I3365" s="168" t="str">
        <x:v>Multicarteira Outros</x:v>
      </x:c>
      <x:c r="J3365" s="168" t="str">
        <x:v>CI</x:v>
      </x:c>
      <x:c r="K3365" s="174" t="n">
        <x:v>1</x:v>
      </x:c>
      <x:c r="L3365" s="187" t="str">
        <x:v>Proxy multicedente/multissacado — revisar</x:v>
      </x:c>
    </x:row>
    <x:row r="3366">
      <x:c r="A3366" s="177" t="str">
        <x:v>62.184.290/0001-28</x:v>
      </x:c>
      <x:c r="B3366" s="168" t="str">
        <x:v>AUER FUNDO DE INVESTIMENTO EM DIREITOS CREDITÓRIOS</x:v>
      </x:c>
      <x:c r="C3366" s="190" t="n">
        <x:v>0</x:v>
      </x:c>
      <x:c r="D3366" s="168" t="str">
        <x:v>Reag Jus</x:v>
      </x:c>
      <x:c r="E3366" s="168" t="str">
        <x:f>IFERROR(INDEX('Classif Gestoras'!$H$6:$H$462,MATCH(D3366,'Classif Gestoras'!$A$6:$A$462,0)),"Não classificada")</x:f>
        <x:v>Independente</x:v>
      </x:c>
      <x:c r="F3366" s="168" t="str">
        <x:v>REAG DTVM</x:v>
      </x:c>
      <x:c r="G3366" s="168" t="str">
        <x:v>REAG TRUST DISTRIBUIDORA DE TITULOS E VALORES MOBILIARIOS S.A.</x:v>
      </x:c>
      <x:c r="H3366" s="168" t="str">
        <x:v>Outros</x:v>
      </x:c>
      <x:c r="I3366" s="168" t="str">
        <x:v>Multicarteira Outros</x:v>
      </x:c>
      <x:c r="J3366" s="168" t="str">
        <x:v>CI</x:v>
      </x:c>
      <x:c r="K3366" s="174" t="n">
        <x:v>1</x:v>
      </x:c>
      <x:c r="L3366" s="187" t="str">
        <x:v>Proxy multicedente/multissacado — revisar</x:v>
      </x:c>
    </x:row>
    <x:row r="3367">
      <x:c r="A3367" s="177" t="str">
        <x:v>51.168.507/0001-90</x:v>
      </x:c>
      <x:c r="B3367" s="168" t="str">
        <x:v>AJAX FUNDO DE INVESTIMENTO EM DIREITOS CREDITORIOS</x:v>
      </x:c>
      <x:c r="C3367" s="190" t="n">
        <x:v>0</x:v>
      </x:c>
      <x:c r="D3367" s="168" t="str">
        <x:v>Reag Jus</x:v>
      </x:c>
      <x:c r="E3367" s="168" t="str">
        <x:f>IFERROR(INDEX('Classif Gestoras'!$H$6:$H$462,MATCH(D3367,'Classif Gestoras'!$A$6:$A$462,0)),"Não classificada")</x:f>
        <x:v>Independente</x:v>
      </x:c>
      <x:c r="F3367" s="168" t="str">
        <x:v>REAG DTVM</x:v>
      </x:c>
      <x:c r="G3367" s="168" t="str">
        <x:v>REAG TRUST DISTRIBUIDORA DE TITULOS E VALORES MOBILIARIOS S.A.</x:v>
      </x:c>
      <x:c r="H3367" s="168" t="str">
        <x:v>Outros</x:v>
      </x:c>
      <x:c r="I3367" s="168" t="str">
        <x:v>Multicarteira Outros</x:v>
      </x:c>
      <x:c r="J3367" s="168" t="str">
        <x:v>CI</x:v>
      </x:c>
      <x:c r="K3367" s="174" t="n">
        <x:v>1</x:v>
      </x:c>
      <x:c r="L3367" s="187" t="str">
        <x:v>Proxy multicedente/multissacado — revisar</x:v>
      </x:c>
    </x:row>
    <x:row r="3368">
      <x:c r="A3368" s="177" t="str">
        <x:v>08.927.488/0001-09</x:v>
      </x:c>
      <x:c r="B3368" s="168" t="str">
        <x:v>FIDC TRENDBANK BANCO DE FOMENTO - MULTISETORIAL</x:v>
      </x:c>
      <x:c r="C3368" s="190" t="n">
        <x:v>0</x:v>
      </x:c>
      <x:c r="D3368" s="168" t="str">
        <x:v>GENIAL GESTÃO LTDA.</x:v>
      </x:c>
      <x:c r="E3368" s="168" t="str">
        <x:f>IFERROR(INDEX('Classif Gestoras'!$H$6:$H$462,MATCH(D3368,'Classif Gestoras'!$A$6:$A$462,0)),"Não classificada")</x:f>
        <x:v>Ligada a banco</x:v>
      </x:c>
      <x:c r="F3368" s="168" t="str">
        <x:v>Banco Genial S.A.</x:v>
      </x:c>
      <x:c r="G3368" s="168" t="str">
        <x:v>BANCO GENIAL S.A.</x:v>
      </x:c>
      <x:c r="H3368" s="168" t="str">
        <x:v>Fomento Mercantil</x:v>
      </x:c>
      <x:c r="I3368" s="168" t="str">
        <x:v>Fomento Mercantil</x:v>
      </x:c>
      <x:c r="J3368" s="168" t="str">
        <x:v>CI</x:v>
      </x:c>
      <x:c r="K3368" s="174" t="n">
        <x:v>21</x:v>
      </x:c>
      <x:c r="L3368" s="187" t="str">
        <x:v>Não classificado</x:v>
      </x:c>
    </x:row>
    <x:row r="3369">
      <x:c r="A3369" s="177" t="str">
        <x:v>30.283.468/0001-00</x:v>
      </x:c>
      <x:c r="B3369" s="168" t="str">
        <x:v>CANAL 26 FUNDO DE INVESTIMENTO EM DIREITOS CREDITÓRIOS NÃO-PADRONIZADOS</x:v>
      </x:c>
      <x:c r="C3369" s="190" t="n">
        <x:v>0</x:v>
      </x:c>
      <x:c r="D3369" s="168" t="str">
        <x:v>G5 Adm. de Recursos</x:v>
      </x:c>
      <x:c r="E3369" s="168" t="str">
        <x:f>IFERROR(INDEX('Classif Gestoras'!$H$6:$H$462,MATCH(D3369,'Classif Gestoras'!$A$6:$A$462,0)),"Não classificada")</x:f>
        <x:v>Independente</x:v>
      </x:c>
      <x:c r="F3369" s="168" t="str">
        <x:v>Singulare</x:v>
      </x:c>
      <x:c r="G3369" s="168" t="str">
        <x:v>QI CORRETORA DE TÍTULOS E VALORES MOBILIÁRIOS S.A.</x:v>
      </x:c>
      <x:c r="H3369" s="168" t="str">
        <x:v>Outros</x:v>
      </x:c>
      <x:c r="I3369" s="168" t="str">
        <x:v>Multicarteira Outros</x:v>
      </x:c>
      <x:c r="J3369" s="168" t="str">
        <x:v>CI</x:v>
      </x:c>
      <x:c r="K3369" s="174" t="n">
        <x:v>1</x:v>
      </x:c>
      <x:c r="L3369" s="187" t="str">
        <x:v>Proxy multicedente/multissacado — revisar</x:v>
      </x:c>
    </x:row>
    <x:row r="3370">
      <x:c r="A3370" s="177" t="str">
        <x:v>49.637.238/0001-11</x:v>
      </x:c>
      <x:c r="B3370" s="168" t="str">
        <x:v>REAG FUNDO DE INVESTIMENTOS NAS CADEIAS PRODUTIVAS AGROINDUSTRIAIS FIAGRO - DIREITOS CREDITÓRIOS</x:v>
      </x:c>
      <x:c r="C3370" s="190" t="n">
        <x:v>0</x:v>
      </x:c>
      <x:c r="D3370" s="168" t="str">
        <x:v>Reag Administradora de Recursos Ltda</x:v>
      </x:c>
      <x:c r="E3370" s="168" t="str">
        <x:f>IFERROR(INDEX('Classif Gestoras'!$H$6:$H$462,MATCH(D3370,'Classif Gestoras'!$A$6:$A$462,0)),"Não classificada")</x:f>
        <x:v>Independente</x:v>
      </x:c>
      <x:c r="F3370" s="168" t="str">
        <x:v>REAG DTVM</x:v>
      </x:c>
      <x:c r="G3370" s="168" t="str">
        <x:v>REAG TRUST DISTRIBUIDORA DE TITULOS E VALORES MOBILIARIOS S.A.</x:v>
      </x:c>
      <x:c r="H3370" s="168" t="str">
        <x:v>Fomento Mercantil</x:v>
      </x:c>
      <x:c r="I3370" s="168" t="str">
        <x:v>Fomento Mercantil</x:v>
      </x:c>
      <x:c r="J3370" s="168" t="str">
        <x:v>CI</x:v>
      </x:c>
      <x:c r="K3370" s="174" t="n">
        <x:v>3</x:v>
      </x:c>
      <x:c r="L3370" s="187" t="str">
        <x:v>Não classificado</x:v>
      </x:c>
    </x:row>
    <x:row r="3371">
      <x:c r="A3371" s="177" t="str">
        <x:v>49.650.000/0001-26</x:v>
      </x:c>
      <x:c r="B3371" s="168" t="str">
        <x:v>CNPJ 49650000000126</x:v>
      </x:c>
      <x:c r="C3371" s="190" t="n">
        <x:v>0</x:v>
      </x:c>
      <x:c r="D3371" s="168" t="str">
        <x:v>Riza Securitização e Carteiras</x:v>
      </x:c>
      <x:c r="E3371" s="168" t="str">
        <x:f>IFERROR(INDEX('Classif Gestoras'!$H$6:$H$462,MATCH(D3371,'Classif Gestoras'!$A$6:$A$462,0)),"Não classificada")</x:f>
        <x:v>Independente</x:v>
      </x:c>
      <x:c r="F3371" s="168" t="str">
        <x:v>BTG Pactual Servicos Financeiros S/A DTVM</x:v>
      </x:c>
      <x:c r="G3371" s="168" t="str">
        <x:v>Não identificado</x:v>
      </x:c>
      <x:c r="H3371" s="168" t="str">
        <x:v>Outros</x:v>
      </x:c>
      <x:c r="I3371" s="168" t="str">
        <x:v>Multicarteira Outros</x:v>
      </x:c>
      <x:c r="J3371" s="168" t="str">
        <x:v>CI</x:v>
      </x:c>
      <x:c r="K3371" s="174"/>
      <x:c r="L3371" s="187" t="str">
        <x:v>Proxy multicedente/multissacado — revisar</x:v>
      </x:c>
    </x:row>
    <x:row r="3372">
      <x:c r="A3372" s="177" t="str">
        <x:v>58.312.065/0001-52</x:v>
      </x:c>
      <x:c r="B3372" s="168" t="str">
        <x:v>SDA FUNDO DE INVESTIMENTO EM DIREITOS CREDITÓRIOS - RESPONSABILIDADE LIMITADA</x:v>
      </x:c>
      <x:c r="C3372" s="190" t="n">
        <x:v>0</x:v>
      </x:c>
      <x:c r="D3372" s="168" t="str">
        <x:v>SQUALO CAPITAL GESTORA DE RECURSOS LTDA.</x:v>
      </x:c>
      <x:c r="E3372" s="168" t="str">
        <x:f>IFERROR(INDEX('Classif Gestoras'!$H$6:$H$462,MATCH(D3372,'Classif Gestoras'!$A$6:$A$462,0)),"Não classificada")</x:f>
        <x:v>Independente</x:v>
      </x:c>
      <x:c r="F3372" s="168" t="str">
        <x:v>Limine Trust Distribuidora de Titulos e Valores Mobiliá</x:v>
      </x:c>
      <x:c r="G3372" s="168" t="str">
        <x:v>LIMINE TRUST DISTRIBUIDORA DE TITULOS E VALORES MOBILIARIOS LTDA.</x:v>
      </x:c>
      <x:c r="H3372" s="168" t="str">
        <x:v>Outros</x:v>
      </x:c>
      <x:c r="I3372" s="168" t="str">
        <x:v>Multicarteira Outros</x:v>
      </x:c>
      <x:c r="J3372" s="168" t="str">
        <x:v>CI</x:v>
      </x:c>
      <x:c r="K3372" s="174" t="n">
        <x:v>13</x:v>
      </x:c>
      <x:c r="L3372" s="187" t="str">
        <x:v>Proxy multicedente/multissacado — revisar</x:v>
      </x:c>
    </x:row>
    <x:row r="3373">
      <x:c r="A3373" s="177" t="str">
        <x:v>49.691.846/0001-04</x:v>
      </x:c>
      <x:c r="B3373" s="168" t="str">
        <x:v>CNPJ 49691846000104</x:v>
      </x:c>
      <x:c r="C3373" s="190" t="n">
        <x:v>0</x:v>
      </x:c>
      <x:c r="D3373" s="168" t="str">
        <x:v>Kanastra</x:v>
      </x:c>
      <x:c r="E3373" s="168" t="str">
        <x:f>IFERROR(INDEX('Classif Gestoras'!$H$6:$H$462,MATCH(D3373,'Classif Gestoras'!$A$6:$A$462,0)),"Não classificada")</x:f>
        <x:v>Independente</x:v>
      </x:c>
      <x:c r="F3373" s="168" t="str">
        <x:v>Limine Trust Distribuidora de Titulos e Valores Mobiliá</x:v>
      </x:c>
      <x:c r="G3373" s="168" t="str">
        <x:v>Não identificado</x:v>
      </x:c>
      <x:c r="H3373" s="168" t="str">
        <x:v>Outros</x:v>
      </x:c>
      <x:c r="I3373" s="168" t="str">
        <x:v>Multicarteira Outros</x:v>
      </x:c>
      <x:c r="J3373" s="168" t="str">
        <x:v>CI</x:v>
      </x:c>
      <x:c r="K3373" s="174"/>
      <x:c r="L3373" s="187" t="str">
        <x:v>Proxy multicedente/multissacado — revisar</x:v>
      </x:c>
    </x:row>
    <x:row r="3374">
      <x:c r="A3374" s="177" t="str">
        <x:v>54.287.342/0001-63</x:v>
      </x:c>
      <x:c r="B3374" s="168" t="str">
        <x:v>CNPJ 54287342000163</x:v>
      </x:c>
      <x:c r="C3374" s="190" t="n">
        <x:v>0</x:v>
      </x:c>
      <x:c r="D3374" s="168" t="str">
        <x:v>ELLO ASSET MANAGEMENT</x:v>
      </x:c>
      <x:c r="E3374" s="168" t="str">
        <x:f>IFERROR(INDEX('Classif Gestoras'!$H$6:$H$462,MATCH(D3374,'Classif Gestoras'!$A$6:$A$462,0)),"Não classificada")</x:f>
        <x:v>Independente</x:v>
      </x:c>
      <x:c r="F3374" s="168" t="str">
        <x:v>VÓRTX DTVM</x:v>
      </x:c>
      <x:c r="G3374" s="168" t="str">
        <x:v>Não identificado</x:v>
      </x:c>
      <x:c r="H3374" s="168" t="str">
        <x:v>Financeiro</x:v>
      </x:c>
      <x:c r="I3374" s="168" t="str">
        <x:v>Crédito Consignado</x:v>
      </x:c>
      <x:c r="J3374" s="168" t="str">
        <x:v>CI</x:v>
      </x:c>
      <x:c r="K3374" s="174"/>
      <x:c r="L3374" s="187" t="str">
        <x:v>Não classificado</x:v>
      </x:c>
    </x:row>
    <x:row r="3375">
      <x:c r="A3375" s="177" t="str">
        <x:v>49.789.715/0001-64</x:v>
      </x:c>
      <x:c r="B3375" s="168" t="str">
        <x:v>ELETRONET FUNDO DE INVESTIMENTO EM DIREITOS CREDITÓRIOS</x:v>
      </x:c>
      <x:c r="C3375" s="190" t="n">
        <x:v>0</x:v>
      </x:c>
      <x:c r="D3375" s="168" t="str">
        <x:v>FAR - FATOR ADMINIST</x:v>
      </x:c>
      <x:c r="E3375" s="168" t="str">
        <x:f>IFERROR(INDEX('Classif Gestoras'!$H$6:$H$462,MATCH(D3375,'Classif Gestoras'!$A$6:$A$462,0)),"Não classificada")</x:f>
        <x:v>Independente</x:v>
      </x:c>
      <x:c r="F3375" s="168" t="str">
        <x:v>BANCO DAYCOVAL S/A</x:v>
      </x:c>
      <x:c r="G3375" s="168" t="str">
        <x:v>BANCO DAYCOVAL S.A.</x:v>
      </x:c>
      <x:c r="H3375" s="168" t="str">
        <x:v>Outros</x:v>
      </x:c>
      <x:c r="I3375" s="168" t="str">
        <x:v>Multicarteira Outros</x:v>
      </x:c>
      <x:c r="J3375" s="168" t="str">
        <x:v>CI</x:v>
      </x:c>
      <x:c r="K3375" s="174" t="n">
        <x:v>0</x:v>
      </x:c>
      <x:c r="L3375" s="187" t="str">
        <x:v>Proxy multicedente/multissacado — revisar</x:v>
      </x:c>
    </x:row>
    <x:row r="3376">
      <x:c r="A3376" s="177" t="str">
        <x:v>40.617.721/0001-60</x:v>
      </x:c>
      <x:c r="B3376" s="168" t="str">
        <x:v>MONTENEGRO FUNDO DE INVESTIMENTO EM DIREITOS CREDITÓRIOS NÃO PADRONIZADO</x:v>
      </x:c>
      <x:c r="C3376" s="190" t="n">
        <x:v>0</x:v>
      </x:c>
      <x:c r="D3376" s="168" t="str">
        <x:v>BURITI INVESTIMENTOS</x:v>
      </x:c>
      <x:c r="E3376" s="168" t="str">
        <x:f>IFERROR(INDEX('Classif Gestoras'!$H$6:$H$462,MATCH(D3376,'Classif Gestoras'!$A$6:$A$462,0)),"Não classificada")</x:f>
        <x:v>Independente</x:v>
      </x:c>
      <x:c r="F3376" s="168" t="str">
        <x:v>Singulare</x:v>
      </x:c>
      <x:c r="G3376" s="168" t="str">
        <x:v>BARU DISTRIBUIDORA DE TÍTULOS E VALORES MOBILIÁRIOS LTDA.</x:v>
      </x:c>
      <x:c r="H3376" s="168" t="str">
        <x:v>Outros</x:v>
      </x:c>
      <x:c r="I3376" s="168" t="str">
        <x:v>Multicarteira Outros</x:v>
      </x:c>
      <x:c r="J3376" s="168" t="str">
        <x:v>CI</x:v>
      </x:c>
      <x:c r="K3376" s="174" t="n">
        <x:v>3</x:v>
      </x:c>
      <x:c r="L3376" s="187" t="str">
        <x:v>Proxy multicedente/multissacado — revisar</x:v>
      </x:c>
    </x:row>
    <x:row r="3377">
      <x:c r="A3377" s="177" t="str">
        <x:v>11.641.910/0001-70</x:v>
      </x:c>
      <x:c r="B3377" s="168" t="str">
        <x:v>CNPJ 11641910000170</x:v>
      </x:c>
      <x:c r="C3377" s="190" t="n">
        <x:v>0</x:v>
      </x:c>
      <x:c r="D3377" s="168" t="str">
        <x:v>GRAPHEN INVESTIMENTOS</x:v>
      </x:c>
      <x:c r="E3377" s="168" t="str">
        <x:f>IFERROR(INDEX('Classif Gestoras'!$H$6:$H$462,MATCH(D3377,'Classif Gestoras'!$A$6:$A$462,0)),"Não classificada")</x:f>
        <x:v>Independente</x:v>
      </x:c>
      <x:c r="F3377" s="168" t="str">
        <x:v>SLW CVC LTDA</x:v>
      </x:c>
      <x:c r="G3377" s="168" t="str">
        <x:v>Não identificado</x:v>
      </x:c>
      <x:c r="H3377" s="168" t="str">
        <x:v>Outros</x:v>
      </x:c>
      <x:c r="I3377" s="168" t="str">
        <x:v>Poder Público</x:v>
      </x:c>
      <x:c r="J3377" s="168" t="str">
        <x:v>CI</x:v>
      </x:c>
      <x:c r="K3377" s="174"/>
      <x:c r="L3377" s="187" t="str">
        <x:v>Não classificado</x:v>
      </x:c>
    </x:row>
    <x:row r="3378">
      <x:c r="A3378" s="177" t="str">
        <x:v>49.815.297/0001-32</x:v>
      </x:c>
      <x:c r="B3378" s="168" t="str">
        <x:v>CNPJ 49815297000132</x:v>
      </x:c>
      <x:c r="C3378" s="190" t="n">
        <x:v>0</x:v>
      </x:c>
      <x:c r="D3378" s="168" t="str">
        <x:v>Multiplica Capital</x:v>
      </x:c>
      <x:c r="E3378" s="168" t="str">
        <x:f>IFERROR(INDEX('Classif Gestoras'!$H$6:$H$462,MATCH(D3378,'Classif Gestoras'!$A$6:$A$462,0)),"Não classificada")</x:f>
        <x:v>Independente</x:v>
      </x:c>
      <x:c r="F3378" s="168" t="str">
        <x:v>PLANNER CV</x:v>
      </x:c>
      <x:c r="G3378" s="168" t="str">
        <x:v>Não identificado</x:v>
      </x:c>
      <x:c r="H3378" s="168" t="str">
        <x:v>Fomento Mercantil</x:v>
      </x:c>
      <x:c r="I3378" s="168" t="str">
        <x:v>Fomento Mercantil</x:v>
      </x:c>
      <x:c r="J3378" s="168" t="str">
        <x:v>CI</x:v>
      </x:c>
      <x:c r="K3378" s="174"/>
      <x:c r="L3378" s="187" t="str">
        <x:v>Não classificado</x:v>
      </x:c>
    </x:row>
    <x:row r="3379">
      <x:c r="A3379" s="177" t="str">
        <x:v>53.304.046/0001-60</x:v>
      </x:c>
      <x:c r="B3379" s="168" t="str">
        <x:v>TAURUS FUNDO DE INVESTIMENTO EM DIREITOS CREDITÓRIOS</x:v>
      </x:c>
      <x:c r="C3379" s="190" t="n">
        <x:v>0</x:v>
      </x:c>
      <x:c r="D3379" s="168" t="str">
        <x:v>TRUSTEE DTVM</x:v>
      </x:c>
      <x:c r="E3379" s="168" t="str">
        <x:f>IFERROR(INDEX('Classif Gestoras'!$H$6:$H$462,MATCH(D3379,'Classif Gestoras'!$A$6:$A$462,0)),"Não classificada")</x:f>
        <x:v>Independente</x:v>
      </x:c>
      <x:c r="F3379" s="168" t="str">
        <x:v>MASTER S/A CORRETORA</x:v>
      </x:c>
      <x:c r="G3379" s="168" t="str">
        <x:v>MASTER S/A CORRETORA DE CAMBIO, TITULOS E VALORES MOBILIARIOS</x:v>
      </x:c>
      <x:c r="H3379" s="168" t="str">
        <x:v>Outros</x:v>
      </x:c>
      <x:c r="I3379" s="168" t="str">
        <x:v>Multicarteira Outros</x:v>
      </x:c>
      <x:c r="J3379" s="168" t="str">
        <x:v>CI</x:v>
      </x:c>
      <x:c r="K3379" s="174" t="n">
        <x:v>1</x:v>
      </x:c>
      <x:c r="L3379" s="187" t="str">
        <x:v>Proxy multicedente/multissacado — revisar</x:v>
      </x:c>
    </x:row>
    <x:row r="3380">
      <x:c r="A3380" s="177" t="str">
        <x:v>53.312.645/0001-26</x:v>
      </x:c>
      <x:c r="B3380" s="168" t="str">
        <x:v>CNPJ 53312645000126</x:v>
      </x:c>
      <x:c r="C3380" s="190" t="n">
        <x:v>0</x:v>
      </x:c>
      <x:c r="D3380" s="168" t="str">
        <x:v>ARC Capital</x:v>
      </x:c>
      <x:c r="E3380" s="168" t="str">
        <x:f>IFERROR(INDEX('Classif Gestoras'!$H$6:$H$462,MATCH(D3380,'Classif Gestoras'!$A$6:$A$462,0)),"Não classificada")</x:f>
        <x:v>Independente</x:v>
      </x:c>
      <x:c r="F3380" s="168" t="str">
        <x:v>REAG DTVM</x:v>
      </x:c>
      <x:c r="G3380" s="168" t="str">
        <x:v>Não identificado</x:v>
      </x:c>
      <x:c r="H3380" s="168" t="str">
        <x:v>Agro, Indústria e Comércio</x:v>
      </x:c>
      <x:c r="I3380" s="168" t="str">
        <x:v>Agronegócio</x:v>
      </x:c>
      <x:c r="J3380" s="168" t="str">
        <x:v>CI</x:v>
      </x:c>
      <x:c r="K3380" s="174"/>
      <x:c r="L3380" s="187" t="str">
        <x:v>Não classificado</x:v>
      </x:c>
    </x:row>
    <x:row r="3381">
      <x:c r="A3381" s="177" t="str">
        <x:v>26.111.863/0001-20</x:v>
      </x:c>
      <x:c r="B3381" s="168" t="str">
        <x:v>CNPJ 26111863000120</x:v>
      </x:c>
      <x:c r="C3381" s="190" t="n">
        <x:v>0</x:v>
      </x:c>
      <x:c r="D3381" s="168" t="str">
        <x:v>BLP CAPITAL</x:v>
      </x:c>
      <x:c r="E3381" s="168" t="str">
        <x:f>IFERROR(INDEX('Classif Gestoras'!$H$6:$H$462,MATCH(D3381,'Classif Gestoras'!$A$6:$A$462,0)),"Não classificada")</x:f>
        <x:v>Independente</x:v>
      </x:c>
      <x:c r="F3381" s="168" t="str">
        <x:v>TRUSTEE DTVM</x:v>
      </x:c>
      <x:c r="G3381" s="168" t="str">
        <x:v>Não identificado</x:v>
      </x:c>
      <x:c r="H3381" s="168" t="str">
        <x:v>Outros</x:v>
      </x:c>
      <x:c r="I3381" s="168" t="str">
        <x:v>Multicarteira Outros</x:v>
      </x:c>
      <x:c r="J3381" s="168" t="str">
        <x:v>CI</x:v>
      </x:c>
      <x:c r="K3381" s="174"/>
      <x:c r="L3381" s="187" t="str">
        <x:v>Proxy multicedente/multissacado — revisar</x:v>
      </x:c>
    </x:row>
    <x:row r="3382">
      <x:c r="A3382" s="177" t="str">
        <x:v>51.152.102/0001-63</x:v>
      </x:c>
      <x:c r="B3382" s="168" t="str">
        <x:v>HIGH TOWER FUNDO DE INVESTIMENTO EM DIREITOS CREDITÓRIOS NÃO-PADRONIZADOS</x:v>
      </x:c>
      <x:c r="C3382" s="190" t="n">
        <x:v>0</x:v>
      </x:c>
      <x:c r="D3382" s="168" t="str">
        <x:v>Reag Jus</x:v>
      </x:c>
      <x:c r="E3382" s="168" t="str">
        <x:f>IFERROR(INDEX('Classif Gestoras'!$H$6:$H$462,MATCH(D3382,'Classif Gestoras'!$A$6:$A$462,0)),"Não classificada")</x:f>
        <x:v>Independente</x:v>
      </x:c>
      <x:c r="F3382" s="168" t="str">
        <x:v>REAG DTVM</x:v>
      </x:c>
      <x:c r="G3382" s="168" t="str">
        <x:v>REAG TRUST DISTRIBUIDORA DE TITULOS E VALORES MOBILIARIOS S.A.</x:v>
      </x:c>
      <x:c r="H3382" s="168" t="str">
        <x:v>Outros</x:v>
      </x:c>
      <x:c r="I3382" s="168" t="str">
        <x:v>Multicarteira Outros</x:v>
      </x:c>
      <x:c r="J3382" s="168" t="str">
        <x:v>CI</x:v>
      </x:c>
      <x:c r="K3382" s="174" t="n">
        <x:v>1</x:v>
      </x:c>
      <x:c r="L3382" s="187" t="str">
        <x:v>Proxy multicedente/multissacado — revisar</x:v>
      </x:c>
    </x:row>
    <x:row r="3383">
      <x:c r="A3383" s="177" t="str">
        <x:v>40.365.982/0001-30</x:v>
      </x:c>
      <x:c r="B3383" s="168" t="str">
        <x:v>CNPJ 40365982000130</x:v>
      </x:c>
      <x:c r="C3383" s="190" t="n">
        <x:v>0</x:v>
      </x:c>
      <x:c r="D3383" s="168" t="str">
        <x:v>Quadra Gestão de Recursos S.A.</x:v>
      </x:c>
      <x:c r="E3383" s="168" t="str">
        <x:f>IFERROR(INDEX('Classif Gestoras'!$H$6:$H$462,MATCH(D3383,'Classif Gestoras'!$A$6:$A$462,0)),"Não classificada")</x:f>
        <x:v>Independente</x:v>
      </x:c>
      <x:c r="F3383" s="168" t="str">
        <x:v>BTG Pactual Servicos Financeiros S/A DTVM</x:v>
      </x:c>
      <x:c r="G3383" s="168" t="str">
        <x:v>Não identificado</x:v>
      </x:c>
      <x:c r="H3383" s="168" t="str">
        <x:v>Agro, Indústria e Comércio</x:v>
      </x:c>
      <x:c r="I3383" s="168" t="str">
        <x:v>Infraestrutura</x:v>
      </x:c>
      <x:c r="J3383" s="168" t="str">
        <x:v>CI</x:v>
      </x:c>
      <x:c r="K3383" s="174"/>
      <x:c r="L3383" s="187" t="str">
        <x:v>Não classificado</x:v>
      </x:c>
    </x:row>
    <x:row r="3384">
      <x:c r="A3384" s="177" t="str">
        <x:v>30.283.448/0001-20</x:v>
      </x:c>
      <x:c r="B3384" s="168" t="str">
        <x:v>CNPJ 30283448000120</x:v>
      </x:c>
      <x:c r="C3384" s="190" t="n">
        <x:v>0</x:v>
      </x:c>
      <x:c r="D3384" s="168" t="str">
        <x:v>FATOR INNOVATION LTDA</x:v>
      </x:c>
      <x:c r="E3384" s="168" t="str">
        <x:f>IFERROR(INDEX('Classif Gestoras'!$H$6:$H$462,MATCH(D3384,'Classif Gestoras'!$A$6:$A$462,0)),"Não classificada")</x:f>
        <x:v>Independente</x:v>
      </x:c>
      <x:c r="F3384" s="168" t="str">
        <x:v>Singulare</x:v>
      </x:c>
      <x:c r="G3384" s="168" t="str">
        <x:v>Não identificado</x:v>
      </x:c>
      <x:c r="H3384" s="168" t="str">
        <x:v>Agro, Indústria e Comércio</x:v>
      </x:c>
      <x:c r="I3384" s="168" t="str">
        <x:v>Não se aplica</x:v>
      </x:c>
      <x:c r="J3384" s="168" t="str">
        <x:v>CI</x:v>
      </x:c>
      <x:c r="K3384" s="174"/>
      <x:c r="L3384" s="187" t="str">
        <x:v>Não classificado</x:v>
      </x:c>
    </x:row>
    <x:row r="3385">
      <x:c r="A3385" s="177" t="str">
        <x:v>51.151.251/0001-08</x:v>
      </x:c>
      <x:c r="B3385" s="168" t="str">
        <x:v>RINDT FUNDO DE INVESTIMENTO EM DIREITOS CREDITÓRIOS</x:v>
      </x:c>
      <x:c r="C3385" s="190" t="n">
        <x:v>0</x:v>
      </x:c>
      <x:c r="D3385" s="168" t="str">
        <x:v>Reag Jus</x:v>
      </x:c>
      <x:c r="E3385" s="168" t="str">
        <x:f>IFERROR(INDEX('Classif Gestoras'!$H$6:$H$462,MATCH(D3385,'Classif Gestoras'!$A$6:$A$462,0)),"Não classificada")</x:f>
        <x:v>Independente</x:v>
      </x:c>
      <x:c r="F3385" s="168" t="str">
        <x:v>REAG DTVM</x:v>
      </x:c>
      <x:c r="G3385" s="168" t="str">
        <x:v>REAG TRUST DISTRIBUIDORA DE TITULOS E VALORES MOBILIARIOS S.A.</x:v>
      </x:c>
      <x:c r="H3385" s="168" t="str">
        <x:v>Outros</x:v>
      </x:c>
      <x:c r="I3385" s="168" t="str">
        <x:v>Multicarteira Outros</x:v>
      </x:c>
      <x:c r="J3385" s="168" t="str">
        <x:v>CI</x:v>
      </x:c>
      <x:c r="K3385" s="174" t="n">
        <x:v>1</x:v>
      </x:c>
      <x:c r="L3385" s="187" t="str">
        <x:v>Proxy multicedente/multissacado — revisar</x:v>
      </x:c>
    </x:row>
    <x:row r="3386">
      <x:c r="A3386" s="177" t="str">
        <x:v>39.273.613/0001-38</x:v>
      </x:c>
      <x:c r="B3386" s="168" t="str">
        <x:v>VANGUARD FUNDO DE INVESTIMENTO EM DIREITOS CREDITÓRIOS</x:v>
      </x:c>
      <x:c r="C3386" s="190" t="n">
        <x:v>0</x:v>
      </x:c>
      <x:c r="D3386" s="168" t="str">
        <x:v>TRUSTEE DTVM</x:v>
      </x:c>
      <x:c r="E3386" s="168" t="str">
        <x:f>IFERROR(INDEX('Classif Gestoras'!$H$6:$H$462,MATCH(D3386,'Classif Gestoras'!$A$6:$A$462,0)),"Não classificada")</x:f>
        <x:v>Independente</x:v>
      </x:c>
      <x:c r="F3386" s="168" t="str">
        <x:v>TRUSTEE DTVM</x:v>
      </x:c>
      <x:c r="G3386" s="168" t="str">
        <x:v>TRUSTEE DISTRIBUIDORA DE TITULOS E VALORES MOBILIARIOS LTDA.</x:v>
      </x:c>
      <x:c r="H3386" s="168" t="str">
        <x:v>Outros</x:v>
      </x:c>
      <x:c r="I3386" s="168" t="str">
        <x:v>Multicarteira Outros</x:v>
      </x:c>
      <x:c r="J3386" s="168" t="str">
        <x:v>CI</x:v>
      </x:c>
      <x:c r="K3386" s="174" t="n">
        <x:v>1</x:v>
      </x:c>
      <x:c r="L3386" s="187" t="str">
        <x:v>Proxy multicedente/multissacado — revisar</x:v>
      </x:c>
    </x:row>
    <x:row r="3387">
      <x:c r="A3387" s="177" t="str">
        <x:v>49.878.868/0001-88</x:v>
      </x:c>
      <x:c r="B3387" s="168" t="str">
        <x:v>AUGE CAPITAL FUNDO DE INVESTIMENTO EM DIREITOS CREDITÓRIOS PADRONIZADO</x:v>
      </x:c>
      <x:c r="C3387" s="190" t="n">
        <x:v>0</x:v>
      </x:c>
      <x:c r="D3387" s="168" t="str">
        <x:v>GFS INVESTIMENTOS</x:v>
      </x:c>
      <x:c r="E3387" s="168" t="str">
        <x:f>IFERROR(INDEX('Classif Gestoras'!$H$6:$H$462,MATCH(D3387,'Classif Gestoras'!$A$6:$A$462,0)),"Não classificada")</x:f>
        <x:v>Independente</x:v>
      </x:c>
      <x:c r="F3387" s="168" t="str">
        <x:v>PLANNER CV</x:v>
      </x:c>
      <x:c r="G3387" s="168" t="str">
        <x:v>PLANNER CORRETORA DE VALORES S.A.</x:v>
      </x:c>
      <x:c r="H3387" s="168" t="str">
        <x:v>Financeiro</x:v>
      </x:c>
      <x:c r="I3387" s="168" t="str">
        <x:v>Multicarteira Financeiro</x:v>
      </x:c>
      <x:c r="J3387" s="168" t="str">
        <x:v>CI</x:v>
      </x:c>
      <x:c r="K3387" s="174" t="n">
        <x:v>12</x:v>
      </x:c>
      <x:c r="L3387" s="187" t="str">
        <x:v>Proxy multicedente/multissacado — revisar</x:v>
      </x:c>
    </x:row>
    <x:row r="3388">
      <x:c r="A3388" s="177" t="str">
        <x:v>53.313.856/0001-83</x:v>
      </x:c>
      <x:c r="B3388" s="168" t="str">
        <x:v>RAIKKONEN FUNDO DE INVESTIMENTO EM DIREITOS CREDITÓRIOS</x:v>
      </x:c>
      <x:c r="C3388" s="190" t="n">
        <x:v>0</x:v>
      </x:c>
      <x:c r="D3388" s="168" t="str">
        <x:v>Reag Jus</x:v>
      </x:c>
      <x:c r="E3388" s="168" t="str">
        <x:f>IFERROR(INDEX('Classif Gestoras'!$H$6:$H$462,MATCH(D3388,'Classif Gestoras'!$A$6:$A$462,0)),"Não classificada")</x:f>
        <x:v>Independente</x:v>
      </x:c>
      <x:c r="F3388" s="168" t="str">
        <x:v>REAG DTVM</x:v>
      </x:c>
      <x:c r="G3388" s="168" t="str">
        <x:v>REAG TRUST DISTRIBUIDORA DE TITULOS E VALORES MOBILIARIOS S.A.</x:v>
      </x:c>
      <x:c r="H3388" s="168" t="str">
        <x:v>Outros</x:v>
      </x:c>
      <x:c r="I3388" s="168" t="str">
        <x:v>Multicarteira Outros</x:v>
      </x:c>
      <x:c r="J3388" s="168" t="str">
        <x:v>CI</x:v>
      </x:c>
      <x:c r="K3388" s="174" t="n">
        <x:v>1</x:v>
      </x:c>
      <x:c r="L3388" s="187" t="str">
        <x:v>Proxy multicedente/multissacado — revisar</x:v>
      </x:c>
    </x:row>
    <x:row r="3389">
      <x:c r="A3389" s="177" t="str">
        <x:v>58.375.913/0001-72</x:v>
      </x:c>
      <x:c r="B3389" s="168" t="str">
        <x:v>CNPJ 58375913000172</x:v>
      </x:c>
      <x:c r="C3389" s="190" t="n">
        <x:v>0</x:v>
      </x:c>
      <x:c r="D3389" s="168" t="str">
        <x:v>Plural Investimentos Gestão de Recursos Ltda.</x:v>
      </x:c>
      <x:c r="E3389" s="168" t="str">
        <x:f>IFERROR(INDEX('Classif Gestoras'!$H$6:$H$462,MATCH(D3389,'Classif Gestoras'!$A$6:$A$462,0)),"Não classificada")</x:f>
        <x:v>Ligada a banco</x:v>
      </x:c>
      <x:c r="F3389" s="168" t="str">
        <x:v>Genial Investimentos Corretora de Valores Mobiliários S.A.</x:v>
      </x:c>
      <x:c r="G3389" s="168" t="str">
        <x:v>Não identificado</x:v>
      </x:c>
      <x:c r="H3389" s="168" t="str">
        <x:v>Outros</x:v>
      </x:c>
      <x:c r="I3389" s="168" t="str">
        <x:v>Multicarteira Outros</x:v>
      </x:c>
      <x:c r="J3389" s="168" t="str">
        <x:v>CI</x:v>
      </x:c>
      <x:c r="K3389" s="174"/>
      <x:c r="L3389" s="187" t="str">
        <x:v>Proxy multicedente/multissacado — revisar</x:v>
      </x:c>
    </x:row>
    <x:row r="3390">
      <x:c r="A3390" s="177" t="str">
        <x:v>34.736.565/0001-53</x:v>
      </x:c>
      <x:c r="B3390" s="168" t="str">
        <x:v>CNPJ 34736565000153</x:v>
      </x:c>
      <x:c r="C3390" s="190" t="n">
        <x:v>0</x:v>
      </x:c>
      <x:c r="D3390" s="168" t="str">
        <x:v>POLÍGONO CAPITAL LTDA.</x:v>
      </x:c>
      <x:c r="E3390" s="168" t="str">
        <x:f>IFERROR(INDEX('Classif Gestoras'!$H$6:$H$462,MATCH(D3390,'Classif Gestoras'!$A$6:$A$462,0)),"Não classificada")</x:f>
        <x:v>Independente</x:v>
      </x:c>
      <x:c r="F3390" s="168" t="str">
        <x:v>Finvest Digital</x:v>
      </x:c>
      <x:c r="G3390" s="168" t="str">
        <x:v>Não identificado</x:v>
      </x:c>
      <x:c r="H3390" s="168" t="str">
        <x:v>Outros</x:v>
      </x:c>
      <x:c r="I3390" s="168" t="str">
        <x:v>Multicarteira Outros</x:v>
      </x:c>
      <x:c r="J3390" s="168" t="str">
        <x:v>CI</x:v>
      </x:c>
      <x:c r="K3390" s="174"/>
      <x:c r="L3390" s="187" t="str">
        <x:v>Proxy multicedente/multissacado — revisar</x:v>
      </x:c>
    </x:row>
    <x:row r="3391">
      <x:c r="A3391" s="177" t="str">
        <x:v>54.218.932/0001-34</x:v>
      </x:c>
      <x:c r="B3391" s="168" t="str">
        <x:v>CNPJ 54218932000134</x:v>
      </x:c>
      <x:c r="C3391" s="190" t="n">
        <x:v>0</x:v>
      </x:c>
      <x:c r="D3391" s="168" t="str">
        <x:v>REAG PORTFOLIO SOLUTIONS</x:v>
      </x:c>
      <x:c r="E3391" s="168" t="str">
        <x:f>IFERROR(INDEX('Classif Gestoras'!$H$6:$H$462,MATCH(D3391,'Classif Gestoras'!$A$6:$A$462,0)),"Não classificada")</x:f>
        <x:v>Independente</x:v>
      </x:c>
      <x:c r="F3391" s="168" t="str">
        <x:v>REAG DTVM</x:v>
      </x:c>
      <x:c r="G3391" s="168" t="str">
        <x:v>Não identificado</x:v>
      </x:c>
      <x:c r="H3391" s="168" t="str">
        <x:v>Outros</x:v>
      </x:c>
      <x:c r="I3391" s="168" t="str">
        <x:v>Não se aplica</x:v>
      </x:c>
      <x:c r="J3391" s="168" t="str">
        <x:v>CI</x:v>
      </x:c>
      <x:c r="K3391" s="174"/>
      <x:c r="L3391" s="187" t="str">
        <x:v>Não classificado</x:v>
      </x:c>
    </x:row>
    <x:row r="3392">
      <x:c r="A3392" s="177" t="str">
        <x:v>53.323.654/0001-12</x:v>
      </x:c>
      <x:c r="B3392" s="168" t="str">
        <x:v>CNPJ 53323654000112</x:v>
      </x:c>
      <x:c r="C3392" s="190" t="n">
        <x:v>0</x:v>
      </x:c>
      <x:c r="D3392" s="168" t="str">
        <x:v>BRL TRUST DTVM</x:v>
      </x:c>
      <x:c r="E3392" s="168" t="str">
        <x:f>IFERROR(INDEX('Classif Gestoras'!$H$6:$H$462,MATCH(D3392,'Classif Gestoras'!$A$6:$A$462,0)),"Não classificada")</x:f>
        <x:v>Independente</x:v>
      </x:c>
      <x:c r="F3392" s="168" t="str">
        <x:v>BRL TRUST DTVM</x:v>
      </x:c>
      <x:c r="G3392" s="168" t="str">
        <x:v>Não identificado</x:v>
      </x:c>
      <x:c r="H3392" s="168" t="str">
        <x:v>Outros</x:v>
      </x:c>
      <x:c r="I3392" s="168" t="str">
        <x:v>Não se aplica</x:v>
      </x:c>
      <x:c r="J3392" s="168" t="str">
        <x:v>CI</x:v>
      </x:c>
      <x:c r="K3392" s="174"/>
      <x:c r="L3392" s="187" t="str">
        <x:v>Não classificado</x:v>
      </x:c>
    </x:row>
    <x:row r="3393">
      <x:c r="A3393" s="177" t="str">
        <x:v>34.850.088/0001-52</x:v>
      </x:c>
      <x:c r="B3393" s="168" t="str">
        <x:v>CNPJ 34850088000152</x:v>
      </x:c>
      <x:c r="C3393" s="190" t="n">
        <x:v>0</x:v>
      </x:c>
      <x:c r="D3393" s="168" t="str">
        <x:v>GENIAL GESTÃO LTDA.</x:v>
      </x:c>
      <x:c r="E3393" s="168" t="str">
        <x:f>IFERROR(INDEX('Classif Gestoras'!$H$6:$H$462,MATCH(D3393,'Classif Gestoras'!$A$6:$A$462,0)),"Não classificada")</x:f>
        <x:v>Ligada a banco</x:v>
      </x:c>
      <x:c r="F3393" s="168" t="str">
        <x:v>Banco Genial S.A.</x:v>
      </x:c>
      <x:c r="G3393" s="168" t="str">
        <x:v>Não identificado</x:v>
      </x:c>
      <x:c r="H3393" s="168" t="str">
        <x:v>Agro, Indústria e Comércio</x:v>
      </x:c>
      <x:c r="I3393" s="168" t="str">
        <x:v>Recebíveis Comerciais</x:v>
      </x:c>
      <x:c r="J3393" s="168" t="str">
        <x:v>CI</x:v>
      </x:c>
      <x:c r="K3393" s="174"/>
      <x:c r="L3393" s="187" t="str">
        <x:v>Não classificado</x:v>
      </x:c>
    </x:row>
    <x:row r="3394">
      <x:c r="A3394" s="177" t="str">
        <x:v>53.864.983/0001-70</x:v>
      </x:c>
      <x:c r="B3394" s="168" t="str">
        <x:v>CNPJ 53864983000170</x:v>
      </x:c>
      <x:c r="C3394" s="190" t="n">
        <x:v>0</x:v>
      </x:c>
      <x:c r="D3394" s="168" t="str">
        <x:v>REAG PORTFOLIO SOLUTIONS</x:v>
      </x:c>
      <x:c r="E3394" s="168" t="str">
        <x:f>IFERROR(INDEX('Classif Gestoras'!$H$6:$H$462,MATCH(D3394,'Classif Gestoras'!$A$6:$A$462,0)),"Não classificada")</x:f>
        <x:v>Independente</x:v>
      </x:c>
      <x:c r="F3394" s="168" t="str">
        <x:v>REAG DTVM</x:v>
      </x:c>
      <x:c r="G3394" s="168" t="str">
        <x:v>Não identificado</x:v>
      </x:c>
      <x:c r="H3394" s="168" t="str">
        <x:v>Outros</x:v>
      </x:c>
      <x:c r="I3394" s="168" t="str">
        <x:v>Multicarteira Outros</x:v>
      </x:c>
      <x:c r="J3394" s="168" t="str">
        <x:v>CI</x:v>
      </x:c>
      <x:c r="K3394" s="174"/>
      <x:c r="L3394" s="187" t="str">
        <x:v>Proxy multicedente/multissacado — revisar</x:v>
      </x:c>
    </x:row>
    <x:row r="3395">
      <x:c r="A3395" s="177" t="str">
        <x:v>50.314.076/0001-60</x:v>
      </x:c>
      <x:c r="B3395" s="168" t="str">
        <x:v>AZO FUNDO DE INVESTIMENTO EM DIREITOS CREDITÓRIOS NÃO-PADRONIZADO</x:v>
      </x:c>
      <x:c r="C3395" s="190" t="n">
        <x:v>0</x:v>
      </x:c>
      <x:c r="D3395" s="168" t="str">
        <x:v>Reditus Investimentos LTDA</x:v>
      </x:c>
      <x:c r="E3395" s="168" t="str">
        <x:f>IFERROR(INDEX('Classif Gestoras'!$H$6:$H$462,MATCH(D3395,'Classif Gestoras'!$A$6:$A$462,0)),"Não classificada")</x:f>
        <x:v>Independente</x:v>
      </x:c>
      <x:c r="F3395" s="168" t="str">
        <x:v>Finvest Digital</x:v>
      </x:c>
      <x:c r="G3395" s="168" t="str">
        <x:v>REAG TRUST DISTRIBUIDORA DE TITULOS E VALORES MOBILIARIOS S.A.</x:v>
      </x:c>
      <x:c r="H3395" s="168" t="str">
        <x:v>Outros</x:v>
      </x:c>
      <x:c r="I3395" s="168" t="str">
        <x:v>Multicarteira Outros</x:v>
      </x:c>
      <x:c r="J3395" s="168" t="str">
        <x:v>CI</x:v>
      </x:c>
      <x:c r="K3395" s="174" t="n">
        <x:v>1</x:v>
      </x:c>
      <x:c r="L3395" s="187" t="str">
        <x:v>Proxy multicedente/multissacado — revisar</x:v>
      </x:c>
    </x:row>
    <x:row r="3396">
      <x:c r="A3396" s="177" t="str">
        <x:v>50.314.230/0001-01</x:v>
      </x:c>
      <x:c r="B3396" s="168" t="str">
        <x:v>CNPJ 50314230000101</x:v>
      </x:c>
      <x:c r="C3396" s="190" t="n">
        <x:v>0</x:v>
      </x:c>
      <x:c r="D3396" s="168" t="str">
        <x:v>Reditus Investimentos LTDA</x:v>
      </x:c>
      <x:c r="E3396" s="168" t="str">
        <x:f>IFERROR(INDEX('Classif Gestoras'!$H$6:$H$462,MATCH(D3396,'Classif Gestoras'!$A$6:$A$462,0)),"Não classificada")</x:f>
        <x:v>Independente</x:v>
      </x:c>
      <x:c r="F3396" s="168" t="str">
        <x:v>Finvest Digital</x:v>
      </x:c>
      <x:c r="G3396" s="168" t="str">
        <x:v>Não identificado</x:v>
      </x:c>
      <x:c r="H3396" s="168" t="str">
        <x:v>Outros</x:v>
      </x:c>
      <x:c r="I3396" s="168" t="str">
        <x:v>Multicarteira Outros</x:v>
      </x:c>
      <x:c r="J3396" s="168" t="str">
        <x:v>CI</x:v>
      </x:c>
      <x:c r="K3396" s="174"/>
      <x:c r="L3396" s="187" t="str">
        <x:v>Proxy multicedente/multissacado — revisar</x:v>
      </x:c>
    </x:row>
    <x:row r="3397">
      <x:c r="A3397" s="177" t="str">
        <x:v>58.774.196/0001-51</x:v>
      </x:c>
      <x:c r="B3397" s="168" t="str">
        <x:v>CNPJ 58774196000151</x:v>
      </x:c>
      <x:c r="C3397" s="190" t="n">
        <x:v>0</x:v>
      </x:c>
      <x:c r="D3397" s="168" t="str">
        <x:v>Milênio Capital</x:v>
      </x:c>
      <x:c r="E3397" s="168" t="str">
        <x:f>IFERROR(INDEX('Classif Gestoras'!$H$6:$H$462,MATCH(D3397,'Classif Gestoras'!$A$6:$A$462,0)),"Não classificada")</x:f>
        <x:v>Independente</x:v>
      </x:c>
      <x:c r="F3397" s="168" t="str">
        <x:v>Oliveira Trust DTVM</x:v>
      </x:c>
      <x:c r="G3397" s="168" t="str">
        <x:v>Não identificado</x:v>
      </x:c>
      <x:c r="H3397" s="168" t="str">
        <x:v>Agro, Indústria e Comércio</x:v>
      </x:c>
      <x:c r="I3397" s="168" t="str">
        <x:v>Multicarteira Agro, Indústria e Comércio</x:v>
      </x:c>
      <x:c r="J3397" s="168" t="str">
        <x:v>CI</x:v>
      </x:c>
      <x:c r="K3397" s="174"/>
      <x:c r="L3397" s="187" t="str">
        <x:v>Proxy multicedente/multissacado — revisar</x:v>
      </x:c>
    </x:row>
    <x:row r="3398">
      <x:c r="A3398" s="177" t="str">
        <x:v>58.594.260/0001-12</x:v>
      </x:c>
      <x:c r="B3398" s="168" t="str">
        <x:v>JIF CRÉDITOS III - FUNDO DE INVESTIMENTO EM DIREITOS CREDITÓRIOS CRÉDITO PRIVADO DE RESP ILIMITADA</x:v>
      </x:c>
      <x:c r="C3398" s="190" t="n">
        <x:v>0</x:v>
      </x:c>
      <x:c r="D3398" s="168" t="str">
        <x:v>JIVE HIGH YIELD GESTÃO DE RECURSOS LTDA</x:v>
      </x:c>
      <x:c r="E3398" s="168" t="str">
        <x:f>IFERROR(INDEX('Classif Gestoras'!$H$6:$H$462,MATCH(D3398,'Classif Gestoras'!$A$6:$A$462,0)),"Não classificada")</x:f>
        <x:v>Independente</x:v>
      </x:c>
      <x:c r="F3398" s="168" t="str">
        <x:v>BANCO DAYCOVAL S/A</x:v>
      </x:c>
      <x:c r="G3398" s="168" t="str">
        <x:v>BANCO DAYCOVAL S.A.</x:v>
      </x:c>
      <x:c r="H3398" s="168" t="str">
        <x:v>Outros</x:v>
      </x:c>
      <x:c r="I3398" s="168" t="str">
        <x:v>Multicarteira Outros</x:v>
      </x:c>
      <x:c r="J3398" s="168" t="str">
        <x:v>CI</x:v>
      </x:c>
      <x:c r="K3398" s="174" t="n">
        <x:v>0</x:v>
      </x:c>
      <x:c r="L3398" s="187" t="str">
        <x:v>Proxy multicedente/multissacado — revisar</x:v>
      </x:c>
    </x:row>
    <x:row r="3399">
      <x:c r="A3399" s="177" t="str">
        <x:v>58.595.391/0001-14</x:v>
      </x:c>
      <x:c r="B3399" s="168" t="str">
        <x:v>CNPJ 58595391000114</x:v>
      </x:c>
      <x:c r="C3399" s="190" t="n">
        <x:v>0</x:v>
      </x:c>
      <x:c r="D3399" s="168" t="str">
        <x:v>BTG Gestora</x:v>
      </x:c>
      <x:c r="E3399" s="168" t="str">
        <x:f>IFERROR(INDEX('Classif Gestoras'!$H$6:$H$462,MATCH(D3399,'Classif Gestoras'!$A$6:$A$462,0)),"Não classificada")</x:f>
        <x:v>Ligada a banco</x:v>
      </x:c>
      <x:c r="F3399" s="168" t="str">
        <x:v>BTG Pactual Servicos Financeiros S/A DTVM</x:v>
      </x:c>
      <x:c r="G3399" s="168" t="str">
        <x:v>Não identificado</x:v>
      </x:c>
      <x:c r="H3399" s="168" t="str">
        <x:v>Agro, Indústria e Comércio</x:v>
      </x:c>
      <x:c r="I3399" s="168" t="str">
        <x:v>Não se aplica</x:v>
      </x:c>
      <x:c r="J3399" s="168" t="str">
        <x:v>CI</x:v>
      </x:c>
      <x:c r="K3399" s="174"/>
      <x:c r="L3399" s="187" t="str">
        <x:v>Não classificado</x:v>
      </x:c>
    </x:row>
    <x:row r="3400">
      <x:c r="A3400" s="177" t="str">
        <x:v>39.664.088/0001-81</x:v>
      </x:c>
      <x:c r="B3400" s="168" t="str">
        <x:v>MS MULTI FUNDO DE INVESTIMENTO EM DIREITOS CREDITÓRIOS</x:v>
      </x:c>
      <x:c r="C3400" s="190" t="n">
        <x:v>0</x:v>
      </x:c>
      <x:c r="D3400" s="168" t="str">
        <x:v>M8 Partners</x:v>
      </x:c>
      <x:c r="E3400" s="168" t="str">
        <x:f>IFERROR(INDEX('Classif Gestoras'!$H$6:$H$462,MATCH(D3400,'Classif Gestoras'!$A$6:$A$462,0)),"Não classificada")</x:f>
        <x:v>Independente</x:v>
      </x:c>
      <x:c r="F3400" s="168" t="str">
        <x:v>HEMERA DTVM</x:v>
      </x:c>
      <x:c r="G3400" s="168" t="str">
        <x:v>QI CORRETORA DE TÍTULOS E VALORES MOBILIÁRIOS S.A.</x:v>
      </x:c>
      <x:c r="H3400" s="168" t="str">
        <x:v>Outros</x:v>
      </x:c>
      <x:c r="I3400" s="168" t="str">
        <x:v>Fomento Mercantil</x:v>
      </x:c>
      <x:c r="J3400" s="168" t="str">
        <x:v>CI</x:v>
      </x:c>
      <x:c r="K3400" s="174" t="n">
        <x:v>0</x:v>
      </x:c>
      <x:c r="L3400" s="187" t="str">
        <x:v>Não classificado</x:v>
      </x:c>
    </x:row>
    <x:row r="3401">
      <x:c r="A3401" s="177" t="str">
        <x:v>61.427.104/0001-71</x:v>
      </x:c>
      <x:c r="B3401" s="168" t="str">
        <x:v>CNPJ 61427104000171</x:v>
      </x:c>
      <x:c r="C3401" s="190" t="n">
        <x:v>0</x:v>
      </x:c>
      <x:c r="D3401" s="168" t="str">
        <x:v>TERCON ASSET MANAGEMENT</x:v>
      </x:c>
      <x:c r="E3401" s="168" t="str">
        <x:f>IFERROR(INDEX('Classif Gestoras'!$H$6:$H$462,MATCH(D3401,'Classif Gestoras'!$A$6:$A$462,0)),"Não classificada")</x:f>
        <x:v>Independente</x:v>
      </x:c>
      <x:c r="F3401" s="168" t="str">
        <x:v>MONETAR DISTRIBUIDORA DE TITUL</x:v>
      </x:c>
      <x:c r="G3401" s="168" t="str">
        <x:v>Não identificado</x:v>
      </x:c>
      <x:c r="H3401" s="168" t="str">
        <x:v>Outros</x:v>
      </x:c>
      <x:c r="I3401" s="168" t="str">
        <x:v>Multicarteira Outros</x:v>
      </x:c>
      <x:c r="J3401" s="168" t="str">
        <x:v>CI</x:v>
      </x:c>
      <x:c r="K3401" s="174"/>
      <x:c r="L3401" s="187" t="str">
        <x:v>Proxy multicedente/multissacado — revisar</x:v>
      </x:c>
    </x:row>
    <x:row r="3402">
      <x:c r="A3402" s="177" t="str">
        <x:v>35.823.530/0001-14</x:v>
      </x:c>
      <x:c r="B3402" s="168" t="str">
        <x:v>BANMINAS FUNDO DE INVESTIMENTO EM DIREITOS CREDITÓRIOS</x:v>
      </x:c>
      <x:c r="C3402" s="190" t="n">
        <x:v>0</x:v>
      </x:c>
      <x:c r="D3402" s="168" t="str">
        <x:v>TERCON ASSET MANAGEMENT</x:v>
      </x:c>
      <x:c r="E3402" s="168" t="str">
        <x:f>IFERROR(INDEX('Classif Gestoras'!$H$6:$H$462,MATCH(D3402,'Classif Gestoras'!$A$6:$A$462,0)),"Não classificada")</x:f>
        <x:v>Independente</x:v>
      </x:c>
      <x:c r="F3402" s="168" t="str">
        <x:v>MASTER S/A CORRETORA</x:v>
      </x:c>
      <x:c r="G3402" s="168" t="str">
        <x:v>LIMINE TRUST DISTRIBUIDORA DE TITULOS E VALORES MOBILIARIOS LTDA.</x:v>
      </x:c>
      <x:c r="H3402" s="168" t="str">
        <x:v>Outros</x:v>
      </x:c>
      <x:c r="I3402" s="168" t="str">
        <x:v>Multicarteira Outros</x:v>
      </x:c>
      <x:c r="J3402" s="168" t="str">
        <x:v>CI</x:v>
      </x:c>
      <x:c r="K3402" s="174" t="n">
        <x:v>6</x:v>
      </x:c>
      <x:c r="L3402" s="187" t="str">
        <x:v>Proxy multicedente/multissacado — revisar</x:v>
      </x:c>
    </x:row>
    <x:row r="3403">
      <x:c r="A3403" s="177" t="str">
        <x:v>58.600.779/0001-66</x:v>
      </x:c>
      <x:c r="B3403" s="168" t="str">
        <x:v>CNPJ 58600779000166</x:v>
      </x:c>
      <x:c r="C3403" s="190" t="n">
        <x:v>0</x:v>
      </x:c>
      <x:c r="D3403" s="168" t="str">
        <x:v>BTG Gestora</x:v>
      </x:c>
      <x:c r="E3403" s="168" t="str">
        <x:f>IFERROR(INDEX('Classif Gestoras'!$H$6:$H$462,MATCH(D3403,'Classif Gestoras'!$A$6:$A$462,0)),"Não classificada")</x:f>
        <x:v>Ligada a banco</x:v>
      </x:c>
      <x:c r="F3403" s="168" t="str">
        <x:v>BTG Pactual Servicos Financeiros S/A DTVM</x:v>
      </x:c>
      <x:c r="G3403" s="168" t="str">
        <x:v>Não identificado</x:v>
      </x:c>
      <x:c r="H3403" s="168" t="str">
        <x:v>Agro, Indústria e Comércio</x:v>
      </x:c>
      <x:c r="I3403" s="168" t="str">
        <x:v>Não se aplica</x:v>
      </x:c>
      <x:c r="J3403" s="168" t="str">
        <x:v>CI</x:v>
      </x:c>
      <x:c r="K3403" s="174"/>
      <x:c r="L3403" s="187" t="str">
        <x:v>Não classificado</x:v>
      </x:c>
    </x:row>
    <x:row r="3404">
      <x:c r="A3404" s="177" t="str">
        <x:v>50.971.775/0001-82</x:v>
      </x:c>
      <x:c r="B3404" s="168" t="str">
        <x:v>CNPJ 50971775000182</x:v>
      </x:c>
      <x:c r="C3404" s="190" t="n">
        <x:v>0</x:v>
      </x:c>
      <x:c r="D3404" s="168" t="str">
        <x:v>Oliveira Trust Servicer</x:v>
      </x:c>
      <x:c r="E3404" s="168" t="str">
        <x:f>IFERROR(INDEX('Classif Gestoras'!$H$6:$H$462,MATCH(D3404,'Classif Gestoras'!$A$6:$A$462,0)),"Não classificada")</x:f>
        <x:v>Independente</x:v>
      </x:c>
      <x:c r="F3404" s="168" t="str">
        <x:v>Oliveira Trust DTVM</x:v>
      </x:c>
      <x:c r="G3404" s="168" t="str">
        <x:v>Não identificado</x:v>
      </x:c>
      <x:c r="H3404" s="168" t="str">
        <x:v>Financeiro</x:v>
      </x:c>
      <x:c r="I3404" s="168" t="str">
        <x:v>Multicarteira Financeiro</x:v>
      </x:c>
      <x:c r="J3404" s="168" t="str">
        <x:v>CI</x:v>
      </x:c>
      <x:c r="K3404" s="174"/>
      <x:c r="L3404" s="187" t="str">
        <x:v>Proxy multicedente/multissacado — revisar</x:v>
      </x:c>
    </x:row>
    <x:row r="3405">
      <x:c r="A3405" s="177" t="str">
        <x:v>50.981.701/0001-27</x:v>
      </x:c>
      <x:c r="B3405" s="168" t="str">
        <x:v>CNPJ 50981701000127</x:v>
      </x:c>
      <x:c r="C3405" s="190" t="n">
        <x:v>0</x:v>
      </x:c>
      <x:c r="D3405" s="168" t="str">
        <x:v>PACTUAL CAPITAL PART</x:v>
      </x:c>
      <x:c r="E3405" s="168" t="str">
        <x:f>IFERROR(INDEX('Classif Gestoras'!$H$6:$H$462,MATCH(D3405,'Classif Gestoras'!$A$6:$A$462,0)),"Não classificada")</x:f>
        <x:v>Independente</x:v>
      </x:c>
      <x:c r="F3405" s="168" t="str">
        <x:v>BTG Pactual Servicos Financeiros S/A DTVM</x:v>
      </x:c>
      <x:c r="G3405" s="168" t="str">
        <x:v>Não identificado</x:v>
      </x:c>
      <x:c r="H3405" s="168" t="str">
        <x:v>Outros</x:v>
      </x:c>
      <x:c r="I3405" s="168" t="str">
        <x:v>Multicarteira Outros</x:v>
      </x:c>
      <x:c r="J3405" s="168" t="str">
        <x:v>CI</x:v>
      </x:c>
      <x:c r="K3405" s="174"/>
      <x:c r="L3405" s="187" t="str">
        <x:v>Proxy multicedente/multissacado — revisar</x:v>
      </x:c>
    </x:row>
    <x:row r="3406">
      <x:c r="A3406" s="177" t="str">
        <x:v>58.601.042/0001-68</x:v>
      </x:c>
      <x:c r="B3406" s="168" t="str">
        <x:v>M CASTRO CAPITAL FUNDO DE INVESTIMENTO EM DIREITOS CREDITÓRIOS - RESPONSABILIDADE LIMITADA</x:v>
      </x:c>
      <x:c r="C3406" s="190" t="n">
        <x:v>0</x:v>
      </x:c>
      <x:c r="D3406" s="168" t="str">
        <x:v>OURO PRETO INVESTIMENTOS</x:v>
      </x:c>
      <x:c r="E3406" s="168" t="str">
        <x:f>IFERROR(INDEX('Classif Gestoras'!$H$6:$H$462,MATCH(D3406,'Classif Gestoras'!$A$6:$A$462,0)),"Não classificada")</x:f>
        <x:v>Independente</x:v>
      </x:c>
      <x:c r="F3406" s="168" t="str">
        <x:v>Limine Trust Distribuidora de Titulos e Valores Mobiliá</x:v>
      </x:c>
      <x:c r="G3406" s="168" t="str">
        <x:v>LIMINE TRUST DISTRIBUIDORA DE TITULOS E VALORES MOBILIARIOS LTDA.</x:v>
      </x:c>
      <x:c r="H3406" s="168" t="str">
        <x:v>Fomento Mercantil</x:v>
      </x:c>
      <x:c r="I3406" s="168" t="str">
        <x:v>Fomento Mercantil</x:v>
      </x:c>
      <x:c r="J3406" s="168" t="str">
        <x:v>CI</x:v>
      </x:c>
      <x:c r="K3406" s="174" t="n">
        <x:v>1</x:v>
      </x:c>
      <x:c r="L3406" s="187" t="str">
        <x:v>Não classificado</x:v>
      </x:c>
    </x:row>
    <x:row r="3407">
      <x:c r="A3407" s="177" t="str">
        <x:v>51.066.346/0001-23</x:v>
      </x:c>
      <x:c r="B3407" s="168" t="str">
        <x:v>CNPJ 51066346000123</x:v>
      </x:c>
      <x:c r="C3407" s="190" t="n">
        <x:v>0</x:v>
      </x:c>
      <x:c r="D3407" s="168" t="str">
        <x:v>Reag Administradora de Recursos Ltda</x:v>
      </x:c>
      <x:c r="E3407" s="168" t="str">
        <x:f>IFERROR(INDEX('Classif Gestoras'!$H$6:$H$462,MATCH(D3407,'Classif Gestoras'!$A$6:$A$462,0)),"Não classificada")</x:f>
        <x:v>Independente</x:v>
      </x:c>
      <x:c r="F3407" s="168" t="str">
        <x:v>REAG DTVM</x:v>
      </x:c>
      <x:c r="G3407" s="168" t="str">
        <x:v>Não identificado</x:v>
      </x:c>
      <x:c r="H3407" s="168" t="str">
        <x:v>Outros</x:v>
      </x:c>
      <x:c r="I3407" s="168" t="str">
        <x:v>Não se aplica</x:v>
      </x:c>
      <x:c r="J3407" s="168" t="str">
        <x:v>CI</x:v>
      </x:c>
      <x:c r="K3407" s="174"/>
      <x:c r="L3407" s="187" t="str">
        <x:v>Não classificado</x:v>
      </x:c>
    </x:row>
    <x:row r="3408">
      <x:c r="A3408" s="177" t="str">
        <x:v>59.035.976/0001-42</x:v>
      </x:c>
      <x:c r="B3408" s="168" t="str">
        <x:v>CNPJ 59035976000142</x:v>
      </x:c>
      <x:c r="C3408" s="190" t="n">
        <x:v>0</x:v>
      </x:c>
      <x:c r="D3408" s="168" t="str">
        <x:v>Reag Jus</x:v>
      </x:c>
      <x:c r="E3408" s="168" t="str">
        <x:f>IFERROR(INDEX('Classif Gestoras'!$H$6:$H$462,MATCH(D3408,'Classif Gestoras'!$A$6:$A$462,0)),"Não classificada")</x:f>
        <x:v>Independente</x:v>
      </x:c>
      <x:c r="F3408" s="168" t="str">
        <x:v>REAG DTVM</x:v>
      </x:c>
      <x:c r="G3408" s="168" t="str">
        <x:v>Não identificado</x:v>
      </x:c>
      <x:c r="H3408" s="168" t="str">
        <x:v>Outros</x:v>
      </x:c>
      <x:c r="I3408" s="168" t="str">
        <x:v>Multicarteira Outros</x:v>
      </x:c>
      <x:c r="J3408" s="168" t="str">
        <x:v>CI</x:v>
      </x:c>
      <x:c r="K3408" s="174"/>
      <x:c r="L3408" s="187" t="str">
        <x:v>Proxy multicedente/multissacado — revisar</x:v>
      </x:c>
    </x:row>
    <x:row r="3409">
      <x:c r="A3409" s="177" t="str">
        <x:v>26.710.026/0001-17</x:v>
      </x:c>
      <x:c r="B3409" s="168" t="str">
        <x:v>ORION - FUNDO DE INVESTIMENTO EM DIREITOS CREDITÓRIOS</x:v>
      </x:c>
      <x:c r="C3409" s="190" t="n">
        <x:v>0</x:v>
      </x:c>
      <x:c r="D3409" s="168" t="str">
        <x:v>Quadra Gestão de Recursos S.A.</x:v>
      </x:c>
      <x:c r="E3409" s="168" t="str">
        <x:f>IFERROR(INDEX('Classif Gestoras'!$H$6:$H$462,MATCH(D3409,'Classif Gestoras'!$A$6:$A$462,0)),"Não classificada")</x:f>
        <x:v>Independente</x:v>
      </x:c>
      <x:c r="F3409" s="168" t="str">
        <x:v>MAF Distribuidora de Títulos e Valores Mobiliários S.A.</x:v>
      </x:c>
      <x:c r="G3409" s="168" t="str">
        <x:v>BANCO BTG PACTUAL S/A</x:v>
      </x:c>
      <x:c r="H3409" s="168" t="str">
        <x:v>Outros</x:v>
      </x:c>
      <x:c r="I3409" s="168" t="str">
        <x:v>Poder Público</x:v>
      </x:c>
      <x:c r="J3409" s="168" t="str">
        <x:v>CI</x:v>
      </x:c>
      <x:c r="K3409" s="174" t="n">
        <x:v>3</x:v>
      </x:c>
      <x:c r="L3409" s="187" t="str">
        <x:v>Não classificado</x:v>
      </x:c>
    </x:row>
    <x:row r="3410">
      <x:c r="A3410" s="177" t="str">
        <x:v>58.817.663/0001-83</x:v>
      </x:c>
      <x:c r="B3410" s="168" t="str">
        <x:v>MD LESTE IC PRECATÓRIOS FUNDO DE INVESTIMENTO EM DIREITOS CREDITÓRIOS - DE RESPONSABILIDADE LIMITADA</x:v>
      </x:c>
      <x:c r="C3410" s="190" t="n">
        <x:v>0</x:v>
      </x:c>
      <x:c r="D3410" s="168" t="str">
        <x:v>Leste Credit Gestão de Recursos LTDA.</x:v>
      </x:c>
      <x:c r="E3410" s="168" t="str">
        <x:f>IFERROR(INDEX('Classif Gestoras'!$H$6:$H$462,MATCH(D3410,'Classif Gestoras'!$A$6:$A$462,0)),"Não classificada")</x:f>
        <x:v>Independente</x:v>
      </x:c>
      <x:c r="F3410" s="168" t="str">
        <x:v>VÓRTX DTVM</x:v>
      </x:c>
      <x:c r="G3410" s="168" t="str">
        <x:v>VORTX DISTRIBUIDORA DE TITULOS E VALORES MOBILIARIOS LTDA.</x:v>
      </x:c>
      <x:c r="H3410" s="168" t="str">
        <x:v>Outros</x:v>
      </x:c>
      <x:c r="I3410" s="168" t="str">
        <x:v>Poder Público</x:v>
      </x:c>
      <x:c r="J3410" s="168" t="str">
        <x:v>CI</x:v>
      </x:c>
      <x:c r="K3410" s="174" t="n">
        <x:v>156</x:v>
      </x:c>
      <x:c r="L3410" s="187" t="str">
        <x:v>Não classificado</x:v>
      </x:c>
    </x:row>
    <x:row r="3411">
      <x:c r="A3411" s="177" t="str">
        <x:v>53.560.992/0001-78</x:v>
      </x:c>
      <x:c r="B3411" s="168" t="str">
        <x:v>CNPJ 53560992000178</x:v>
      </x:c>
      <x:c r="C3411" s="190" t="n">
        <x:v>0</x:v>
      </x:c>
      <x:c r="D3411" s="168" t="str">
        <x:v>CERES ASSET</x:v>
      </x:c>
      <x:c r="E3411" s="168" t="str">
        <x:f>IFERROR(INDEX('Classif Gestoras'!$H$6:$H$462,MATCH(D3411,'Classif Gestoras'!$A$6:$A$462,0)),"Não classificada")</x:f>
        <x:v>Independente</x:v>
      </x:c>
      <x:c r="F3411" s="168" t="str">
        <x:v>Singulare</x:v>
      </x:c>
      <x:c r="G3411" s="168" t="str">
        <x:v>Não identificado</x:v>
      </x:c>
      <x:c r="H3411" s="168" t="str">
        <x:v>Agro, Indústria e Comércio</x:v>
      </x:c>
      <x:c r="I3411" s="168" t="str">
        <x:v>Não se aplica</x:v>
      </x:c>
      <x:c r="J3411" s="168" t="str">
        <x:v>CI</x:v>
      </x:c>
      <x:c r="K3411" s="174"/>
      <x:c r="L3411" s="187" t="str">
        <x:v>Não classificado</x:v>
      </x:c>
    </x:row>
    <x:row r="3412">
      <x:c r="A3412" s="177" t="str">
        <x:v>39.591.404/0001-32</x:v>
      </x:c>
      <x:c r="B3412" s="168" t="str">
        <x:v>DENARIUS FUNDO DE INVESTIMENTO EM DIREITOS CREDITÓRIOS</x:v>
      </x:c>
      <x:c r="C3412" s="190" t="n">
        <x:v>0</x:v>
      </x:c>
      <x:c r="D3412" s="168" t="str">
        <x:v>H2 CAPITAL</x:v>
      </x:c>
      <x:c r="E3412" s="168" t="str">
        <x:f>IFERROR(INDEX('Classif Gestoras'!$H$6:$H$462,MATCH(D3412,'Classif Gestoras'!$A$6:$A$462,0)),"Não classificada")</x:f>
        <x:v>Independente</x:v>
      </x:c>
      <x:c r="F3412" s="168" t="str">
        <x:v>MASTER S/A CORRETORA</x:v>
      </x:c>
      <x:c r="G3412" s="168" t="str">
        <x:v>FIDD DISTRIBUIDORA DE TITULOS E VALORES MOBILIARIOS LTDA.</x:v>
      </x:c>
      <x:c r="H3412" s="168" t="str">
        <x:v>Outros</x:v>
      </x:c>
      <x:c r="I3412" s="168" t="str">
        <x:v>Multicarteira Outros</x:v>
      </x:c>
      <x:c r="J3412" s="168" t="str">
        <x:v>CI</x:v>
      </x:c>
      <x:c r="K3412" s="174" t="n">
        <x:v>2</x:v>
      </x:c>
      <x:c r="L3412" s="187" t="str">
        <x:v>Proxy multicedente/multissacado — revisar</x:v>
      </x:c>
    </x:row>
    <x:row r="3413">
      <x:c r="A3413" s="177" t="str">
        <x:v>29.330.482/0001-20</x:v>
      </x:c>
      <x:c r="B3413" s="168" t="str">
        <x:v>YUNUS NEGOCIOS SOCIAIS FUNDO DE INVESTIMENTO EM DIREITOS CREDITORIOS</x:v>
      </x:c>
      <x:c r="C3413" s="190" t="n">
        <x:v>0</x:v>
      </x:c>
      <x:c r="D3413" s="168" t="str">
        <x:v>Oliveira Trust DTVM</x:v>
      </x:c>
      <x:c r="E3413" s="168" t="str">
        <x:f>IFERROR(INDEX('Classif Gestoras'!$H$6:$H$462,MATCH(D3413,'Classif Gestoras'!$A$6:$A$462,0)),"Não classificada")</x:f>
        <x:v>Independente</x:v>
      </x:c>
      <x:c r="F3413" s="168" t="str">
        <x:v>Oliveira Trust DTVM</x:v>
      </x:c>
      <x:c r="G3413" s="168" t="str">
        <x:v>LIMINE TRUST DISTRIBUIDORA DE TITULOS E VALORES MOBILIARIOS LTDA.</x:v>
      </x:c>
      <x:c r="H3413" s="168" t="str">
        <x:v>Agro, Indústria e Comércio</x:v>
      </x:c>
      <x:c r="I3413" s="168" t="str">
        <x:v>Crédito Corporativo</x:v>
      </x:c>
      <x:c r="J3413" s="168" t="str">
        <x:v>CI</x:v>
      </x:c>
      <x:c r="K3413" s="174" t="n">
        <x:v>10</x:v>
      </x:c>
      <x:c r="L3413" s="187" t="str">
        <x:v>Não classificado</x:v>
      </x:c>
    </x:row>
    <x:row r="3414">
      <x:c r="A3414" s="177" t="str">
        <x:v>39.469.320/0001-20</x:v>
      </x:c>
      <x:c r="B3414" s="168" t="str">
        <x:v>VOLCANO FUNDO DE INVESTIMENTO EM DIREITOS CREDITÓRIOS</x:v>
      </x:c>
      <x:c r="C3414" s="190" t="n">
        <x:v>0</x:v>
      </x:c>
      <x:c r="D3414" s="168" t="str">
        <x:v>Galápagos</x:v>
      </x:c>
      <x:c r="E3414" s="168" t="str">
        <x:f>IFERROR(INDEX('Classif Gestoras'!$H$6:$H$462,MATCH(D3414,'Classif Gestoras'!$A$6:$A$462,0)),"Não classificada")</x:f>
        <x:v>Independente</x:v>
      </x:c>
      <x:c r="F3414" s="168" t="str">
        <x:v>Singulare</x:v>
      </x:c>
      <x:c r="G3414" s="168" t="str">
        <x:v>ID CORRETORA DE TITULOS E VALORES MOBILIARIOS S.A.</x:v>
      </x:c>
      <x:c r="H3414" s="168" t="str">
        <x:v>Fomento Mercantil</x:v>
      </x:c>
      <x:c r="I3414" s="168" t="str">
        <x:v>Multicarteira Outros</x:v>
      </x:c>
      <x:c r="J3414" s="168" t="str">
        <x:v>CI</x:v>
      </x:c>
      <x:c r="K3414" s="174" t="n">
        <x:v>1</x:v>
      </x:c>
      <x:c r="L3414" s="187" t="str">
        <x:v>Proxy multicedente/multissacado — revisar</x:v>
      </x:c>
    </x:row>
    <x:row r="3415">
      <x:c r="A3415" s="177" t="str">
        <x:v>61.434.898/0001-09</x:v>
      </x:c>
      <x:c r="B3415" s="168" t="str">
        <x:v>CNPJ 61434898000109</x:v>
      </x:c>
      <x:c r="C3415" s="190" t="n">
        <x:v>0</x:v>
      </x:c>
      <x:c r="D3415" s="168" t="str">
        <x:v>Vega</x:v>
      </x:c>
      <x:c r="E3415" s="168" t="str">
        <x:f>IFERROR(INDEX('Classif Gestoras'!$H$6:$H$462,MATCH(D3415,'Classif Gestoras'!$A$6:$A$462,0)),"Não classificada")</x:f>
        <x:v>Independente</x:v>
      </x:c>
      <x:c r="F3415" s="168" t="str">
        <x:v>BTG Pactual Servicos Financeiros S/A DTVM</x:v>
      </x:c>
      <x:c r="G3415" s="168" t="str">
        <x:v>Não identificado</x:v>
      </x:c>
      <x:c r="H3415" s="168" t="str">
        <x:v>Outros</x:v>
      </x:c>
      <x:c r="I3415" s="168" t="str">
        <x:v>Recuperação</x:v>
      </x:c>
      <x:c r="J3415" s="168" t="str">
        <x:v>CI</x:v>
      </x:c>
      <x:c r="K3415" s="174"/>
      <x:c r="L3415" s="187" t="str">
        <x:v>Não classificado</x:v>
      </x:c>
    </x:row>
    <x:row r="3416">
      <x:c r="A3416" s="177" t="str">
        <x:v>61.471.945/0001-86</x:v>
      </x:c>
      <x:c r="B3416" s="168" t="str">
        <x:v>CNPJ 61471945000186</x:v>
      </x:c>
      <x:c r="C3416" s="190" t="n">
        <x:v>0</x:v>
      </x:c>
      <x:c r="D3416" s="168" t="str">
        <x:v>Reag Jus</x:v>
      </x:c>
      <x:c r="E3416" s="168" t="str">
        <x:f>IFERROR(INDEX('Classif Gestoras'!$H$6:$H$462,MATCH(D3416,'Classif Gestoras'!$A$6:$A$462,0)),"Não classificada")</x:f>
        <x:v>Independente</x:v>
      </x:c>
      <x:c r="F3416" s="168" t="str">
        <x:v>REAG DTVM</x:v>
      </x:c>
      <x:c r="G3416" s="168" t="str">
        <x:v>Não identificado</x:v>
      </x:c>
      <x:c r="H3416" s="168" t="str">
        <x:v>Fomento Mercantil</x:v>
      </x:c>
      <x:c r="I3416" s="168" t="str">
        <x:v>Fomento Mercantil</x:v>
      </x:c>
      <x:c r="J3416" s="168" t="str">
        <x:v>CI</x:v>
      </x:c>
      <x:c r="K3416" s="174"/>
      <x:c r="L3416" s="187" t="str">
        <x:v>Não classificado</x:v>
      </x:c>
    </x:row>
    <x:row r="3417">
      <x:c r="A3417" s="177" t="str">
        <x:v>51.007.736/0001-22</x:v>
      </x:c>
      <x:c r="B3417" s="168" t="str">
        <x:v>LOGAN FUNDO DE INVESTIMENTO EM DIREITOS CREDITÓRIOS</x:v>
      </x:c>
      <x:c r="C3417" s="190" t="n">
        <x:v>0</x:v>
      </x:c>
      <x:c r="D3417" s="168" t="str">
        <x:v>Reag Jus</x:v>
      </x:c>
      <x:c r="E3417" s="168" t="str">
        <x:f>IFERROR(INDEX('Classif Gestoras'!$H$6:$H$462,MATCH(D3417,'Classif Gestoras'!$A$6:$A$462,0)),"Não classificada")</x:f>
        <x:v>Independente</x:v>
      </x:c>
      <x:c r="F3417" s="168" t="str">
        <x:v>REAG DTVM</x:v>
      </x:c>
      <x:c r="G3417" s="168" t="str">
        <x:v>REAG TRUST DISTRIBUIDORA DE TITULOS E VALORES MOBILIARIOS S.A.</x:v>
      </x:c>
      <x:c r="H3417" s="168" t="str">
        <x:v>Outros</x:v>
      </x:c>
      <x:c r="I3417" s="168" t="str">
        <x:v>Multicarteira Outros</x:v>
      </x:c>
      <x:c r="J3417" s="168" t="str">
        <x:v>CI</x:v>
      </x:c>
      <x:c r="K3417" s="174" t="n">
        <x:v>1</x:v>
      </x:c>
      <x:c r="L3417" s="187" t="str">
        <x:v>Proxy multicedente/multissacado — revisar</x:v>
      </x:c>
    </x:row>
    <x:row r="3418">
      <x:c r="A3418" s="177" t="str">
        <x:v>53.465.628/0001-29</x:v>
      </x:c>
      <x:c r="B3418" s="168" t="str">
        <x:v>CNPJ 53465628000129</x:v>
      </x:c>
      <x:c r="C3418" s="190" t="n">
        <x:v>0</x:v>
      </x:c>
      <x:c r="D3418" s="168" t="str">
        <x:v>Leste Credit Gestão de Recursos LTDA.</x:v>
      </x:c>
      <x:c r="E3418" s="168" t="str">
        <x:f>IFERROR(INDEX('Classif Gestoras'!$H$6:$H$462,MATCH(D3418,'Classif Gestoras'!$A$6:$A$462,0)),"Não classificada")</x:f>
        <x:v>Independente</x:v>
      </x:c>
      <x:c r="F3418" s="168" t="str">
        <x:v>VÓRTX DTVM</x:v>
      </x:c>
      <x:c r="G3418" s="168" t="str">
        <x:v>Não identificado</x:v>
      </x:c>
      <x:c r="H3418" s="168" t="str">
        <x:v>Financeiro</x:v>
      </x:c>
      <x:c r="I3418" s="168" t="str">
        <x:v>Crédito Consignado</x:v>
      </x:c>
      <x:c r="J3418" s="168" t="str">
        <x:v>CI</x:v>
      </x:c>
      <x:c r="K3418" s="174"/>
      <x:c r="L3418" s="187" t="str">
        <x:v>Não classificado</x:v>
      </x:c>
    </x:row>
    <x:row r="3419">
      <x:c r="A3419" s="177" t="str">
        <x:v>61.559.078/0001-35</x:v>
      </x:c>
      <x:c r="B3419" s="168" t="str">
        <x:v>CNPJ 61559078000135</x:v>
      </x:c>
      <x:c r="C3419" s="190" t="n">
        <x:v>0</x:v>
      </x:c>
      <x:c r="D3419" s="168" t="str">
        <x:v>WNT Gestora de Recursos Ltda.</x:v>
      </x:c>
      <x:c r="E3419" s="168" t="str">
        <x:f>IFERROR(INDEX('Classif Gestoras'!$H$6:$H$462,MATCH(D3419,'Classif Gestoras'!$A$6:$A$462,0)),"Não classificada")</x:f>
        <x:v>Independente</x:v>
      </x:c>
      <x:c r="F3419" s="168" t="str">
        <x:v>WNT DTVM</x:v>
      </x:c>
      <x:c r="G3419" s="168" t="str">
        <x:v>Não identificado</x:v>
      </x:c>
      <x:c r="H3419" s="168" t="str">
        <x:v>Outros</x:v>
      </x:c>
      <x:c r="I3419" s="168" t="str">
        <x:v>Multicarteira Outros</x:v>
      </x:c>
      <x:c r="J3419" s="168" t="str">
        <x:v>CI</x:v>
      </x:c>
      <x:c r="K3419" s="174"/>
      <x:c r="L3419" s="187" t="str">
        <x:v>Proxy multicedente/multissacado — revisar</x:v>
      </x:c>
    </x:row>
    <x:row r="3420">
      <x:c r="A3420" s="177" t="str">
        <x:v>51.030.502/0001-04</x:v>
      </x:c>
      <x:c r="B3420" s="168" t="str">
        <x:v>WILDE FUNDO DE INVESTIMENTO EM DIREITOS CREDITÓRIOS NÃO PADRONIZADOS</x:v>
      </x:c>
      <x:c r="C3420" s="190" t="n">
        <x:v>0</x:v>
      </x:c>
      <x:c r="D3420" s="168" t="str">
        <x:v>Reag Jus</x:v>
      </x:c>
      <x:c r="E3420" s="168" t="str">
        <x:f>IFERROR(INDEX('Classif Gestoras'!$H$6:$H$462,MATCH(D3420,'Classif Gestoras'!$A$6:$A$462,0)),"Não classificada")</x:f>
        <x:v>Independente</x:v>
      </x:c>
      <x:c r="F3420" s="168" t="str">
        <x:v>REAG DTVM</x:v>
      </x:c>
      <x:c r="G3420" s="168" t="str">
        <x:v>REAG TRUST DISTRIBUIDORA DE TITULOS E VALORES MOBILIARIOS S.A.</x:v>
      </x:c>
      <x:c r="H3420" s="168" t="str">
        <x:v>Outros</x:v>
      </x:c>
      <x:c r="I3420" s="168" t="str">
        <x:v>Multicarteira Outros</x:v>
      </x:c>
      <x:c r="J3420" s="168" t="str">
        <x:v>CI</x:v>
      </x:c>
      <x:c r="K3420" s="174" t="n">
        <x:v>1</x:v>
      </x:c>
      <x:c r="L3420" s="187" t="str">
        <x:v>Proxy multicedente/multissacado — revisar</x:v>
      </x:c>
    </x:row>
    <x:row r="3421">
      <x:c r="A3421" s="177" t="str">
        <x:v>58.949.333/0001-41</x:v>
      </x:c>
      <x:c r="B3421" s="168" t="str">
        <x:v>CNPJ 58949333000141</x:v>
      </x:c>
      <x:c r="C3421" s="190" t="n">
        <x:v>0</x:v>
      </x:c>
      <x:c r="D3421" s="168" t="str">
        <x:v>Blue Solutions</x:v>
      </x:c>
      <x:c r="E3421" s="168" t="str">
        <x:f>IFERROR(INDEX('Classif Gestoras'!$H$6:$H$462,MATCH(D3421,'Classif Gestoras'!$A$6:$A$462,0)),"Não classificada")</x:f>
        <x:v>Independente</x:v>
      </x:c>
      <x:c r="F3421" s="168" t="str">
        <x:v>Banvox DTVM</x:v>
      </x:c>
      <x:c r="G3421" s="168" t="str">
        <x:v>Não identificado</x:v>
      </x:c>
      <x:c r="H3421" s="168" t="str">
        <x:v>Outros</x:v>
      </x:c>
      <x:c r="I3421" s="168" t="str">
        <x:v>Multicarteira Outros</x:v>
      </x:c>
      <x:c r="J3421" s="168" t="str">
        <x:v>CI</x:v>
      </x:c>
      <x:c r="K3421" s="174"/>
      <x:c r="L3421" s="187" t="str">
        <x:v>Proxy multicedente/multissacado — revisar</x:v>
      </x:c>
    </x:row>
    <x:row r="3422">
      <x:c r="A3422" s="177" t="str">
        <x:v>58.982.241/0001-63</x:v>
      </x:c>
      <x:c r="B3422" s="168" t="str">
        <x:v>CNPJ 58982241000163</x:v>
      </x:c>
      <x:c r="C3422" s="190" t="n">
        <x:v>0</x:v>
      </x:c>
      <x:c r="D3422" s="168" t="str">
        <x:v>BTG Pactual Asset</x:v>
      </x:c>
      <x:c r="E3422" s="168" t="str">
        <x:f>IFERROR(INDEX('Classif Gestoras'!$H$6:$H$462,MATCH(D3422,'Classif Gestoras'!$A$6:$A$462,0)),"Não classificada")</x:f>
        <x:v>Ligada a banco</x:v>
      </x:c>
      <x:c r="F3422" s="168" t="str">
        <x:v>BTG Pactual Servicos Financeiros S/A DTVM</x:v>
      </x:c>
      <x:c r="G3422" s="168" t="str">
        <x:v>Não identificado</x:v>
      </x:c>
      <x:c r="H3422" s="168" t="str">
        <x:v>Agro, Indústria e Comércio</x:v>
      </x:c>
      <x:c r="I3422" s="168" t="str">
        <x:v>Agronegócio</x:v>
      </x:c>
      <x:c r="J3422" s="168" t="str">
        <x:v>CI</x:v>
      </x:c>
      <x:c r="K3422" s="174"/>
      <x:c r="L3422" s="187" t="str">
        <x:v>Não classificado</x:v>
      </x:c>
    </x:row>
    <x:row r="3423">
      <x:c r="A3423" s="177" t="str">
        <x:v>51.008.211/0001-01</x:v>
      </x:c>
      <x:c r="B3423" s="168" t="str">
        <x:v>CNPJ 51008211000101</x:v>
      </x:c>
      <x:c r="C3423" s="190" t="n">
        <x:v>0</x:v>
      </x:c>
      <x:c r="D3423" s="168" t="str">
        <x:v>OPEA GESTORA DE RECURSOS</x:v>
      </x:c>
      <x:c r="E3423" s="168" t="str">
        <x:f>IFERROR(INDEX('Classif Gestoras'!$H$6:$H$462,MATCH(D3423,'Classif Gestoras'!$A$6:$A$462,0)),"Não classificada")</x:f>
        <x:v>Independente</x:v>
      </x:c>
      <x:c r="F3423" s="168" t="str">
        <x:v>VÓRTX DTVM</x:v>
      </x:c>
      <x:c r="G3423" s="168" t="str">
        <x:v>Não identificado</x:v>
      </x:c>
      <x:c r="H3423" s="168" t="str">
        <x:v>Agro, Indústria e Comércio</x:v>
      </x:c>
      <x:c r="I3423" s="168" t="str">
        <x:v>Agronegócio</x:v>
      </x:c>
      <x:c r="J3423" s="168" t="str">
        <x:v>CI</x:v>
      </x:c>
      <x:c r="K3423" s="174"/>
      <x:c r="L3423" s="187" t="str">
        <x:v>Não classificado</x:v>
      </x:c>
    </x:row>
    <x:row r="3424">
      <x:c r="A3424" s="177" t="str">
        <x:v>50.860.854/0001-16</x:v>
      </x:c>
      <x:c r="B3424" s="168" t="str">
        <x:v>CNPJ 50860854000116</x:v>
      </x:c>
      <x:c r="C3424" s="190" t="n">
        <x:v>0</x:v>
      </x:c>
      <x:c r="D3424" s="168" t="str">
        <x:v>PRADA FINANCEIRA</x:v>
      </x:c>
      <x:c r="E3424" s="168" t="str">
        <x:f>IFERROR(INDEX('Classif Gestoras'!$H$6:$H$462,MATCH(D3424,'Classif Gestoras'!$A$6:$A$462,0)),"Não classificada")</x:f>
        <x:v>Independente</x:v>
      </x:c>
      <x:c r="F3424" s="168" t="str">
        <x:v>BANCO DAYCOVAL S/A</x:v>
      </x:c>
      <x:c r="G3424" s="168" t="str">
        <x:v>Não identificado</x:v>
      </x:c>
      <x:c r="H3424" s="168" t="str">
        <x:v>Agro, Indústria e Comércio</x:v>
      </x:c>
      <x:c r="I3424" s="168" t="str">
        <x:v>Não se aplica</x:v>
      </x:c>
      <x:c r="J3424" s="168" t="str">
        <x:v>CI</x:v>
      </x:c>
      <x:c r="K3424" s="174"/>
      <x:c r="L3424" s="187" t="str">
        <x:v>Não classificado</x:v>
      </x:c>
    </x:row>
    <x:row r="3425">
      <x:c r="A3425" s="177" t="str">
        <x:v>50.832.370/0001-63</x:v>
      </x:c>
      <x:c r="B3425" s="168" t="str">
        <x:v>CNPJ 50832370000163</x:v>
      </x:c>
      <x:c r="C3425" s="190" t="n">
        <x:v>0</x:v>
      </x:c>
      <x:c r="D3425" s="168" t="str">
        <x:v>B6 GESTORA DE RECURSOS LTDA</x:v>
      </x:c>
      <x:c r="E3425" s="168" t="str">
        <x:f>IFERROR(INDEX('Classif Gestoras'!$H$6:$H$462,MATCH(D3425,'Classif Gestoras'!$A$6:$A$462,0)),"Não classificada")</x:f>
        <x:v>Independente</x:v>
      </x:c>
      <x:c r="F3425" s="168" t="str">
        <x:v>REAG DTVM</x:v>
      </x:c>
      <x:c r="G3425" s="168" t="str">
        <x:v>Não identificado</x:v>
      </x:c>
      <x:c r="H3425" s="168" t="str">
        <x:v>Outros</x:v>
      </x:c>
      <x:c r="I3425" s="168" t="str">
        <x:v>Poder Público</x:v>
      </x:c>
      <x:c r="J3425" s="168" t="str">
        <x:v>CI</x:v>
      </x:c>
      <x:c r="K3425" s="174"/>
      <x:c r="L3425" s="187" t="str">
        <x:v>Não classificado</x:v>
      </x:c>
    </x:row>
    <x:row r="3426">
      <x:c r="A3426" s="177" t="str">
        <x:v>29.786.909/0001-07</x:v>
      </x:c>
      <x:c r="B3426" s="168" t="str">
        <x:v>LANCIA! FUNDO DE INVESTIMENTO EM DIREITOS CREDITÓRIOS</x:v>
      </x:c>
      <x:c r="C3426" s="190" t="n">
        <x:v>0</x:v>
      </x:c>
      <x:c r="D3426" s="168" t="str">
        <x:v>WNT Gestora de Recursos Ltda.</x:v>
      </x:c>
      <x:c r="E3426" s="168" t="str">
        <x:f>IFERROR(INDEX('Classif Gestoras'!$H$6:$H$462,MATCH(D3426,'Classif Gestoras'!$A$6:$A$462,0)),"Não classificada")</x:f>
        <x:v>Independente</x:v>
      </x:c>
      <x:c r="F3426" s="168" t="str">
        <x:v>REAG DTVM</x:v>
      </x:c>
      <x:c r="G3426" s="168" t="str">
        <x:v>REAG TRUST DISTRIBUIDORA DE TITULOS E VALORES MOBILIARIOS S.A.</x:v>
      </x:c>
      <x:c r="H3426" s="168" t="str">
        <x:v>Outros</x:v>
      </x:c>
      <x:c r="I3426" s="168" t="str">
        <x:v>Multicarteira Outros</x:v>
      </x:c>
      <x:c r="J3426" s="168" t="str">
        <x:v>CI</x:v>
      </x:c>
      <x:c r="K3426" s="174" t="n">
        <x:v>3</x:v>
      </x:c>
      <x:c r="L3426" s="187" t="str">
        <x:v>Proxy multicedente/multissacado — revisar</x:v>
      </x:c>
    </x:row>
    <x:row r="3427">
      <x:c r="A3427" s="177" t="str">
        <x:v>58.559.343/0001-70</x:v>
      </x:c>
      <x:c r="B3427" s="168" t="str">
        <x:v>NXT RF CONSERVADOR FUNDO DE INVESTIMENTO EM DIREITOS CREDITÓRIOS FEEDER RESPONSABILIDADE LIMITADA</x:v>
      </x:c>
      <x:c r="C3427" s="190" t="n">
        <x:v>0</x:v>
      </x:c>
      <x:c r="D3427" s="168" t="str">
        <x:v>GESTORA DE RECURSOS ID - GRID LTDA.</x:v>
      </x:c>
      <x:c r="E3427" s="168" t="str">
        <x:f>IFERROR(INDEX('Classif Gestoras'!$H$6:$H$462,MATCH(D3427,'Classif Gestoras'!$A$6:$A$462,0)),"Não classificada")</x:f>
        <x:v>Independente</x:v>
      </x:c>
      <x:c r="F3427" s="168" t="str">
        <x:v>ID Corretora de Títulos e Valores Mobiliários S.A.</x:v>
      </x:c>
      <x:c r="G3427" s="168" t="str">
        <x:v>ID CORRETORA DE TITULOS E VALORES MOBILIARIOS S.A.</x:v>
      </x:c>
      <x:c r="H3427" s="168" t="str">
        <x:v>Outros</x:v>
      </x:c>
      <x:c r="I3427" s="168" t="str">
        <x:v>Multicarteira Outros</x:v>
      </x:c>
      <x:c r="J3427" s="168" t="str">
        <x:v>CI</x:v>
      </x:c>
      <x:c r="K3427" s="174" t="n">
        <x:v>0</x:v>
      </x:c>
      <x:c r="L3427" s="187" t="str">
        <x:v>Proxy multicedente/multissacado — revisar</x:v>
      </x:c>
    </x:row>
    <x:row r="3428">
      <x:c r="A3428" s="177" t="str">
        <x:v>53.848.229/0001-47</x:v>
      </x:c>
      <x:c r="B3428" s="168" t="str">
        <x:v>FASHION FUNDO DE INVESTIMENTO EM DIREITOS CREDITÓRIOS NÃO PADRONIZADOS RESP ILIMITADA</x:v>
      </x:c>
      <x:c r="C3428" s="190" t="n">
        <x:v>0</x:v>
      </x:c>
      <x:c r="D3428" s="168" t="str">
        <x:v>Reag Jus</x:v>
      </x:c>
      <x:c r="E3428" s="168" t="str">
        <x:f>IFERROR(INDEX('Classif Gestoras'!$H$6:$H$462,MATCH(D3428,'Classif Gestoras'!$A$6:$A$462,0)),"Não classificada")</x:f>
        <x:v>Independente</x:v>
      </x:c>
      <x:c r="F3428" s="168" t="str">
        <x:v>REAG DTVM</x:v>
      </x:c>
      <x:c r="G3428" s="168" t="str">
        <x:v>REAG TRUST DISTRIBUIDORA DE TITULOS E VALORES MOBILIARIOS S.A.</x:v>
      </x:c>
      <x:c r="H3428" s="168" t="str">
        <x:v>Outros</x:v>
      </x:c>
      <x:c r="I3428" s="168" t="str">
        <x:v>Poder Público</x:v>
      </x:c>
      <x:c r="J3428" s="168" t="str">
        <x:v>CI</x:v>
      </x:c>
      <x:c r="K3428" s="174" t="n">
        <x:v>1</x:v>
      </x:c>
      <x:c r="L3428" s="187" t="str">
        <x:v>Não classificado</x:v>
      </x:c>
    </x:row>
    <x:row r="3429">
      <x:c r="A3429" s="177" t="str">
        <x:v>26.471.075/0001-44</x:v>
      </x:c>
      <x:c r="B3429" s="168" t="str">
        <x:v>JC 4870 V FUNDO DE INVESTIMENTO EM DIREITOS CREDITÓRIOS NÃO PADRONIZADOS - FIDC-NP</x:v>
      </x:c>
      <x:c r="C3429" s="190" t="n">
        <x:v>0</x:v>
      </x:c>
      <x:c r="D3429" s="168" t="str">
        <x:v>GV ATACAMA CAPITAL LTDA.</x:v>
      </x:c>
      <x:c r="E3429" s="168" t="str">
        <x:f>IFERROR(INDEX('Classif Gestoras'!$H$6:$H$462,MATCH(D3429,'Classif Gestoras'!$A$6:$A$462,0)),"Não classificada")</x:f>
        <x:v>Independente</x:v>
      </x:c>
      <x:c r="F3429" s="168" t="str">
        <x:v>Singulare</x:v>
      </x:c>
      <x:c r="G3429" s="168" t="str">
        <x:v>BANCO BTG PACTUAL S/A</x:v>
      </x:c>
      <x:c r="H3429" s="168" t="str">
        <x:v>Outros</x:v>
      </x:c>
      <x:c r="I3429" s="168" t="str">
        <x:v>Poder Público</x:v>
      </x:c>
      <x:c r="J3429" s="168" t="str">
        <x:v>CI</x:v>
      </x:c>
      <x:c r="K3429" s="174" t="n">
        <x:v>2</x:v>
      </x:c>
      <x:c r="L3429" s="187" t="str">
        <x:v>Não classificado</x:v>
      </x:c>
    </x:row>
    <x:row r="3430">
      <x:c r="A3430" s="177" t="str">
        <x:v>53.848.060/0001-25</x:v>
      </x:c>
      <x:c r="B3430" s="168" t="str">
        <x:v>QUORRA FUNDO DE INVESTIMENTO EM DIREITOS CREDITÓRIOS</x:v>
      </x:c>
      <x:c r="C3430" s="190" t="n">
        <x:v>0</x:v>
      </x:c>
      <x:c r="D3430" s="168" t="str">
        <x:v>Reag Jus</x:v>
      </x:c>
      <x:c r="E3430" s="168" t="str">
        <x:f>IFERROR(INDEX('Classif Gestoras'!$H$6:$H$462,MATCH(D3430,'Classif Gestoras'!$A$6:$A$462,0)),"Não classificada")</x:f>
        <x:v>Independente</x:v>
      </x:c>
      <x:c r="F3430" s="168" t="str">
        <x:v>REAG DTVM</x:v>
      </x:c>
      <x:c r="G3430" s="168" t="str">
        <x:v>REAG TRUST DISTRIBUIDORA DE TITULOS E VALORES MOBILIARIOS S.A.</x:v>
      </x:c>
      <x:c r="H3430" s="168" t="str">
        <x:v>Outros</x:v>
      </x:c>
      <x:c r="I3430" s="168" t="str">
        <x:v>Multicarteira Outros</x:v>
      </x:c>
      <x:c r="J3430" s="168" t="str">
        <x:v>CI</x:v>
      </x:c>
      <x:c r="K3430" s="174" t="n">
        <x:v>1</x:v>
      </x:c>
      <x:c r="L3430" s="187" t="str">
        <x:v>Proxy multicedente/multissacado — revisar</x:v>
      </x:c>
    </x:row>
    <x:row r="3431">
      <x:c r="A3431" s="177" t="str">
        <x:v>53.323.851/0001-31</x:v>
      </x:c>
      <x:c r="B3431" s="168" t="str">
        <x:v>CNPJ 53323851000131</x:v>
      </x:c>
      <x:c r="C3431" s="190" t="n">
        <x:v>0</x:v>
      </x:c>
      <x:c r="D3431" s="168" t="str">
        <x:v>Reag Administradora de Recursos Ltda</x:v>
      </x:c>
      <x:c r="E3431" s="168" t="str">
        <x:f>IFERROR(INDEX('Classif Gestoras'!$H$6:$H$462,MATCH(D3431,'Classif Gestoras'!$A$6:$A$462,0)),"Não classificada")</x:f>
        <x:v>Independente</x:v>
      </x:c>
      <x:c r="F3431" s="168" t="str">
        <x:v>REAG DTVM</x:v>
      </x:c>
      <x:c r="G3431" s="168" t="str">
        <x:v>Não identificado</x:v>
      </x:c>
      <x:c r="H3431" s="168" t="str">
        <x:v>Fomento Mercantil</x:v>
      </x:c>
      <x:c r="I3431" s="168" t="str">
        <x:v>Fomento Mercantil</x:v>
      </x:c>
      <x:c r="J3431" s="168" t="str">
        <x:v>CI</x:v>
      </x:c>
      <x:c r="K3431" s="174"/>
      <x:c r="L3431" s="187" t="str">
        <x:v>Não classificado</x:v>
      </x:c>
    </x:row>
    <x:row r="3432">
      <x:c r="A3432" s="177" t="str">
        <x:v>51.067.723/0001-49</x:v>
      </x:c>
      <x:c r="B3432" s="168" t="str">
        <x:v>CNPJ 51067723000149</x:v>
      </x:c>
      <x:c r="C3432" s="190" t="n">
        <x:v>0</x:v>
      </x:c>
      <x:c r="D3432" s="168" t="str">
        <x:v>Multiplica Capital</x:v>
      </x:c>
      <x:c r="E3432" s="168" t="str">
        <x:f>IFERROR(INDEX('Classif Gestoras'!$H$6:$H$462,MATCH(D3432,'Classif Gestoras'!$A$6:$A$462,0)),"Não classificada")</x:f>
        <x:v>Independente</x:v>
      </x:c>
      <x:c r="F3432" s="168" t="str">
        <x:v>PLANNER CV</x:v>
      </x:c>
      <x:c r="G3432" s="168" t="str">
        <x:v>Não identificado</x:v>
      </x:c>
      <x:c r="H3432" s="168" t="str">
        <x:v>Outros</x:v>
      </x:c>
      <x:c r="I3432" s="168" t="str">
        <x:v>Poder Público</x:v>
      </x:c>
      <x:c r="J3432" s="168" t="str">
        <x:v>CI</x:v>
      </x:c>
      <x:c r="K3432" s="174"/>
      <x:c r="L3432" s="187" t="str">
        <x:v>Não classificado</x:v>
      </x:c>
    </x:row>
    <x:row r="3433">
      <x:c r="A3433" s="177" t="str">
        <x:v>50.452.371/0001-82</x:v>
      </x:c>
      <x:c r="B3433" s="168" t="str">
        <x:v>DEL REY FUNDO DE INVESTIMENTO EM DIREITOS CREDITÓRIOS NÃO-PADRONIZADO</x:v>
      </x:c>
      <x:c r="C3433" s="190" t="n">
        <x:v>0</x:v>
      </x:c>
      <x:c r="D3433" s="168" t="str">
        <x:v>Reag Administradora de Recursos Ltda</x:v>
      </x:c>
      <x:c r="E3433" s="168" t="str">
        <x:f>IFERROR(INDEX('Classif Gestoras'!$H$6:$H$462,MATCH(D3433,'Classif Gestoras'!$A$6:$A$462,0)),"Não classificada")</x:f>
        <x:v>Independente</x:v>
      </x:c>
      <x:c r="F3433" s="168" t="str">
        <x:v>REAG DTVM</x:v>
      </x:c>
      <x:c r="G3433" s="168" t="str">
        <x:v>REAG TRUST DISTRIBUIDORA DE TITULOS E VALORES MOBILIARIOS S.A.</x:v>
      </x:c>
      <x:c r="H3433" s="168" t="str">
        <x:v>Outros</x:v>
      </x:c>
      <x:c r="I3433" s="168" t="str">
        <x:v>Multicarteira Outros</x:v>
      </x:c>
      <x:c r="J3433" s="168" t="str">
        <x:v>CI</x:v>
      </x:c>
      <x:c r="K3433" s="174" t="n">
        <x:v>1</x:v>
      </x:c>
      <x:c r="L3433" s="187" t="str">
        <x:v>Proxy multicedente/multissacado — revisar</x:v>
      </x:c>
    </x:row>
    <x:row r="3434">
      <x:c r="A3434" s="177" t="str">
        <x:v>58.547.566/0001-18</x:v>
      </x:c>
      <x:c r="B3434" s="168" t="str">
        <x:v>CNPJ 58547566000118</x:v>
      </x:c>
      <x:c r="C3434" s="190" t="n">
        <x:v>0</x:v>
      </x:c>
      <x:c r="D3434" s="168" t="str">
        <x:v>SOSU CAPITAL GESTÃO DE INVESTIMENTOS LTDA.</x:v>
      </x:c>
      <x:c r="E3434" s="168" t="str">
        <x:f>IFERROR(INDEX('Classif Gestoras'!$H$6:$H$462,MATCH(D3434,'Classif Gestoras'!$A$6:$A$462,0)),"Não classificada")</x:f>
        <x:v>Independente</x:v>
      </x:c>
      <x:c r="F3434" s="168" t="str">
        <x:v>BTG Pactual Servicos Financeiros S/A DTVM</x:v>
      </x:c>
      <x:c r="G3434" s="168" t="str">
        <x:v>Não identificado</x:v>
      </x:c>
      <x:c r="H3434" s="168" t="str">
        <x:v>Outros</x:v>
      </x:c>
      <x:c r="I3434" s="168" t="str">
        <x:v>Poder Público</x:v>
      </x:c>
      <x:c r="J3434" s="168" t="str">
        <x:v>CI</x:v>
      </x:c>
      <x:c r="K3434" s="174"/>
      <x:c r="L3434" s="187" t="str">
        <x:v>Não classificado</x:v>
      </x:c>
    </x:row>
    <x:row r="3435">
      <x:c r="A3435" s="177" t="str">
        <x:v>58.549.779/0001-89</x:v>
      </x:c>
      <x:c r="B3435" s="168" t="str">
        <x:v>CNPJ 58549779000189</x:v>
      </x:c>
      <x:c r="C3435" s="190" t="n">
        <x:v>0</x:v>
      </x:c>
      <x:c r="D3435" s="168" t="str">
        <x:v>CARMEL GESTORA DE ATIVOS LTDA</x:v>
      </x:c>
      <x:c r="E3435" s="168" t="str">
        <x:f>IFERROR(INDEX('Classif Gestoras'!$H$6:$H$462,MATCH(D3435,'Classif Gestoras'!$A$6:$A$462,0)),"Não classificada")</x:f>
        <x:v>Independente</x:v>
      </x:c>
      <x:c r="F3435" s="168" t="str">
        <x:v>BRL TRUST DTVM</x:v>
      </x:c>
      <x:c r="G3435" s="168" t="str">
        <x:v>Não identificado</x:v>
      </x:c>
      <x:c r="H3435" s="168" t="str">
        <x:v>Agro, Indústria e Comércio</x:v>
      </x:c>
      <x:c r="I3435" s="168" t="str">
        <x:v>Recebíveis Comerciais</x:v>
      </x:c>
      <x:c r="J3435" s="168" t="str">
        <x:v>CI</x:v>
      </x:c>
      <x:c r="K3435" s="174"/>
      <x:c r="L3435" s="187" t="str">
        <x:v>Não classificado</x:v>
      </x:c>
    </x:row>
    <x:row r="3436">
      <x:c r="A3436" s="177" t="str">
        <x:v>53.765.941/0001-82</x:v>
      </x:c>
      <x:c r="B3436" s="168" t="str">
        <x:v>COHAB MINAS FUNDO DE INVESTIMENTO EM DIREITOS CREDITÓRIOS IMOBILIÁRIOS DE RESPONSABILIDADE LIMITADA</x:v>
      </x:c>
      <x:c r="C3436" s="190" t="n">
        <x:v>0</x:v>
      </x:c>
      <x:c r="D3436" s="168" t="str">
        <x:v>Kanastra</x:v>
      </x:c>
      <x:c r="E3436" s="168" t="str">
        <x:f>IFERROR(INDEX('Classif Gestoras'!$H$6:$H$462,MATCH(D3436,'Classif Gestoras'!$A$6:$A$462,0)),"Não classificada")</x:f>
        <x:v>Independente</x:v>
      </x:c>
      <x:c r="F3436" s="168" t="str">
        <x:v>Limine Trust Distribuidora de Titulos e Valores Mobiliá</x:v>
      </x:c>
      <x:c r="G3436" s="168" t="str">
        <x:v>LIMINE TRUST DISTRIBUIDORA DE TITULOS E VALORES MOBILIARIOS LTDA.</x:v>
      </x:c>
      <x:c r="H3436" s="168" t="str">
        <x:v>Financeiro</x:v>
      </x:c>
      <x:c r="I3436" s="168" t="str">
        <x:v>Crédito Imobiliário</x:v>
      </x:c>
      <x:c r="J3436" s="168" t="str">
        <x:v>CI</x:v>
      </x:c>
      <x:c r="K3436" s="174" t="n">
        <x:v>1</x:v>
      </x:c>
      <x:c r="L3436" s="187" t="str">
        <x:v>Não classificado</x:v>
      </x:c>
    </x:row>
    <x:row r="3437">
      <x:c r="A3437" s="177" t="str">
        <x:v>50.477.529/0001-79</x:v>
      </x:c>
      <x:c r="B3437" s="168" t="str">
        <x:v>SQUALO FLAGSHIP FUNDO DE INVESTIMENTO EM DIREITOS CREDITÓRIOS NÃO PADRONIZADOS</x:v>
      </x:c>
      <x:c r="C3437" s="190" t="n">
        <x:v>0</x:v>
      </x:c>
      <x:c r="D3437" s="168" t="str">
        <x:v>SQUALO CAPITAL GESTORA DE RECURSOS LTDA.</x:v>
      </x:c>
      <x:c r="E3437" s="168" t="str">
        <x:f>IFERROR(INDEX('Classif Gestoras'!$H$6:$H$462,MATCH(D3437,'Classif Gestoras'!$A$6:$A$462,0)),"Não classificada")</x:f>
        <x:v>Independente</x:v>
      </x:c>
      <x:c r="F3437" s="168" t="str">
        <x:v>MASTER S/A CORRETORA</x:v>
      </x:c>
      <x:c r="G3437" s="168" t="str">
        <x:v>MASTER S/A CORRETORA DE CAMBIO, TITULOS E VALORES MOBILIARIOS</x:v>
      </x:c>
      <x:c r="H3437" s="168" t="str">
        <x:v>Outros</x:v>
      </x:c>
      <x:c r="I3437" s="168" t="str">
        <x:v>Multicarteira Outros</x:v>
      </x:c>
      <x:c r="J3437" s="168" t="str">
        <x:v>CI</x:v>
      </x:c>
      <x:c r="K3437" s="174" t="n">
        <x:v>3</x:v>
      </x:c>
      <x:c r="L3437" s="187" t="str">
        <x:v>Proxy multicedente/multissacado — revisar</x:v>
      </x:c>
    </x:row>
    <x:row r="3438">
      <x:c r="A3438" s="177" t="str">
        <x:v>12.610.459/0001-96</x:v>
      </x:c>
      <x:c r="B3438" s="168" t="str">
        <x:v>FUNDO DE INVESTIMENTO EM DIREITOS CREDITORIOS GOAL ONE</x:v>
      </x:c>
      <x:c r="C3438" s="190" t="n">
        <x:v>0</x:v>
      </x:c>
      <x:c r="D3438" s="168" t="str">
        <x:v>REAG GESTÃO DE CRÉDITO</x:v>
      </x:c>
      <x:c r="E3438" s="168" t="str">
        <x:f>IFERROR(INDEX('Classif Gestoras'!$H$6:$H$462,MATCH(D3438,'Classif Gestoras'!$A$6:$A$462,0)),"Não classificada")</x:f>
        <x:v>Independente</x:v>
      </x:c>
      <x:c r="F3438" s="168" t="str">
        <x:v>Banvox DTVM</x:v>
      </x:c>
      <x:c r="G3438" s="168" t="str">
        <x:v>OLIVEIRA TRUST DTVM S.A.</x:v>
      </x:c>
      <x:c r="H3438" s="168" t="str">
        <x:v>Fomento Mercantil</x:v>
      </x:c>
      <x:c r="I3438" s="168" t="str">
        <x:v>Fomento Mercantil</x:v>
      </x:c>
      <x:c r="J3438" s="168" t="str">
        <x:v>CI</x:v>
      </x:c>
      <x:c r="K3438" s="174" t="n">
        <x:v>105</x:v>
      </x:c>
      <x:c r="L3438" s="187" t="str">
        <x:v>Não classificado</x:v>
      </x:c>
    </x:row>
    <x:row r="3439">
      <x:c r="A3439" s="177" t="str">
        <x:v>35.726.650/0001-01</x:v>
      </x:c>
      <x:c r="B3439" s="168" t="str">
        <x:v>EMPÍRICA DEBÊNTURES FUNDO DE INVESTIMENTO EM DIREITOS CREDITÓRIOS</x:v>
      </x:c>
      <x:c r="C3439" s="190" t="n">
        <x:v>0</x:v>
      </x:c>
      <x:c r="D3439" s="168" t="str">
        <x:v>REAG GESTÃO DE CRÉDITO</x:v>
      </x:c>
      <x:c r="E3439" s="168" t="str">
        <x:f>IFERROR(INDEX('Classif Gestoras'!$H$6:$H$462,MATCH(D3439,'Classif Gestoras'!$A$6:$A$462,0)),"Não classificada")</x:f>
        <x:v>Independente</x:v>
      </x:c>
      <x:c r="F3439" s="168" t="str">
        <x:v>BTG Pactual Servicos Financeiros S/A DTVM</x:v>
      </x:c>
      <x:c r="G3439" s="168" t="str">
        <x:v>FIDD DISTRIBUIDORA DE TITULOS E VALORES MOBILIARIOS LTDA.</x:v>
      </x:c>
      <x:c r="H3439" s="168" t="str">
        <x:v>Outros</x:v>
      </x:c>
      <x:c r="I3439" s="168" t="str">
        <x:v>Multicarteira Outros</x:v>
      </x:c>
      <x:c r="J3439" s="168" t="str">
        <x:v>CI</x:v>
      </x:c>
      <x:c r="K3439" s="174" t="n">
        <x:v>0</x:v>
      </x:c>
      <x:c r="L3439" s="187" t="str">
        <x:v>Proxy multicedente/multissacado — revisar</x:v>
      </x:c>
    </x:row>
    <x:row r="3440">
      <x:c r="A3440" s="177" t="str">
        <x:v>61.890.598/0001-26</x:v>
      </x:c>
      <x:c r="B3440" s="168" t="str">
        <x:v>CNPJ 61890598000126</x:v>
      </x:c>
      <x:c r="C3440" s="190" t="n">
        <x:v>0</x:v>
      </x:c>
      <x:c r="D3440" s="168" t="str">
        <x:v>REAG SPECIALTY FINANCE</x:v>
      </x:c>
      <x:c r="E3440" s="168" t="str">
        <x:f>IFERROR(INDEX('Classif Gestoras'!$H$6:$H$462,MATCH(D3440,'Classif Gestoras'!$A$6:$A$462,0)),"Não classificada")</x:f>
        <x:v>Independente</x:v>
      </x:c>
      <x:c r="F3440" s="168" t="str">
        <x:v>REAG DTVM</x:v>
      </x:c>
      <x:c r="G3440" s="168" t="str">
        <x:v>Não identificado</x:v>
      </x:c>
      <x:c r="H3440" s="168" t="str">
        <x:v>Outros</x:v>
      </x:c>
      <x:c r="I3440" s="168" t="str">
        <x:v>Multicarteira Outros</x:v>
      </x:c>
      <x:c r="J3440" s="168" t="str">
        <x:v>CI</x:v>
      </x:c>
      <x:c r="K3440" s="174"/>
      <x:c r="L3440" s="187" t="str">
        <x:v>Proxy multicedente/multissacado — revisar</x:v>
      </x:c>
    </x:row>
    <x:row r="3441">
      <x:c r="A3441" s="177" t="str">
        <x:v>50.823.781/0001-92</x:v>
      </x:c>
      <x:c r="B3441" s="168" t="str">
        <x:v>NOBEL II FUNDO DE INVESTIMENTO EM DIREITOS CREDITÓRIOS</x:v>
      </x:c>
      <x:c r="C3441" s="190" t="n">
        <x:v>0</x:v>
      </x:c>
      <x:c r="D3441" s="168" t="str">
        <x:v>TERCON ASSET MANAGEMENT</x:v>
      </x:c>
      <x:c r="E3441" s="168" t="str">
        <x:f>IFERROR(INDEX('Classif Gestoras'!$H$6:$H$462,MATCH(D3441,'Classif Gestoras'!$A$6:$A$462,0)),"Não classificada")</x:f>
        <x:v>Independente</x:v>
      </x:c>
      <x:c r="F3441" s="168" t="str">
        <x:v>Limine Trust Distribuidora de Titulos e Valores Mobiliá</x:v>
      </x:c>
      <x:c r="G3441" s="168" t="str">
        <x:v>LIMINE TRUST DISTRIBUIDORA DE TITULOS E VALORES MOBILIARIOS LTDA.</x:v>
      </x:c>
      <x:c r="H3441" s="168" t="str">
        <x:v>Outros</x:v>
      </x:c>
      <x:c r="I3441" s="168" t="str">
        <x:v>Multicarteira Outros</x:v>
      </x:c>
      <x:c r="J3441" s="168" t="str">
        <x:v>CI</x:v>
      </x:c>
      <x:c r="K3441" s="174" t="n">
        <x:v>0</x:v>
      </x:c>
      <x:c r="L3441" s="187" t="str">
        <x:v>Proxy multicedente/multissacado — revisar</x:v>
      </x:c>
    </x:row>
    <x:row r="3442">
      <x:c r="A3442" s="177" t="str">
        <x:v>26.558.776/0001-15</x:v>
      </x:c>
      <x:c r="B3442" s="168" t="str">
        <x:v>WNT AÇÕES JUDICIAIS FUNDO DE INVESTIMENTO EM DIREITOS CREDITÓRIOS-NÃO PADRONIZADO</x:v>
      </x:c>
      <x:c r="C3442" s="190" t="n">
        <x:v>0</x:v>
      </x:c>
      <x:c r="D3442" s="168" t="str">
        <x:v>WNT Gestora de Recursos Ltda.</x:v>
      </x:c>
      <x:c r="E3442" s="168" t="str">
        <x:f>IFERROR(INDEX('Classif Gestoras'!$H$6:$H$462,MATCH(D3442,'Classif Gestoras'!$A$6:$A$462,0)),"Não classificada")</x:f>
        <x:v>Independente</x:v>
      </x:c>
      <x:c r="F3442" s="168" t="str">
        <x:v>Singulare</x:v>
      </x:c>
      <x:c r="G3442" s="168" t="str">
        <x:v>WNT CAPITAL DISTRIBUIDORA DE TITULOS E VALORES MOBILIARIOS S.A.</x:v>
      </x:c>
      <x:c r="H3442" s="168" t="str">
        <x:v>Outros</x:v>
      </x:c>
      <x:c r="I3442" s="168" t="str">
        <x:v>Poder Público</x:v>
      </x:c>
      <x:c r="J3442" s="168" t="str">
        <x:v>CI</x:v>
      </x:c>
      <x:c r="K3442" s="174" t="n">
        <x:v>1</x:v>
      </x:c>
      <x:c r="L3442" s="187" t="str">
        <x:v>Não classificado</x:v>
      </x:c>
    </x:row>
    <x:row r="3443">
      <x:c r="A3443" s="177" t="str">
        <x:v>29.249.995/0001-00</x:v>
      </x:c>
      <x:c r="B3443" s="168" t="str">
        <x:v>GOLDEN TREE FUNDO DE INVESTIMENTO EM DIREITOS CREDITÓRIOS RESPONSABILIDADE LIMITADA</x:v>
      </x:c>
      <x:c r="C3443" s="190" t="n">
        <x:v>0</x:v>
      </x:c>
      <x:c r="D3443" s="168" t="str">
        <x:v>BRL TRUST DTVM</x:v>
      </x:c>
      <x:c r="E3443" s="168" t="str">
        <x:f>IFERROR(INDEX('Classif Gestoras'!$H$6:$H$462,MATCH(D3443,'Classif Gestoras'!$A$6:$A$462,0)),"Não classificada")</x:f>
        <x:v>Independente</x:v>
      </x:c>
      <x:c r="F3443" s="168" t="str">
        <x:v>BRL TRUST DTVM</x:v>
      </x:c>
      <x:c r="G3443" s="168" t="str">
        <x:v>LIMINE TRUST DISTRIBUIDORA DE TITULOS E VALORES MOBILIARIOS LTDA.</x:v>
      </x:c>
      <x:c r="H3443" s="168" t="str">
        <x:v>Outros</x:v>
      </x:c>
      <x:c r="I3443" s="168" t="str">
        <x:v>Multicarteira Outros</x:v>
      </x:c>
      <x:c r="J3443" s="168" t="str">
        <x:v>CI</x:v>
      </x:c>
      <x:c r="K3443" s="174" t="n">
        <x:v>1</x:v>
      </x:c>
      <x:c r="L3443" s="187" t="str">
        <x:v>Proxy multicedente/multissacado — revisar</x:v>
      </x:c>
    </x:row>
    <x:row r="3444">
      <x:c r="A3444" s="177" t="str">
        <x:v>53.720.187/0001-64</x:v>
      </x:c>
      <x:c r="B3444" s="168" t="str">
        <x:v>CNPJ 53720187000164</x:v>
      </x:c>
      <x:c r="C3444" s="190" t="n">
        <x:v>0</x:v>
      </x:c>
      <x:c r="D3444" s="168" t="str">
        <x:v>Emerald Gestão de Investimento</x:v>
      </x:c>
      <x:c r="E3444" s="168" t="str">
        <x:f>IFERROR(INDEX('Classif Gestoras'!$H$6:$H$462,MATCH(D3444,'Classif Gestoras'!$A$6:$A$462,0)),"Não classificada")</x:f>
        <x:v>Independente</x:v>
      </x:c>
      <x:c r="F3444" s="168" t="str">
        <x:v>BANCO J. SAFRA S/A</x:v>
      </x:c>
      <x:c r="G3444" s="168" t="str">
        <x:v>Não identificado</x:v>
      </x:c>
      <x:c r="H3444" s="168" t="str">
        <x:v>Outros</x:v>
      </x:c>
      <x:c r="I3444" s="168" t="str">
        <x:v>Poder Público</x:v>
      </x:c>
      <x:c r="J3444" s="168" t="str">
        <x:v>CI</x:v>
      </x:c>
      <x:c r="K3444" s="174"/>
      <x:c r="L3444" s="187" t="str">
        <x:v>Não classificado</x:v>
      </x:c>
    </x:row>
    <x:row r="3445">
      <x:c r="A3445" s="177" t="str">
        <x:v>53.676.261/0001-92</x:v>
      </x:c>
      <x:c r="B3445" s="168" t="str">
        <x:v>RESTART FUNDO DE INVESTIMENTO EM DIREITOS CREDITORIOS RESPONSABILIDADE LIMITADA</x:v>
      </x:c>
      <x:c r="C3445" s="190" t="n">
        <x:v>0</x:v>
      </x:c>
      <x:c r="D3445" s="168" t="str">
        <x:v>1618 INVESTIMENTOS</x:v>
      </x:c>
      <x:c r="E3445" s="168" t="str">
        <x:f>IFERROR(INDEX('Classif Gestoras'!$H$6:$H$462,MATCH(D3445,'Classif Gestoras'!$A$6:$A$462,0)),"Não classificada")</x:f>
        <x:v>Independente</x:v>
      </x:c>
      <x:c r="F3445" s="168" t="str">
        <x:v>PLANNER CV</x:v>
      </x:c>
      <x:c r="G3445" s="168" t="str">
        <x:v>VORTX DISTRIBUIDORA DE TITULOS E VALORES MOBILIARIOS LTDA.</x:v>
      </x:c>
      <x:c r="H3445" s="168" t="str">
        <x:v>Outros</x:v>
      </x:c>
      <x:c r="I3445" s="168" t="str">
        <x:v>Multicarteira Outros</x:v>
      </x:c>
      <x:c r="J3445" s="168" t="str">
        <x:v>CI</x:v>
      </x:c>
      <x:c r="K3445" s="174" t="n">
        <x:v>35</x:v>
      </x:c>
      <x:c r="L3445" s="187" t="str">
        <x:v>Proxy multicedente/multissacado — revisar</x:v>
      </x:c>
    </x:row>
    <x:row r="3446">
      <x:c r="A3446" s="177" t="str">
        <x:v>39.857.521/0001-03</x:v>
      </x:c>
      <x:c r="B3446" s="168" t="str">
        <x:v>BLUE CRÉDITO IMOBILIÁRIO FIDC ABERTO DE RESPONSABILIDADE LIMITADA</x:v>
      </x:c>
      <x:c r="C3446" s="190" t="n">
        <x:v>0</x:v>
      </x:c>
      <x:c r="D3446" s="168" t="str">
        <x:v>Blue Asset</x:v>
      </x:c>
      <x:c r="E3446" s="168" t="str">
        <x:f>IFERROR(INDEX('Classif Gestoras'!$H$6:$H$462,MATCH(D3446,'Classif Gestoras'!$A$6:$A$462,0)),"Não classificada")</x:f>
        <x:v>Independente</x:v>
      </x:c>
      <x:c r="F3446" s="168" t="str">
        <x:v>BANCO DAYCOVAL S/A</x:v>
      </x:c>
      <x:c r="G3446" s="168" t="str">
        <x:v>VORTX DISTRIBUIDORA DE TITULOS E VALORES MOBILIARIOS LTDA.</x:v>
      </x:c>
      <x:c r="H3446" s="168" t="str">
        <x:v>Financeiro</x:v>
      </x:c>
      <x:c r="I3446" s="168" t="str">
        <x:v>Crédito Imobiliário</x:v>
      </x:c>
      <x:c r="J3446" s="168" t="str">
        <x:v>CI</x:v>
      </x:c>
      <x:c r="K3446" s="174" t="n">
        <x:v>4</x:v>
      </x:c>
      <x:c r="L3446" s="187" t="str">
        <x:v>Não classificado</x:v>
      </x:c>
    </x:row>
    <x:row r="3447">
      <x:c r="A3447" s="177" t="str">
        <x:v>35.817.262/0001-28</x:v>
      </x:c>
      <x:c r="B3447" s="168" t="str">
        <x:v>CNPJ 35817262000128</x:v>
      </x:c>
      <x:c r="C3447" s="190" t="n">
        <x:v>0</x:v>
      </x:c>
      <x:c r="D3447" s="168" t="str">
        <x:v>BRL TRUST DTVM</x:v>
      </x:c>
      <x:c r="E3447" s="168" t="str">
        <x:f>IFERROR(INDEX('Classif Gestoras'!$H$6:$H$462,MATCH(D3447,'Classif Gestoras'!$A$6:$A$462,0)),"Não classificada")</x:f>
        <x:v>Independente</x:v>
      </x:c>
      <x:c r="F3447" s="168" t="str">
        <x:v>BRL TRUST DTVM</x:v>
      </x:c>
      <x:c r="G3447" s="168" t="str">
        <x:v>Não identificado</x:v>
      </x:c>
      <x:c r="H3447" s="168" t="str">
        <x:v>Agro, Indústria e Comércio</x:v>
      </x:c>
      <x:c r="I3447" s="168" t="str">
        <x:v>Infraestrutura</x:v>
      </x:c>
      <x:c r="J3447" s="168" t="str">
        <x:v>CI</x:v>
      </x:c>
      <x:c r="K3447" s="174"/>
      <x:c r="L3447" s="187" t="str">
        <x:v>Não classificado</x:v>
      </x:c>
    </x:row>
    <x:row r="3448">
      <x:c r="A3448" s="177" t="str">
        <x:v>14.880.030/0001-44</x:v>
      </x:c>
      <x:c r="B3448" s="168" t="str">
        <x:v>CNPJ 14880030000144</x:v>
      </x:c>
      <x:c r="C3448" s="190" t="n">
        <x:v>0</x:v>
      </x:c>
      <x:c r="D3448" s="168" t="str">
        <x:v>Tivio Capital</x:v>
      </x:c>
      <x:c r="E3448" s="168" t="str">
        <x:f>IFERROR(INDEX('Classif Gestoras'!$H$6:$H$462,MATCH(D3448,'Classif Gestoras'!$A$6:$A$462,0)),"Não classificada")</x:f>
        <x:v>Independente</x:v>
      </x:c>
      <x:c r="F3448" s="168" t="str">
        <x:v>Tivio Capital</x:v>
      </x:c>
      <x:c r="G3448" s="168" t="str">
        <x:v>Não identificado</x:v>
      </x:c>
      <x:c r="H3448" s="168" t="str">
        <x:v>Agro, Indústria e Comércio</x:v>
      </x:c>
      <x:c r="I3448" s="168" t="str">
        <x:v>Não se aplica</x:v>
      </x:c>
      <x:c r="J3448" s="168" t="str">
        <x:v>CI</x:v>
      </x:c>
      <x:c r="K3448" s="174"/>
      <x:c r="L3448" s="187" t="str">
        <x:v>Não classificado</x:v>
      </x:c>
    </x:row>
    <x:row r="3449">
      <x:c r="A3449" s="177" t="str">
        <x:v>58.594.026/0001-95</x:v>
      </x:c>
      <x:c r="B3449" s="168" t="str">
        <x:v>CORTICAL FUNDO DE INVESTIMENTO EM DIREITOS CREDITÓRIOS COMERCIAIS DE RESPONSABILIDADE LIMITADA</x:v>
      </x:c>
      <x:c r="C3449" s="190" t="n">
        <x:v>0</x:v>
      </x:c>
      <x:c r="D3449" s="168" t="str">
        <x:v>EuQueroInvestir Gestão de Recursos Ltda.</x:v>
      </x:c>
      <x:c r="E3449" s="168" t="str">
        <x:f>IFERROR(INDEX('Classif Gestoras'!$H$6:$H$462,MATCH(D3449,'Classif Gestoras'!$A$6:$A$462,0)),"Não classificada")</x:f>
        <x:v>Independente</x:v>
      </x:c>
      <x:c r="F3449" s="168" t="str">
        <x:v>BANCO DAYCOVAL S/A</x:v>
      </x:c>
      <x:c r="G3449" s="168" t="str">
        <x:v>BANCO DAYCOVAL S.A.</x:v>
      </x:c>
      <x:c r="H3449" s="168" t="str">
        <x:v>Fomento Mercantil</x:v>
      </x:c>
      <x:c r="I3449" s="168" t="str">
        <x:v>Fomento Mercantil</x:v>
      </x:c>
      <x:c r="J3449" s="168" t="str">
        <x:v>CI</x:v>
      </x:c>
      <x:c r="K3449" s="174" t="n">
        <x:v>0</x:v>
      </x:c>
      <x:c r="L3449" s="187" t="str">
        <x:v>Não classificado</x:v>
      </x:c>
    </x:row>
    <x:row r="3450">
      <x:c r="A3450" s="177" t="str">
        <x:v>53.415.069/0001-42</x:v>
      </x:c>
      <x:c r="B3450" s="168" t="str">
        <x:v>VIRAGE FUNDO DE INVESTIMENTO EM DIREITOS CREDITÓRIOS</x:v>
      </x:c>
      <x:c r="C3450" s="190" t="n">
        <x:v>0</x:v>
      </x:c>
      <x:c r="D3450" s="168" t="str">
        <x:v>Reag Jus</x:v>
      </x:c>
      <x:c r="E3450" s="168" t="str">
        <x:f>IFERROR(INDEX('Classif Gestoras'!$H$6:$H$462,MATCH(D3450,'Classif Gestoras'!$A$6:$A$462,0)),"Não classificada")</x:f>
        <x:v>Independente</x:v>
      </x:c>
      <x:c r="F3450" s="168" t="str">
        <x:v>REAG DTVM</x:v>
      </x:c>
      <x:c r="G3450" s="168" t="str">
        <x:v>REAG TRUST DISTRIBUIDORA DE TITULOS E VALORES MOBILIARIOS S.A.</x:v>
      </x:c>
      <x:c r="H3450" s="168" t="str">
        <x:v>Outros</x:v>
      </x:c>
      <x:c r="I3450" s="168" t="str">
        <x:v>Multicarteira Outros</x:v>
      </x:c>
      <x:c r="J3450" s="168" t="str">
        <x:v>CI</x:v>
      </x:c>
      <x:c r="K3450" s="174" t="n">
        <x:v>1</x:v>
      </x:c>
      <x:c r="L3450" s="187" t="str">
        <x:v>Proxy multicedente/multissacado — revisar</x:v>
      </x:c>
    </x:row>
    <x:row r="3451">
      <x:c r="A3451" s="177" t="str">
        <x:v>35.818.864/0001-08</x:v>
      </x:c>
      <x:c r="B3451" s="168" t="str">
        <x:v>CNPJ 35818864000108</x:v>
      </x:c>
      <x:c r="C3451" s="190" t="n">
        <x:v>0</x:v>
      </x:c>
      <x:c r="D3451" s="168" t="str">
        <x:v>Farmtech Gestão de Recursos Ltda.</x:v>
      </x:c>
      <x:c r="E3451" s="168" t="str">
        <x:f>IFERROR(INDEX('Classif Gestoras'!$H$6:$H$462,MATCH(D3451,'Classif Gestoras'!$A$6:$A$462,0)),"Não classificada")</x:f>
        <x:v>Independente</x:v>
      </x:c>
      <x:c r="F3451" s="168" t="str">
        <x:v>Oliveira Trust DTVM</x:v>
      </x:c>
      <x:c r="G3451" s="168" t="str">
        <x:v>Não identificado</x:v>
      </x:c>
      <x:c r="H3451" s="168" t="str">
        <x:v>Agro, Indústria e Comércio</x:v>
      </x:c>
      <x:c r="I3451" s="168" t="str">
        <x:v>Recebíveis Comerciais</x:v>
      </x:c>
      <x:c r="J3451" s="168" t="str">
        <x:v>CI</x:v>
      </x:c>
      <x:c r="K3451" s="174"/>
      <x:c r="L3451" s="187" t="str">
        <x:v>Não classificado</x:v>
      </x:c>
    </x:row>
    <x:row r="3452">
      <x:c r="A3452" s="177" t="str">
        <x:v>61.415.547/0001-42</x:v>
      </x:c>
      <x:c r="B3452" s="168" t="str">
        <x:v>EICON FUNDO DE INVESTIMENTO EM DIREITOS CREDITÓRIOS</x:v>
      </x:c>
      <x:c r="C3452" s="190" t="n">
        <x:v>0</x:v>
      </x:c>
      <x:c r="D3452" s="168" t="str">
        <x:v>B.Side Wealth</x:v>
      </x:c>
      <x:c r="E3452" s="168" t="str">
        <x:f>IFERROR(INDEX('Classif Gestoras'!$H$6:$H$462,MATCH(D3452,'Classif Gestoras'!$A$6:$A$462,0)),"Não classificada")</x:f>
        <x:v>Independente</x:v>
      </x:c>
      <x:c r="F3452" s="168" t="str">
        <x:v>MONETAR DISTRIBUIDORA DE TITUL</x:v>
      </x:c>
      <x:c r="G3452" s="168" t="str">
        <x:v>TERRA INVESTIMENTOS DISTRIBUIDORA DE TITULOS E VALORES MOBILIARIOS LTDA</x:v>
      </x:c>
      <x:c r="H3452" s="168" t="str">
        <x:v>Outros</x:v>
      </x:c>
      <x:c r="I3452" s="168" t="str">
        <x:v>Multicarteira Outros</x:v>
      </x:c>
      <x:c r="J3452" s="168" t="str">
        <x:v>CI</x:v>
      </x:c>
      <x:c r="K3452" s="174" t="n">
        <x:v>4</x:v>
      </x:c>
      <x:c r="L3452" s="187" t="str">
        <x:v>Proxy multicedente/multissacado — revisar</x:v>
      </x:c>
    </x:row>
    <x:row r="3453">
      <x:c r="A3453" s="177" t="str">
        <x:v>50.818.107/0001-10</x:v>
      </x:c>
      <x:c r="B3453" s="168" t="str">
        <x:v>READING FUNDO DE INVESTIMENTO EM DIREITOS CREDITÓRIOS NÃO-PADRONIZADOS RESPONSABILIDADE LIMITADA</x:v>
      </x:c>
      <x:c r="C3453" s="190" t="n">
        <x:v>0</x:v>
      </x:c>
      <x:c r="D3453" s="168" t="str">
        <x:v>IDGR</x:v>
      </x:c>
      <x:c r="E3453" s="168" t="str">
        <x:f>IFERROR(INDEX('Classif Gestoras'!$H$6:$H$462,MATCH(D3453,'Classif Gestoras'!$A$6:$A$462,0)),"Não classificada")</x:f>
        <x:v>Independente</x:v>
      </x:c>
      <x:c r="F3453" s="168" t="str">
        <x:v>ID Corretora de Títulos e Valores Mobiliários S.A.</x:v>
      </x:c>
      <x:c r="G3453" s="168" t="str">
        <x:v>ID CORRETORA DE TITULOS E VALORES MOBILIARIOS S.A.</x:v>
      </x:c>
      <x:c r="H3453" s="168" t="str">
        <x:v>Outros</x:v>
      </x:c>
      <x:c r="I3453" s="168" t="str">
        <x:v>Multicarteira Outros</x:v>
      </x:c>
      <x:c r="J3453" s="168" t="str">
        <x:v>CI</x:v>
      </x:c>
      <x:c r="K3453" s="174" t="n">
        <x:v>0</x:v>
      </x:c>
      <x:c r="L3453" s="187" t="str">
        <x:v>Proxy multicedente/multissacado — revisar</x:v>
      </x:c>
    </x:row>
    <x:row r="3454">
      <x:c r="A3454" s="177" t="str">
        <x:v>40.677.194/0001-89</x:v>
      </x:c>
      <x:c r="B3454" s="168" t="str">
        <x:v>CNPJ 40677194000189</x:v>
      </x:c>
      <x:c r="C3454" s="190" t="n">
        <x:v>0</x:v>
      </x:c>
      <x:c r="D3454" s="168" t="str">
        <x:v>VERT Gestora de Recursos Financeiros Ltda.</x:v>
      </x:c>
      <x:c r="E3454" s="168" t="str">
        <x:f>IFERROR(INDEX('Classif Gestoras'!$H$6:$H$462,MATCH(D3454,'Classif Gestoras'!$A$6:$A$462,0)),"Não classificada")</x:f>
        <x:v>Independente</x:v>
      </x:c>
      <x:c r="F3454" s="168" t="str">
        <x:v>BRL TRUST DTVM</x:v>
      </x:c>
      <x:c r="G3454" s="168" t="str">
        <x:v>Não identificado</x:v>
      </x:c>
      <x:c r="H3454" s="168" t="str">
        <x:v>Financeiro</x:v>
      </x:c>
      <x:c r="I3454" s="168" t="str">
        <x:v>Financiamento de Veículos</x:v>
      </x:c>
      <x:c r="J3454" s="168" t="str">
        <x:v>CI</x:v>
      </x:c>
      <x:c r="K3454" s="174"/>
      <x:c r="L3454" s="187" t="str">
        <x:v>Não classificado</x:v>
      </x:c>
    </x:row>
    <x:row r="3455">
      <x:c r="A3455" s="177" t="str">
        <x:v>49.448.463/0001-00</x:v>
      </x:c>
      <x:c r="B3455" s="168" t="str">
        <x:v>CNPJ 49448463000100</x:v>
      </x:c>
      <x:c r="C3455" s="190" t="n">
        <x:v>0</x:v>
      </x:c>
      <x:c r="D3455" s="168" t="str">
        <x:v>Reag Administradora de Recursos Ltda</x:v>
      </x:c>
      <x:c r="E3455" s="168" t="str">
        <x:f>IFERROR(INDEX('Classif Gestoras'!$H$6:$H$462,MATCH(D3455,'Classif Gestoras'!$A$6:$A$462,0)),"Não classificada")</x:f>
        <x:v>Independente</x:v>
      </x:c>
      <x:c r="F3455" s="168" t="str">
        <x:v>REAG DTVM</x:v>
      </x:c>
      <x:c r="G3455" s="168" t="str">
        <x:v>Não identificado</x:v>
      </x:c>
      <x:c r="H3455" s="168" t="str">
        <x:v>Financeiro</x:v>
      </x:c>
      <x:c r="I3455" s="168" t="str">
        <x:v>Crédito Consignado</x:v>
      </x:c>
      <x:c r="J3455" s="168" t="str">
        <x:v>CI</x:v>
      </x:c>
      <x:c r="K3455" s="174"/>
      <x:c r="L3455" s="187" t="str">
        <x:v>Não classificado</x:v>
      </x:c>
    </x:row>
    <x:row r="3456">
      <x:c r="A3456" s="177" t="str">
        <x:v>17.024.362/0001-15</x:v>
      </x:c>
      <x:c r="B3456" s="168" t="str">
        <x:v>EXP 1 FUNDO DE INVESTIMENTO EM DIREITOS CREDITÓRIOS NÃO PADRONIZADOS</x:v>
      </x:c>
      <x:c r="C3456" s="190" t="n">
        <x:v>0</x:v>
      </x:c>
      <x:c r="D3456" s="168" t="str">
        <x:v>Yards Asset Gestão de Recursos Ltda.</x:v>
      </x:c>
      <x:c r="E3456" s="168" t="str">
        <x:f>IFERROR(INDEX('Classif Gestoras'!$H$6:$H$462,MATCH(D3456,'Classif Gestoras'!$A$6:$A$462,0)),"Não classificada")</x:f>
        <x:v>Independente</x:v>
      </x:c>
      <x:c r="F3456" s="168" t="str">
        <x:v>SEFER DTVM</x:v>
      </x:c>
      <x:c r="G3456" s="168" t="str">
        <x:v>QORE DISTRIBUIDORA DE TÍTULOS E VALORES MOBILIÁRIOS LTDA.</x:v>
      </x:c>
      <x:c r="H3456" s="168" t="str">
        <x:v>Outros</x:v>
      </x:c>
      <x:c r="I3456" s="168" t="str">
        <x:v>Poder Público</x:v>
      </x:c>
      <x:c r="J3456" s="168" t="str">
        <x:v>CI</x:v>
      </x:c>
      <x:c r="K3456" s="174" t="n">
        <x:v>6</x:v>
      </x:c>
      <x:c r="L3456" s="187" t="str">
        <x:v>Não classificado</x:v>
      </x:c>
    </x:row>
    <x:row r="3457">
      <x:c r="A3457" s="177" t="str">
        <x:v>61.289.212/0001-25</x:v>
      </x:c>
      <x:c r="B3457" s="168" t="str">
        <x:v>CNPJ 61289212000125</x:v>
      </x:c>
      <x:c r="C3457" s="190" t="n">
        <x:v>0</x:v>
      </x:c>
      <x:c r="D3457" s="168" t="str">
        <x:v>REAG SPECIALTY FINANCE</x:v>
      </x:c>
      <x:c r="E3457" s="168" t="str">
        <x:f>IFERROR(INDEX('Classif Gestoras'!$H$6:$H$462,MATCH(D3457,'Classif Gestoras'!$A$6:$A$462,0)),"Não classificada")</x:f>
        <x:v>Independente</x:v>
      </x:c>
      <x:c r="F3457" s="168" t="str">
        <x:v>REAG DTVM</x:v>
      </x:c>
      <x:c r="G3457" s="168" t="str">
        <x:v>Não identificado</x:v>
      </x:c>
      <x:c r="H3457" s="168" t="str">
        <x:v>Fomento Mercantil</x:v>
      </x:c>
      <x:c r="I3457" s="168" t="str">
        <x:v>Fomento Mercantil</x:v>
      </x:c>
      <x:c r="J3457" s="168" t="str">
        <x:v>CI</x:v>
      </x:c>
      <x:c r="K3457" s="174"/>
      <x:c r="L3457" s="187" t="str">
        <x:v>Não classificado</x:v>
      </x:c>
    </x:row>
    <x:row r="3458">
      <x:c r="A3458" s="177" t="str">
        <x:v>34.096.044/0001-89</x:v>
      </x:c>
      <x:c r="B3458" s="168" t="str">
        <x:v>CNPJ 34096044000189</x:v>
      </x:c>
      <x:c r="C3458" s="190" t="n">
        <x:v>0</x:v>
      </x:c>
      <x:c r="D3458" s="168" t="str">
        <x:v>ANGÁ ASSET MANAGEMENT</x:v>
      </x:c>
      <x:c r="E3458" s="168" t="str">
        <x:f>IFERROR(INDEX('Classif Gestoras'!$H$6:$H$462,MATCH(D3458,'Classif Gestoras'!$A$6:$A$462,0)),"Não classificada")</x:f>
        <x:v>Independente</x:v>
      </x:c>
      <x:c r="F3458" s="168" t="str">
        <x:v>Banvox DTVM</x:v>
      </x:c>
      <x:c r="G3458" s="168" t="str">
        <x:v>Não identificado</x:v>
      </x:c>
      <x:c r="H3458" s="168" t="str">
        <x:v>Financeiro</x:v>
      </x:c>
      <x:c r="I3458" s="168" t="str">
        <x:v>Crédito Consignado</x:v>
      </x:c>
      <x:c r="J3458" s="168" t="str">
        <x:v>CI</x:v>
      </x:c>
      <x:c r="K3458" s="174"/>
      <x:c r="L3458" s="187" t="str">
        <x:v>Não classificado</x:v>
      </x:c>
    </x:row>
    <x:row r="3459">
      <x:c r="A3459" s="177" t="str">
        <x:v>53.247.140/0001-25</x:v>
      </x:c>
      <x:c r="B3459" s="168" t="str">
        <x:v>OTTER FUNDO DE INVESTIMENTO EM DIREITOS CREDITÓRIOS</x:v>
      </x:c>
      <x:c r="C3459" s="190" t="n">
        <x:v>0</x:v>
      </x:c>
      <x:c r="D3459" s="168" t="str">
        <x:v>Reag Administradora de Recursos Ltda</x:v>
      </x:c>
      <x:c r="E3459" s="168" t="str">
        <x:f>IFERROR(INDEX('Classif Gestoras'!$H$6:$H$462,MATCH(D3459,'Classif Gestoras'!$A$6:$A$462,0)),"Não classificada")</x:f>
        <x:v>Independente</x:v>
      </x:c>
      <x:c r="F3459" s="168" t="str">
        <x:v>REAG DTVM</x:v>
      </x:c>
      <x:c r="G3459" s="168" t="str">
        <x:v>REAG TRUST DISTRIBUIDORA DE TITULOS E VALORES MOBILIARIOS S.A.</x:v>
      </x:c>
      <x:c r="H3459" s="168" t="str">
        <x:v>Outros</x:v>
      </x:c>
      <x:c r="I3459" s="168" t="str">
        <x:v>Multicarteira Outros</x:v>
      </x:c>
      <x:c r="J3459" s="168" t="str">
        <x:v>CI</x:v>
      </x:c>
      <x:c r="K3459" s="174" t="n">
        <x:v>1</x:v>
      </x:c>
      <x:c r="L3459" s="187" t="str">
        <x:v>Proxy multicedente/multissacado — revisar</x:v>
      </x:c>
    </x:row>
    <x:row r="3460">
      <x:c r="A3460" s="177" t="str">
        <x:v>57.926.086/0001-03</x:v>
      </x:c>
      <x:c r="B3460" s="168" t="str">
        <x:v>CNPJ 57926086000103</x:v>
      </x:c>
      <x:c r="C3460" s="190" t="n">
        <x:v>0</x:v>
      </x:c>
      <x:c r="D3460" s="168" t="str">
        <x:v>Blue Solutions</x:v>
      </x:c>
      <x:c r="E3460" s="168" t="str">
        <x:f>IFERROR(INDEX('Classif Gestoras'!$H$6:$H$462,MATCH(D3460,'Classif Gestoras'!$A$6:$A$462,0)),"Não classificada")</x:f>
        <x:v>Independente</x:v>
      </x:c>
      <x:c r="F3460" s="168" t="str">
        <x:v>Banvox DTVM</x:v>
      </x:c>
      <x:c r="G3460" s="168" t="str">
        <x:v>Não identificado</x:v>
      </x:c>
      <x:c r="H3460" s="168" t="str">
        <x:v>Agro, Indústria e Comércio</x:v>
      </x:c>
      <x:c r="I3460" s="168" t="str">
        <x:v>Recebíveis Comerciais</x:v>
      </x:c>
      <x:c r="J3460" s="168" t="str">
        <x:v>CI</x:v>
      </x:c>
      <x:c r="K3460" s="174"/>
      <x:c r="L3460" s="187" t="str">
        <x:v>Não classificado</x:v>
      </x:c>
    </x:row>
    <x:row r="3461">
      <x:c r="A3461" s="177" t="str">
        <x:v>36.083.634/0001-00</x:v>
      </x:c>
      <x:c r="B3461" s="168" t="str">
        <x:v>BRASIL MICROCRÉDITO FUNDO DE INVESTIMENTO EM DIREITOS CREDITÓRIOS</x:v>
      </x:c>
      <x:c r="C3461" s="190" t="n">
        <x:v>0</x:v>
      </x:c>
      <x:c r="D3461" s="168" t="str">
        <x:v>GENIAL GESTÃO LTDA.</x:v>
      </x:c>
      <x:c r="E3461" s="168" t="str">
        <x:f>IFERROR(INDEX('Classif Gestoras'!$H$6:$H$462,MATCH(D3461,'Classif Gestoras'!$A$6:$A$462,0)),"Não classificada")</x:f>
        <x:v>Ligada a banco</x:v>
      </x:c>
      <x:c r="F3461" s="168" t="str">
        <x:v>Banco Genial S.A.</x:v>
      </x:c>
      <x:c r="G3461" s="168" t="str">
        <x:v>BANCO GENIAL S.A.</x:v>
      </x:c>
      <x:c r="H3461" s="168" t="str">
        <x:v>Financeiro</x:v>
      </x:c>
      <x:c r="I3461" s="168" t="str">
        <x:v>Crédito Pessoal</x:v>
      </x:c>
      <x:c r="J3461" s="168" t="str">
        <x:v>CI</x:v>
      </x:c>
      <x:c r="K3461" s="174" t="n">
        <x:v>2</x:v>
      </x:c>
      <x:c r="L3461" s="187" t="str">
        <x:v>Não classificado</x:v>
      </x:c>
    </x:row>
    <x:row r="3462">
      <x:c r="A3462" s="177" t="str">
        <x:v>57.933.661/0001-97</x:v>
      </x:c>
      <x:c r="B3462" s="168" t="str">
        <x:v>CNPJ 57933661000197</x:v>
      </x:c>
      <x:c r="C3462" s="190" t="n">
        <x:v>0</x:v>
      </x:c>
      <x:c r="D3462" s="168" t="str">
        <x:v>Sabrina Ribeiro Molina</x:v>
      </x:c>
      <x:c r="E3462" s="168" t="str">
        <x:f>IFERROR(INDEX('Classif Gestoras'!$H$6:$H$462,MATCH(D3462,'Classif Gestoras'!$A$6:$A$462,0)),"Não classificada")</x:f>
        <x:v>Independente</x:v>
      </x:c>
      <x:c r="F3462" s="168" t="str">
        <x:v>VÓRTX DTVM</x:v>
      </x:c>
      <x:c r="G3462" s="168" t="str">
        <x:v>Não identificado</x:v>
      </x:c>
      <x:c r="H3462" s="168" t="str">
        <x:v>Agro, Indústria e Comércio</x:v>
      </x:c>
      <x:c r="I3462" s="168" t="str">
        <x:v>Não se aplica</x:v>
      </x:c>
      <x:c r="J3462" s="168" t="str">
        <x:v>CI</x:v>
      </x:c>
      <x:c r="K3462" s="174"/>
      <x:c r="L3462" s="187" t="str">
        <x:v>Não classificado</x:v>
      </x:c>
    </x:row>
    <x:row r="3463">
      <x:c r="A3463" s="177" t="str">
        <x:v>38.455.413/0001-33</x:v>
      </x:c>
      <x:c r="B3463" s="168" t="str">
        <x:v>CNPJ 38455413000133</x:v>
      </x:c>
      <x:c r="C3463" s="190" t="n">
        <x:v>0</x:v>
      </x:c>
      <x:c r="D3463" s="168" t="str">
        <x:v>VALORA RENDA FIXA LTDA.</x:v>
      </x:c>
      <x:c r="E3463" s="168" t="str">
        <x:f>IFERROR(INDEX('Classif Gestoras'!$H$6:$H$462,MATCH(D3463,'Classif Gestoras'!$A$6:$A$462,0)),"Não classificada")</x:f>
        <x:v>Independente</x:v>
      </x:c>
      <x:c r="F3463" s="168" t="str">
        <x:v>BTG Pactual Servicos Financeiros S/A DTVM</x:v>
      </x:c>
      <x:c r="G3463" s="168" t="str">
        <x:v>Não identificado</x:v>
      </x:c>
      <x:c r="H3463" s="168" t="str">
        <x:v>Agro, Indústria e Comércio</x:v>
      </x:c>
      <x:c r="I3463" s="168" t="str">
        <x:v>Recebíveis Comerciais</x:v>
      </x:c>
      <x:c r="J3463" s="168" t="str">
        <x:v>CI</x:v>
      </x:c>
      <x:c r="K3463" s="174"/>
      <x:c r="L3463" s="187" t="str">
        <x:v>Não classificado</x:v>
      </x:c>
    </x:row>
    <x:row r="3464">
      <x:c r="A3464" s="177" t="str">
        <x:v>41.265.819/0001-68</x:v>
      </x:c>
      <x:c r="B3464" s="168" t="str">
        <x:v>CNPJ 41265819000168</x:v>
      </x:c>
      <x:c r="C3464" s="190" t="n">
        <x:v>0</x:v>
      </x:c>
      <x:c r="D3464" s="168" t="str">
        <x:v>REAG PORTFOLIO SOLUTIONS</x:v>
      </x:c>
      <x:c r="E3464" s="168" t="str">
        <x:f>IFERROR(INDEX('Classif Gestoras'!$H$6:$H$462,MATCH(D3464,'Classif Gestoras'!$A$6:$A$462,0)),"Não classificada")</x:f>
        <x:v>Independente</x:v>
      </x:c>
      <x:c r="F3464" s="168" t="str">
        <x:v>REAG DTVM</x:v>
      </x:c>
      <x:c r="G3464" s="168" t="str">
        <x:v>Não identificado</x:v>
      </x:c>
      <x:c r="H3464" s="168" t="str">
        <x:v>Outros</x:v>
      </x:c>
      <x:c r="I3464" s="168" t="str">
        <x:v>Multicarteira Outros</x:v>
      </x:c>
      <x:c r="J3464" s="168" t="str">
        <x:v>CI</x:v>
      </x:c>
      <x:c r="K3464" s="174"/>
      <x:c r="L3464" s="187" t="str">
        <x:v>Proxy multicedente/multissacado — revisar</x:v>
      </x:c>
    </x:row>
    <x:row r="3465">
      <x:c r="A3465" s="177" t="str">
        <x:v>61.138.429/0001-34</x:v>
      </x:c>
      <x:c r="B3465" s="168" t="str">
        <x:v>LU INVEST FUNDO DE INVESTIMENTO EM DIREITOS CREDITÓRIOS</x:v>
      </x:c>
      <x:c r="C3465" s="190" t="n">
        <x:v>0</x:v>
      </x:c>
      <x:c r="D3465" s="168" t="str">
        <x:v>TERCON ASSET MANAGEMENT</x:v>
      </x:c>
      <x:c r="E3465" s="168" t="str">
        <x:f>IFERROR(INDEX('Classif Gestoras'!$H$6:$H$462,MATCH(D3465,'Classif Gestoras'!$A$6:$A$462,0)),"Não classificada")</x:f>
        <x:v>Independente</x:v>
      </x:c>
      <x:c r="F3465" s="168" t="str">
        <x:v>Limine Trust Distribuidora de Titulos e Valores Mobiliá</x:v>
      </x:c>
      <x:c r="G3465" s="168" t="str">
        <x:v>LIMINE TRUST DISTRIBUIDORA DE TITULOS E VALORES MOBILIARIOS LTDA.</x:v>
      </x:c>
      <x:c r="H3465" s="168" t="str">
        <x:v>Fomento Mercantil</x:v>
      </x:c>
      <x:c r="I3465" s="168" t="str">
        <x:v>Fomento Mercantil</x:v>
      </x:c>
      <x:c r="J3465" s="168" t="str">
        <x:v>CI</x:v>
      </x:c>
      <x:c r="K3465" s="174" t="n">
        <x:v>5</x:v>
      </x:c>
      <x:c r="L3465" s="187" t="str">
        <x:v>Não classificado</x:v>
      </x:c>
    </x:row>
    <x:row r="3466">
      <x:c r="A3466" s="177" t="str">
        <x:v>53.262.924/0001-22</x:v>
      </x:c>
      <x:c r="B3466" s="168" t="str">
        <x:v>VERZEKERING FUNDO DE INVESTIMENTO EM DIREITOS CREDITÓRIOS</x:v>
      </x:c>
      <x:c r="C3466" s="190" t="n">
        <x:v>0</x:v>
      </x:c>
      <x:c r="D3466" s="168" t="str">
        <x:v>Reag Jus</x:v>
      </x:c>
      <x:c r="E3466" s="168" t="str">
        <x:f>IFERROR(INDEX('Classif Gestoras'!$H$6:$H$462,MATCH(D3466,'Classif Gestoras'!$A$6:$A$462,0)),"Não classificada")</x:f>
        <x:v>Independente</x:v>
      </x:c>
      <x:c r="F3466" s="168" t="str">
        <x:v>REAG DTVM</x:v>
      </x:c>
      <x:c r="G3466" s="168" t="str">
        <x:v>REAG TRUST DISTRIBUIDORA DE TITULOS E VALORES MOBILIARIOS S.A.</x:v>
      </x:c>
      <x:c r="H3466" s="168" t="str">
        <x:v>Outros</x:v>
      </x:c>
      <x:c r="I3466" s="168" t="str">
        <x:v>Multicarteira Outros</x:v>
      </x:c>
      <x:c r="J3466" s="168" t="str">
        <x:v>CI</x:v>
      </x:c>
      <x:c r="K3466" s="174" t="n">
        <x:v>1</x:v>
      </x:c>
      <x:c r="L3466" s="187" t="str">
        <x:v>Proxy multicedente/multissacado — revisar</x:v>
      </x:c>
    </x:row>
    <x:row r="3467">
      <x:c r="A3467" s="177" t="str">
        <x:v>53.263.761/0001-00</x:v>
      </x:c>
      <x:c r="B3467" s="168" t="str">
        <x:v>ESPERANZA FUNDO DE INVESTIMENTO EM DIREITOS CREDITÓRIOS</x:v>
      </x:c>
      <x:c r="C3467" s="190" t="n">
        <x:v>0</x:v>
      </x:c>
      <x:c r="D3467" s="168" t="str">
        <x:v>Reag Administradora de Recursos Ltda</x:v>
      </x:c>
      <x:c r="E3467" s="168" t="str">
        <x:f>IFERROR(INDEX('Classif Gestoras'!$H$6:$H$462,MATCH(D3467,'Classif Gestoras'!$A$6:$A$462,0)),"Não classificada")</x:f>
        <x:v>Independente</x:v>
      </x:c>
      <x:c r="F3467" s="168" t="str">
        <x:v>REAG DTVM</x:v>
      </x:c>
      <x:c r="G3467" s="168" t="str">
        <x:v>REAG TRUST DISTRIBUIDORA DE TITULOS E VALORES MOBILIARIOS S.A.</x:v>
      </x:c>
      <x:c r="H3467" s="168" t="str">
        <x:v>Outros</x:v>
      </x:c>
      <x:c r="I3467" s="168" t="str">
        <x:v>Multicarteira Outros</x:v>
      </x:c>
      <x:c r="J3467" s="168" t="str">
        <x:v>CI</x:v>
      </x:c>
      <x:c r="K3467" s="174" t="n">
        <x:v>1</x:v>
      </x:c>
      <x:c r="L3467" s="187" t="str">
        <x:v>Proxy multicedente/multissacado — revisar</x:v>
      </x:c>
    </x:row>
    <x:row r="3468">
      <x:c r="A3468" s="177" t="str">
        <x:v>27.016.584/0001-40</x:v>
      </x:c>
      <x:c r="B3468" s="168" t="str">
        <x:v>CNPJ 27016584000140</x:v>
      </x:c>
      <x:c r="C3468" s="190" t="n">
        <x:v>0</x:v>
      </x:c>
      <x:c r="D3468" s="168" t="str">
        <x:v>Renova Gestora</x:v>
      </x:c>
      <x:c r="E3468" s="168" t="str">
        <x:f>IFERROR(INDEX('Classif Gestoras'!$H$6:$H$462,MATCH(D3468,'Classif Gestoras'!$A$6:$A$462,0)),"Não classificada")</x:f>
        <x:v>Independente</x:v>
      </x:c>
      <x:c r="F3468" s="168" t="str">
        <x:v>GRADUAL CCTVM S/A</x:v>
      </x:c>
      <x:c r="G3468" s="168" t="str">
        <x:v>Não identificado</x:v>
      </x:c>
      <x:c r="H3468" s="168" t="str">
        <x:v>Fomento Mercantil</x:v>
      </x:c>
      <x:c r="I3468" s="168" t="str">
        <x:v>Fomento Mercantil</x:v>
      </x:c>
      <x:c r="J3468" s="168" t="str">
        <x:v>CI</x:v>
      </x:c>
      <x:c r="K3468" s="174"/>
      <x:c r="L3468" s="187" t="str">
        <x:v>Não classificado</x:v>
      </x:c>
    </x:row>
    <x:row r="3469">
      <x:c r="A3469" s="177" t="str">
        <x:v>47.669.421/0001-73</x:v>
      </x:c>
      <x:c r="B3469" s="168" t="str">
        <x:v>CNPJ 47669421000173</x:v>
      </x:c>
      <x:c r="C3469" s="190" t="n">
        <x:v>0</x:v>
      </x:c>
      <x:c r="D3469" s="168" t="str">
        <x:v>MAKALU</x:v>
      </x:c>
      <x:c r="E3469" s="168" t="str">
        <x:f>IFERROR(INDEX('Classif Gestoras'!$H$6:$H$462,MATCH(D3469,'Classif Gestoras'!$A$6:$A$462,0)),"Não classificada")</x:f>
        <x:v>Independente</x:v>
      </x:c>
      <x:c r="F3469" s="168" t="str">
        <x:v>Finaxis Corretora de Títulos e Valores Mobiliários S.A.</x:v>
      </x:c>
      <x:c r="G3469" s="168" t="str">
        <x:v>Não identificado</x:v>
      </x:c>
      <x:c r="H3469" s="168" t="str">
        <x:v>Agro, Indústria e Comércio</x:v>
      </x:c>
      <x:c r="I3469" s="168" t="str">
        <x:v>Não se aplica</x:v>
      </x:c>
      <x:c r="J3469" s="168" t="str">
        <x:v>CI</x:v>
      </x:c>
      <x:c r="K3469" s="174"/>
      <x:c r="L3469" s="187" t="str">
        <x:v>Não classificado</x:v>
      </x:c>
    </x:row>
    <x:row r="3470">
      <x:c r="A3470" s="177" t="str">
        <x:v>51.382.517/0001-23</x:v>
      </x:c>
      <x:c r="B3470" s="168" t="str">
        <x:v>ARAWAK FUNDO DE INVESTIMENTO EM DIREITOS CREDITÓRIOS</x:v>
      </x:c>
      <x:c r="C3470" s="190" t="n">
        <x:v>0</x:v>
      </x:c>
      <x:c r="D3470" s="168" t="str">
        <x:v>Reag Administradora de Recursos Ltda</x:v>
      </x:c>
      <x:c r="E3470" s="168" t="str">
        <x:f>IFERROR(INDEX('Classif Gestoras'!$H$6:$H$462,MATCH(D3470,'Classif Gestoras'!$A$6:$A$462,0)),"Não classificada")</x:f>
        <x:v>Independente</x:v>
      </x:c>
      <x:c r="F3470" s="168" t="str">
        <x:v>REAG DTVM</x:v>
      </x:c>
      <x:c r="G3470" s="168" t="str">
        <x:v>ID CORRETORA DE TITULOS E VALORES MOBILIARIOS S.A.</x:v>
      </x:c>
      <x:c r="H3470" s="168" t="str">
        <x:v>Fomento Mercantil</x:v>
      </x:c>
      <x:c r="I3470" s="168" t="str">
        <x:v>Multicarteira Outros</x:v>
      </x:c>
      <x:c r="J3470" s="168" t="str">
        <x:v>CI</x:v>
      </x:c>
      <x:c r="K3470" s="174" t="n">
        <x:v>1</x:v>
      </x:c>
      <x:c r="L3470" s="187" t="str">
        <x:v>Proxy multicedente/multissacado — revisar</x:v>
      </x:c>
    </x:row>
    <x:row r="3471">
      <x:c r="A3471" s="177" t="str">
        <x:v>54.585.643/0001-73</x:v>
      </x:c>
      <x:c r="B3471" s="168" t="str">
        <x:v>TRADEMASTER III FIDC - RECEBÍVEIS COMERCIAIS - RESPONSABILIDADE LIMITADA</x:v>
      </x:c>
      <x:c r="C3471" s="190" t="n">
        <x:v>0</x:v>
      </x:c>
      <x:c r="D3471" s="168" t="str">
        <x:v>Kanastra</x:v>
      </x:c>
      <x:c r="E3471" s="168" t="str">
        <x:f>IFERROR(INDEX('Classif Gestoras'!$H$6:$H$462,MATCH(D3471,'Classif Gestoras'!$A$6:$A$462,0)),"Não classificada")</x:f>
        <x:v>Independente</x:v>
      </x:c>
      <x:c r="F3471" s="168" t="str">
        <x:v>Limine Trust Distribuidora de Titulos e Valores Mobiliá</x:v>
      </x:c>
      <x:c r="G3471" s="168" t="str">
        <x:v>LIMINE TRUST DISTRIBUIDORA DE TITULOS E VALORES MOBILIARIOS LTDA.</x:v>
      </x:c>
      <x:c r="H3471" s="168" t="str">
        <x:v>Agro, Indústria e Comércio</x:v>
      </x:c>
      <x:c r="I3471" s="168" t="str">
        <x:v>Recebíveis Comerciais</x:v>
      </x:c>
      <x:c r="J3471" s="168" t="str">
        <x:v>CI</x:v>
      </x:c>
      <x:c r="K3471" s="174" t="n">
        <x:v>0</x:v>
      </x:c>
      <x:c r="L3471" s="187" t="str">
        <x:v>Não classificado</x:v>
      </x:c>
    </x:row>
    <x:row r="3472">
      <x:c r="A3472" s="177" t="str">
        <x:v>41.240.074/0001-82</x:v>
      </x:c>
      <x:c r="B3472" s="168" t="str">
        <x:v>NACIONAL FUNDO DE INVESTIMENTO EM DIREITOS CREDITÓRIOS</x:v>
      </x:c>
      <x:c r="C3472" s="190" t="n">
        <x:v>0</x:v>
      </x:c>
      <x:c r="D3472" s="168" t="str">
        <x:v>Tyr Gestao de Recursos Ltda</x:v>
      </x:c>
      <x:c r="E3472" s="168" t="str">
        <x:f>IFERROR(INDEX('Classif Gestoras'!$H$6:$H$462,MATCH(D3472,'Classif Gestoras'!$A$6:$A$462,0)),"Não classificada")</x:f>
        <x:v>Independente</x:v>
      </x:c>
      <x:c r="F3472" s="168" t="str">
        <x:v>Intra Investimentos Distribuidora de Títulos e Valores Mobiliários LTDA.</x:v>
      </x:c>
      <x:c r="G3472" s="168" t="str">
        <x:v>INTRA INVESTIMENTOS DTVM LTDA</x:v>
      </x:c>
      <x:c r="H3472" s="168" t="str">
        <x:v>Outros</x:v>
      </x:c>
      <x:c r="I3472" s="168" t="str">
        <x:v>Multicarteira Outros</x:v>
      </x:c>
      <x:c r="J3472" s="168" t="str">
        <x:v>CI</x:v>
      </x:c>
      <x:c r="K3472" s="174" t="n">
        <x:v>39</x:v>
      </x:c>
      <x:c r="L3472" s="187" t="str">
        <x:v>Proxy multicedente/multissacado — revisar</x:v>
      </x:c>
    </x:row>
    <x:row r="3473">
      <x:c r="A3473" s="177" t="str">
        <x:v>54.585.485/0001-51</x:v>
      </x:c>
      <x:c r="B3473" s="168" t="str">
        <x:v>NPL SN FUNDO DE INVESTIMENTO EM DIREITOS CREDITÓRIOS RESPONSABILIDADE LIMITADA</x:v>
      </x:c>
      <x:c r="C3473" s="190" t="n">
        <x:v>0</x:v>
      </x:c>
      <x:c r="D3473" s="168" t="str">
        <x:v>Galápagos</x:v>
      </x:c>
      <x:c r="E3473" s="168" t="str">
        <x:f>IFERROR(INDEX('Classif Gestoras'!$H$6:$H$462,MATCH(D3473,'Classif Gestoras'!$A$6:$A$462,0)),"Não classificada")</x:f>
        <x:v>Independente</x:v>
      </x:c>
      <x:c r="F3473" s="168" t="str">
        <x:v>Singulare</x:v>
      </x:c>
      <x:c r="G3473" s="168" t="str">
        <x:v>ID CORRETORA DE TITULOS E VALORES MOBILIARIOS S.A.</x:v>
      </x:c>
      <x:c r="H3473" s="168" t="str">
        <x:v>Outros</x:v>
      </x:c>
      <x:c r="I3473" s="168" t="str">
        <x:v>Multicarteira Outros</x:v>
      </x:c>
      <x:c r="J3473" s="168" t="str">
        <x:v>CI</x:v>
      </x:c>
      <x:c r="K3473" s="174" t="n">
        <x:v>3</x:v>
      </x:c>
      <x:c r="L3473" s="187" t="str">
        <x:v>Proxy multicedente/multissacado — revisar</x:v>
      </x:c>
    </x:row>
    <x:row r="3474">
      <x:c r="A3474" s="177" t="str">
        <x:v>47.846.916/0001-20</x:v>
      </x:c>
      <x:c r="B3474" s="168" t="str">
        <x:v>CNPJ 47846916000120</x:v>
      </x:c>
      <x:c r="C3474" s="190" t="n">
        <x:v>0</x:v>
      </x:c>
      <x:c r="D3474" s="168" t="str">
        <x:v>BURITI INVESTIMENTOS</x:v>
      </x:c>
      <x:c r="E3474" s="168" t="str">
        <x:f>IFERROR(INDEX('Classif Gestoras'!$H$6:$H$462,MATCH(D3474,'Classif Gestoras'!$A$6:$A$462,0)),"Não classificada")</x:f>
        <x:v>Independente</x:v>
      </x:c>
      <x:c r="F3474" s="168" t="str">
        <x:v>Singulare</x:v>
      </x:c>
      <x:c r="G3474" s="168" t="str">
        <x:v>Não identificado</x:v>
      </x:c>
      <x:c r="H3474" s="168" t="str">
        <x:v>Outros</x:v>
      </x:c>
      <x:c r="I3474" s="168" t="str">
        <x:v>Não se aplica</x:v>
      </x:c>
      <x:c r="J3474" s="168" t="str">
        <x:v>CI</x:v>
      </x:c>
      <x:c r="K3474" s="174"/>
      <x:c r="L3474" s="187" t="str">
        <x:v>Não classificado</x:v>
      </x:c>
    </x:row>
    <x:row r="3475">
      <x:c r="A3475" s="177" t="str">
        <x:v>23.669.183/0001-38</x:v>
      </x:c>
      <x:c r="B3475" s="168" t="str">
        <x:v>FUNDO DE INVESTIMENTO EM DIREITOS CREDITÓRIOS EMPÍRICA PREMIER CAPITAL MULTISETORIAL LONGO PRAZO</x:v>
      </x:c>
      <x:c r="C3475" s="190" t="n">
        <x:v>0</x:v>
      </x:c>
      <x:c r="D3475" s="168" t="str">
        <x:v>REAG GESTÃO DE CRÉDITO</x:v>
      </x:c>
      <x:c r="E3475" s="168" t="str">
        <x:f>IFERROR(INDEX('Classif Gestoras'!$H$6:$H$462,MATCH(D3475,'Classif Gestoras'!$A$6:$A$462,0)),"Não classificada")</x:f>
        <x:v>Independente</x:v>
      </x:c>
      <x:c r="F3475" s="168" t="str">
        <x:v>Banvox DTVM</x:v>
      </x:c>
      <x:c r="G3475" s="168" t="str">
        <x:v>BANVOX DISTRIBUIDORA DE TITULOS E VALORES MOBILIARIOS LTDA</x:v>
      </x:c>
      <x:c r="H3475" s="168" t="str">
        <x:v>Outros</x:v>
      </x:c>
      <x:c r="I3475" s="168" t="str">
        <x:v>Multicarteira Outros</x:v>
      </x:c>
      <x:c r="J3475" s="168" t="str">
        <x:v>CI</x:v>
      </x:c>
      <x:c r="K3475" s="174" t="n">
        <x:v>1</x:v>
      </x:c>
      <x:c r="L3475" s="187" t="str">
        <x:v>Proxy multicedente/multissacado — revisar</x:v>
      </x:c>
    </x:row>
    <x:row r="3476">
      <x:c r="A3476" s="177" t="str">
        <x:v>19.187.286/0001-94</x:v>
      </x:c>
      <x:c r="B3476" s="168" t="str">
        <x:v>RUBI FUNDO DE INVESTIMENTO EM DIREITOS CREDITÓRIOS MULTISETORIAL - RESPONSABILIDADE LIMITADA</x:v>
      </x:c>
      <x:c r="C3476" s="190" t="n">
        <x:v>0</x:v>
      </x:c>
      <x:c r="D3476" s="168" t="str">
        <x:v>POLÍGONO CAPITAL LTDA.</x:v>
      </x:c>
      <x:c r="E3476" s="168" t="str">
        <x:f>IFERROR(INDEX('Classif Gestoras'!$H$6:$H$462,MATCH(D3476,'Classif Gestoras'!$A$6:$A$462,0)),"Não classificada")</x:f>
        <x:v>Independente</x:v>
      </x:c>
      <x:c r="F3476" s="168" t="str">
        <x:v>Singulare</x:v>
      </x:c>
      <x:c r="G3476" s="168" t="str">
        <x:v>LIMINE TRUST DISTRIBUIDORA DE TITULOS E VALORES MOBILIARIOS LTDA.</x:v>
      </x:c>
      <x:c r="H3476" s="168" t="str">
        <x:v>Outros</x:v>
      </x:c>
      <x:c r="I3476" s="168" t="str">
        <x:v>Multicarteira Outros</x:v>
      </x:c>
      <x:c r="J3476" s="168" t="str">
        <x:v>CI</x:v>
      </x:c>
      <x:c r="K3476" s="174" t="n">
        <x:v>0</x:v>
      </x:c>
      <x:c r="L3476" s="187" t="str">
        <x:v>Proxy multicedente/multissacado — revisar</x:v>
      </x:c>
    </x:row>
    <x:row r="3477">
      <x:c r="A3477" s="177" t="str">
        <x:v>36.083.618/0001-00</x:v>
      </x:c>
      <x:c r="B3477" s="168" t="str">
        <x:v>CNPJ 36083618000100</x:v>
      </x:c>
      <x:c r="C3477" s="190" t="n">
        <x:v>0</x:v>
      </x:c>
      <x:c r="D3477" s="168" t="str">
        <x:v>VM Consultoria Empresarial Ltd</x:v>
      </x:c>
      <x:c r="E3477" s="168" t="str">
        <x:f>IFERROR(INDEX('Classif Gestoras'!$H$6:$H$462,MATCH(D3477,'Classif Gestoras'!$A$6:$A$462,0)),"Não classificada")</x:f>
        <x:v>Independente</x:v>
      </x:c>
      <x:c r="F3477" s="168" t="str">
        <x:v>Banco Genial S.A.</x:v>
      </x:c>
      <x:c r="G3477" s="168" t="str">
        <x:v>Não identificado</x:v>
      </x:c>
      <x:c r="H3477" s="168" t="str">
        <x:v>Outros</x:v>
      </x:c>
      <x:c r="I3477" s="168" t="str">
        <x:v>Poder Público</x:v>
      </x:c>
      <x:c r="J3477" s="168" t="str">
        <x:v>CI</x:v>
      </x:c>
      <x:c r="K3477" s="174"/>
      <x:c r="L3477" s="187" t="str">
        <x:v>Não classificado</x:v>
      </x:c>
    </x:row>
    <x:row r="3478">
      <x:c r="A3478" s="177" t="str">
        <x:v>54.582.555/0001-18</x:v>
      </x:c>
      <x:c r="B3478" s="168" t="str">
        <x:v>COBUCCIO EMPRÉSTIMOS INSS FUNDO DE INVESTIMENTO EM DIREITOS CREDITÓRIOS DE CLASSE ÚNICA FECHADA</x:v>
      </x:c>
      <x:c r="C3478" s="190" t="n">
        <x:v>0</x:v>
      </x:c>
      <x:c r="D3478" s="168" t="str">
        <x:v>CARMEL GESTORA DE ATIVOS LTDA</x:v>
      </x:c>
      <x:c r="E3478" s="168" t="str">
        <x:f>IFERROR(INDEX('Classif Gestoras'!$H$6:$H$462,MATCH(D3478,'Classif Gestoras'!$A$6:$A$462,0)),"Não classificada")</x:f>
        <x:v>Independente</x:v>
      </x:c>
      <x:c r="F3478" s="168" t="str">
        <x:v>Singulare</x:v>
      </x:c>
      <x:c r="G3478" s="168" t="str">
        <x:v>QI CORRETORA DE TÍTULOS E VALORES MOBILIÁRIOS S.A.</x:v>
      </x:c>
      <x:c r="H3478" s="168" t="str">
        <x:v>Financeiro</x:v>
      </x:c>
      <x:c r="I3478" s="168" t="str">
        <x:v>Crédito Consignado</x:v>
      </x:c>
      <x:c r="J3478" s="168" t="str">
        <x:v>CI</x:v>
      </x:c>
      <x:c r="K3478" s="174" t="n">
        <x:v>0</x:v>
      </x:c>
      <x:c r="L3478" s="187" t="str">
        <x:v>Não classificado</x:v>
      </x:c>
    </x:row>
    <x:row r="3479">
      <x:c r="A3479" s="177" t="str">
        <x:v>34.218.194/0001-18</x:v>
      </x:c>
      <x:c r="B3479" s="168" t="str">
        <x:v>BLESSED FUNDO DE INVESTIMENTO EM DIREITOS CREDITÓRIOS NÃO - PADRONIZADOS</x:v>
      </x:c>
      <x:c r="C3479" s="190" t="n">
        <x:v>0</x:v>
      </x:c>
      <x:c r="D3479" s="168" t="str">
        <x:v>Reag Administradora de Recursos Ltda</x:v>
      </x:c>
      <x:c r="E3479" s="168" t="str">
        <x:f>IFERROR(INDEX('Classif Gestoras'!$H$6:$H$462,MATCH(D3479,'Classif Gestoras'!$A$6:$A$462,0)),"Não classificada")</x:f>
        <x:v>Independente</x:v>
      </x:c>
      <x:c r="F3479" s="168" t="str">
        <x:v>REAG DTVM</x:v>
      </x:c>
      <x:c r="G3479" s="168" t="str">
        <x:v>REAG TRUST DISTRIBUIDORA DE TITULOS E VALORES MOBILIARIOS S.A.</x:v>
      </x:c>
      <x:c r="H3479" s="168" t="str">
        <x:v>Outros</x:v>
      </x:c>
      <x:c r="I3479" s="168" t="str">
        <x:v>Multicarteira Outros</x:v>
      </x:c>
      <x:c r="J3479" s="168" t="str">
        <x:v>CI</x:v>
      </x:c>
      <x:c r="K3479" s="174" t="n">
        <x:v>1</x:v>
      </x:c>
      <x:c r="L3479" s="187" t="str">
        <x:v>Proxy multicedente/multissacado — revisar</x:v>
      </x:c>
    </x:row>
    <x:row r="3480">
      <x:c r="A3480" s="177" t="str">
        <x:v>63.016.425/0001-09</x:v>
      </x:c>
      <x:c r="B3480" s="168" t="str">
        <x:v>ALCÁCER FUNDO DE INVESTIMENTO EM DIREITOS CREDITÓRIOS</x:v>
      </x:c>
      <x:c r="C3480" s="190" t="n">
        <x:v>0</x:v>
      </x:c>
      <x:c r="D3480" s="168" t="str">
        <x:v>Acura Gestora de Recursos LTDA.</x:v>
      </x:c>
      <x:c r="E3480" s="168" t="str">
        <x:f>IFERROR(INDEX('Classif Gestoras'!$H$6:$H$462,MATCH(D3480,'Classif Gestoras'!$A$6:$A$462,0)),"Não classificada")</x:f>
        <x:v>Independente</x:v>
      </x:c>
      <x:c r="F3480" s="168" t="str">
        <x:v>SEFER DTVM</x:v>
      </x:c>
      <x:c r="G3480" s="168" t="str">
        <x:v>SEFER INVESTIMENTOS DISTRIBUIDORA DE TÍTULOS E VALORES MOBILIÁRIOS LTDA.</x:v>
      </x:c>
      <x:c r="H3480" s="168" t="str">
        <x:v>Outros</x:v>
      </x:c>
      <x:c r="I3480" s="168" t="str">
        <x:v>Multicarteira Outros</x:v>
      </x:c>
      <x:c r="J3480" s="168" t="str">
        <x:v>CI</x:v>
      </x:c>
      <x:c r="K3480" s="174" t="n">
        <x:v>1</x:v>
      </x:c>
      <x:c r="L3480" s="187" t="str">
        <x:v>Proxy multicedente/multissacado — revisar</x:v>
      </x:c>
    </x:row>
    <x:row r="3481">
      <x:c r="A3481" s="177" t="str">
        <x:v>48.050.467/0001-72</x:v>
      </x:c>
      <x:c r="B3481" s="168" t="str">
        <x:v>CNPJ 48050467000172</x:v>
      </x:c>
      <x:c r="C3481" s="190" t="n">
        <x:v>0</x:v>
      </x:c>
      <x:c r="D3481" s="168" t="str">
        <x:v>ASSET MANAGEMENT</x:v>
      </x:c>
      <x:c r="E3481" s="168" t="str">
        <x:f>IFERROR(INDEX('Classif Gestoras'!$H$6:$H$462,MATCH(D3481,'Classif Gestoras'!$A$6:$A$462,0)),"Não classificada")</x:f>
        <x:v>Independente</x:v>
      </x:c>
      <x:c r="F3481" s="168" t="str">
        <x:v>AZUMI DISTRIBUIDORA DE TÍTULOS E VALORES MOBILIÁRIOS LT</x:v>
      </x:c>
      <x:c r="G3481" s="168" t="str">
        <x:v>Não identificado</x:v>
      </x:c>
      <x:c r="H3481" s="168" t="str">
        <x:v>Agro, Indústria e Comércio</x:v>
      </x:c>
      <x:c r="I3481" s="168" t="str">
        <x:v>Não se aplica</x:v>
      </x:c>
      <x:c r="J3481" s="168" t="str">
        <x:v>CI</x:v>
      </x:c>
      <x:c r="K3481" s="174"/>
      <x:c r="L3481" s="187" t="str">
        <x:v>Não classificado</x:v>
      </x:c>
    </x:row>
    <x:row r="3482">
      <x:c r="A3482" s="177" t="str">
        <x:v>34.395.364/0001-30</x:v>
      </x:c>
      <x:c r="B3482" s="168" t="str">
        <x:v>CNPJ 34395364000130</x:v>
      </x:c>
      <x:c r="C3482" s="190" t="n">
        <x:v>0</x:v>
      </x:c>
      <x:c r="D3482" s="168" t="str">
        <x:v>JERA CAPITAL</x:v>
      </x:c>
      <x:c r="E3482" s="168" t="str">
        <x:f>IFERROR(INDEX('Classif Gestoras'!$H$6:$H$462,MATCH(D3482,'Classif Gestoras'!$A$6:$A$462,0)),"Não classificada")</x:f>
        <x:v>Independente</x:v>
      </x:c>
      <x:c r="F3482" s="168" t="str">
        <x:v>BRL TRUST DTVM</x:v>
      </x:c>
      <x:c r="G3482" s="168" t="str">
        <x:v>Não identificado</x:v>
      </x:c>
      <x:c r="H3482" s="168" t="str">
        <x:v>Financeiro</x:v>
      </x:c>
      <x:c r="I3482" s="168" t="str">
        <x:v>Crédito Imobiliário</x:v>
      </x:c>
      <x:c r="J3482" s="168" t="str">
        <x:v>CI</x:v>
      </x:c>
      <x:c r="K3482" s="174"/>
      <x:c r="L3482" s="187" t="str">
        <x:v>Não classificado</x:v>
      </x:c>
    </x:row>
    <x:row r="3483">
      <x:c r="A3483" s="177" t="str">
        <x:v>58.035.124/0001-92</x:v>
      </x:c>
      <x:c r="B3483" s="168" t="str">
        <x:v>FUNDO DE INVESTIMENTO EM DIREITOS CREDITÓRIOS CREDITAS AUTO XI</x:v>
      </x:c>
      <x:c r="C3483" s="190" t="n">
        <x:v>0</x:v>
      </x:c>
      <x:c r="D3483" s="168" t="str">
        <x:v>Kanastra</x:v>
      </x:c>
      <x:c r="E3483" s="168" t="str">
        <x:f>IFERROR(INDEX('Classif Gestoras'!$H$6:$H$462,MATCH(D3483,'Classif Gestoras'!$A$6:$A$462,0)),"Não classificada")</x:f>
        <x:v>Independente</x:v>
      </x:c>
      <x:c r="F3483" s="168" t="str">
        <x:v>Limine Trust Distribuidora de Titulos e Valores Mobiliá</x:v>
      </x:c>
      <x:c r="G3483" s="168" t="str">
        <x:v>LIMINE TRUST DISTRIBUIDORA DE TITULOS E VALORES MOBILIARIOS LTDA.</x:v>
      </x:c>
      <x:c r="H3483" s="168" t="str">
        <x:v>Financeiro</x:v>
      </x:c>
      <x:c r="I3483" s="168" t="str">
        <x:v>Financiamento de Veículos</x:v>
      </x:c>
      <x:c r="J3483" s="168" t="str">
        <x:v>CI</x:v>
      </x:c>
      <x:c r="K3483" s="174" t="n">
        <x:v>127</x:v>
      </x:c>
      <x:c r="L3483" s="187" t="str">
        <x:v>Não classificado</x:v>
      </x:c>
    </x:row>
    <x:row r="3484">
      <x:c r="A3484" s="177" t="str">
        <x:v>58.036.896/0001-49</x:v>
      </x:c>
      <x:c r="B3484" s="168" t="str">
        <x:v>ORIZ JUS III FUNDO DE INVESTIMENTO EM DIREITOS CREDITÓRIOS - RESPONSABILIDADE LIMITADA</x:v>
      </x:c>
      <x:c r="C3484" s="190" t="n">
        <x:v>0</x:v>
      </x:c>
      <x:c r="D3484" s="168" t="str">
        <x:v>ORIZ ASSET MANAGEMENT LTDA.</x:v>
      </x:c>
      <x:c r="E3484" s="168" t="str">
        <x:f>IFERROR(INDEX('Classif Gestoras'!$H$6:$H$462,MATCH(D3484,'Classif Gestoras'!$A$6:$A$462,0)),"Não classificada")</x:f>
        <x:v>Independente</x:v>
      </x:c>
      <x:c r="F3484" s="168" t="str">
        <x:v>Limine Trust Distribuidora de Titulos e Valores Mobiliá</x:v>
      </x:c>
      <x:c r="G3484" s="168" t="str">
        <x:v>LIMINE TRUST DISTRIBUIDORA DE TITULOS E VALORES MOBILIARIOS LTDA.</x:v>
      </x:c>
      <x:c r="H3484" s="168" t="str">
        <x:v>Outros</x:v>
      </x:c>
      <x:c r="I3484" s="168" t="str">
        <x:v>Multicarteira Outros</x:v>
      </x:c>
      <x:c r="J3484" s="168" t="str">
        <x:v>CI</x:v>
      </x:c>
      <x:c r="K3484" s="174" t="n">
        <x:v>105</x:v>
      </x:c>
      <x:c r="L3484" s="187" t="str">
        <x:v>Proxy multicedente/multissacado — revisar</x:v>
      </x:c>
    </x:row>
    <x:row r="3485">
      <x:c r="A3485" s="177" t="str">
        <x:v>53.216.449/0001-58</x:v>
      </x:c>
      <x:c r="B3485" s="168" t="str">
        <x:v>RIO VERMELHO FUNDO DE INVESTIMENTO EM DIREITOS CREDITÓRIOS NÃO PADRONIZADO</x:v>
      </x:c>
      <x:c r="C3485" s="190" t="n">
        <x:v>0</x:v>
      </x:c>
      <x:c r="D3485" s="168" t="str">
        <x:v>Reag Administradora de Recursos Ltda</x:v>
      </x:c>
      <x:c r="E3485" s="168" t="str">
        <x:f>IFERROR(INDEX('Classif Gestoras'!$H$6:$H$462,MATCH(D3485,'Classif Gestoras'!$A$6:$A$462,0)),"Não classificada")</x:f>
        <x:v>Independente</x:v>
      </x:c>
      <x:c r="F3485" s="168" t="str">
        <x:v>REAG DTVM</x:v>
      </x:c>
      <x:c r="G3485" s="168" t="str">
        <x:v>REAG TRUST DISTRIBUIDORA DE TITULOS E VALORES MOBILIARIOS S.A.</x:v>
      </x:c>
      <x:c r="H3485" s="168" t="str">
        <x:v>Outros</x:v>
      </x:c>
      <x:c r="I3485" s="168" t="str">
        <x:v>Multicarteira Outros</x:v>
      </x:c>
      <x:c r="J3485" s="168" t="str">
        <x:v>CI</x:v>
      </x:c>
      <x:c r="K3485" s="174" t="n">
        <x:v>2</x:v>
      </x:c>
      <x:c r="L3485" s="187" t="str">
        <x:v>Proxy multicedente/multissacado — revisar</x:v>
      </x:c>
    </x:row>
    <x:row r="3486">
      <x:c r="A3486" s="177" t="str">
        <x:v>53.215.017/0001-22</x:v>
      </x:c>
      <x:c r="B3486" s="168" t="str">
        <x:v>CNPJ 53215017000122</x:v>
      </x:c>
      <x:c r="C3486" s="190" t="n">
        <x:v>0</x:v>
      </x:c>
      <x:c r="D3486" s="168" t="str">
        <x:v>BURITI INVESTIMENTOS</x:v>
      </x:c>
      <x:c r="E3486" s="168" t="str">
        <x:f>IFERROR(INDEX('Classif Gestoras'!$H$6:$H$462,MATCH(D3486,'Classif Gestoras'!$A$6:$A$462,0)),"Não classificada")</x:f>
        <x:v>Independente</x:v>
      </x:c>
      <x:c r="F3486" s="168" t="str">
        <x:v>Singulare</x:v>
      </x:c>
      <x:c r="G3486" s="168" t="str">
        <x:v>Não identificado</x:v>
      </x:c>
      <x:c r="H3486" s="168" t="str">
        <x:v>Agro, Indústria e Comércio</x:v>
      </x:c>
      <x:c r="I3486" s="168" t="str">
        <x:v>Não se aplica</x:v>
      </x:c>
      <x:c r="J3486" s="168" t="str">
        <x:v>CI</x:v>
      </x:c>
      <x:c r="K3486" s="174"/>
      <x:c r="L3486" s="187" t="str">
        <x:v>Não classificado</x:v>
      </x:c>
    </x:row>
    <x:row r="3487">
      <x:c r="A3487" s="177" t="str">
        <x:v>47.640.619/0001-24</x:v>
      </x:c>
      <x:c r="B3487" s="168" t="str">
        <x:v>CNPJ 47640619000124</x:v>
      </x:c>
      <x:c r="C3487" s="190" t="n">
        <x:v>0</x:v>
      </x:c>
      <x:c r="D3487" s="168" t="str">
        <x:v>GENIAL GESTÃO LTDA.</x:v>
      </x:c>
      <x:c r="E3487" s="168" t="str">
        <x:f>IFERROR(INDEX('Classif Gestoras'!$H$6:$H$462,MATCH(D3487,'Classif Gestoras'!$A$6:$A$462,0)),"Não classificada")</x:f>
        <x:v>Ligada a banco</x:v>
      </x:c>
      <x:c r="F3487" s="168" t="str">
        <x:v>Banco Genial S.A.</x:v>
      </x:c>
      <x:c r="G3487" s="168" t="str">
        <x:v>Não identificado</x:v>
      </x:c>
      <x:c r="H3487" s="168" t="str">
        <x:v>Financeiro</x:v>
      </x:c>
      <x:c r="I3487" s="168" t="str">
        <x:v>Crédito Pessoal</x:v>
      </x:c>
      <x:c r="J3487" s="168" t="str">
        <x:v>CI</x:v>
      </x:c>
      <x:c r="K3487" s="174"/>
      <x:c r="L3487" s="187" t="str">
        <x:v>Não classificado</x:v>
      </x:c>
    </x:row>
    <x:row r="3488">
      <x:c r="A3488" s="177" t="str">
        <x:v>47.388.724/0001-18</x:v>
      </x:c>
      <x:c r="B3488" s="168" t="str">
        <x:v>3R - FUNDO DE INVESTIMENTO EM DIREITOS CREDITÓRIOS NÃO PADRONIZADOS RESPONSABILIDADE LIMITADA</x:v>
      </x:c>
      <x:c r="C3488" s="190" t="n">
        <x:v>0</x:v>
      </x:c>
      <x:c r="D3488" s="168" t="str">
        <x:v>GESTORA DE RECURSOS ID - GRID LTDA.</x:v>
      </x:c>
      <x:c r="E3488" s="168" t="str">
        <x:f>IFERROR(INDEX('Classif Gestoras'!$H$6:$H$462,MATCH(D3488,'Classif Gestoras'!$A$6:$A$462,0)),"Não classificada")</x:f>
        <x:v>Independente</x:v>
      </x:c>
      <x:c r="F3488" s="168" t="str">
        <x:v>DILLON S.A DTVM</x:v>
      </x:c>
      <x:c r="G3488" s="168" t="str">
        <x:v>Não identificado</x:v>
      </x:c>
      <x:c r="H3488" s="168" t="str">
        <x:v>Outros</x:v>
      </x:c>
      <x:c r="I3488" s="168" t="str">
        <x:v>Multicarteira Outros</x:v>
      </x:c>
      <x:c r="J3488" s="168" t="str">
        <x:v>CI</x:v>
      </x:c>
      <x:c r="K3488" s="174" t="n">
        <x:v>1</x:v>
      </x:c>
      <x:c r="L3488" s="187" t="str">
        <x:v>Proxy multicedente/multissacado — revisar</x:v>
      </x:c>
    </x:row>
    <x:row r="3489">
      <x:c r="A3489" s="177" t="str">
        <x:v>51.660.739/0001-60</x:v>
      </x:c>
      <x:c r="B3489" s="168" t="str">
        <x:v>RUNEARD FUNDO DE INVESTIMENTO EM DIREITOS CREDITÓRIOS NÃO-PADRONIZADOS</x:v>
      </x:c>
      <x:c r="C3489" s="190" t="n">
        <x:v>0</x:v>
      </x:c>
      <x:c r="D3489" s="168" t="str">
        <x:v>Reag Administradora de Recursos Ltda</x:v>
      </x:c>
      <x:c r="E3489" s="168" t="str">
        <x:f>IFERROR(INDEX('Classif Gestoras'!$H$6:$H$462,MATCH(D3489,'Classif Gestoras'!$A$6:$A$462,0)),"Não classificada")</x:f>
        <x:v>Independente</x:v>
      </x:c>
      <x:c r="F3489" s="168" t="str">
        <x:v>REAG DTVM</x:v>
      </x:c>
      <x:c r="G3489" s="168" t="str">
        <x:v>REAG TRUST DISTRIBUIDORA DE TITULOS E VALORES MOBILIARIOS S.A.</x:v>
      </x:c>
      <x:c r="H3489" s="168" t="str">
        <x:v>Outros</x:v>
      </x:c>
      <x:c r="I3489" s="168" t="str">
        <x:v>Multicarteira Outros</x:v>
      </x:c>
      <x:c r="J3489" s="168" t="str">
        <x:v>CI</x:v>
      </x:c>
      <x:c r="K3489" s="174" t="n">
        <x:v>2</x:v>
      </x:c>
      <x:c r="L3489" s="187" t="str">
        <x:v>Proxy multicedente/multissacado — revisar</x:v>
      </x:c>
    </x:row>
    <x:row r="3490">
      <x:c r="A3490" s="177" t="str">
        <x:v>57.720.055/0001-93</x:v>
      </x:c>
      <x:c r="B3490" s="168" t="str">
        <x:v>GENEVE FUNDO DE INVESTIMENTO EM DIREITOS CREDITÓRIOS NÃO PADRONIZADOS</x:v>
      </x:c>
      <x:c r="C3490" s="190" t="n">
        <x:v>0</x:v>
      </x:c>
      <x:c r="D3490" s="168" t="str">
        <x:v>Redwood Asset Management</x:v>
      </x:c>
      <x:c r="E3490" s="168" t="str">
        <x:f>IFERROR(INDEX('Classif Gestoras'!$H$6:$H$462,MATCH(D3490,'Classif Gestoras'!$A$6:$A$462,0)),"Não classificada")</x:f>
        <x:v>Independente</x:v>
      </x:c>
      <x:c r="F3490" s="168" t="str">
        <x:v>PLANNER CV</x:v>
      </x:c>
      <x:c r="G3490" s="168" t="str">
        <x:v>PLANNER CORRETORA DE VALORES S.A.</x:v>
      </x:c>
      <x:c r="H3490" s="168" t="str">
        <x:v>Outros</x:v>
      </x:c>
      <x:c r="I3490" s="168" t="str">
        <x:v>Multicarteira Outros</x:v>
      </x:c>
      <x:c r="J3490" s="168" t="str">
        <x:v>CI</x:v>
      </x:c>
      <x:c r="K3490" s="174" t="n">
        <x:v>6</x:v>
      </x:c>
      <x:c r="L3490" s="187" t="str">
        <x:v>Proxy multicedente/multissacado — revisar</x:v>
      </x:c>
    </x:row>
    <x:row r="3491">
      <x:c r="A3491" s="177" t="str">
        <x:v>47.239.731/0001-58</x:v>
      </x:c>
      <x:c r="B3491" s="168" t="str">
        <x:v>BARRA RECUPERAÇÕES FUNDO DE INVESTIMENTO EM DIREITOS CREDITÓRIOS</x:v>
      </x:c>
      <x:c r="C3491" s="190" t="n">
        <x:v>0</x:v>
      </x:c>
      <x:c r="D3491" s="168" t="str">
        <x:v>Renta Gestão de Recursos LTDA.</x:v>
      </x:c>
      <x:c r="E3491" s="168" t="str">
        <x:f>IFERROR(INDEX('Classif Gestoras'!$H$6:$H$462,MATCH(D3491,'Classif Gestoras'!$A$6:$A$462,0)),"Não classificada")</x:f>
        <x:v>Independente</x:v>
      </x:c>
      <x:c r="F3491" s="168" t="str">
        <x:v>Banvox DTVM</x:v>
      </x:c>
      <x:c r="G3491" s="168" t="str">
        <x:v>ID CORRETORA DE TITULOS E VALORES MOBILIARIOS S.A.</x:v>
      </x:c>
      <x:c r="H3491" s="168" t="str">
        <x:v>Outros</x:v>
      </x:c>
      <x:c r="I3491" s="168" t="str">
        <x:v>Recuperação</x:v>
      </x:c>
      <x:c r="J3491" s="168" t="str">
        <x:v>CI</x:v>
      </x:c>
      <x:c r="K3491" s="174" t="n">
        <x:v>3</x:v>
      </x:c>
      <x:c r="L3491" s="187" t="str">
        <x:v>Não classificado</x:v>
      </x:c>
    </x:row>
    <x:row r="3492">
      <x:c r="A3492" s="177" t="str">
        <x:v>54.836.083/0001-82</x:v>
      </x:c>
      <x:c r="B3492" s="168" t="str">
        <x:v>THEMIS FUNDO DE INVESTIMENTO EM DIREITOS CREDITÓRIOS</x:v>
      </x:c>
      <x:c r="C3492" s="190" t="n">
        <x:v>0</x:v>
      </x:c>
      <x:c r="D3492" s="168" t="str">
        <x:v>Reag WM Gestora de Patrimônio Ltda</x:v>
      </x:c>
      <x:c r="E3492" s="168" t="str">
        <x:f>IFERROR(INDEX('Classif Gestoras'!$H$6:$H$462,MATCH(D3492,'Classif Gestoras'!$A$6:$A$462,0)),"Não classificada")</x:f>
        <x:v>Independente</x:v>
      </x:c>
      <x:c r="F3492" s="168" t="str">
        <x:v>REAG DTVM</x:v>
      </x:c>
      <x:c r="G3492" s="168" t="str">
        <x:v>REAG TRUST DISTRIBUIDORA DE TITULOS E VALORES MOBILIARIOS S.A.</x:v>
      </x:c>
      <x:c r="H3492" s="168" t="str">
        <x:v>Financeiro</x:v>
      </x:c>
      <x:c r="I3492" s="168" t="str">
        <x:v>Multicarteira Financeiro</x:v>
      </x:c>
      <x:c r="J3492" s="168" t="str">
        <x:v>CI</x:v>
      </x:c>
      <x:c r="K3492" s="174" t="n">
        <x:v>19</x:v>
      </x:c>
      <x:c r="L3492" s="187" t="str">
        <x:v>Proxy multicedente/multissacado — revisar</x:v>
      </x:c>
    </x:row>
    <x:row r="3493">
      <x:c r="A3493" s="177" t="str">
        <x:v>54.828.406/0001-96</x:v>
      </x:c>
      <x:c r="B3493" s="168" t="str">
        <x:v>EUREKKA I FUNDO DE INVESTIMENTO EM DIREITOS CREDITÓRIOS</x:v>
      </x:c>
      <x:c r="C3493" s="190" t="n">
        <x:v>0</x:v>
      </x:c>
      <x:c r="D3493" s="168" t="str">
        <x:v>ASSET MANAGEMENT</x:v>
      </x:c>
      <x:c r="E3493" s="168" t="str">
        <x:f>IFERROR(INDEX('Classif Gestoras'!$H$6:$H$462,MATCH(D3493,'Classif Gestoras'!$A$6:$A$462,0)),"Não classificada")</x:f>
        <x:v>Independente</x:v>
      </x:c>
      <x:c r="F3493" s="168" t="str">
        <x:v>AZUMI DISTRIBUIDORA DE TÍTULOS E VALORES MOBILIÁRIOS LT</x:v>
      </x:c>
      <x:c r="G3493" s="168" t="str">
        <x:v>AZUMI DISTRIBUIDORA DE TÍTULOS E VALORES MOBILIÁRIOS LTDA.</x:v>
      </x:c>
      <x:c r="H3493" s="168" t="str">
        <x:v>Outros</x:v>
      </x:c>
      <x:c r="I3493" s="168" t="str">
        <x:v>Multicarteira Outros</x:v>
      </x:c>
      <x:c r="J3493" s="168" t="str">
        <x:v>CI</x:v>
      </x:c>
      <x:c r="K3493" s="174" t="n">
        <x:v>0</x:v>
      </x:c>
      <x:c r="L3493" s="187" t="str">
        <x:v>Proxy multicedente/multissacado — revisar</x:v>
      </x:c>
    </x:row>
    <x:row r="3494">
      <x:c r="A3494" s="177" t="str">
        <x:v>51.017.188/0001-11</x:v>
      </x:c>
      <x:c r="B3494" s="168" t="str">
        <x:v>CNPJ 51017188000111</x:v>
      </x:c>
      <x:c r="C3494" s="190" t="n">
        <x:v>0</x:v>
      </x:c>
      <x:c r="D3494" s="168" t="str">
        <x:v>Chimera Capital Asset Management Ltda.</x:v>
      </x:c>
      <x:c r="E3494" s="168" t="str">
        <x:f>IFERROR(INDEX('Classif Gestoras'!$H$6:$H$462,MATCH(D3494,'Classif Gestoras'!$A$6:$A$462,0)),"Não classificada")</x:f>
        <x:v>Independente</x:v>
      </x:c>
      <x:c r="F3494" s="168" t="str">
        <x:v>MONETAR DISTRIBUIDORA DE TITUL</x:v>
      </x:c>
      <x:c r="G3494" s="168" t="str">
        <x:v>Não identificado</x:v>
      </x:c>
      <x:c r="H3494" s="168" t="str">
        <x:v>Outros</x:v>
      </x:c>
      <x:c r="I3494" s="168" t="str">
        <x:v>Recuperação</x:v>
      </x:c>
      <x:c r="J3494" s="168" t="str">
        <x:v>CI</x:v>
      </x:c>
      <x:c r="K3494" s="174"/>
      <x:c r="L3494" s="187" t="str">
        <x:v>Não classificado</x:v>
      </x:c>
    </x:row>
    <x:row r="3495">
      <x:c r="A3495" s="177" t="str">
        <x:v>34.027.968/0001-23</x:v>
      </x:c>
      <x:c r="B3495" s="168" t="str">
        <x:v>MERIDIONAL I FUNDO DE INVESTIMENTO EM DIREITOS CREDITÓRIOS RESPONSABILIDADE LIMITADA</x:v>
      </x:c>
      <x:c r="C3495" s="190" t="n">
        <x:v>0</x:v>
      </x:c>
      <x:c r="D3495" s="168" t="str">
        <x:v>IDGR</x:v>
      </x:c>
      <x:c r="E3495" s="168" t="str">
        <x:f>IFERROR(INDEX('Classif Gestoras'!$H$6:$H$462,MATCH(D3495,'Classif Gestoras'!$A$6:$A$462,0)),"Não classificada")</x:f>
        <x:v>Independente</x:v>
      </x:c>
      <x:c r="F3495" s="168" t="str">
        <x:v>ID Corretora de Títulos e Valores Mobiliários S.A.</x:v>
      </x:c>
      <x:c r="G3495" s="168" t="str">
        <x:v>ID CORRETORA DE TITULOS E VALORES MOBILIARIOS S.A.</x:v>
      </x:c>
      <x:c r="H3495" s="168" t="str">
        <x:v>Outros</x:v>
      </x:c>
      <x:c r="I3495" s="168" t="str">
        <x:v>Multicarteira Outros</x:v>
      </x:c>
      <x:c r="J3495" s="168" t="str">
        <x:v>CI</x:v>
      </x:c>
      <x:c r="K3495" s="174" t="n">
        <x:v>0</x:v>
      </x:c>
      <x:c r="L3495" s="187" t="str">
        <x:v>Proxy multicedente/multissacado — revisar</x:v>
      </x:c>
    </x:row>
    <x:row r="3496">
      <x:c r="A3496" s="177" t="str">
        <x:v>34.081.900/0001-22</x:v>
      </x:c>
      <x:c r="B3496" s="168" t="str">
        <x:v>GOLD STYLE FUNDO DE INVESTIMENTO EM DIREITO CREDITÓRIO NÃO PADRONIZADO</x:v>
      </x:c>
      <x:c r="C3496" s="190" t="n">
        <x:v>0</x:v>
      </x:c>
      <x:c r="D3496" s="168" t="str">
        <x:v>Reag Jus</x:v>
      </x:c>
      <x:c r="E3496" s="168" t="str">
        <x:f>IFERROR(INDEX('Classif Gestoras'!$H$6:$H$462,MATCH(D3496,'Classif Gestoras'!$A$6:$A$462,0)),"Não classificada")</x:f>
        <x:v>Independente</x:v>
      </x:c>
      <x:c r="F3496" s="168" t="str">
        <x:v>REAG DTVM</x:v>
      </x:c>
      <x:c r="G3496" s="168" t="str">
        <x:v>REAG TRUST DISTRIBUIDORA DE TITULOS E VALORES MOBILIARIOS S.A.</x:v>
      </x:c>
      <x:c r="H3496" s="168" t="str">
        <x:v>Outros</x:v>
      </x:c>
      <x:c r="I3496" s="168" t="str">
        <x:v>Multicarteira Outros</x:v>
      </x:c>
      <x:c r="J3496" s="168" t="str">
        <x:v>CI</x:v>
      </x:c>
      <x:c r="K3496" s="174" t="n">
        <x:v>1</x:v>
      </x:c>
      <x:c r="L3496" s="187" t="str">
        <x:v>Proxy multicedente/multissacado — revisar</x:v>
      </x:c>
    </x:row>
    <x:row r="3497">
      <x:c r="A3497" s="177" t="str">
        <x:v>41.520.310/0001-14</x:v>
      </x:c>
      <x:c r="B3497" s="168" t="str">
        <x:v>TOKAY FUNDO DE INVESTIMENTO EM DIREITOS CREDITÓRIOS</x:v>
      </x:c>
      <x:c r="C3497" s="190" t="n">
        <x:v>0</x:v>
      </x:c>
      <x:c r="D3497" s="168" t="str">
        <x:v>WNT Gestora de Recursos Ltda.</x:v>
      </x:c>
      <x:c r="E3497" s="168" t="str">
        <x:f>IFERROR(INDEX('Classif Gestoras'!$H$6:$H$462,MATCH(D3497,'Classif Gestoras'!$A$6:$A$462,0)),"Não classificada")</x:f>
        <x:v>Independente</x:v>
      </x:c>
      <x:c r="F3497" s="168" t="str">
        <x:v>TRUSTEE DTVM</x:v>
      </x:c>
      <x:c r="G3497" s="168" t="str">
        <x:v>TRUSTEE DISTRIBUIDORA DE TITULOS E VALORES MOBILIARIOS LTDA.</x:v>
      </x:c>
      <x:c r="H3497" s="168" t="str">
        <x:v>Outros</x:v>
      </x:c>
      <x:c r="I3497" s="168" t="str">
        <x:v>Multicarteira Outros</x:v>
      </x:c>
      <x:c r="J3497" s="168" t="str">
        <x:v>CI</x:v>
      </x:c>
      <x:c r="K3497" s="174" t="n">
        <x:v>1</x:v>
      </x:c>
      <x:c r="L3497" s="187" t="str">
        <x:v>Proxy multicedente/multissacado — revisar</x:v>
      </x:c>
    </x:row>
    <x:row r="3498">
      <x:c r="A3498" s="177" t="str">
        <x:v>31.216.519/0001-35</x:v>
      </x:c>
      <x:c r="B3498" s="168" t="str">
        <x:v>CNPJ 31216519000135</x:v>
      </x:c>
      <x:c r="C3498" s="190" t="n">
        <x:v>0</x:v>
      </x:c>
      <x:c r="D3498" s="168" t="str">
        <x:v>VERT Gestora de Recursos Financeiros Ltda.</x:v>
      </x:c>
      <x:c r="E3498" s="168" t="str">
        <x:f>IFERROR(INDEX('Classif Gestoras'!$H$6:$H$462,MATCH(D3498,'Classif Gestoras'!$A$6:$A$462,0)),"Não classificada")</x:f>
        <x:v>Independente</x:v>
      </x:c>
      <x:c r="F3498" s="168" t="str">
        <x:v>BRL TRUST DTVM</x:v>
      </x:c>
      <x:c r="G3498" s="168" t="str">
        <x:v>Não identificado</x:v>
      </x:c>
      <x:c r="H3498" s="168" t="str">
        <x:v>Outros</x:v>
      </x:c>
      <x:c r="I3498" s="168" t="str">
        <x:v>Multicarteira Outros</x:v>
      </x:c>
      <x:c r="J3498" s="168" t="str">
        <x:v>CI</x:v>
      </x:c>
      <x:c r="K3498" s="174"/>
      <x:c r="L3498" s="187" t="str">
        <x:v>Proxy multicedente/multissacado — revisar</x:v>
      </x:c>
    </x:row>
    <x:row r="3499">
      <x:c r="A3499" s="177" t="str">
        <x:v>63.455.599/0001-78</x:v>
      </x:c>
      <x:c r="B3499" s="168" t="str">
        <x:v>SANTA VERÔNICA FUNDO DE INVESTIMENTO EM DIREITOS CREDITÓRIOS - RESPONSABILIDADE LIMITADA</x:v>
      </x:c>
      <x:c r="C3499" s="190" t="n">
        <x:v>0</x:v>
      </x:c>
      <x:c r="D3499" s="168" t="str">
        <x:v>Galápagos</x:v>
      </x:c>
      <x:c r="E3499" s="168" t="str">
        <x:f>IFERROR(INDEX('Classif Gestoras'!$H$6:$H$462,MATCH(D3499,'Classif Gestoras'!$A$6:$A$462,0)),"Não classificada")</x:f>
        <x:v>Independente</x:v>
      </x:c>
      <x:c r="F3499" s="168" t="str">
        <x:v>VÓRTX DTVM</x:v>
      </x:c>
      <x:c r="G3499" s="168" t="str">
        <x:v>VORTX DISTRIBUIDORA DE TITULOS E VALORES MOBILIARIOS LTDA.</x:v>
      </x:c>
      <x:c r="H3499" s="168" t="str">
        <x:v>Outros</x:v>
      </x:c>
      <x:c r="I3499" s="168" t="str">
        <x:v>Poder Público</x:v>
      </x:c>
      <x:c r="J3499" s="168" t="str">
        <x:v>CI</x:v>
      </x:c>
      <x:c r="K3499" s="174" t="n">
        <x:v>4</x:v>
      </x:c>
      <x:c r="L3499" s="187" t="str">
        <x:v>Não classificado</x:v>
      </x:c>
    </x:row>
    <x:row r="3500">
      <x:c r="A3500" s="177" t="str">
        <x:v>47.372.688/0001-02</x:v>
      </x:c>
      <x:c r="B3500" s="168" t="str">
        <x:v>PHX FUNDO DE INVESTIMENTO EM DIREITOS CREDITÓRIOS NÃO-PADRONIZADOS RESPONSABILIDADE LIMITADA</x:v>
      </x:c>
      <x:c r="C3500" s="190" t="n">
        <x:v>0</x:v>
      </x:c>
      <x:c r="D3500" s="168" t="str">
        <x:v>GESTORA DE RECURSOS ID - GRID LTDA.</x:v>
      </x:c>
      <x:c r="E3500" s="168" t="str">
        <x:f>IFERROR(INDEX('Classif Gestoras'!$H$6:$H$462,MATCH(D3500,'Classif Gestoras'!$A$6:$A$462,0)),"Não classificada")</x:f>
        <x:v>Independente</x:v>
      </x:c>
      <x:c r="F3500" s="168" t="str">
        <x:v>ID Corretora de Títulos e Valores Mobiliários S.A.</x:v>
      </x:c>
      <x:c r="G3500" s="168" t="str">
        <x:v>ID CORRETORA DE TITULOS E VALORES MOBILIARIOS S.A.</x:v>
      </x:c>
      <x:c r="H3500" s="168" t="str">
        <x:v>Outros</x:v>
      </x:c>
      <x:c r="I3500" s="168" t="str">
        <x:v>Multicarteira Outros</x:v>
      </x:c>
      <x:c r="J3500" s="168" t="str">
        <x:v>CI</x:v>
      </x:c>
      <x:c r="K3500" s="174" t="n">
        <x:v>2</x:v>
      </x:c>
      <x:c r="L3500" s="187" t="str">
        <x:v>Proxy multicedente/multissacado — revisar</x:v>
      </x:c>
    </x:row>
    <x:row r="3501">
      <x:c r="A3501" s="177" t="str">
        <x:v>38.385.876/0001-76</x:v>
      </x:c>
      <x:c r="B3501" s="168" t="str">
        <x:v>CNPJ 38385876000176</x:v>
      </x:c>
      <x:c r="C3501" s="190" t="n">
        <x:v>0</x:v>
      </x:c>
      <x:c r="D3501" s="168" t="str">
        <x:v>GENIAL GESTÃO LTDA.</x:v>
      </x:c>
      <x:c r="E3501" s="168" t="str">
        <x:f>IFERROR(INDEX('Classif Gestoras'!$H$6:$H$462,MATCH(D3501,'Classif Gestoras'!$A$6:$A$462,0)),"Não classificada")</x:f>
        <x:v>Ligada a banco</x:v>
      </x:c>
      <x:c r="F3501" s="168" t="str">
        <x:v>Banco Genial S.A.</x:v>
      </x:c>
      <x:c r="G3501" s="168" t="str">
        <x:v>Não identificado</x:v>
      </x:c>
      <x:c r="H3501" s="168" t="str">
        <x:v>Agro, Indústria e Comércio</x:v>
      </x:c>
      <x:c r="I3501" s="168" t="str">
        <x:v>Recebíveis Comerciais</x:v>
      </x:c>
      <x:c r="J3501" s="168" t="str">
        <x:v>CI</x:v>
      </x:c>
      <x:c r="K3501" s="174"/>
      <x:c r="L3501" s="187" t="str">
        <x:v>Não classificado</x:v>
      </x:c>
    </x:row>
    <x:row r="3502">
      <x:c r="A3502" s="177" t="str">
        <x:v>38.448.158/0001-00</x:v>
      </x:c>
      <x:c r="B3502" s="168" t="str">
        <x:v>CNPJ 38448158000100</x:v>
      </x:c>
      <x:c r="C3502" s="190" t="n">
        <x:v>0</x:v>
      </x:c>
      <x:c r="D3502" s="168" t="str">
        <x:v>Milênio Capital</x:v>
      </x:c>
      <x:c r="E3502" s="168" t="str">
        <x:f>IFERROR(INDEX('Classif Gestoras'!$H$6:$H$462,MATCH(D3502,'Classif Gestoras'!$A$6:$A$462,0)),"Não classificada")</x:f>
        <x:v>Independente</x:v>
      </x:c>
      <x:c r="F3502" s="168" t="str">
        <x:v>OSLO DTVM S. A.</x:v>
      </x:c>
      <x:c r="G3502" s="168" t="str">
        <x:v>Não identificado</x:v>
      </x:c>
      <x:c r="H3502" s="168" t="str">
        <x:v>Agro, Indústria e Comércio</x:v>
      </x:c>
      <x:c r="I3502" s="168" t="str">
        <x:v>Recebíveis Comerciais</x:v>
      </x:c>
      <x:c r="J3502" s="168" t="str">
        <x:v>CI</x:v>
      </x:c>
      <x:c r="K3502" s="174"/>
      <x:c r="L3502" s="187" t="str">
        <x:v>Não classificado</x:v>
      </x:c>
    </x:row>
    <x:row r="3503">
      <x:c r="A3503" s="177" t="str">
        <x:v>23.076.742/0001-04</x:v>
      </x:c>
      <x:c r="B3503" s="168" t="str">
        <x:v>FUNDO DE INVESTIMENTO EM DIREITOS CREDITÓRIOS EMPÍRICA OPORTUNA PRECATÓRIOS FEDERAIS RESP LIMITADA</x:v>
      </x:c>
      <x:c r="C3503" s="190" t="n">
        <x:v>0</x:v>
      </x:c>
      <x:c r="D3503" s="168" t="str">
        <x:v>REAG GESTÃO DE CRÉDITO</x:v>
      </x:c>
      <x:c r="E3503" s="168" t="str">
        <x:f>IFERROR(INDEX('Classif Gestoras'!$H$6:$H$462,MATCH(D3503,'Classif Gestoras'!$A$6:$A$462,0)),"Não classificada")</x:f>
        <x:v>Independente</x:v>
      </x:c>
      <x:c r="F3503" s="168" t="str">
        <x:v>Banvox DTVM</x:v>
      </x:c>
      <x:c r="G3503" s="168" t="str">
        <x:v>FIDD DISTRIBUIDORA DE TITULOS E VALORES MOBILIARIOS LTDA.</x:v>
      </x:c>
      <x:c r="H3503" s="168" t="str">
        <x:v>Outros</x:v>
      </x:c>
      <x:c r="I3503" s="168" t="str">
        <x:v>Poder Público</x:v>
      </x:c>
      <x:c r="J3503" s="168" t="str">
        <x:v>CI</x:v>
      </x:c>
      <x:c r="K3503" s="174" t="n">
        <x:v>32</x:v>
      </x:c>
      <x:c r="L3503" s="187" t="str">
        <x:v>Não classificado</x:v>
      </x:c>
    </x:row>
    <x:row r="3504">
      <x:c r="A3504" s="177" t="str">
        <x:v>57.778.286/0001-58</x:v>
      </x:c>
      <x:c r="B3504" s="168" t="str">
        <x:v>CNPJ 57778286000158</x:v>
      </x:c>
      <x:c r="C3504" s="190" t="n">
        <x:v>0</x:v>
      </x:c>
      <x:c r="D3504" s="168" t="str">
        <x:v>Shift Capital Gestão de Recursos LTDA.</x:v>
      </x:c>
      <x:c r="E3504" s="168" t="str">
        <x:f>IFERROR(INDEX('Classif Gestoras'!$H$6:$H$462,MATCH(D3504,'Classif Gestoras'!$A$6:$A$462,0)),"Não classificada")</x:f>
        <x:v>Independente</x:v>
      </x:c>
      <x:c r="F3504" s="168" t="str">
        <x:v>CATÁLISE DTVM</x:v>
      </x:c>
      <x:c r="G3504" s="168" t="str">
        <x:v>Não identificado</x:v>
      </x:c>
      <x:c r="H3504" s="168" t="str">
        <x:v>Agro, Indústria e Comércio</x:v>
      </x:c>
      <x:c r="I3504" s="168" t="str">
        <x:v>Multiestratégia</x:v>
      </x:c>
      <x:c r="J3504" s="168" t="str">
        <x:v>CI</x:v>
      </x:c>
      <x:c r="K3504" s="174"/>
      <x:c r="L3504" s="187" t="str">
        <x:v>Não classificado</x:v>
      </x:c>
    </x:row>
    <x:row r="3505">
      <x:c r="A3505" s="177" t="str">
        <x:v>53.206.400/0001-14</x:v>
      </x:c>
      <x:c r="B3505" s="168" t="str">
        <x:v>CENTAURI FUNDO DE INVESTIMENTO EM DIREITOS CREDITÓRIOS</x:v>
      </x:c>
      <x:c r="C3505" s="190" t="n">
        <x:v>0</x:v>
      </x:c>
      <x:c r="D3505" s="168" t="str">
        <x:v>Reag Jus</x:v>
      </x:c>
      <x:c r="E3505" s="168" t="str">
        <x:f>IFERROR(INDEX('Classif Gestoras'!$H$6:$H$462,MATCH(D3505,'Classif Gestoras'!$A$6:$A$462,0)),"Não classificada")</x:f>
        <x:v>Independente</x:v>
      </x:c>
      <x:c r="F3505" s="168" t="str">
        <x:v>REAG DTVM</x:v>
      </x:c>
      <x:c r="G3505" s="168" t="str">
        <x:v>REAG TRUST DISTRIBUIDORA DE TITULOS E VALORES MOBILIARIOS S.A.</x:v>
      </x:c>
      <x:c r="H3505" s="168" t="str">
        <x:v>Outros</x:v>
      </x:c>
      <x:c r="I3505" s="168" t="str">
        <x:v>Multicarteira Outros</x:v>
      </x:c>
      <x:c r="J3505" s="168" t="str">
        <x:v>CI</x:v>
      </x:c>
      <x:c r="K3505" s="174" t="n">
        <x:v>1</x:v>
      </x:c>
      <x:c r="L3505" s="187" t="str">
        <x:v>Proxy multicedente/multissacado — revisar</x:v>
      </x:c>
    </x:row>
    <x:row r="3506">
      <x:c r="A3506" s="177" t="str">
        <x:v>23.077.181/0001-50</x:v>
      </x:c>
      <x:c r="B3506" s="168" t="str">
        <x:v>CNPJ 23077181000150</x:v>
      </x:c>
      <x:c r="C3506" s="190" t="n">
        <x:v>0</x:v>
      </x:c>
      <x:c r="D3506" s="168" t="str">
        <x:v>Reag Administradora de Recursos Ltda</x:v>
      </x:c>
      <x:c r="E3506" s="168" t="str">
        <x:f>IFERROR(INDEX('Classif Gestoras'!$H$6:$H$462,MATCH(D3506,'Classif Gestoras'!$A$6:$A$462,0)),"Não classificada")</x:f>
        <x:v>Independente</x:v>
      </x:c>
      <x:c r="F3506" s="168" t="str">
        <x:v>REAG DTVM</x:v>
      </x:c>
      <x:c r="G3506" s="168" t="str">
        <x:v>Não identificado</x:v>
      </x:c>
      <x:c r="H3506" s="168" t="str">
        <x:v>Outros</x:v>
      </x:c>
      <x:c r="I3506" s="168" t="str">
        <x:v>Recuperação</x:v>
      </x:c>
      <x:c r="J3506" s="168" t="str">
        <x:v>CI</x:v>
      </x:c>
      <x:c r="K3506" s="174"/>
      <x:c r="L3506" s="187" t="str">
        <x:v>Não classificado</x:v>
      </x:c>
    </x:row>
    <x:row r="3507">
      <x:c r="A3507" s="177" t="str">
        <x:v>53.211.800/0001-18</x:v>
      </x:c>
      <x:c r="B3507" s="168" t="str">
        <x:v>CNPJ 53211800000118</x:v>
      </x:c>
      <x:c r="C3507" s="190" t="n">
        <x:v>0</x:v>
      </x:c>
      <x:c r="D3507" s="168" t="str">
        <x:v>Guardian Gestora</x:v>
      </x:c>
      <x:c r="E3507" s="168" t="str">
        <x:f>IFERROR(INDEX('Classif Gestoras'!$H$6:$H$462,MATCH(D3507,'Classif Gestoras'!$A$6:$A$462,0)),"Não classificada")</x:f>
        <x:v>Independente</x:v>
      </x:c>
      <x:c r="F3507" s="168" t="str">
        <x:v>Banvox DTVM</x:v>
      </x:c>
      <x:c r="G3507" s="168" t="str">
        <x:v>Não identificado</x:v>
      </x:c>
      <x:c r="H3507" s="168" t="str">
        <x:v>Financeiro</x:v>
      </x:c>
      <x:c r="I3507" s="168" t="str">
        <x:v>Crédito Consignado</x:v>
      </x:c>
      <x:c r="J3507" s="168" t="str">
        <x:v>CI</x:v>
      </x:c>
      <x:c r="K3507" s="174"/>
      <x:c r="L3507" s="187" t="str">
        <x:v>Não classificado</x:v>
      </x:c>
    </x:row>
    <x:row r="3508">
      <x:c r="A3508" s="177" t="str">
        <x:v>11.351.413/0001-37</x:v>
      </x:c>
      <x:c r="B3508" s="168" t="str">
        <x:v>CORAL FIDC MULTISETORIAL</x:v>
      </x:c>
      <x:c r="C3508" s="190" t="n">
        <x:v>0</x:v>
      </x:c>
      <x:c r="D3508" s="168" t="str">
        <x:v>AGG Investimentos Ltda.</x:v>
      </x:c>
      <x:c r="E3508" s="168" t="str">
        <x:f>IFERROR(INDEX('Classif Gestoras'!$H$6:$H$462,MATCH(D3508,'Classif Gestoras'!$A$6:$A$462,0)),"Não classificada")</x:f>
        <x:v>Independente</x:v>
      </x:c>
      <x:c r="F3508" s="168" t="str">
        <x:v>BNY MELLON SERVICOS</x:v>
      </x:c>
      <x:c r="G3508" s="168" t="str">
        <x:v>Não identificado</x:v>
      </x:c>
      <x:c r="H3508" s="168" t="str">
        <x:v>Agro, Indústria e Comércio</x:v>
      </x:c>
      <x:c r="I3508" s="168" t="str">
        <x:v>Crédito Corporativo</x:v>
      </x:c>
      <x:c r="J3508" s="168" t="str">
        <x:v>CI</x:v>
      </x:c>
      <x:c r="K3508" s="174" t="n">
        <x:v>7</x:v>
      </x:c>
      <x:c r="L3508" s="187" t="str">
        <x:v>Não classificado</x:v>
      </x:c>
    </x:row>
    <x:row r="3509">
      <x:c r="A3509" s="177" t="str">
        <x:v>38.440.284/0001-00</x:v>
      </x:c>
      <x:c r="B3509" s="168" t="str">
        <x:v>CANAL 75 FUNDO DE INVESTIMENTO EM DIREITOS CREDITÓRIOS</x:v>
      </x:c>
      <x:c r="C3509" s="190" t="n">
        <x:v>0</x:v>
      </x:c>
      <x:c r="D3509" s="168" t="str">
        <x:v>WNT Gestora de Recursos Ltda.</x:v>
      </x:c>
      <x:c r="E3509" s="168" t="str">
        <x:f>IFERROR(INDEX('Classif Gestoras'!$H$6:$H$462,MATCH(D3509,'Classif Gestoras'!$A$6:$A$462,0)),"Não classificada")</x:f>
        <x:v>Independente</x:v>
      </x:c>
      <x:c r="F3509" s="168" t="str">
        <x:v>Singulare</x:v>
      </x:c>
      <x:c r="G3509" s="168" t="str">
        <x:v>WNT CAPITAL DISTRIBUIDORA DE TITULOS E VALORES MOBILIARIOS S.A.</x:v>
      </x:c>
      <x:c r="H3509" s="168" t="str">
        <x:v>Financeiro</x:v>
      </x:c>
      <x:c r="I3509" s="168" t="str">
        <x:v>Crédito Consignado</x:v>
      </x:c>
      <x:c r="J3509" s="168" t="str">
        <x:v>CI</x:v>
      </x:c>
      <x:c r="K3509" s="174" t="n">
        <x:v>2</x:v>
      </x:c>
      <x:c r="L3509" s="187" t="str">
        <x:v>Não classificado</x:v>
      </x:c>
    </x:row>
    <x:row r="3510">
      <x:c r="A3510" s="177" t="str">
        <x:v>53.212.022/0001-81</x:v>
      </x:c>
      <x:c r="B3510" s="168" t="str">
        <x:v>BALDER FUNDO DE INVESTIMENTO EM DIREITOS CREDITÓRIOS</x:v>
      </x:c>
      <x:c r="C3510" s="190" t="n">
        <x:v>0</x:v>
      </x:c>
      <x:c r="D3510" s="168" t="str">
        <x:v>Reag Jus</x:v>
      </x:c>
      <x:c r="E3510" s="168" t="str">
        <x:f>IFERROR(INDEX('Classif Gestoras'!$H$6:$H$462,MATCH(D3510,'Classif Gestoras'!$A$6:$A$462,0)),"Não classificada")</x:f>
        <x:v>Independente</x:v>
      </x:c>
      <x:c r="F3510" s="168" t="str">
        <x:v>REAG DTVM</x:v>
      </x:c>
      <x:c r="G3510" s="168" t="str">
        <x:v>REAG TRUST DISTRIBUIDORA DE TITULOS E VALORES MOBILIARIOS S.A.</x:v>
      </x:c>
      <x:c r="H3510" s="168" t="str">
        <x:v>Outros</x:v>
      </x:c>
      <x:c r="I3510" s="168" t="str">
        <x:v>Multicarteira Outros</x:v>
      </x:c>
      <x:c r="J3510" s="168" t="str">
        <x:v>CI</x:v>
      </x:c>
      <x:c r="K3510" s="174" t="n">
        <x:v>1</x:v>
      </x:c>
      <x:c r="L3510" s="187" t="str">
        <x:v>Proxy multicedente/multissacado — revisar</x:v>
      </x:c>
    </x:row>
    <x:row r="3511">
      <x:c r="A3511" s="177" t="str">
        <x:v>54.755.924/0001-27</x:v>
      </x:c>
      <x:c r="B3511" s="168" t="str">
        <x:v>BRS INVEST ASSETS FUNDO DE INVESTIMENTO EM DIREITOS CREDITÓRIOS</x:v>
      </x:c>
      <x:c r="C3511" s="190" t="n">
        <x:v>0</x:v>
      </x:c>
      <x:c r="D3511" s="168" t="str">
        <x:v>CARMEL GESTORA DE ATIVOS LTDA</x:v>
      </x:c>
      <x:c r="E3511" s="168" t="str">
        <x:f>IFERROR(INDEX('Classif Gestoras'!$H$6:$H$462,MATCH(D3511,'Classif Gestoras'!$A$6:$A$462,0)),"Não classificada")</x:f>
        <x:v>Independente</x:v>
      </x:c>
      <x:c r="F3511" s="168" t="str">
        <x:v>MASTER S/A CORRETORA</x:v>
      </x:c>
      <x:c r="G3511" s="168" t="str">
        <x:v>MASTER S/A CORRETORA DE CAMBIO, TITULOS E VALORES MOBILIARIOS</x:v>
      </x:c>
      <x:c r="H3511" s="168" t="str">
        <x:v>Outros</x:v>
      </x:c>
      <x:c r="I3511" s="168" t="str">
        <x:v>Multicarteira Outros</x:v>
      </x:c>
      <x:c r="J3511" s="168" t="str">
        <x:v>CI</x:v>
      </x:c>
      <x:c r="K3511" s="174" t="n">
        <x:v>1</x:v>
      </x:c>
      <x:c r="L3511" s="187" t="str">
        <x:v>Proxy multicedente/multissacado — revisar</x:v>
      </x:c>
    </x:row>
    <x:row r="3512">
      <x:c r="A3512" s="177" t="str">
        <x:v>54.738.116/0001-51</x:v>
      </x:c>
      <x:c r="B3512" s="168" t="str">
        <x:v>SOMAPAY CONSIGNADO PRIVADO FUNDO DE INVESTIMENTO EM DIREITOS CREDITÓRIOS</x:v>
      </x:c>
      <x:c r="C3512" s="190" t="n">
        <x:v>0</x:v>
      </x:c>
      <x:c r="D3512" s="168" t="str">
        <x:v>Solis</x:v>
      </x:c>
      <x:c r="E3512" s="168" t="str">
        <x:f>IFERROR(INDEX('Classif Gestoras'!$H$6:$H$462,MATCH(D3512,'Classif Gestoras'!$A$6:$A$462,0)),"Não classificada")</x:f>
        <x:v>Independente</x:v>
      </x:c>
      <x:c r="F3512" s="168" t="str">
        <x:v>HEMERA DTVM</x:v>
      </x:c>
      <x:c r="G3512" s="168" t="str">
        <x:v>HEMERA DISTRIBUIDORA DE TITULOS E VALORES MOBILIARIOS LTDA</x:v>
      </x:c>
      <x:c r="H3512" s="168" t="str">
        <x:v>Financeiro</x:v>
      </x:c>
      <x:c r="I3512" s="168" t="str">
        <x:v>Crédito Consignado</x:v>
      </x:c>
      <x:c r="J3512" s="168" t="str">
        <x:v>CI</x:v>
      </x:c>
      <x:c r="K3512" s="174" t="n">
        <x:v>0</x:v>
      </x:c>
      <x:c r="L3512" s="187" t="str">
        <x:v>Não classificado</x:v>
      </x:c>
    </x:row>
    <x:row r="3513">
      <x:c r="A3513" s="177" t="str">
        <x:v>41.341.188/0001-19</x:v>
      </x:c>
      <x:c r="B3513" s="168" t="str">
        <x:v>GALAPAGOS ARQUIPÉLAGO FUNDO DE INVESTIMENTO EM DIREITOS CREDITÓRIOS</x:v>
      </x:c>
      <x:c r="C3513" s="190" t="n">
        <x:v>0</x:v>
      </x:c>
      <x:c r="D3513" s="168" t="str">
        <x:v>Galápagos</x:v>
      </x:c>
      <x:c r="E3513" s="168" t="str">
        <x:f>IFERROR(INDEX('Classif Gestoras'!$H$6:$H$462,MATCH(D3513,'Classif Gestoras'!$A$6:$A$462,0)),"Não classificada")</x:f>
        <x:v>Independente</x:v>
      </x:c>
      <x:c r="F3513" s="168" t="str">
        <x:v>Singulare</x:v>
      </x:c>
      <x:c r="G3513" s="168" t="str">
        <x:v>VORTX DISTRIBUIDORA DE TITULOS E VALORES MOBILIARIOS LTDA.</x:v>
      </x:c>
      <x:c r="H3513" s="168" t="str">
        <x:v>Outros</x:v>
      </x:c>
      <x:c r="I3513" s="168" t="str">
        <x:v>Poder Público</x:v>
      </x:c>
      <x:c r="J3513" s="168" t="str">
        <x:v>CI</x:v>
      </x:c>
      <x:c r="K3513" s="174" t="n">
        <x:v>29</x:v>
      </x:c>
      <x:c r="L3513" s="187" t="str">
        <x:v>Não classificado</x:v>
      </x:c>
    </x:row>
    <x:row r="3514">
      <x:c r="A3514" s="177" t="str">
        <x:v>51.531.327/0001-20</x:v>
      </x:c>
      <x:c r="B3514" s="168" t="str">
        <x:v>RAC19 FUNDO DE INVESTIMENTO EM DIREITOS CREDITÓRIOS</x:v>
      </x:c>
      <x:c r="C3514" s="190" t="n">
        <x:v>0</x:v>
      </x:c>
      <x:c r="D3514" s="168" t="str">
        <x:v>ASAROCK ASSET MANAGEMENT</x:v>
      </x:c>
      <x:c r="E3514" s="168" t="str">
        <x:f>IFERROR(INDEX('Classif Gestoras'!$H$6:$H$462,MATCH(D3514,'Classif Gestoras'!$A$6:$A$462,0)),"Não classificada")</x:f>
        <x:v>Independente</x:v>
      </x:c>
      <x:c r="F3514" s="168" t="str">
        <x:v>REAG DTVM</x:v>
      </x:c>
      <x:c r="G3514" s="168" t="str">
        <x:v>ID CORRETORA DE TITULOS E VALORES MOBILIARIOS S.A.</x:v>
      </x:c>
      <x:c r="H3514" s="168" t="str">
        <x:v>Outros</x:v>
      </x:c>
      <x:c r="I3514" s="168" t="str">
        <x:v>Multicarteira Outros</x:v>
      </x:c>
      <x:c r="J3514" s="168" t="str">
        <x:v>CI</x:v>
      </x:c>
      <x:c r="K3514" s="174" t="n">
        <x:v>1</x:v>
      </x:c>
      <x:c r="L3514" s="187" t="str">
        <x:v>Proxy multicedente/multissacado — revisar</x:v>
      </x:c>
    </x:row>
    <x:row r="3515">
      <x:c r="A3515" s="177" t="str">
        <x:v>54.503.632/0001-05</x:v>
      </x:c>
      <x:c r="B3515" s="168" t="str">
        <x:v>CNPJ 54503632000105</x:v>
      </x:c>
      <x:c r="C3515" s="190" t="n">
        <x:v>0</x:v>
      </x:c>
      <x:c r="D3515" s="168" t="str">
        <x:v>CATALUNYA GESTÃO DE RECURSOS LTDA .</x:v>
      </x:c>
      <x:c r="E3515" s="168" t="str">
        <x:f>IFERROR(INDEX('Classif Gestoras'!$H$6:$H$462,MATCH(D3515,'Classif Gestoras'!$A$6:$A$462,0)),"Não classificada")</x:f>
        <x:v>Independente</x:v>
      </x:c>
      <x:c r="F3515" s="168" t="str">
        <x:v>VÓRTX DTVM</x:v>
      </x:c>
      <x:c r="G3515" s="168" t="str">
        <x:v>Não identificado</x:v>
      </x:c>
      <x:c r="H3515" s="168" t="str">
        <x:v>Outros</x:v>
      </x:c>
      <x:c r="I3515" s="168" t="str">
        <x:v>Recuperação</x:v>
      </x:c>
      <x:c r="J3515" s="168" t="str">
        <x:v>CI</x:v>
      </x:c>
      <x:c r="K3515" s="174"/>
      <x:c r="L3515" s="187" t="str">
        <x:v>Não classificado</x:v>
      </x:c>
    </x:row>
    <x:row r="3516">
      <x:c r="A3516" s="177" t="str">
        <x:v>62.948.578/0001-21</x:v>
      </x:c>
      <x:c r="B3516" s="168" t="str">
        <x:v>SGX FUNDO DE INVESTIMENTO EM DIREITOS CREDITÓRIOS RESPONSABILIDADE LIMITADA</x:v>
      </x:c>
      <x:c r="C3516" s="190" t="n">
        <x:v>0</x:v>
      </x:c>
      <x:c r="D3516" s="168" t="str">
        <x:v>Eternia Gestora de Recursos Ltda.</x:v>
      </x:c>
      <x:c r="E3516" s="168" t="str">
        <x:f>IFERROR(INDEX('Classif Gestoras'!$H$6:$H$462,MATCH(D3516,'Classif Gestoras'!$A$6:$A$462,0)),"Não classificada")</x:f>
        <x:v>Independente</x:v>
      </x:c>
      <x:c r="F3516" s="168" t="str">
        <x:v>FIDD DISTRIBUIDORA DE TITULOS E VALORES MOBILIARIOS LTD</x:v>
      </x:c>
      <x:c r="G3516" s="168" t="str">
        <x:v>QORE DISTRIBUIDORA DE TÍTULOS E VALORES MOBILIÁRIOS LTDA.</x:v>
      </x:c>
      <x:c r="H3516" s="168" t="str">
        <x:v>Agro, Indústria e Comércio</x:v>
      </x:c>
      <x:c r="I3516" s="168" t="str">
        <x:v>Crédito Corporativo</x:v>
      </x:c>
      <x:c r="J3516" s="168" t="str">
        <x:v>CI</x:v>
      </x:c>
      <x:c r="K3516" s="174" t="n">
        <x:v>2</x:v>
      </x:c>
      <x:c r="L3516" s="187" t="str">
        <x:v>Não classificado</x:v>
      </x:c>
    </x:row>
    <x:row r="3517">
      <x:c r="A3517" s="177" t="str">
        <x:v>62.935.248/0001-00</x:v>
      </x:c>
      <x:c r="B3517" s="168" t="str">
        <x:v>NTZ EMPREENDIMENTOS FUNDO DE INVESTIMENTO EM DIREITOS CREDITÓRIOS MULTICARTEIRA DE RESP LIMITADA</x:v>
      </x:c>
      <x:c r="C3517" s="190" t="n">
        <x:v>0</x:v>
      </x:c>
      <x:c r="D3517" s="168" t="str">
        <x:v>Netz Asset</x:v>
      </x:c>
      <x:c r="E3517" s="168" t="str">
        <x:f>IFERROR(INDEX('Classif Gestoras'!$H$6:$H$462,MATCH(D3517,'Classif Gestoras'!$A$6:$A$462,0)),"Não classificada")</x:f>
        <x:v>Independente</x:v>
      </x:c>
      <x:c r="F3517" s="168" t="str">
        <x:v>MONETAR DISTRIBUIDORA DE TITUL</x:v>
      </x:c>
      <x:c r="G3517" s="168" t="str">
        <x:v>BRL TRUST DISTRIBUIDORA DE TITULOS E VALORES MOBILIARIOS S.A.</x:v>
      </x:c>
      <x:c r="H3517" s="168" t="str">
        <x:v>Fomento Mercantil</x:v>
      </x:c>
      <x:c r="I3517" s="168" t="str">
        <x:v>Fomento Mercantil</x:v>
      </x:c>
      <x:c r="J3517" s="168" t="str">
        <x:v>CI</x:v>
      </x:c>
      <x:c r="K3517" s="174" t="n">
        <x:v>15</x:v>
      </x:c>
      <x:c r="L3517" s="187" t="str">
        <x:v>Não classificado</x:v>
      </x:c>
    </x:row>
    <x:row r="3518">
      <x:c r="A3518" s="177" t="str">
        <x:v>40.771.109/0001-47</x:v>
      </x:c>
      <x:c r="B3518" s="168" t="str">
        <x:v>CNPJ 40771109000147</x:v>
      </x:c>
      <x:c r="C3518" s="190" t="n">
        <x:v>0</x:v>
      </x:c>
      <x:c r="D3518" s="168" t="str">
        <x:v>BTG Gestora</x:v>
      </x:c>
      <x:c r="E3518" s="168" t="str">
        <x:f>IFERROR(INDEX('Classif Gestoras'!$H$6:$H$462,MATCH(D3518,'Classif Gestoras'!$A$6:$A$462,0)),"Não classificada")</x:f>
        <x:v>Ligada a banco</x:v>
      </x:c>
      <x:c r="F3518" s="168" t="str">
        <x:v>BTG Pactual Servicos Financeiros S/A DTVM</x:v>
      </x:c>
      <x:c r="G3518" s="168" t="str">
        <x:v>Não identificado</x:v>
      </x:c>
      <x:c r="H3518" s="168" t="str">
        <x:v>Agro, Indústria e Comércio</x:v>
      </x:c>
      <x:c r="I3518" s="168" t="str">
        <x:v>Não se aplica</x:v>
      </x:c>
      <x:c r="J3518" s="168" t="str">
        <x:v>CI</x:v>
      </x:c>
      <x:c r="K3518" s="174"/>
      <x:c r="L3518" s="187" t="str">
        <x:v>Não classificado</x:v>
      </x:c>
    </x:row>
    <x:row r="3519">
      <x:c r="A3519" s="177" t="str">
        <x:v>30.366.150/0001-84</x:v>
      </x:c>
      <x:c r="B3519" s="168" t="str">
        <x:v>CNPJ 30366150000184</x:v>
      </x:c>
      <x:c r="C3519" s="190" t="n">
        <x:v>0</x:v>
      </x:c>
      <x:c r="D3519" s="168" t="str">
        <x:v>CARMEL GESTORA DE ATIVOS LTDA</x:v>
      </x:c>
      <x:c r="E3519" s="168" t="str">
        <x:f>IFERROR(INDEX('Classif Gestoras'!$H$6:$H$462,MATCH(D3519,'Classif Gestoras'!$A$6:$A$462,0)),"Não classificada")</x:f>
        <x:v>Independente</x:v>
      </x:c>
      <x:c r="F3519" s="168" t="str">
        <x:v>BRL TRUST DTVM</x:v>
      </x:c>
      <x:c r="G3519" s="168" t="str">
        <x:v>Não identificado</x:v>
      </x:c>
      <x:c r="H3519" s="168" t="str">
        <x:v>Fomento Mercantil</x:v>
      </x:c>
      <x:c r="I3519" s="168" t="str">
        <x:v>Fomento Mercantil</x:v>
      </x:c>
      <x:c r="J3519" s="168" t="str">
        <x:v>CI</x:v>
      </x:c>
      <x:c r="K3519" s="174"/>
      <x:c r="L3519" s="187" t="str">
        <x:v>Não classificado</x:v>
      </x:c>
    </x:row>
    <x:row r="3520">
      <x:c r="A3520" s="177" t="str">
        <x:v>52.352.829/0001-57</x:v>
      </x:c>
      <x:c r="B3520" s="168" t="str">
        <x:v>LONG LIFE FUNDO DE INVESTIMENTO EM DIREITOS CREDITÓRIOS NÃO-PADRONIZADO</x:v>
      </x:c>
      <x:c r="C3520" s="190" t="n">
        <x:v>0</x:v>
      </x:c>
      <x:c r="D3520" s="168" t="str">
        <x:v>B6 GESTORA DE RECURSOS LTDA</x:v>
      </x:c>
      <x:c r="E3520" s="168" t="str">
        <x:f>IFERROR(INDEX('Classif Gestoras'!$H$6:$H$462,MATCH(D3520,'Classif Gestoras'!$A$6:$A$462,0)),"Não classificada")</x:f>
        <x:v>Independente</x:v>
      </x:c>
      <x:c r="F3520" s="168" t="str">
        <x:v>REAG DTVM</x:v>
      </x:c>
      <x:c r="G3520" s="168" t="str">
        <x:v>REAG TRUST DISTRIBUIDORA DE TITULOS E VALORES MOBILIARIOS S.A.</x:v>
      </x:c>
      <x:c r="H3520" s="168" t="str">
        <x:v>Outros</x:v>
      </x:c>
      <x:c r="I3520" s="168" t="str">
        <x:v>Multicarteira Outros</x:v>
      </x:c>
      <x:c r="J3520" s="168" t="str">
        <x:v>CI</x:v>
      </x:c>
      <x:c r="K3520" s="174" t="n">
        <x:v>2</x:v>
      </x:c>
      <x:c r="L3520" s="187" t="str">
        <x:v>Proxy multicedente/multissacado — revisar</x:v>
      </x:c>
    </x:row>
    <x:row r="3521">
      <x:c r="A3521" s="177" t="str">
        <x:v>48.953.684/0001-72</x:v>
      </x:c>
      <x:c r="B3521" s="168" t="str">
        <x:v>FUNDO DE INVESTIMENTO EM DIREITOS CREDITÓRIOS NÃO-PADRONIZADOS ALVARINHO</x:v>
      </x:c>
      <x:c r="C3521" s="190" t="n">
        <x:v>0</x:v>
      </x:c>
      <x:c r="D3521" s="168" t="str">
        <x:v>WNT Gestora de Recursos Ltda.</x:v>
      </x:c>
      <x:c r="E3521" s="168" t="str">
        <x:f>IFERROR(INDEX('Classif Gestoras'!$H$6:$H$462,MATCH(D3521,'Classif Gestoras'!$A$6:$A$462,0)),"Não classificada")</x:f>
        <x:v>Independente</x:v>
      </x:c>
      <x:c r="F3521" s="168" t="str">
        <x:v>SEFER DTVM</x:v>
      </x:c>
      <x:c r="G3521" s="168" t="str">
        <x:v>SEFER INVESTIMENTOS DISTRIBUIDORA DE TÍTULOS E VALORES MOBILIÁRIOS LTDA.</x:v>
      </x:c>
      <x:c r="H3521" s="168" t="str">
        <x:v>Financeiro</x:v>
      </x:c>
      <x:c r="I3521" s="168" t="str">
        <x:v>Crédito Consignado</x:v>
      </x:c>
      <x:c r="J3521" s="168" t="str">
        <x:v>CI</x:v>
      </x:c>
      <x:c r="K3521" s="174" t="n">
        <x:v>1</x:v>
      </x:c>
      <x:c r="L3521" s="187" t="str">
        <x:v>Não classificado</x:v>
      </x:c>
    </x:row>
    <x:row r="3522">
      <x:c r="A3522" s="177" t="str">
        <x:v>51.313.788/0001-27</x:v>
      </x:c>
      <x:c r="B3522" s="168" t="str">
        <x:v>AV BANCO FUNDO DE INVESTIMENTO EM DIREITOS CREDITÓRIOS</x:v>
      </x:c>
      <x:c r="C3522" s="190" t="n">
        <x:v>0</x:v>
      </x:c>
      <x:c r="D3522" s="168" t="str">
        <x:v>TERCON ASSET MANAGEMENT</x:v>
      </x:c>
      <x:c r="E3522" s="168" t="str">
        <x:f>IFERROR(INDEX('Classif Gestoras'!$H$6:$H$462,MATCH(D3522,'Classif Gestoras'!$A$6:$A$462,0)),"Não classificada")</x:f>
        <x:v>Independente</x:v>
      </x:c>
      <x:c r="F3522" s="168" t="str">
        <x:v>Limine Trust Distribuidora de Titulos e Valores Mobiliá</x:v>
      </x:c>
      <x:c r="G3522" s="168" t="str">
        <x:v>LIMINE TRUST DISTRIBUIDORA DE TITULOS E VALORES MOBILIARIOS LTDA.</x:v>
      </x:c>
      <x:c r="H3522" s="168" t="str">
        <x:v>Agro, Indústria e Comércio</x:v>
      </x:c>
      <x:c r="I3522" s="168" t="str">
        <x:v>Multicarteira Agro, Indústria e Comércio</x:v>
      </x:c>
      <x:c r="J3522" s="168" t="str">
        <x:v>CI</x:v>
      </x:c>
      <x:c r="K3522" s="174" t="n">
        <x:v>3</x:v>
      </x:c>
      <x:c r="L3522" s="187" t="str">
        <x:v>Proxy multicedente/multissacado — revisar</x:v>
      </x:c>
    </x:row>
    <x:row r="3523">
      <x:c r="A3523" s="177" t="str">
        <x:v>54.372.427/0001-40</x:v>
      </x:c>
      <x:c r="B3523" s="168" t="str">
        <x:v>REDVECO CASH FUNDO DE INVESTIMENTO EM DIREITOS CREDITÓRIOS NÃO PADRONIZADOS</x:v>
      </x:c>
      <x:c r="C3523" s="190" t="n">
        <x:v>0</x:v>
      </x:c>
      <x:c r="D3523" s="168" t="str">
        <x:v>REAG PORTFOLIO SOLUTIONS</x:v>
      </x:c>
      <x:c r="E3523" s="168" t="str">
        <x:f>IFERROR(INDEX('Classif Gestoras'!$H$6:$H$462,MATCH(D3523,'Classif Gestoras'!$A$6:$A$462,0)),"Não classificada")</x:f>
        <x:v>Independente</x:v>
      </x:c>
      <x:c r="F3523" s="168" t="str">
        <x:v>REAG DTVM</x:v>
      </x:c>
      <x:c r="G3523" s="168" t="str">
        <x:v>REAG TRUST DISTRIBUIDORA DE TITULOS E VALORES MOBILIARIOS S.A.</x:v>
      </x:c>
      <x:c r="H3523" s="168" t="str">
        <x:v>Outros</x:v>
      </x:c>
      <x:c r="I3523" s="168" t="str">
        <x:v>Multicarteira Outros</x:v>
      </x:c>
      <x:c r="J3523" s="168" t="str">
        <x:v>CI</x:v>
      </x:c>
      <x:c r="K3523" s="174" t="n">
        <x:v>1</x:v>
      </x:c>
      <x:c r="L3523" s="187" t="str">
        <x:v>Proxy multicedente/multissacado — revisar</x:v>
      </x:c>
    </x:row>
    <x:row r="3524">
      <x:c r="A3524" s="177" t="str">
        <x:v>48.963.423/0001-33</x:v>
      </x:c>
      <x:c r="B3524" s="168" t="str">
        <x:v>PINTIA FUNDO DE INVESTIMENTO EM DIREITOS CREDITÓRIOS NÃO PADRONIZADOS</x:v>
      </x:c>
      <x:c r="C3524" s="190" t="n">
        <x:v>0</x:v>
      </x:c>
      <x:c r="D3524" s="168" t="str">
        <x:v>WNT Gestora de Recursos Ltda.</x:v>
      </x:c>
      <x:c r="E3524" s="168" t="str">
        <x:f>IFERROR(INDEX('Classif Gestoras'!$H$6:$H$462,MATCH(D3524,'Classif Gestoras'!$A$6:$A$462,0)),"Não classificada")</x:f>
        <x:v>Independente</x:v>
      </x:c>
      <x:c r="F3524" s="168" t="str">
        <x:v>MASTER S/A CORRETORA</x:v>
      </x:c>
      <x:c r="G3524" s="168" t="str">
        <x:v>MASTER S/A CORRETORA DE CAMBIO, TITULOS E VALORES MOBILIARIOS</x:v>
      </x:c>
      <x:c r="H3524" s="168" t="str">
        <x:v>Outros</x:v>
      </x:c>
      <x:c r="I3524" s="168" t="str">
        <x:v>Multicarteira Outros</x:v>
      </x:c>
      <x:c r="J3524" s="168" t="str">
        <x:v>CI</x:v>
      </x:c>
      <x:c r="K3524" s="174" t="n">
        <x:v>1</x:v>
      </x:c>
      <x:c r="L3524" s="187" t="str">
        <x:v>Proxy multicedente/multissacado — revisar</x:v>
      </x:c>
    </x:row>
    <x:row r="3525">
      <x:c r="A3525" s="177" t="str">
        <x:v>59.333.553/0001-09</x:v>
      </x:c>
      <x:c r="B3525" s="168" t="str">
        <x:v>FUNDO DE INVESTIMENTO EM DIREITOS CREDITÓRIOS CRED FACILE</x:v>
      </x:c>
      <x:c r="C3525" s="190" t="n">
        <x:v>0</x:v>
      </x:c>
      <x:c r="D3525" s="168" t="str">
        <x:v>Blue Solutions</x:v>
      </x:c>
      <x:c r="E3525" s="168" t="str">
        <x:f>IFERROR(INDEX('Classif Gestoras'!$H$6:$H$462,MATCH(D3525,'Classif Gestoras'!$A$6:$A$462,0)),"Não classificada")</x:f>
        <x:v>Independente</x:v>
      </x:c>
      <x:c r="F3525" s="168" t="str">
        <x:v>Banvox DTVM</x:v>
      </x:c>
      <x:c r="G3525" s="168" t="str">
        <x:v>BANVOX DISTRIBUIDORA DE TITULOS E VALORES MOBILIARIOS LTDA</x:v>
      </x:c>
      <x:c r="H3525" s="168" t="str">
        <x:v>Fomento Mercantil</x:v>
      </x:c>
      <x:c r="I3525" s="168" t="str">
        <x:v>Fomento Mercantil</x:v>
      </x:c>
      <x:c r="J3525" s="168" t="str">
        <x:v>CI</x:v>
      </x:c>
      <x:c r="K3525" s="174" t="n">
        <x:v>2</x:v>
      </x:c>
      <x:c r="L3525" s="187" t="str">
        <x:v>Não classificado</x:v>
      </x:c>
    </x:row>
    <x:row r="3526">
      <x:c r="A3526" s="177" t="str">
        <x:v>24.552.987/0001-15</x:v>
      </x:c>
      <x:c r="B3526" s="168" t="str">
        <x:v>NDMP I FUNDO DE INVESTIMENTO EM DIREITOS CREDITÓRIOS</x:v>
      </x:c>
      <x:c r="C3526" s="190" t="n">
        <x:v>0</x:v>
      </x:c>
      <x:c r="D3526" s="168" t="str">
        <x:v>4i Capital Ltda</x:v>
      </x:c>
      <x:c r="E3526" s="168" t="str">
        <x:f>IFERROR(INDEX('Classif Gestoras'!$H$6:$H$462,MATCH(D3526,'Classif Gestoras'!$A$6:$A$462,0)),"Não classificada")</x:f>
        <x:v>Independente</x:v>
      </x:c>
      <x:c r="F3526" s="168" t="str">
        <x:v>REAG DTVM</x:v>
      </x:c>
      <x:c r="G3526" s="168" t="str">
        <x:v>LIMINE TRUST DISTRIBUIDORA DE TITULOS E VALORES MOBILIARIOS LTDA.</x:v>
      </x:c>
      <x:c r="H3526" s="168" t="str">
        <x:v>Financeiro</x:v>
      </x:c>
      <x:c r="I3526" s="168" t="str">
        <x:v>Crédito Consignado</x:v>
      </x:c>
      <x:c r="J3526" s="168" t="str">
        <x:v>CIC</x:v>
      </x:c>
      <x:c r="K3526" s="174" t="n">
        <x:v>21</x:v>
      </x:c>
      <x:c r="L3526" s="187" t="str">
        <x:v>Não classificado</x:v>
      </x:c>
    </x:row>
    <x:row r="3527">
      <x:c r="A3527" s="177" t="str">
        <x:v>51.268.721/0001-18</x:v>
      </x:c>
      <x:c r="B3527" s="168" t="str">
        <x:v>ASSET BANK FUNDO DE INVESTIMENTO EM DIREITOS CREDITORIOS MIDDLE MARKET</x:v>
      </x:c>
      <x:c r="C3527" s="190" t="n">
        <x:v>0</x:v>
      </x:c>
      <x:c r="D3527" s="168" t="str">
        <x:v>ASSET MANAGEMENT</x:v>
      </x:c>
      <x:c r="E3527" s="168" t="str">
        <x:f>IFERROR(INDEX('Classif Gestoras'!$H$6:$H$462,MATCH(D3527,'Classif Gestoras'!$A$6:$A$462,0)),"Não classificada")</x:f>
        <x:v>Independente</x:v>
      </x:c>
      <x:c r="F3527" s="168" t="str">
        <x:v>AZUMI DISTRIBUIDORA DE TÍTULOS E VALORES MOBILIÁRIOS LT</x:v>
      </x:c>
      <x:c r="G3527" s="168" t="str">
        <x:v>AZUMI DISTRIBUIDORA DE TÍTULOS E VALORES MOBILIÁRIOS LTDA.</x:v>
      </x:c>
      <x:c r="H3527" s="168" t="str">
        <x:v>Outros</x:v>
      </x:c>
      <x:c r="I3527" s="168" t="str">
        <x:v>Multicarteira Outros</x:v>
      </x:c>
      <x:c r="J3527" s="168" t="str">
        <x:v>CI</x:v>
      </x:c>
      <x:c r="K3527" s="174" t="n">
        <x:v>0</x:v>
      </x:c>
      <x:c r="L3527" s="187" t="str">
        <x:v>Proxy multicedente/multissacado — revisar</x:v>
      </x:c>
    </x:row>
    <x:row r="3528">
      <x:c r="A3528" s="177" t="str">
        <x:v>30.332.628/0001-55</x:v>
      </x:c>
      <x:c r="B3528" s="168" t="str">
        <x:v>CORTEN FUNDO DE INVESTIMENTO EM DIREITOS CREDITÓRIOS</x:v>
      </x:c>
      <x:c r="C3528" s="190" t="n">
        <x:v>0</x:v>
      </x:c>
      <x:c r="D3528" s="168" t="str">
        <x:v>WNT Gestora de Recursos Ltda.</x:v>
      </x:c>
      <x:c r="E3528" s="168" t="str">
        <x:f>IFERROR(INDEX('Classif Gestoras'!$H$6:$H$462,MATCH(D3528,'Classif Gestoras'!$A$6:$A$462,0)),"Não classificada")</x:f>
        <x:v>Independente</x:v>
      </x:c>
      <x:c r="F3528" s="168" t="str">
        <x:v>REAG DTVM</x:v>
      </x:c>
      <x:c r="G3528" s="168" t="str">
        <x:v>REAG TRUST DISTRIBUIDORA DE TITULOS E VALORES MOBILIARIOS S.A.</x:v>
      </x:c>
      <x:c r="H3528" s="168" t="str">
        <x:v>Outros</x:v>
      </x:c>
      <x:c r="I3528" s="168" t="str">
        <x:v>Multicarteira Outros</x:v>
      </x:c>
      <x:c r="J3528" s="168" t="str">
        <x:v>CI</x:v>
      </x:c>
      <x:c r="K3528" s="174" t="n">
        <x:v>6</x:v>
      </x:c>
      <x:c r="L3528" s="187" t="str">
        <x:v>Proxy multicedente/multissacado — revisar</x:v>
      </x:c>
    </x:row>
    <x:row r="3529">
      <x:c r="A3529" s="177" t="str">
        <x:v>54.349.373/0001-00</x:v>
      </x:c>
      <x:c r="B3529" s="168" t="str">
        <x:v>NORFOLK FUNDO DE INVESTIMENTO EM DIREITOS CREDITÓRIOS</x:v>
      </x:c>
      <x:c r="C3529" s="190" t="n">
        <x:v>0</x:v>
      </x:c>
      <x:c r="D3529" s="168" t="str">
        <x:v>Reag Jus</x:v>
      </x:c>
      <x:c r="E3529" s="168" t="str">
        <x:f>IFERROR(INDEX('Classif Gestoras'!$H$6:$H$462,MATCH(D3529,'Classif Gestoras'!$A$6:$A$462,0)),"Não classificada")</x:f>
        <x:v>Independente</x:v>
      </x:c>
      <x:c r="F3529" s="168" t="str">
        <x:v>REAG DTVM</x:v>
      </x:c>
      <x:c r="G3529" s="168" t="str">
        <x:v>REAG TRUST DISTRIBUIDORA DE TITULOS E VALORES MOBILIARIOS S.A.</x:v>
      </x:c>
      <x:c r="H3529" s="168" t="str">
        <x:v>Outros</x:v>
      </x:c>
      <x:c r="I3529" s="168" t="str">
        <x:v>Multicarteira Outros</x:v>
      </x:c>
      <x:c r="J3529" s="168" t="str">
        <x:v>CI</x:v>
      </x:c>
      <x:c r="K3529" s="174" t="n">
        <x:v>1</x:v>
      </x:c>
      <x:c r="L3529" s="187" t="str">
        <x:v>Proxy multicedente/multissacado — revisar</x:v>
      </x:c>
    </x:row>
    <x:row r="3530">
      <x:c r="A3530" s="177" t="str">
        <x:v>48.983.319/0001-00</x:v>
      </x:c>
      <x:c r="B3530" s="168" t="str">
        <x:v>CNPJ 48983319000100</x:v>
      </x:c>
      <x:c r="C3530" s="190" t="n">
        <x:v>0</x:v>
      </x:c>
      <x:c r="D3530" s="168" t="str">
        <x:v>ALTINVEST</x:v>
      </x:c>
      <x:c r="E3530" s="168" t="str">
        <x:f>IFERROR(INDEX('Classif Gestoras'!$H$6:$H$462,MATCH(D3530,'Classif Gestoras'!$A$6:$A$462,0)),"Não classificada")</x:f>
        <x:v>Independente</x:v>
      </x:c>
      <x:c r="F3530" s="168" t="str">
        <x:v>TRUSTEE DTVM</x:v>
      </x:c>
      <x:c r="G3530" s="168" t="str">
        <x:v>Não identificado</x:v>
      </x:c>
      <x:c r="H3530" s="168" t="str">
        <x:v>Outros</x:v>
      </x:c>
      <x:c r="I3530" s="168" t="str">
        <x:v>Multicarteira Outros</x:v>
      </x:c>
      <x:c r="J3530" s="168" t="str">
        <x:v>CI</x:v>
      </x:c>
      <x:c r="K3530" s="174"/>
      <x:c r="L3530" s="187" t="str">
        <x:v>Proxy multicedente/multissacado — revisar</x:v>
      </x:c>
    </x:row>
    <x:row r="3531">
      <x:c r="A3531" s="177" t="str">
        <x:v>53.294.398/0001-82</x:v>
      </x:c>
      <x:c r="B3531" s="168" t="str">
        <x:v>CNPJ 53294398000182</x:v>
      </x:c>
      <x:c r="C3531" s="190" t="n">
        <x:v>0</x:v>
      </x:c>
      <x:c r="D3531" s="168" t="str">
        <x:v>TRUSTEE DTVM</x:v>
      </x:c>
      <x:c r="E3531" s="168" t="str">
        <x:f>IFERROR(INDEX('Classif Gestoras'!$H$6:$H$462,MATCH(D3531,'Classif Gestoras'!$A$6:$A$462,0)),"Não classificada")</x:f>
        <x:v>Independente</x:v>
      </x:c>
      <x:c r="F3531" s="168" t="str">
        <x:v>TRUSTEE DTVM</x:v>
      </x:c>
      <x:c r="G3531" s="168" t="str">
        <x:v>Não identificado</x:v>
      </x:c>
      <x:c r="H3531" s="168" t="str">
        <x:v>Outros</x:v>
      </x:c>
      <x:c r="I3531" s="168" t="str">
        <x:v>Multicarteira Outros</x:v>
      </x:c>
      <x:c r="J3531" s="168" t="str">
        <x:v>CI</x:v>
      </x:c>
      <x:c r="K3531" s="174"/>
      <x:c r="L3531" s="187" t="str">
        <x:v>Proxy multicedente/multissacado — revisar</x:v>
      </x:c>
    </x:row>
    <x:row r="3532">
      <x:c r="A3532" s="177" t="str">
        <x:v>24.080.647/0001-39</x:v>
      </x:c>
      <x:c r="B3532" s="168" t="str">
        <x:v>AGA FUNDO DE INVESTIMENTO EM DIREITOS CREDITÓRIOS NÃO-PADRONIZADOS MULTISSETORIAL</x:v>
      </x:c>
      <x:c r="C3532" s="190" t="n">
        <x:v>0</x:v>
      </x:c>
      <x:c r="D3532" s="168" t="str">
        <x:v>OURO PRETO INVESTIMENTOS</x:v>
      </x:c>
      <x:c r="E3532" s="168" t="str">
        <x:f>IFERROR(INDEX('Classif Gestoras'!$H$6:$H$462,MATCH(D3532,'Classif Gestoras'!$A$6:$A$462,0)),"Não classificada")</x:f>
        <x:v>Independente</x:v>
      </x:c>
      <x:c r="F3532" s="168" t="str">
        <x:v>Limine Trust Distribuidora de Titulos e Valores Mobiliá</x:v>
      </x:c>
      <x:c r="G3532" s="168" t="str">
        <x:v>LIMINE TRUST DISTRIBUIDORA DE TITULOS E VALORES MOBILIARIOS LTDA.</x:v>
      </x:c>
      <x:c r="H3532" s="168" t="str">
        <x:v>Fomento Mercantil</x:v>
      </x:c>
      <x:c r="I3532" s="168" t="str">
        <x:v>Fomento Mercantil</x:v>
      </x:c>
      <x:c r="J3532" s="168" t="str">
        <x:v>CI</x:v>
      </x:c>
      <x:c r="K3532" s="174" t="n">
        <x:v>1</x:v>
      </x:c>
      <x:c r="L3532" s="187" t="str">
        <x:v>Não classificado</x:v>
      </x:c>
    </x:row>
    <x:row r="3533">
      <x:c r="A3533" s="177" t="str">
        <x:v>54.332.890/0001-68</x:v>
      </x:c>
      <x:c r="B3533" s="168" t="str">
        <x:v>XENON FUNDO DE INVESTIMENTO EM DIREITOS CREDITÓRIOS NÃO PADRONIZADOS</x:v>
      </x:c>
      <x:c r="C3533" s="190" t="n">
        <x:v>0</x:v>
      </x:c>
      <x:c r="D3533" s="168" t="str">
        <x:v>Reag Jus</x:v>
      </x:c>
      <x:c r="E3533" s="168" t="str">
        <x:f>IFERROR(INDEX('Classif Gestoras'!$H$6:$H$462,MATCH(D3533,'Classif Gestoras'!$A$6:$A$462,0)),"Não classificada")</x:f>
        <x:v>Independente</x:v>
      </x:c>
      <x:c r="F3533" s="168" t="str">
        <x:v>REAG DTVM</x:v>
      </x:c>
      <x:c r="G3533" s="168" t="str">
        <x:v>REAG TRUST DISTRIBUIDORA DE TITULOS E VALORES MOBILIARIOS S.A.</x:v>
      </x:c>
      <x:c r="H3533" s="168" t="str">
        <x:v>Outros</x:v>
      </x:c>
      <x:c r="I3533" s="168" t="str">
        <x:v>Multicarteira Outros</x:v>
      </x:c>
      <x:c r="J3533" s="168" t="str">
        <x:v>CI</x:v>
      </x:c>
      <x:c r="K3533" s="174" t="n">
        <x:v>1</x:v>
      </x:c>
      <x:c r="L3533" s="187" t="str">
        <x:v>Proxy multicedente/multissacado — revisar</x:v>
      </x:c>
    </x:row>
    <x:row r="3534">
      <x:c r="A3534" s="177" t="str">
        <x:v>49.087.632/0001-23</x:v>
      </x:c>
      <x:c r="B3534" s="168" t="str">
        <x:v>SALVADOR CAPITAL FUNDO DE INVESTIMENTO EM DIREITOS CREDITÓRIOS</x:v>
      </x:c>
      <x:c r="C3534" s="190" t="n">
        <x:v>0</x:v>
      </x:c>
      <x:c r="D3534" s="168" t="str">
        <x:v>OURO PRETO INVESTIMENTOS</x:v>
      </x:c>
      <x:c r="E3534" s="168" t="str">
        <x:f>IFERROR(INDEX('Classif Gestoras'!$H$6:$H$462,MATCH(D3534,'Classif Gestoras'!$A$6:$A$462,0)),"Não classificada")</x:f>
        <x:v>Independente</x:v>
      </x:c>
      <x:c r="F3534" s="168" t="str">
        <x:v>Limine Trust Distribuidora de Titulos e Valores Mobiliá</x:v>
      </x:c>
      <x:c r="G3534" s="168" t="str">
        <x:v>Não identificado</x:v>
      </x:c>
      <x:c r="H3534" s="168" t="str">
        <x:v>Outros</x:v>
      </x:c>
      <x:c r="I3534" s="168" t="str">
        <x:v>Multicarteira Outros</x:v>
      </x:c>
      <x:c r="J3534" s="168" t="str">
        <x:v>CI</x:v>
      </x:c>
      <x:c r="K3534" s="174" t="n">
        <x:v>0</x:v>
      </x:c>
      <x:c r="L3534" s="187" t="str">
        <x:v>Proxy multicedente/multissacado — revisar</x:v>
      </x:c>
    </x:row>
    <x:row r="3535">
      <x:c r="A3535" s="177" t="str">
        <x:v>49.124.193/0001-81</x:v>
      </x:c>
      <x:c r="B3535" s="168" t="str">
        <x:v>MTPAR FUNDO DE INVESTIMENTO EM DIREITOS CREDITÓRIOS NÃO-PADRONIZADO</x:v>
      </x:c>
      <x:c r="C3535" s="190" t="n">
        <x:v>0</x:v>
      </x:c>
      <x:c r="D3535" s="168" t="str">
        <x:v>Reag Administradora de Recursos Ltda</x:v>
      </x:c>
      <x:c r="E3535" s="168" t="str">
        <x:f>IFERROR(INDEX('Classif Gestoras'!$H$6:$H$462,MATCH(D3535,'Classif Gestoras'!$A$6:$A$462,0)),"Não classificada")</x:f>
        <x:v>Independente</x:v>
      </x:c>
      <x:c r="F3535" s="168" t="str">
        <x:v>REAG DTVM</x:v>
      </x:c>
      <x:c r="G3535" s="168" t="str">
        <x:v>REAG TRUST DISTRIBUIDORA DE TITULOS E VALORES MOBILIARIOS S.A.</x:v>
      </x:c>
      <x:c r="H3535" s="168" t="str">
        <x:v>Outros</x:v>
      </x:c>
      <x:c r="I3535" s="168" t="str">
        <x:v>Multicarteira Outros</x:v>
      </x:c>
      <x:c r="J3535" s="168" t="str">
        <x:v>CI</x:v>
      </x:c>
      <x:c r="K3535" s="174" t="n">
        <x:v>1</x:v>
      </x:c>
      <x:c r="L3535" s="187" t="str">
        <x:v>Proxy multicedente/multissacado — revisar</x:v>
      </x:c>
    </x:row>
    <x:row r="3536">
      <x:c r="A3536" s="177" t="str">
        <x:v>49.161.166/0001-89</x:v>
      </x:c>
      <x:c r="B3536" s="168" t="str">
        <x:v>CNPJ 49161166000189</x:v>
      </x:c>
      <x:c r="C3536" s="190" t="n">
        <x:v>0</x:v>
      </x:c>
      <x:c r="D3536" s="168" t="str">
        <x:v>Reag Administradora de Recursos Ltda</x:v>
      </x:c>
      <x:c r="E3536" s="168" t="str">
        <x:f>IFERROR(INDEX('Classif Gestoras'!$H$6:$H$462,MATCH(D3536,'Classif Gestoras'!$A$6:$A$462,0)),"Não classificada")</x:f>
        <x:v>Independente</x:v>
      </x:c>
      <x:c r="F3536" s="168" t="str">
        <x:v>REAG DTVM</x:v>
      </x:c>
      <x:c r="G3536" s="168" t="str">
        <x:v>Não identificado</x:v>
      </x:c>
      <x:c r="H3536" s="168" t="str">
        <x:v>Outros</x:v>
      </x:c>
      <x:c r="I3536" s="168" t="str">
        <x:v>Multicarteira Outros</x:v>
      </x:c>
      <x:c r="J3536" s="168" t="str">
        <x:v>CI</x:v>
      </x:c>
      <x:c r="K3536" s="174"/>
      <x:c r="L3536" s="187" t="str">
        <x:v>Proxy multicedente/multissacado — revisar</x:v>
      </x:c>
    </x:row>
    <x:row r="3537">
      <x:c r="A3537" s="177" t="str">
        <x:v>09.194.841/0001-51</x:v>
      </x:c>
      <x:c r="B3537" s="168" t="str">
        <x:v>ATLÂNTICO FUNDO DE INVESTIMENTO EM DIREITOS CREDITÓRIOS RESPONSABILIDADE LIMITADA</x:v>
      </x:c>
      <x:c r="C3537" s="190" t="n">
        <x:v>0</x:v>
      </x:c>
      <x:c r="D3537" s="168" t="str">
        <x:v>Hyperion</x:v>
      </x:c>
      <x:c r="E3537" s="168" t="str">
        <x:f>IFERROR(INDEX('Classif Gestoras'!$H$6:$H$462,MATCH(D3537,'Classif Gestoras'!$A$6:$A$462,0)),"Não classificada")</x:f>
        <x:v>Independente</x:v>
      </x:c>
      <x:c r="F3537" s="168" t="str">
        <x:v>SEFER DTVM</x:v>
      </x:c>
      <x:c r="G3537" s="168" t="str">
        <x:v>ID CORRETORA DE TITULOS E VALORES MOBILIARIOS S.A.</x:v>
      </x:c>
      <x:c r="H3537" s="168" t="str">
        <x:v>Outros</x:v>
      </x:c>
      <x:c r="I3537" s="168" t="str">
        <x:v>Multicarteira Outros</x:v>
      </x:c>
      <x:c r="J3537" s="168" t="str">
        <x:v>CI</x:v>
      </x:c>
      <x:c r="K3537" s="174" t="n">
        <x:v>1</x:v>
      </x:c>
      <x:c r="L3537" s="187" t="str">
        <x:v>Proxy multicedente/multissacado — revisar</x:v>
      </x:c>
    </x:row>
    <x:row r="3538">
      <x:c r="A3538" s="177" t="str">
        <x:v>49.223.648/0001-16</x:v>
      </x:c>
      <x:c r="B3538" s="168" t="str">
        <x:v>PHILADELPHIA FUNDO DE INVESTIMENTO EM DIREITOS CREDITÓRIOS NÃOPADRONIZADOS RESPONSABILIDADE LIMITADA</x:v>
      </x:c>
      <x:c r="C3538" s="190" t="n">
        <x:v>0</x:v>
      </x:c>
      <x:c r="D3538" s="168" t="str">
        <x:v>IDGR</x:v>
      </x:c>
      <x:c r="E3538" s="168" t="str">
        <x:f>IFERROR(INDEX('Classif Gestoras'!$H$6:$H$462,MATCH(D3538,'Classif Gestoras'!$A$6:$A$462,0)),"Não classificada")</x:f>
        <x:v>Independente</x:v>
      </x:c>
      <x:c r="F3538" s="168" t="str">
        <x:v>ID Corretora de Títulos e Valores Mobiliários S.A.</x:v>
      </x:c>
      <x:c r="G3538" s="168" t="str">
        <x:v>ID CORRETORA DE TITULOS E VALORES MOBILIARIOS S.A.</x:v>
      </x:c>
      <x:c r="H3538" s="168" t="str">
        <x:v>Outros</x:v>
      </x:c>
      <x:c r="I3538" s="168" t="str">
        <x:v>Multicarteira Outros</x:v>
      </x:c>
      <x:c r="J3538" s="168" t="str">
        <x:v>CI</x:v>
      </x:c>
      <x:c r="K3538" s="174" t="n">
        <x:v>0</x:v>
      </x:c>
      <x:c r="L3538" s="187" t="str">
        <x:v>Proxy multicedente/multissacado — revisar</x:v>
      </x:c>
    </x:row>
    <x:row r="3539">
      <x:c r="A3539" s="177" t="str">
        <x:v>25.166.362/0001-88</x:v>
      </x:c>
      <x:c r="B3539" s="168" t="str">
        <x:v>CNPJ 25166362000188</x:v>
      </x:c>
      <x:c r="C3539" s="190" t="n">
        <x:v>0</x:v>
      </x:c>
      <x:c r="D3539" s="168" t="str">
        <x:v>TRUSTEE DTVM</x:v>
      </x:c>
      <x:c r="E3539" s="168" t="str">
        <x:f>IFERROR(INDEX('Classif Gestoras'!$H$6:$H$462,MATCH(D3539,'Classif Gestoras'!$A$6:$A$462,0)),"Não classificada")</x:f>
        <x:v>Independente</x:v>
      </x:c>
      <x:c r="F3539" s="168" t="str">
        <x:v>TRUSTEE DTVM</x:v>
      </x:c>
      <x:c r="G3539" s="168" t="str">
        <x:v>Não identificado</x:v>
      </x:c>
      <x:c r="H3539" s="168" t="str">
        <x:v>Outros</x:v>
      </x:c>
      <x:c r="I3539" s="168" t="str">
        <x:v>Multiestratégia</x:v>
      </x:c>
      <x:c r="J3539" s="168" t="str">
        <x:v>CI</x:v>
      </x:c>
      <x:c r="K3539" s="174"/>
      <x:c r="L3539" s="187" t="str">
        <x:v>Não classificado</x:v>
      </x:c>
    </x:row>
    <x:row r="3540">
      <x:c r="A3540" s="177" t="str">
        <x:v>40.730.321/0001-66</x:v>
      </x:c>
      <x:c r="B3540" s="168" t="str">
        <x:v>CNPJ 40730321000166</x:v>
      </x:c>
      <x:c r="C3540" s="190" t="n">
        <x:v>0</x:v>
      </x:c>
      <x:c r="D3540" s="168" t="str">
        <x:v>Iron Capital</x:v>
      </x:c>
      <x:c r="E3540" s="168" t="str">
        <x:f>IFERROR(INDEX('Classif Gestoras'!$H$6:$H$462,MATCH(D3540,'Classif Gestoras'!$A$6:$A$462,0)),"Não classificada")</x:f>
        <x:v>Independente</x:v>
      </x:c>
      <x:c r="F3540" s="168" t="str">
        <x:v>TRUSTEE DTVM</x:v>
      </x:c>
      <x:c r="G3540" s="168" t="str">
        <x:v>Não identificado</x:v>
      </x:c>
      <x:c r="H3540" s="168" t="str">
        <x:v>Outros</x:v>
      </x:c>
      <x:c r="I3540" s="168" t="str">
        <x:v>Multicarteira Outros</x:v>
      </x:c>
      <x:c r="J3540" s="168" t="str">
        <x:v>CI</x:v>
      </x:c>
      <x:c r="K3540" s="174"/>
      <x:c r="L3540" s="187" t="str">
        <x:v>Proxy multicedente/multissacado — revisar</x:v>
      </x:c>
    </x:row>
    <x:row r="3541">
      <x:c r="A3541" s="177" t="str">
        <x:v>26.913.825/0001-90</x:v>
      </x:c>
      <x:c r="B3541" s="168" t="str">
        <x:v>PRIMEMAX FUNDO DE INVESTIMENTO EM DIREITO CREDITÓRIO FINANCEIRO</x:v>
      </x:c>
      <x:c r="C3541" s="190" t="n">
        <x:v>0</x:v>
      </x:c>
      <x:c r="D3541" s="168" t="str">
        <x:v>OURO PRETO INVESTIMENTOS</x:v>
      </x:c>
      <x:c r="E3541" s="168" t="str">
        <x:f>IFERROR(INDEX('Classif Gestoras'!$H$6:$H$462,MATCH(D3541,'Classif Gestoras'!$A$6:$A$462,0)),"Não classificada")</x:f>
        <x:v>Independente</x:v>
      </x:c>
      <x:c r="F3541" s="168" t="str">
        <x:v>Limine Trust Distribuidora de Titulos e Valores Mobiliá</x:v>
      </x:c>
      <x:c r="G3541" s="168" t="str">
        <x:v>LIMINE TRUST DISTRIBUIDORA DE TITULOS E VALORES MOBILIARIOS LTDA.</x:v>
      </x:c>
      <x:c r="H3541" s="168" t="str">
        <x:v>Agro, Indústria e Comércio</x:v>
      </x:c>
      <x:c r="I3541" s="168" t="str">
        <x:v>Recebíveis Comerciais</x:v>
      </x:c>
      <x:c r="J3541" s="168" t="str">
        <x:v>CI</x:v>
      </x:c>
      <x:c r="K3541" s="174" t="n">
        <x:v>0</x:v>
      </x:c>
      <x:c r="L3541" s="187" t="str">
        <x:v>Não classificado</x:v>
      </x:c>
    </x:row>
    <x:row r="3542">
      <x:c r="A3542" s="177" t="str">
        <x:v>54.326.875/0001-07</x:v>
      </x:c>
      <x:c r="B3542" s="168" t="str">
        <x:v>CNPJ 54326875000107</x:v>
      </x:c>
      <x:c r="C3542" s="190" t="n">
        <x:v>0</x:v>
      </x:c>
      <x:c r="D3542" s="168" t="str">
        <x:v>Möbius Capital</x:v>
      </x:c>
      <x:c r="E3542" s="168" t="str">
        <x:f>IFERROR(INDEX('Classif Gestoras'!$H$6:$H$462,MATCH(D3542,'Classif Gestoras'!$A$6:$A$462,0)),"Não classificada")</x:f>
        <x:v>Independente</x:v>
      </x:c>
      <x:c r="F3542" s="168" t="str">
        <x:v>BANCO DAYCOVAL S/A</x:v>
      </x:c>
      <x:c r="G3542" s="168" t="str">
        <x:v>Não identificado</x:v>
      </x:c>
      <x:c r="H3542" s="168" t="str">
        <x:v>Agro, Indústria e Comércio</x:v>
      </x:c>
      <x:c r="I3542" s="168" t="str">
        <x:v>Não se aplica</x:v>
      </x:c>
      <x:c r="J3542" s="168" t="str">
        <x:v>CI</x:v>
      </x:c>
      <x:c r="K3542" s="174"/>
      <x:c r="L3542" s="187" t="str">
        <x:v>Não classificado</x:v>
      </x:c>
    </x:row>
    <x:row r="3543">
      <x:c r="A3543" s="177" t="str">
        <x:v>40.727.523/0001-59</x:v>
      </x:c>
      <x:c r="B3543" s="168" t="str">
        <x:v>FOUR CREDIT FUNDO DE INVESTIMENTO EM DIREITOS CREDITÓRIOS</x:v>
      </x:c>
      <x:c r="C3543" s="190" t="n">
        <x:v>0</x:v>
      </x:c>
      <x:c r="D3543" s="168" t="str">
        <x:v>TERCON ASSET MANAGEMENT</x:v>
      </x:c>
      <x:c r="E3543" s="168" t="str">
        <x:f>IFERROR(INDEX('Classif Gestoras'!$H$6:$H$462,MATCH(D3543,'Classif Gestoras'!$A$6:$A$462,0)),"Não classificada")</x:f>
        <x:v>Independente</x:v>
      </x:c>
      <x:c r="F3543" s="168" t="str">
        <x:v>Singulare</x:v>
      </x:c>
      <x:c r="G3543" s="168" t="str">
        <x:v>QI CORRETORA DE TÍTULOS E VALORES MOBILIÁRIOS S.A.</x:v>
      </x:c>
      <x:c r="H3543" s="168" t="str">
        <x:v>Fomento Mercantil</x:v>
      </x:c>
      <x:c r="I3543" s="168" t="str">
        <x:v>Fomento Mercantil</x:v>
      </x:c>
      <x:c r="J3543" s="168" t="str">
        <x:v>CI</x:v>
      </x:c>
      <x:c r="K3543" s="174" t="n">
        <x:v>0</x:v>
      </x:c>
      <x:c r="L3543" s="187" t="str">
        <x:v>Não classificado</x:v>
      </x:c>
    </x:row>
    <x:row r="3544">
      <x:c r="A3544" s="177" t="str">
        <x:v>62.447.201/0001-99</x:v>
      </x:c>
      <x:c r="B3544" s="168" t="str">
        <x:v>CNPJ 62447201000199</x:v>
      </x:c>
      <x:c r="C3544" s="190" t="n">
        <x:v>0</x:v>
      </x:c>
      <x:c r="D3544" s="168" t="str">
        <x:v>Blue Solutions</x:v>
      </x:c>
      <x:c r="E3544" s="168" t="str">
        <x:f>IFERROR(INDEX('Classif Gestoras'!$H$6:$H$462,MATCH(D3544,'Classif Gestoras'!$A$6:$A$462,0)),"Não classificada")</x:f>
        <x:v>Independente</x:v>
      </x:c>
      <x:c r="F3544" s="168" t="str">
        <x:v>Banvox DTVM</x:v>
      </x:c>
      <x:c r="G3544" s="168" t="str">
        <x:v>Não identificado</x:v>
      </x:c>
      <x:c r="H3544" s="168" t="str">
        <x:v>Outros</x:v>
      </x:c>
      <x:c r="I3544" s="168" t="str">
        <x:v>Multicarteira Outros</x:v>
      </x:c>
      <x:c r="J3544" s="168" t="str">
        <x:v>CI</x:v>
      </x:c>
      <x:c r="K3544" s="174"/>
      <x:c r="L3544" s="187" t="str">
        <x:v>Proxy multicedente/multissacado — revisar</x:v>
      </x:c>
    </x:row>
    <x:row r="3545">
      <x:c r="A3545" s="177" t="str">
        <x:v>54.373.367/0001-80</x:v>
      </x:c>
      <x:c r="B3545" s="168" t="str">
        <x:v>REVEE CASH FUNDO DE INVESTIMENTO EM DIREITOS CREDITÓRIOS NÃO PADRONIZADOS</x:v>
      </x:c>
      <x:c r="C3545" s="190" t="n">
        <x:v>0</x:v>
      </x:c>
      <x:c r="D3545" s="168" t="str">
        <x:v>REAG PORTFOLIO SOLUTIONS</x:v>
      </x:c>
      <x:c r="E3545" s="168" t="str">
        <x:f>IFERROR(INDEX('Classif Gestoras'!$H$6:$H$462,MATCH(D3545,'Classif Gestoras'!$A$6:$A$462,0)),"Não classificada")</x:f>
        <x:v>Independente</x:v>
      </x:c>
      <x:c r="F3545" s="168" t="str">
        <x:v>REAG DTVM</x:v>
      </x:c>
      <x:c r="G3545" s="168" t="str">
        <x:v>REAG TRUST DISTRIBUIDORA DE TITULOS E VALORES MOBILIARIOS S.A.</x:v>
      </x:c>
      <x:c r="H3545" s="168" t="str">
        <x:v>Outros</x:v>
      </x:c>
      <x:c r="I3545" s="168" t="str">
        <x:v>Multicarteira Outros</x:v>
      </x:c>
      <x:c r="J3545" s="168" t="str">
        <x:v>CI</x:v>
      </x:c>
      <x:c r="K3545" s="174" t="n">
        <x:v>1</x:v>
      </x:c>
      <x:c r="L3545" s="187" t="str">
        <x:v>Proxy multicedente/multissacado — revisar</x:v>
      </x:c>
    </x:row>
    <x:row r="3546">
      <x:c r="A3546" s="177" t="str">
        <x:v>54.389.751/0001-70</x:v>
      </x:c>
      <x:c r="B3546" s="168" t="str">
        <x:v>ÁRTICO DISTRESSED MULTIESTRATÉGIA FUNDO DE INVESTIMENTO EM DIREITOS CREDITÓRIOS NÃO PADRONIZADOS</x:v>
      </x:c>
      <x:c r="C3546" s="190" t="n">
        <x:v>0</x:v>
      </x:c>
      <x:c r="D3546" s="168" t="str">
        <x:v>TERCON ASSET MANAGEMENT</x:v>
      </x:c>
      <x:c r="E3546" s="168" t="str">
        <x:f>IFERROR(INDEX('Classif Gestoras'!$H$6:$H$462,MATCH(D3546,'Classif Gestoras'!$A$6:$A$462,0)),"Não classificada")</x:f>
        <x:v>Independente</x:v>
      </x:c>
      <x:c r="F3546" s="168" t="str">
        <x:v>MASTER S/A CORRETORA</x:v>
      </x:c>
      <x:c r="G3546" s="168" t="str">
        <x:v>QORE DISTRIBUIDORA DE TÍTULOS E VALORES MOBILIÁRIOS LTDA.</x:v>
      </x:c>
      <x:c r="H3546" s="168" t="str">
        <x:v>Outros</x:v>
      </x:c>
      <x:c r="I3546" s="168" t="str">
        <x:v>Multicarteira Outros</x:v>
      </x:c>
      <x:c r="J3546" s="168" t="str">
        <x:v>CI</x:v>
      </x:c>
      <x:c r="K3546" s="174" t="n">
        <x:v>1</x:v>
      </x:c>
      <x:c r="L3546" s="187" t="str">
        <x:v>Proxy multicedente/multissacado — revisar</x:v>
      </x:c>
    </x:row>
    <x:row r="3547">
      <x:c r="A3547" s="177" t="str">
        <x:v>48.213.143/0001-08</x:v>
      </x:c>
      <x:c r="B3547" s="168" t="str">
        <x:v>AXIUM CAPITAL FUNDO DE INVESTIMENTO EM DIREITOS CREDITÓRIOS NP - RESPONSABILIDADE LIMITADA</x:v>
      </x:c>
      <x:c r="C3547" s="190" t="n">
        <x:v>0</x:v>
      </x:c>
      <x:c r="D3547" s="168" t="str">
        <x:v>BURITI INVESTIMENTOS</x:v>
      </x:c>
      <x:c r="E3547" s="168" t="str">
        <x:f>IFERROR(INDEX('Classif Gestoras'!$H$6:$H$462,MATCH(D3547,'Classif Gestoras'!$A$6:$A$462,0)),"Não classificada")</x:f>
        <x:v>Independente</x:v>
      </x:c>
      <x:c r="F3547" s="168" t="str">
        <x:v>AZUMI DISTRIBUIDORA DE TÍTULOS E VALORES MOBILIÁRIOS LT</x:v>
      </x:c>
      <x:c r="G3547" s="168" t="str">
        <x:v>BARU DISTRIBUIDORA DE TÍTULOS E VALORES MOBILIÁRIOS LTDA.</x:v>
      </x:c>
      <x:c r="H3547" s="168" t="str">
        <x:v>Outros</x:v>
      </x:c>
      <x:c r="I3547" s="168" t="str">
        <x:v>Multicarteira Outros</x:v>
      </x:c>
      <x:c r="J3547" s="168" t="str">
        <x:v>CI</x:v>
      </x:c>
      <x:c r="K3547" s="174" t="n">
        <x:v>7</x:v>
      </x:c>
      <x:c r="L3547" s="187" t="str">
        <x:v>Proxy multicedente/multissacado — revisar</x:v>
      </x:c>
    </x:row>
    <x:row r="3548">
      <x:c r="A3548" s="177" t="str">
        <x:v>34.475.973/0001-07</x:v>
      </x:c>
      <x:c r="B3548" s="168" t="str">
        <x:v>CNPJ 34475973000107</x:v>
      </x:c>
      <x:c r="C3548" s="190" t="n">
        <x:v>0</x:v>
      </x:c>
      <x:c r="D3548" s="168" t="str">
        <x:v>REAG GESTÃO DE CRÉDITO</x:v>
      </x:c>
      <x:c r="E3548" s="168" t="str">
        <x:f>IFERROR(INDEX('Classif Gestoras'!$H$6:$H$462,MATCH(D3548,'Classif Gestoras'!$A$6:$A$462,0)),"Não classificada")</x:f>
        <x:v>Independente</x:v>
      </x:c>
      <x:c r="F3548" s="168" t="str">
        <x:v>Banvox DTVM</x:v>
      </x:c>
      <x:c r="G3548" s="168" t="str">
        <x:v>Não identificado</x:v>
      </x:c>
      <x:c r="H3548" s="168" t="str">
        <x:v>Financeiro</x:v>
      </x:c>
      <x:c r="I3548" s="168" t="str">
        <x:v>Financiamento de Veículos</x:v>
      </x:c>
      <x:c r="J3548" s="168" t="str">
        <x:v>CI</x:v>
      </x:c>
      <x:c r="K3548" s="174"/>
      <x:c r="L3548" s="187" t="str">
        <x:v>Não classificado</x:v>
      </x:c>
    </x:row>
    <x:row r="3549">
      <x:c r="A3549" s="177" t="str">
        <x:v>58.056.955/0001-40</x:v>
      </x:c>
      <x:c r="B3549" s="168" t="str">
        <x:v>CNPJ 58056955000140</x:v>
      </x:c>
      <x:c r="C3549" s="190" t="n">
        <x:v>0</x:v>
      </x:c>
      <x:c r="D3549" s="168" t="str">
        <x:v>Galápagos</x:v>
      </x:c>
      <x:c r="E3549" s="168" t="str">
        <x:f>IFERROR(INDEX('Classif Gestoras'!$H$6:$H$462,MATCH(D3549,'Classif Gestoras'!$A$6:$A$462,0)),"Não classificada")</x:f>
        <x:v>Independente</x:v>
      </x:c>
      <x:c r="F3549" s="168" t="str">
        <x:v>VÓRTX DTVM</x:v>
      </x:c>
      <x:c r="G3549" s="168" t="str">
        <x:v>Não identificado</x:v>
      </x:c>
      <x:c r="H3549" s="168" t="str">
        <x:v>Agro, Indústria e Comércio</x:v>
      </x:c>
      <x:c r="I3549" s="168" t="str">
        <x:v>Não se aplica</x:v>
      </x:c>
      <x:c r="J3549" s="168" t="str">
        <x:v>CI</x:v>
      </x:c>
      <x:c r="K3549" s="174"/>
      <x:c r="L3549" s="187" t="str">
        <x:v>Não classificado</x:v>
      </x:c>
    </x:row>
    <x:row r="3550">
      <x:c r="A3550" s="177" t="str">
        <x:v>23.773.301/0001-53</x:v>
      </x:c>
      <x:c r="B3550" s="168" t="str">
        <x:v>CNPJ 23773301000153</x:v>
      </x:c>
      <x:c r="C3550" s="190" t="n">
        <x:v>0</x:v>
      </x:c>
      <x:c r="D3550" s="168" t="str">
        <x:v>ANGÁ ASSET MANAGEMENT</x:v>
      </x:c>
      <x:c r="E3550" s="168" t="str">
        <x:f>IFERROR(INDEX('Classif Gestoras'!$H$6:$H$462,MATCH(D3550,'Classif Gestoras'!$A$6:$A$462,0)),"Não classificada")</x:f>
        <x:v>Independente</x:v>
      </x:c>
      <x:c r="F3550" s="168" t="str">
        <x:v>NECTON INVESTIMENTOS</x:v>
      </x:c>
      <x:c r="G3550" s="168" t="str">
        <x:v>Não identificado</x:v>
      </x:c>
      <x:c r="H3550" s="168" t="str">
        <x:v>Financeiro</x:v>
      </x:c>
      <x:c r="I3550" s="168" t="str">
        <x:v>Crédito Consignado</x:v>
      </x:c>
      <x:c r="J3550" s="168" t="str">
        <x:v>CI</x:v>
      </x:c>
      <x:c r="K3550" s="174"/>
      <x:c r="L3550" s="187" t="str">
        <x:v>Não classificado</x:v>
      </x:c>
    </x:row>
    <x:row r="3551">
      <x:c r="A3551" s="177" t="str">
        <x:v>54.503.197/0001-00</x:v>
      </x:c>
      <x:c r="B3551" s="168" t="str">
        <x:v>GANDRIA FUNDO DE INVESTIMENTO EM DIREITOS CREDITÓRIOS NÃO-PADRONIZADOS</x:v>
      </x:c>
      <x:c r="C3551" s="190" t="n">
        <x:v>0</x:v>
      </x:c>
      <x:c r="D3551" s="168" t="str">
        <x:v>4i Capital Ltda</x:v>
      </x:c>
      <x:c r="E3551" s="168" t="str">
        <x:f>IFERROR(INDEX('Classif Gestoras'!$H$6:$H$462,MATCH(D3551,'Classif Gestoras'!$A$6:$A$462,0)),"Não classificada")</x:f>
        <x:v>Independente</x:v>
      </x:c>
      <x:c r="F3551" s="168" t="str">
        <x:v>Finvest Digital</x:v>
      </x:c>
      <x:c r="G3551" s="168" t="str">
        <x:v>REAG TRUST DISTRIBUIDORA DE TITULOS E VALORES MOBILIARIOS S.A.</x:v>
      </x:c>
      <x:c r="H3551" s="168" t="str">
        <x:v>Outros</x:v>
      </x:c>
      <x:c r="I3551" s="168" t="str">
        <x:v>Multicarteira Outros</x:v>
      </x:c>
      <x:c r="J3551" s="168" t="str">
        <x:v>CI</x:v>
      </x:c>
      <x:c r="K3551" s="174" t="n">
        <x:v>1</x:v>
      </x:c>
      <x:c r="L3551" s="187" t="str">
        <x:v>Proxy multicedente/multissacado — revisar</x:v>
      </x:c>
    </x:row>
    <x:row r="3552">
      <x:c r="A3552" s="177" t="str">
        <x:v>62.874.327/0001-40</x:v>
      </x:c>
      <x:c r="B3552" s="168" t="str">
        <x:v>IC NAXOS FUNDO DE INVESTIMENTO EM DIREITOS CREDITÓRIOS</x:v>
      </x:c>
      <x:c r="C3552" s="190" t="n">
        <x:v>0</x:v>
      </x:c>
      <x:c r="D3552" s="168" t="str">
        <x:v>Iron Capital</x:v>
      </x:c>
      <x:c r="E3552" s="168" t="str">
        <x:f>IFERROR(INDEX('Classif Gestoras'!$H$6:$H$462,MATCH(D3552,'Classif Gestoras'!$A$6:$A$462,0)),"Não classificada")</x:f>
        <x:v>Independente</x:v>
      </x:c>
      <x:c r="F3552" s="168" t="str">
        <x:v>SEFER DTVM</x:v>
      </x:c>
      <x:c r="G3552" s="168" t="str">
        <x:v>SEFER INVESTIMENTOS DISTRIBUIDORA DE TÍTULOS E VALORES MOBILIÁRIOS LTDA.</x:v>
      </x:c>
      <x:c r="H3552" s="168" t="str">
        <x:v>Outros</x:v>
      </x:c>
      <x:c r="I3552" s="168" t="str">
        <x:v>Multicarteira Outros</x:v>
      </x:c>
      <x:c r="J3552" s="168" t="str">
        <x:v>CI</x:v>
      </x:c>
      <x:c r="K3552" s="174" t="n">
        <x:v>3</x:v>
      </x:c>
      <x:c r="L3552" s="187" t="str">
        <x:v>Proxy multicedente/multissacado — revisar</x:v>
      </x:c>
    </x:row>
    <x:row r="3553">
      <x:c r="A3553" s="177" t="str">
        <x:v>58.073.424/0001-66</x:v>
      </x:c>
      <x:c r="B3553" s="168" t="str">
        <x:v>BACO FUNDO DE INVESTIMENTO EM DIREITOS CREDITÓRIOS</x:v>
      </x:c>
      <x:c r="C3553" s="190" t="n">
        <x:v>0</x:v>
      </x:c>
      <x:c r="D3553" s="168" t="str">
        <x:v>Reag Administradora de Recursos Ltda</x:v>
      </x:c>
      <x:c r="E3553" s="168" t="str">
        <x:f>IFERROR(INDEX('Classif Gestoras'!$H$6:$H$462,MATCH(D3553,'Classif Gestoras'!$A$6:$A$462,0)),"Não classificada")</x:f>
        <x:v>Independente</x:v>
      </x:c>
      <x:c r="F3553" s="168" t="str">
        <x:v>REAG DTVM</x:v>
      </x:c>
      <x:c r="G3553" s="168" t="str">
        <x:v>REAG TRUST DISTRIBUIDORA DE TITULOS E VALORES MOBILIARIOS S.A.</x:v>
      </x:c>
      <x:c r="H3553" s="168" t="str">
        <x:v>Financeiro</x:v>
      </x:c>
      <x:c r="I3553" s="168" t="str">
        <x:v>Multicarteira Financeiro</x:v>
      </x:c>
      <x:c r="J3553" s="168" t="str">
        <x:v>CI</x:v>
      </x:c>
      <x:c r="K3553" s="174" t="n">
        <x:v>2</x:v>
      </x:c>
      <x:c r="L3553" s="187" t="str">
        <x:v>Proxy multicedente/multissacado — revisar</x:v>
      </x:c>
    </x:row>
    <x:row r="3554">
      <x:c r="A3554" s="177" t="str">
        <x:v>54.501.301/0001-28</x:v>
      </x:c>
      <x:c r="B3554" s="168" t="str">
        <x:v>URANO FUNDO DE INVESTIMENTOS EM DIREITOS CREDITÓRIOS</x:v>
      </x:c>
      <x:c r="C3554" s="190" t="n">
        <x:v>0</x:v>
      </x:c>
      <x:c r="D3554" s="168" t="str">
        <x:v>Reag Jus</x:v>
      </x:c>
      <x:c r="E3554" s="168" t="str">
        <x:f>IFERROR(INDEX('Classif Gestoras'!$H$6:$H$462,MATCH(D3554,'Classif Gestoras'!$A$6:$A$462,0)),"Não classificada")</x:f>
        <x:v>Independente</x:v>
      </x:c>
      <x:c r="F3554" s="168" t="str">
        <x:v>REAG DTVM</x:v>
      </x:c>
      <x:c r="G3554" s="168" t="str">
        <x:v>REAG TRUST DISTRIBUIDORA DE TITULOS E VALORES MOBILIARIOS S.A.</x:v>
      </x:c>
      <x:c r="H3554" s="168" t="str">
        <x:v>Outros</x:v>
      </x:c>
      <x:c r="I3554" s="168" t="str">
        <x:v>Multicarteira Outros</x:v>
      </x:c>
      <x:c r="J3554" s="168" t="str">
        <x:v>CI</x:v>
      </x:c>
      <x:c r="K3554" s="174" t="n">
        <x:v>1</x:v>
      </x:c>
      <x:c r="L3554" s="187" t="str">
        <x:v>Proxy multicedente/multissacado — revisar</x:v>
      </x:c>
    </x:row>
    <x:row r="3555">
      <x:c r="A3555" s="177" t="str">
        <x:v>59.461.469/0001-70</x:v>
      </x:c>
      <x:c r="B3555" s="168" t="str">
        <x:v>CNPJ 59461469000170</x:v>
      </x:c>
      <x:c r="C3555" s="190" t="n">
        <x:v>0</x:v>
      </x:c>
      <x:c r="D3555" s="168" t="str">
        <x:v>Violet</x:v>
      </x:c>
      <x:c r="E3555" s="168" t="str">
        <x:f>IFERROR(INDEX('Classif Gestoras'!$H$6:$H$462,MATCH(D3555,'Classif Gestoras'!$A$6:$A$462,0)),"Não classificada")</x:f>
        <x:v>Independente</x:v>
      </x:c>
      <x:c r="F3555" s="168" t="str">
        <x:v>VERT Distribuidora de Títulos e Valores Mobiliários Ltd</x:v>
      </x:c>
      <x:c r="G3555" s="168" t="str">
        <x:v>Não identificado</x:v>
      </x:c>
      <x:c r="H3555" s="168" t="str">
        <x:v>Agro, Indústria e Comércio</x:v>
      </x:c>
      <x:c r="I3555" s="168" t="str">
        <x:v>Não se aplica</x:v>
      </x:c>
      <x:c r="J3555" s="168" t="str">
        <x:v>CI</x:v>
      </x:c>
      <x:c r="K3555" s="174"/>
      <x:c r="L3555" s="187" t="str">
        <x:v>Não classificado</x:v>
      </x:c>
    </x:row>
    <x:row r="3556">
      <x:c r="A3556" s="177" t="str">
        <x:v>30.791.358/0001-40</x:v>
      </x:c>
      <x:c r="B3556" s="168" t="str">
        <x:v>G5 SAÚDE FUNDO DE INVESTIMENTO EM DIREITOS CREDITÓRIOS</x:v>
      </x:c>
      <x:c r="C3556" s="190" t="n">
        <x:v>0</x:v>
      </x:c>
      <x:c r="D3556" s="168" t="str">
        <x:v>G5 Adm. de Recursos</x:v>
      </x:c>
      <x:c r="E3556" s="168" t="str">
        <x:f>IFERROR(INDEX('Classif Gestoras'!$H$6:$H$462,MATCH(D3556,'Classif Gestoras'!$A$6:$A$462,0)),"Não classificada")</x:f>
        <x:v>Independente</x:v>
      </x:c>
      <x:c r="F3556" s="168" t="str">
        <x:v>Singulare</x:v>
      </x:c>
      <x:c r="G3556" s="168" t="str">
        <x:v>QI CORRETORA DE TÍTULOS E VALORES MOBILIÁRIOS S.A.</x:v>
      </x:c>
      <x:c r="H3556" s="168" t="str">
        <x:v>Outros</x:v>
      </x:c>
      <x:c r="I3556" s="168" t="str">
        <x:v>Multicarteira Outros</x:v>
      </x:c>
      <x:c r="J3556" s="168" t="str">
        <x:v>CI</x:v>
      </x:c>
      <x:c r="K3556" s="174" t="n">
        <x:v>0</x:v>
      </x:c>
      <x:c r="L3556" s="187" t="str">
        <x:v>Proxy multicedente/multissacado — revisar</x:v>
      </x:c>
    </x:row>
    <x:row r="3557">
      <x:c r="A3557" s="177" t="str">
        <x:v>23.798.073/0001-76</x:v>
      </x:c>
      <x:c r="B3557" s="168" t="str">
        <x:v>JC PLÁSTICOS FUNDO DE INVESTIMENTO EM DIREITOS CREDITORIOS NAO-PADRONIZADOS - FIDC - NP</x:v>
      </x:c>
      <x:c r="C3557" s="190" t="n">
        <x:v>0</x:v>
      </x:c>
      <x:c r="D3557" s="168" t="str">
        <x:v>GV ATACAMA CAPITAL LTDA.</x:v>
      </x:c>
      <x:c r="E3557" s="168" t="str">
        <x:f>IFERROR(INDEX('Classif Gestoras'!$H$6:$H$462,MATCH(D3557,'Classif Gestoras'!$A$6:$A$462,0)),"Não classificada")</x:f>
        <x:v>Independente</x:v>
      </x:c>
      <x:c r="F3557" s="168" t="str">
        <x:v>Singulare</x:v>
      </x:c>
      <x:c r="G3557" s="168" t="str">
        <x:v>BANCO BTG PACTUAL S/A</x:v>
      </x:c>
      <x:c r="H3557" s="168" t="str">
        <x:v>Outros</x:v>
      </x:c>
      <x:c r="I3557" s="168" t="str">
        <x:v>Poder Público</x:v>
      </x:c>
      <x:c r="J3557" s="168" t="str">
        <x:v>CI</x:v>
      </x:c>
      <x:c r="K3557" s="174" t="n">
        <x:v>4</x:v>
      </x:c>
      <x:c r="L3557" s="187" t="str">
        <x:v>Não classificado</x:v>
      </x:c>
    </x:row>
    <x:row r="3558">
      <x:c r="A3558" s="177" t="str">
        <x:v>36.083.015/0001-08</x:v>
      </x:c>
      <x:c r="B3558" s="168" t="str">
        <x:v>ENGEBANK FUNDO DE INVESTIMENTO EM DIREITOS CREDITÓRIOS</x:v>
      </x:c>
      <x:c r="C3558" s="190" t="n">
        <x:v>0</x:v>
      </x:c>
      <x:c r="D3558" s="168" t="str">
        <x:v>ASSET MANAGEMENT</x:v>
      </x:c>
      <x:c r="E3558" s="168" t="str">
        <x:f>IFERROR(INDEX('Classif Gestoras'!$H$6:$H$462,MATCH(D3558,'Classif Gestoras'!$A$6:$A$462,0)),"Não classificada")</x:f>
        <x:v>Independente</x:v>
      </x:c>
      <x:c r="F3558" s="168" t="str">
        <x:v>AZUMI DISTRIBUIDORA DE TÍTULOS E VALORES MOBILIÁRIOS LT</x:v>
      </x:c>
      <x:c r="G3558" s="168" t="str">
        <x:v>AZUMI DISTRIBUIDORA DE TÍTULOS E VALORES MOBILIÁRIOS LTDA.</x:v>
      </x:c>
      <x:c r="H3558" s="168" t="str">
        <x:v>Outros</x:v>
      </x:c>
      <x:c r="I3558" s="168" t="str">
        <x:v>Multicarteira Outros</x:v>
      </x:c>
      <x:c r="J3558" s="168" t="str">
        <x:v>CI</x:v>
      </x:c>
      <x:c r="K3558" s="174" t="n">
        <x:v>0</x:v>
      </x:c>
      <x:c r="L3558" s="187" t="str">
        <x:v>Proxy multicedente/multissacado — revisar</x:v>
      </x:c>
    </x:row>
    <x:row r="3559">
      <x:c r="A3559" s="177" t="str">
        <x:v>62.837.656/0001-10</x:v>
      </x:c>
      <x:c r="B3559" s="168" t="str">
        <x:v>CNPJ 62837656000110</x:v>
      </x:c>
      <x:c r="C3559" s="190" t="n">
        <x:v>0</x:v>
      </x:c>
      <x:c r="D3559" s="168" t="str">
        <x:v>Kanastra</x:v>
      </x:c>
      <x:c r="E3559" s="168" t="str">
        <x:f>IFERROR(INDEX('Classif Gestoras'!$H$6:$H$462,MATCH(D3559,'Classif Gestoras'!$A$6:$A$462,0)),"Não classificada")</x:f>
        <x:v>Independente</x:v>
      </x:c>
      <x:c r="F3559" s="168" t="str">
        <x:v>INTRAG DIST. DE TÍTU</x:v>
      </x:c>
      <x:c r="G3559" s="168" t="str">
        <x:v>Não identificado</x:v>
      </x:c>
      <x:c r="H3559" s="168" t="str">
        <x:v>Outros</x:v>
      </x:c>
      <x:c r="I3559" s="168" t="str">
        <x:v>Multicarteira Outros</x:v>
      </x:c>
      <x:c r="J3559" s="168" t="str">
        <x:v>CI</x:v>
      </x:c>
      <x:c r="K3559" s="174"/>
      <x:c r="L3559" s="187" t="str">
        <x:v>Proxy multicedente/multissacado — revisar</x:v>
      </x:c>
    </x:row>
    <x:row r="3560">
      <x:c r="A3560" s="177" t="str">
        <x:v>53.276.025/0001-89</x:v>
      </x:c>
      <x:c r="B3560" s="168" t="str">
        <x:v>KYM FUNDO DE INVESTIMENTO EM DIREITOS CREDITÓRIOS NÃO PADRONIZADO</x:v>
      </x:c>
      <x:c r="C3560" s="190" t="n">
        <x:v>0</x:v>
      </x:c>
      <x:c r="D3560" s="168" t="str">
        <x:v>Reag WM Gestora de Patrimônio Ltda</x:v>
      </x:c>
      <x:c r="E3560" s="168" t="str">
        <x:f>IFERROR(INDEX('Classif Gestoras'!$H$6:$H$462,MATCH(D3560,'Classif Gestoras'!$A$6:$A$462,0)),"Não classificada")</x:f>
        <x:v>Independente</x:v>
      </x:c>
      <x:c r="F3560" s="168" t="str">
        <x:v>REAG DTVM</x:v>
      </x:c>
      <x:c r="G3560" s="168" t="str">
        <x:v>REAG TRUST DISTRIBUIDORA DE TITULOS E VALORES MOBILIARIOS S.A.</x:v>
      </x:c>
      <x:c r="H3560" s="168" t="str">
        <x:v>Outros</x:v>
      </x:c>
      <x:c r="I3560" s="168" t="str">
        <x:v>Multicarteira Outros</x:v>
      </x:c>
      <x:c r="J3560" s="168" t="str">
        <x:v>CI</x:v>
      </x:c>
      <x:c r="K3560" s="174" t="n">
        <x:v>3</x:v>
      </x:c>
      <x:c r="L3560" s="187" t="str">
        <x:v>Proxy multicedente/multissacado — revisar</x:v>
      </x:c>
    </x:row>
    <x:row r="3561">
      <x:c r="A3561" s="177" t="str">
        <x:v>48.357.311/0001-39</x:v>
      </x:c>
      <x:c r="B3561" s="168" t="str">
        <x:v>JAFFA FUNDO DE INVESTIMENTO EM DIREITOS CREDITÓRIOS NÃO PADRONIZADOS</x:v>
      </x:c>
      <x:c r="C3561" s="190" t="n">
        <x:v>0</x:v>
      </x:c>
      <x:c r="D3561" s="168" t="str">
        <x:v>Reag Administradora de Recursos Ltda</x:v>
      </x:c>
      <x:c r="E3561" s="168" t="str">
        <x:f>IFERROR(INDEX('Classif Gestoras'!$H$6:$H$462,MATCH(D3561,'Classif Gestoras'!$A$6:$A$462,0)),"Não classificada")</x:f>
        <x:v>Independente</x:v>
      </x:c>
      <x:c r="F3561" s="168" t="str">
        <x:v>REAG DTVM</x:v>
      </x:c>
      <x:c r="G3561" s="168" t="str">
        <x:v>ID CORRETORA DE TITULOS E VALORES MOBILIARIOS S.A.</x:v>
      </x:c>
      <x:c r="H3561" s="168" t="str">
        <x:v>Outros</x:v>
      </x:c>
      <x:c r="I3561" s="168" t="str">
        <x:v>Multicarteira Outros</x:v>
      </x:c>
      <x:c r="J3561" s="168" t="str">
        <x:v>CI</x:v>
      </x:c>
      <x:c r="K3561" s="174" t="n">
        <x:v>0</x:v>
      </x:c>
      <x:c r="L3561" s="187" t="str">
        <x:v>Proxy multicedente/multissacado — revisar</x:v>
      </x:c>
    </x:row>
    <x:row r="3562">
      <x:c r="A3562" s="177" t="str">
        <x:v>54.389.836/0001-59</x:v>
      </x:c>
      <x:c r="B3562" s="168" t="str">
        <x:v>SERCARD MULTIESTRATÉGIA FUNDO DE INVESTIMENTO EM DIREITOS CREDITÓRIOS NÃO PADRONIZADO</x:v>
      </x:c>
      <x:c r="C3562" s="190" t="n">
        <x:v>0</x:v>
      </x:c>
      <x:c r="D3562" s="168" t="str">
        <x:v>TERCON ASSET MANAGEMENT</x:v>
      </x:c>
      <x:c r="E3562" s="168" t="str">
        <x:f>IFERROR(INDEX('Classif Gestoras'!$H$6:$H$462,MATCH(D3562,'Classif Gestoras'!$A$6:$A$462,0)),"Não classificada")</x:f>
        <x:v>Independente</x:v>
      </x:c>
      <x:c r="F3562" s="168" t="str">
        <x:v>Limine Trust Distribuidora de Titulos e Valores Mobiliá</x:v>
      </x:c>
      <x:c r="G3562" s="168" t="str">
        <x:v>QORE DISTRIBUIDORA DE TÍTULOS E VALORES MOBILIÁRIOS LTDA.</x:v>
      </x:c>
      <x:c r="H3562" s="168" t="str">
        <x:v>Fomento Mercantil</x:v>
      </x:c>
      <x:c r="I3562" s="168" t="str">
        <x:v>Fomento Mercantil</x:v>
      </x:c>
      <x:c r="J3562" s="168" t="str">
        <x:v>CI</x:v>
      </x:c>
      <x:c r="K3562" s="174" t="n">
        <x:v>1</x:v>
      </x:c>
      <x:c r="L3562" s="187" t="str">
        <x:v>Não classificado</x:v>
      </x:c>
    </x:row>
    <x:row r="3563">
      <x:c r="A3563" s="177" t="str">
        <x:v>48.357.568/0001-90</x:v>
      </x:c>
      <x:c r="B3563" s="168" t="str">
        <x:v>CIB-K FUNDO DE INVESTIMENTO EM DIREITOS CREDITÓRIOS NÃO PADRONIZADOS</x:v>
      </x:c>
      <x:c r="C3563" s="190" t="n">
        <x:v>0</x:v>
      </x:c>
      <x:c r="D3563" s="168" t="str">
        <x:v>Reag Administradora de Recursos Ltda</x:v>
      </x:c>
      <x:c r="E3563" s="168" t="str">
        <x:f>IFERROR(INDEX('Classif Gestoras'!$H$6:$H$462,MATCH(D3563,'Classif Gestoras'!$A$6:$A$462,0)),"Não classificada")</x:f>
        <x:v>Independente</x:v>
      </x:c>
      <x:c r="F3563" s="168" t="str">
        <x:v>REAG DTVM</x:v>
      </x:c>
      <x:c r="G3563" s="168" t="str">
        <x:v>REAG TRUST DISTRIBUIDORA DE TITULOS E VALORES MOBILIARIOS S.A.</x:v>
      </x:c>
      <x:c r="H3563" s="168" t="str">
        <x:v>Outros</x:v>
      </x:c>
      <x:c r="I3563" s="168" t="str">
        <x:v>Multicarteira Outros</x:v>
      </x:c>
      <x:c r="J3563" s="168" t="str">
        <x:v>CI</x:v>
      </x:c>
      <x:c r="K3563" s="174" t="n">
        <x:v>1</x:v>
      </x:c>
      <x:c r="L3563" s="187" t="str">
        <x:v>Proxy multicedente/multissacado — revisar</x:v>
      </x:c>
    </x:row>
    <x:row r="3564">
      <x:c r="A3564" s="177" t="str">
        <x:v>30.492.529/0001-30</x:v>
      </x:c>
      <x:c r="B3564" s="168" t="str">
        <x:v>CNPJ 30492529000130</x:v>
      </x:c>
      <x:c r="C3564" s="190" t="n">
        <x:v>0</x:v>
      </x:c>
      <x:c r="D3564" s="168" t="str">
        <x:v>OURO PRETO INVESTIMENTOS</x:v>
      </x:c>
      <x:c r="E3564" s="168" t="str">
        <x:f>IFERROR(INDEX('Classif Gestoras'!$H$6:$H$462,MATCH(D3564,'Classif Gestoras'!$A$6:$A$462,0)),"Não classificada")</x:f>
        <x:v>Independente</x:v>
      </x:c>
      <x:c r="F3564" s="168" t="str">
        <x:v>Oliveira Trust DTVM</x:v>
      </x:c>
      <x:c r="G3564" s="168" t="str">
        <x:v>Não identificado</x:v>
      </x:c>
      <x:c r="H3564" s="168" t="str">
        <x:v>Agro, Indústria e Comércio</x:v>
      </x:c>
      <x:c r="I3564" s="168" t="str">
        <x:v>Não se aplica</x:v>
      </x:c>
      <x:c r="J3564" s="168" t="str">
        <x:v>CI</x:v>
      </x:c>
      <x:c r="K3564" s="174"/>
      <x:c r="L3564" s="187" t="str">
        <x:v>Não classificado</x:v>
      </x:c>
    </x:row>
    <x:row r="3565">
      <x:c r="A3565" s="177" t="str">
        <x:v>54.422.285/0001-88</x:v>
      </x:c>
      <x:c r="B3565" s="168" t="str">
        <x:v>FUNDO DE INVESTIMENTO EM DIREITOS CREDITÓRIOS PP1 FINANCEIRO</x:v>
      </x:c>
      <x:c r="C3565" s="190" t="n">
        <x:v>0</x:v>
      </x:c>
      <x:c r="D3565" s="168" t="str">
        <x:v>VALORA RENDA FIXA LTDA.</x:v>
      </x:c>
      <x:c r="E3565" s="168" t="str">
        <x:f>IFERROR(INDEX('Classif Gestoras'!$H$6:$H$462,MATCH(D3565,'Classif Gestoras'!$A$6:$A$462,0)),"Não classificada")</x:f>
        <x:v>Independente</x:v>
      </x:c>
      <x:c r="F3565" s="168" t="str">
        <x:v>BANCO DAYCOVAL S/A</x:v>
      </x:c>
      <x:c r="G3565" s="168" t="str">
        <x:v>BANCO DAYCOVAL S.A.</x:v>
      </x:c>
      <x:c r="H3565" s="168" t="str">
        <x:v>Financeiro</x:v>
      </x:c>
      <x:c r="I3565" s="168" t="str">
        <x:v>Multicarteira Financeiro</x:v>
      </x:c>
      <x:c r="J3565" s="168" t="str">
        <x:v>CI</x:v>
      </x:c>
      <x:c r="K3565" s="174" t="n">
        <x:v>0</x:v>
      </x:c>
      <x:c r="L3565" s="187" t="str">
        <x:v>Proxy multicedente/multissacado — revisar</x:v>
      </x:c>
    </x:row>
    <x:row r="3566">
      <x:c r="A3566" s="177" t="str">
        <x:v>23.954.863/0001-01</x:v>
      </x:c>
      <x:c r="B3566" s="168" t="str">
        <x:v>JC 4870 IV FUNDO DE INVESTIMENTO EM DIREITOS CREDITÓRIOS NÃO-PADRONIZADOS - FIDC-NP</x:v>
      </x:c>
      <x:c r="C3566" s="190" t="n">
        <x:v>0</x:v>
      </x:c>
      <x:c r="D3566" s="168" t="str">
        <x:v>Jus Capital Gestão de Recursos LTDA</x:v>
      </x:c>
      <x:c r="E3566" s="168" t="str">
        <x:f>IFERROR(INDEX('Classif Gestoras'!$H$6:$H$462,MATCH(D3566,'Classif Gestoras'!$A$6:$A$462,0)),"Não classificada")</x:f>
        <x:v>Independente</x:v>
      </x:c>
      <x:c r="F3566" s="168" t="str">
        <x:v>Singulare</x:v>
      </x:c>
      <x:c r="G3566" s="168" t="str">
        <x:v>QI CORRETORA DE TÍTULOS E VALORES MOBILIÁRIOS S.A.</x:v>
      </x:c>
      <x:c r="H3566" s="168" t="str">
        <x:v>Outros</x:v>
      </x:c>
      <x:c r="I3566" s="168" t="str">
        <x:v>Poder Público</x:v>
      </x:c>
      <x:c r="J3566" s="168" t="str">
        <x:v>CI</x:v>
      </x:c>
      <x:c r="K3566" s="174" t="n">
        <x:v>0</x:v>
      </x:c>
      <x:c r="L3566" s="187" t="str">
        <x:v>Não classificado</x:v>
      </x:c>
    </x:row>
    <x:row r="3567">
      <x:c r="A3567" s="177" t="str">
        <x:v>53.279.486/0001-05</x:v>
      </x:c>
      <x:c r="B3567" s="168" t="str">
        <x:v>KSK FUNDO DE INVESTIMENTO EM DIREITOS CREDITÓRIOS NÃO-PADRONIZADOS RESPONSABILIDADE LIMITADA</x:v>
      </x:c>
      <x:c r="C3567" s="190" t="n">
        <x:v>0</x:v>
      </x:c>
      <x:c r="D3567" s="168" t="str">
        <x:v>IDGR</x:v>
      </x:c>
      <x:c r="E3567" s="168" t="str">
        <x:f>IFERROR(INDEX('Classif Gestoras'!$H$6:$H$462,MATCH(D3567,'Classif Gestoras'!$A$6:$A$462,0)),"Não classificada")</x:f>
        <x:v>Independente</x:v>
      </x:c>
      <x:c r="F3567" s="168" t="str">
        <x:v>ID Corretora de Títulos e Valores Mobiliários S.A.</x:v>
      </x:c>
      <x:c r="G3567" s="168" t="str">
        <x:v>ID CORRETORA DE TITULOS E VALORES MOBILIARIOS S.A.</x:v>
      </x:c>
      <x:c r="H3567" s="168" t="str">
        <x:v>Outros</x:v>
      </x:c>
      <x:c r="I3567" s="168" t="str">
        <x:v>Multicarteira Outros</x:v>
      </x:c>
      <x:c r="J3567" s="168" t="str">
        <x:v>CI</x:v>
      </x:c>
      <x:c r="K3567" s="174" t="n">
        <x:v>1</x:v>
      </x:c>
      <x:c r="L3567" s="187" t="str">
        <x:v>Proxy multicedente/multissacado — revisar</x:v>
      </x:c>
    </x:row>
    <x:row r="3568">
      <x:c r="A3568" s="177" t="str">
        <x:v>58.195.014/0001-98</x:v>
      </x:c>
      <x:c r="B3568" s="168" t="str">
        <x:v>CB FUNDO DE INVESTIMENTO EM DIREITOS CREDITÓRIOS - RESPONSABILIDADE LIMITADA</x:v>
      </x:c>
      <x:c r="C3568" s="190" t="n">
        <x:v>0</x:v>
      </x:c>
      <x:c r="D3568" s="168" t="str">
        <x:v>Aventis Asset</x:v>
      </x:c>
      <x:c r="E3568" s="168" t="str">
        <x:f>IFERROR(INDEX('Classif Gestoras'!$H$6:$H$462,MATCH(D3568,'Classif Gestoras'!$A$6:$A$462,0)),"Não classificada")</x:f>
        <x:v>Independente</x:v>
      </x:c>
      <x:c r="F3568" s="168" t="str">
        <x:v>Banvox DTVM</x:v>
      </x:c>
      <x:c r="G3568" s="168" t="str">
        <x:v>MERITO DISTRIBUIDORA DE TITULOS E VALORES MOBILIARIOS LTDA.</x:v>
      </x:c>
      <x:c r="H3568" s="168" t="str">
        <x:v>Agro, Indústria e Comércio</x:v>
      </x:c>
      <x:c r="I3568" s="168" t="str">
        <x:v>Recebíveis Comerciais</x:v>
      </x:c>
      <x:c r="J3568" s="168" t="str">
        <x:v>CI</x:v>
      </x:c>
      <x:c r="K3568" s="174" t="n">
        <x:v>1</x:v>
      </x:c>
      <x:c r="L3568" s="187" t="str">
        <x:v>Não classificado</x:v>
      </x:c>
    </x:row>
    <x:row r="3569">
      <x:c r="A3569" s="177" t="str">
        <x:v>58.199.148/0001-87</x:v>
      </x:c>
      <x:c r="B3569" s="168" t="str">
        <x:v>CNPJ 58199148000187</x:v>
      </x:c>
      <x:c r="C3569" s="190" t="n">
        <x:v>0</x:v>
      </x:c>
      <x:c r="D3569" s="168" t="str">
        <x:v>Farmtech Gestão de Recursos Ltda.</x:v>
      </x:c>
      <x:c r="E3569" s="168" t="str">
        <x:f>IFERROR(INDEX('Classif Gestoras'!$H$6:$H$462,MATCH(D3569,'Classif Gestoras'!$A$6:$A$462,0)),"Não classificada")</x:f>
        <x:v>Independente</x:v>
      </x:c>
      <x:c r="F3569" s="168" t="str">
        <x:v>Oliveira Trust DTVM</x:v>
      </x:c>
      <x:c r="G3569" s="168" t="str">
        <x:v>Não identificado</x:v>
      </x:c>
      <x:c r="H3569" s="168" t="str">
        <x:v>Agro, Indústria e Comércio</x:v>
      </x:c>
      <x:c r="I3569" s="168" t="str">
        <x:v>Não se aplica</x:v>
      </x:c>
      <x:c r="J3569" s="168" t="str">
        <x:v>CI</x:v>
      </x:c>
      <x:c r="K3569" s="174"/>
      <x:c r="L3569" s="187" t="str">
        <x:v>Não classificado</x:v>
      </x:c>
    </x:row>
    <x:row r="3570">
      <x:c r="A3570" s="177" t="str">
        <x:v>48.928.851/0001-25</x:v>
      </x:c>
      <x:c r="B3570" s="168" t="str">
        <x:v>SIMULTI FUNDO DE INVESTIMENTO EM DIREITOS CREDITÓRIOS</x:v>
      </x:c>
      <x:c r="C3570" s="190" t="n">
        <x:v>0</x:v>
      </x:c>
      <x:c r="D3570" s="168" t="str">
        <x:v>Acura Gestora de Recursos LTDA.</x:v>
      </x:c>
      <x:c r="E3570" s="168" t="str">
        <x:f>IFERROR(INDEX('Classif Gestoras'!$H$6:$H$462,MATCH(D3570,'Classif Gestoras'!$A$6:$A$462,0)),"Não classificada")</x:f>
        <x:v>Independente</x:v>
      </x:c>
      <x:c r="F3570" s="168" t="str">
        <x:v>MASTER S/A CORRETORA</x:v>
      </x:c>
      <x:c r="G3570" s="168" t="str">
        <x:v>ID CORRETORA DE TITULOS E VALORES MOBILIARIOS S.A.</x:v>
      </x:c>
      <x:c r="H3570" s="168" t="str">
        <x:v>Outros</x:v>
      </x:c>
      <x:c r="I3570" s="168" t="str">
        <x:v>Multicarteira Outros</x:v>
      </x:c>
      <x:c r="J3570" s="168" t="str">
        <x:v>CI</x:v>
      </x:c>
      <x:c r="K3570" s="174" t="n">
        <x:v>7</x:v>
      </x:c>
      <x:c r="L3570" s="187" t="str">
        <x:v>Proxy multicedente/multissacado — revisar</x:v>
      </x:c>
    </x:row>
    <x:row r="3571">
      <x:c r="A3571" s="177" t="str">
        <x:v>54.407.927/0001-70</x:v>
      </x:c>
      <x:c r="B3571" s="168" t="str">
        <x:v>CNPJ 54407927000170</x:v>
      </x:c>
      <x:c r="C3571" s="190" t="n">
        <x:v>0</x:v>
      </x:c>
      <x:c r="D3571" s="168" t="str">
        <x:v>REAG GESTÃO DE CRÉDITO</x:v>
      </x:c>
      <x:c r="E3571" s="168" t="str">
        <x:f>IFERROR(INDEX('Classif Gestoras'!$H$6:$H$462,MATCH(D3571,'Classif Gestoras'!$A$6:$A$462,0)),"Não classificada")</x:f>
        <x:v>Independente</x:v>
      </x:c>
      <x:c r="F3571" s="168" t="str">
        <x:v>REAG DTVM</x:v>
      </x:c>
      <x:c r="G3571" s="168" t="str">
        <x:v>Não identificado</x:v>
      </x:c>
      <x:c r="H3571" s="168" t="str">
        <x:v>Outros</x:v>
      </x:c>
      <x:c r="I3571" s="168" t="str">
        <x:v>Multicarteira Outros</x:v>
      </x:c>
      <x:c r="J3571" s="168" t="str">
        <x:v>CI</x:v>
      </x:c>
      <x:c r="K3571" s="174"/>
      <x:c r="L3571" s="187" t="str">
        <x:v>Proxy multicedente/multissacado — revisar</x:v>
      </x:c>
    </x:row>
    <x:row r="3572">
      <x:c r="A3572" s="177" t="str">
        <x:v>36.017.588/0001-33</x:v>
      </x:c>
      <x:c r="B3572" s="168" t="str">
        <x:v>JEITTO FUNDO DE INVESTIMENTO EM DIREITOS CREDITÓRIOS</x:v>
      </x:c>
      <x:c r="C3572" s="190" t="n">
        <x:v>0</x:v>
      </x:c>
      <x:c r="D3572" s="168" t="str">
        <x:v>TERCON ASSET MANAGEMENT</x:v>
      </x:c>
      <x:c r="E3572" s="168" t="str">
        <x:f>IFERROR(INDEX('Classif Gestoras'!$H$6:$H$462,MATCH(D3572,'Classif Gestoras'!$A$6:$A$462,0)),"Não classificada")</x:f>
        <x:v>Independente</x:v>
      </x:c>
      <x:c r="F3572" s="168" t="str">
        <x:v>MASTER S/A CORRETORA</x:v>
      </x:c>
      <x:c r="G3572" s="168" t="str">
        <x:v>MASTER S/A CORRETORA DE CAMBIO, TITULOS E VALORES MOBILIARIOS</x:v>
      </x:c>
      <x:c r="H3572" s="168" t="str">
        <x:v>Outros</x:v>
      </x:c>
      <x:c r="I3572" s="168" t="str">
        <x:v>Multicarteira Outros</x:v>
      </x:c>
      <x:c r="J3572" s="168" t="str">
        <x:v>CI</x:v>
      </x:c>
      <x:c r="K3572" s="174" t="n">
        <x:v>1</x:v>
      </x:c>
      <x:c r="L3572" s="187" t="str">
        <x:v>Proxy multicedente/multissacado — revisar</x:v>
      </x:c>
    </x:row>
    <x:row r="3573">
      <x:c r="A3573" s="177" t="str">
        <x:v>24.069.420/0001-92</x:v>
      </x:c>
      <x:c r="B3573" s="168" t="str">
        <x:v>RIO CLARO FUNDO DE INVESTIMENTO EM DIREITOS CREDITORIOS</x:v>
      </x:c>
      <x:c r="C3573" s="190" t="n">
        <x:v>0</x:v>
      </x:c>
      <x:c r="D3573" s="168" t="str">
        <x:v>TRUSTEE DTVM</x:v>
      </x:c>
      <x:c r="E3573" s="168" t="str">
        <x:f>IFERROR(INDEX('Classif Gestoras'!$H$6:$H$462,MATCH(D3573,'Classif Gestoras'!$A$6:$A$462,0)),"Não classificada")</x:f>
        <x:v>Independente</x:v>
      </x:c>
      <x:c r="F3573" s="168" t="str">
        <x:v>TRUSTEE DTVM</x:v>
      </x:c>
      <x:c r="G3573" s="168" t="str">
        <x:v>TRUSTEE DISTRIBUIDORA DE TITULOS E VALORES MOBILIARIOS LTDA.</x:v>
      </x:c>
      <x:c r="H3573" s="168" t="str">
        <x:v>Outros</x:v>
      </x:c>
      <x:c r="I3573" s="168" t="str">
        <x:v>Multicarteira Outros</x:v>
      </x:c>
      <x:c r="J3573" s="168" t="str">
        <x:v>CI</x:v>
      </x:c>
      <x:c r="K3573" s="174" t="n">
        <x:v>1</x:v>
      </x:c>
      <x:c r="L3573" s="187" t="str">
        <x:v>Proxy multicedente/multissacado — revisar</x:v>
      </x:c>
    </x:row>
    <x:row r="3574">
      <x:c r="A3574" s="177" t="str">
        <x:v>08.692.888/0001-82</x:v>
      </x:c>
      <x:c r="B3574" s="168" t="str">
        <x:v>CNPJ 08692888000182</x:v>
      </x:c>
      <x:c r="C3574" s="190" t="n">
        <x:v>0</x:v>
      </x:c>
      <x:c r="D3574" s="168" t="str">
        <x:v>Oliveira Trust Servicer</x:v>
      </x:c>
      <x:c r="E3574" s="168" t="str">
        <x:f>IFERROR(INDEX('Classif Gestoras'!$H$6:$H$462,MATCH(D3574,'Classif Gestoras'!$A$6:$A$462,0)),"Não classificada")</x:f>
        <x:v>Independente</x:v>
      </x:c>
      <x:c r="F3574" s="168" t="str">
        <x:v>Oliveira Trust DTVM</x:v>
      </x:c>
      <x:c r="G3574" s="168" t="str">
        <x:v>Não identificado</x:v>
      </x:c>
      <x:c r="H3574" s="168" t="str">
        <x:v>Financeiro</x:v>
      </x:c>
      <x:c r="I3574" s="168" t="str">
        <x:v>Crédito Pessoal</x:v>
      </x:c>
      <x:c r="J3574" s="168" t="str">
        <x:v>CI</x:v>
      </x:c>
      <x:c r="K3574" s="174"/>
      <x:c r="L3574" s="187" t="str">
        <x:v>Não classificado</x:v>
      </x:c>
    </x:row>
    <x:row r="3575">
      <x:c r="A3575" s="178" t="str">
        <x:v>28.474.974/0001-26</x:v>
      </x:c>
      <x:c r="B3575" s="169" t="str">
        <x:v>CNPJ 28474974000126</x:v>
      </x:c>
      <x:c r="C3575" s="191" t="n">
        <x:v>0</x:v>
      </x:c>
      <x:c r="D3575" s="169" t="str">
        <x:v>JIVE INVESTMENTS</x:v>
      </x:c>
      <x:c r="E3575" s="169" t="str">
        <x:f>IFERROR(INDEX('Classif Gestoras'!$H$6:$H$462,MATCH(D3575,'Classif Gestoras'!$A$6:$A$462,0)),"Não classificada")</x:f>
        <x:v>Independente</x:v>
      </x:c>
      <x:c r="F3575" s="169" t="str">
        <x:v>MAF Distribuidora de Títulos e Valores Mobiliários S.A.</x:v>
      </x:c>
      <x:c r="G3575" s="169" t="str">
        <x:v>Não identificado</x:v>
      </x:c>
      <x:c r="H3575" s="169" t="str">
        <x:v>Outros</x:v>
      </x:c>
      <x:c r="I3575" s="169" t="str">
        <x:v>Poder Público</x:v>
      </x:c>
      <x:c r="J3575" s="169" t="str">
        <x:v>CI</x:v>
      </x:c>
      <x:c r="K3575" s="175"/>
      <x:c r="L3575" s="188" t="str">
        <x:v>Não classificado</x:v>
      </x:c>
    </x:row>
  </x:sheetData>
  <x:mergeCells>
    <x:mergeCell ref="A1:L2"/>
    <x:mergeCell ref="A3:L3"/>
  </x:mergeCells>
  <x:dataValidations count="1">
    <x:dataValidation type="list" sqref="L6:L3575">
      <x:formula1>"Não classificado,Multicedente/multissacado,Monocedente/monossacado,Proxy multicedente/multissacado — revisar"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</x:cols>
  <x:sheetData>
    <x:row r="1" ht="30" customHeight="1">
      <x:c r="A1" s="4" t="str">
        <x:v>Checks de integridade</x:v>
      </x:c>
      <x:c r="B1" s="4" t="str">
        <x:v>Checks de integridade</x:v>
      </x:c>
      <x:c r="C1" s="4" t="str">
        <x:v>Checks de integridade</x:v>
      </x:c>
      <x:c r="D1" s="4" t="str">
        <x:v>Checks de integridade</x:v>
      </x:c>
      <x:c r="E1" s="4" t="str">
        <x:v>Checks de integridade</x:v>
      </x:c>
      <x:c r="F1" s="4" t="str">
        <x:v>Checks de integridade</x:v>
      </x:c>
    </x:row>
    <x:row r="2" ht="30" customHeight="1">
      <x:c r="A2" s="4" t="str">
        <x:v>Checks de integridade</x:v>
      </x:c>
      <x:c r="B2" s="4" t="str">
        <x:v>Checks de integridade</x:v>
      </x:c>
      <x:c r="C2" s="4" t="str">
        <x:v>Checks de integridade</x:v>
      </x:c>
      <x:c r="D2" s="4" t="str">
        <x:v>Checks de integridade</x:v>
      </x:c>
      <x:c r="E2" s="4" t="str">
        <x:v>Checks de integridade</x:v>
      </x:c>
      <x:c r="F2" s="4" t="str">
        <x:v>Checks de integridade</x:v>
      </x:c>
    </x:row>
    <x:row r="3">
      <x:c r="A3" s="198"/>
      <x:c r="B3" s="198"/>
      <x:c r="C3" s="198"/>
      <x:c r="D3" s="198"/>
      <x:c r="E3" s="198"/>
      <x:c r="F3" s="198"/>
    </x:row>
    <x:row r="4" ht="28" customHeight="1">
      <x:c r="A4" s="20" t="str">
        <x:v>Check</x:v>
      </x:c>
      <x:c r="B4" s="21" t="str">
        <x:v>Valor A</x:v>
      </x:c>
      <x:c r="C4" s="21" t="str">
        <x:v>Valor B</x:v>
      </x:c>
      <x:c r="D4" s="21" t="str">
        <x:v>Diferença</x:v>
      </x:c>
      <x:c r="E4" s="21" t="str">
        <x:v>Tolerância</x:v>
      </x:c>
      <x:c r="F4" s="22" t="str">
        <x:v>Status</x:v>
      </x:c>
    </x:row>
    <x:row r="5">
      <x:c r="A5" s="110" t="str">
        <x:v>PL maio/26 × soma das classes</x:v>
      </x:c>
      <x:c r="B5" s="192" t="n">
        <x:v>751088455158.1736</x:v>
      </x:c>
      <x:c r="C5" s="192" t="n">
        <x:f>SUM('PL por Classe'!M5:M8)*1000000000</x:f>
        <x:v>751088455158.1737</x:v>
      </x:c>
      <x:c r="D5" s="192" t="n">
        <x:f>ABS(B5-C5)</x:f>
        <x:v>0.0001220703125</x:v>
      </x:c>
      <x:c r="E5" s="192" t="n">
        <x:v>1000</x:v>
      </x:c>
      <x:c r="F5" s="110" t="str">
        <x:f>IF(D5&lt;=E5,"OK","REVISAR")</x:f>
        <x:v>OK</x:v>
      </x:c>
    </x:row>
    <x:row r="6">
      <x:c r="A6" s="111" t="str">
        <x:v>PL fundos × card</x:v>
      </x:c>
      <x:c r="B6" s="193" t="n">
        <x:f>SUM('Base Fundos'!$C$6:$C$3575)</x:f>
        <x:v>751089647741.4642</x:v>
      </x:c>
      <x:c r="C6" s="193" t="n">
        <x:v>751088455158.1736</x:v>
      </x:c>
      <x:c r="D6" s="193" t="n">
        <x:f>ABS(B6-C6)</x:f>
        <x:v>1192583.290649414</x:v>
      </x:c>
      <x:c r="E6" s="193" t="n">
        <x:v>2000000</x:v>
      </x:c>
      <x:c r="F6" s="111" t="str">
        <x:f>IF(D6&lt;=E6,"OK","REVISAR")</x:f>
        <x:v>OK</x:v>
      </x:c>
    </x:row>
    <x:row r="7">
      <x:c r="A7" s="111" t="str">
        <x:v>PL 2025 anual × série mensal</x:v>
      </x:c>
      <x:c r="B7" s="193" t="n">
        <x:v>745287342056.6174</x:v>
      </x:c>
      <x:c r="C7" s="193" t="n">
        <x:f>'Evolucao PL'!B17*1000000</x:f>
        <x:v>745287342056.6174</x:v>
      </x:c>
      <x:c r="D7" s="193" t="n">
        <x:f>ABS(B7-C7)</x:f>
        <x:v>0</x:v>
      </x:c>
      <x:c r="E7" s="193" t="n">
        <x:v>1000</x:v>
      </x:c>
      <x:c r="F7" s="111" t="str">
        <x:f>IF(D7&lt;=E7,"OK","REVISAR")</x:f>
        <x:v>OK</x:v>
      </x:c>
    </x:row>
    <x:row r="8">
      <x:c r="A8" s="111" t="str">
        <x:v>Fundos top base</x:v>
      </x:c>
      <x:c r="B8" s="193" t="n">
        <x:v>3570</x:v>
      </x:c>
      <x:c r="C8" s="193" t="n">
        <x:v>3570</x:v>
      </x:c>
      <x:c r="D8" s="193" t="n">
        <x:f>ABS(B8-C8)</x:f>
        <x:v>0</x:v>
      </x:c>
      <x:c r="E8" s="193" t="n">
        <x:v>0</x:v>
      </x:c>
      <x:c r="F8" s="111" t="str">
        <x:f>IF(D8&lt;=E8,"OK","REVISAR")</x:f>
        <x:v>OK</x:v>
      </x:c>
    </x:row>
    <x:row r="9">
      <x:c r="A9" s="111" t="str">
        <x:v>Gestoras ativas listadas</x:v>
      </x:c>
      <x:c r="B9" s="193" t="n">
        <x:v>457</x:v>
      </x:c>
      <x:c r="C9" s="193" t="n">
        <x:v>457</x:v>
      </x:c>
      <x:c r="D9" s="193" t="n">
        <x:f>ABS(B9-C9)</x:f>
        <x:v>0</x:v>
      </x:c>
      <x:c r="E9" s="193" t="n">
        <x:v>0</x:v>
      </x:c>
      <x:c r="F9" s="111" t="str">
        <x:f>IF(D9&lt;=E9,"OK","REVISAR")</x:f>
        <x:v>OK</x:v>
      </x:c>
    </x:row>
    <x:row r="10">
      <x:c r="A10" s="111" t="str">
        <x:v>Cobertura nome de fundo</x:v>
      </x:c>
      <x:c r="B10" s="193" t="n">
        <x:v>0.9249299719887956</x:v>
      </x:c>
      <x:c r="C10" s="193" t="n">
        <x:v>0.9</x:v>
      </x:c>
      <x:c r="D10" s="193" t="n">
        <x:f>ABS(B10-C10)</x:f>
        <x:v>0.02492997198879554</x:v>
      </x:c>
      <x:c r="E10" s="193" t="n">
        <x:v>0</x:v>
      </x:c>
      <x:c r="F10" s="111" t="str">
        <x:f>IF(B10&gt;=C10,"OK","REVISAR")</x:f>
        <x:v>OK</x:v>
      </x:c>
    </x:row>
    <x:row r="11">
      <x:c r="A11" s="111" t="str">
        <x:v>Cobertura custódia por PL</x:v>
      </x:c>
      <x:c r="B11" s="193" t="n">
        <x:v>0.975244871384428</x:v>
      </x:c>
      <x:c r="C11" s="193" t="n">
        <x:v>0.95</x:v>
      </x:c>
      <x:c r="D11" s="193" t="n">
        <x:f>ABS(B11-C11)</x:f>
        <x:v>0.02524487138442799</x:v>
      </x:c>
      <x:c r="E11" s="193" t="n">
        <x:v>0</x:v>
      </x:c>
      <x:c r="F11" s="111" t="str">
        <x:f>IF(B11&gt;=C11,"OK","REVISAR")</x:f>
        <x:v>OK</x:v>
      </x:c>
    </x:row>
    <x:row r="12">
      <x:c r="A12" s="111" t="str">
        <x:v>Fundos &gt;200mm com cotistas</x:v>
      </x:c>
      <x:c r="B12" s="193" t="n">
        <x:v>657</x:v>
      </x:c>
      <x:c r="C12" s="193" t="n">
        <x:v>657</x:v>
      </x:c>
      <x:c r="D12" s="193" t="n">
        <x:f>ABS(B12-C12)</x:f>
        <x:v>0</x:v>
      </x:c>
      <x:c r="E12" s="193" t="n">
        <x:v>0</x:v>
      </x:c>
      <x:c r="F12" s="111" t="str">
        <x:f>IF(D12&lt;=E12,"OK","REVISAR")</x:f>
        <x:v>OK</x:v>
      </x:c>
    </x:row>
    <x:row r="13">
      <x:c r="A13" s="112" t="str">
        <x:v>Emissões 2025</x:v>
      </x:c>
      <x:c r="B13" s="194" t="n">
        <x:v>90985106092.70312</x:v>
      </x:c>
      <x:c r="C13" s="194" t="n">
        <x:f>'Emissoes'!G6*1000000000</x:f>
        <x:v>90985106092.7</x:v>
      </x:c>
      <x:c r="D13" s="194" t="n">
        <x:f>ABS(B13-C13)</x:f>
        <x:v>0.0031280517578125</x:v>
      </x:c>
      <x:c r="E13" s="194" t="n">
        <x:v>1000</x:v>
      </x:c>
      <x:c r="F13" s="112" t="str">
        <x:f>IF(D13&lt;=E13,"OK","REVISAR")</x:f>
        <x:v>OK</x:v>
      </x:c>
    </x:row>
  </x:sheetData>
  <x:mergeCells>
    <x:mergeCell ref="A1:F2"/>
  </x:mergeCells>
  <x:conditionalFormatting sqref="F5:F13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6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4" t="str">
        <x:v>Fontes e metodologia de cada bloco</x:v>
      </x:c>
      <x:c r="B1" s="4" t="str">
        <x:v>Fontes e metodologia de cada bloco</x:v>
      </x:c>
      <x:c r="C1" s="4" t="str">
        <x:v>Fontes e metodologia de cada bloco</x:v>
      </x:c>
      <x:c r="D1" s="4" t="str">
        <x:v>Fontes e metodologia de cada bloco</x:v>
      </x:c>
      <x:c r="E1" s="4" t="str">
        <x:v>Fontes e metodologia de cada bloco</x:v>
      </x:c>
      <x:c r="F1" s="4" t="str">
        <x:v>Fontes e metodologia de cada bloco</x:v>
      </x:c>
    </x:row>
    <x:row r="2" ht="30" customHeight="1">
      <x:c r="A2" s="4" t="str">
        <x:v>Fontes e metodologia de cada bloco</x:v>
      </x:c>
      <x:c r="B2" s="4" t="str">
        <x:v>Fontes e metodologia de cada bloco</x:v>
      </x:c>
      <x:c r="C2" s="4" t="str">
        <x:v>Fontes e metodologia de cada bloco</x:v>
      </x:c>
      <x:c r="D2" s="4" t="str">
        <x:v>Fontes e metodologia de cada bloco</x:v>
      </x:c>
      <x:c r="E2" s="4" t="str">
        <x:v>Fontes e metodologia de cada bloco</x:v>
      </x:c>
      <x:c r="F2" s="4" t="str">
        <x:v>Fontes e metodologia de cada bloco</x:v>
      </x:c>
    </x:row>
    <x:row r="3">
      <x:c r="A3" s="198"/>
      <x:c r="B3" s="198"/>
      <x:c r="C3" s="198"/>
      <x:c r="D3" s="198"/>
      <x:c r="E3" s="198"/>
      <x:c r="F3" s="198"/>
    </x:row>
    <x:row r="4" ht="28" customHeight="1">
      <x:c r="A4" s="20" t="str">
        <x:v>Bloco</x:v>
      </x:c>
      <x:c r="B4" s="21" t="str">
        <x:v>Fonte</x:v>
      </x:c>
      <x:c r="C4" s="21" t="str">
        <x:v>URL / referência</x:v>
      </x:c>
      <x:c r="D4" s="21" t="str">
        <x:v>Período</x:v>
      </x:c>
      <x:c r="E4" s="21" t="str">
        <x:v>Unidade</x:v>
      </x:c>
      <x:c r="F4" s="22" t="str">
        <x:v>Nota</x:v>
      </x:c>
    </x:row>
    <x:row r="5" ht="44" customHeight="1">
      <x:c r="A5" s="195" t="str">
        <x:v>PL anual 2013–2023</x:v>
      </x:c>
      <x:c r="B5" s="195" t="str">
        <x:v>Valores visíveis no gráfico fornecido pelo usuário</x:v>
      </x:c>
      <x:c r="C5" s="195" t="str">
        <x:v>Imagens de referência fornecidas pelo usuário (histórico 2013–2023)</x:v>
      </x:c>
      <x:c r="D5" s="195" t="str">
        <x:v>Ano</x:v>
      </x:c>
      <x:c r="E5" s="195" t="str">
        <x:v>R$ mm</x:v>
      </x:c>
      <x:c r="F5" s="195" t="str">
        <x:v>Preserva exatamente a referência</x:v>
      </x:c>
    </x:row>
    <x:row r="6" ht="44" customHeight="1">
      <x:c r="A6" s="196" t="str">
        <x:v>PL anual 2024–2025</x:v>
      </x:c>
      <x:c r="B6" s="196" t="str">
        <x:v>Dashboard ANBIMA FIDCs</x:v>
      </x:c>
      <x:c r="C6" s="196" t="str">
        <x:v>https://data.anbima.com.br/publicacoes/fundos-de-investimento/dashboard-de-fidcs</x:v>
      </x:c>
      <x:c r="D6" s="196" t="str">
        <x:v>Dezembro</x:v>
      </x:c>
      <x:c r="E6" s="196" t="str">
        <x:v>R$ mm</x:v>
      </x:c>
      <x:c r="F6" s="196" t="str">
        <x:v>Fechamento anual extraído do visual</x:v>
      </x:c>
    </x:row>
    <x:row r="7" ht="44" customHeight="1">
      <x:c r="A7" s="196" t="str">
        <x:v>PL mensal e tipos ANBIMA</x:v>
      </x:c>
      <x:c r="B7" s="196" t="str">
        <x:v>Dashboard ANBIMA FIDCs</x:v>
      </x:c>
      <x:c r="C7" s="196" t="str">
        <x:v>https://app.powerbi.com/view?r=eyJrIjoiM2M2NzVmOWItMzI0Yi00MTE1LWI5ZmYtZTM0ZWM4ZDUwODNlIiwidCI6Ijk3OTM3M2VkLWQxMzAtNDU4NS1iNTY5LTNjM2NlNjE0MTIyNyJ9</x:v>
      </x:c>
      <x:c r="D7" s="196" t="str">
        <x:v>Mensal</x:v>
      </x:c>
      <x:c r="E7" s="196" t="str">
        <x:v>R$</x:v>
      </x:c>
      <x:c r="F7" s="196" t="str">
        <x:v>Out/2024–Mai/2026</x:v>
      </x:c>
    </x:row>
    <x:row r="8" ht="44" customHeight="1">
      <x:c r="A8" s="196" t="str">
        <x:v>Emissões</x:v>
      </x:c>
      <x:c r="B8" s="196" t="str">
        <x:v>Dashboard ANBIMA FIDCs</x:v>
      </x:c>
      <x:c r="C8" s="196" t="str">
        <x:v>https://app.powerbi.com/view?r=eyJrIjoiM2M2NzVmOWItMzI0Yi00MTE1LWI5ZmYtZTM0ZWM4ZDUwODNlIiwidCI6Ijk3OTM3M2VkLWQxMzAtNDU4NS1iNTY5LTNjM2NlNjE0MTIyNyJ9</x:v>
      </x:c>
      <x:c r="D8" s="196" t="str">
        <x:v>Mensal</x:v>
      </x:c>
      <x:c r="E8" s="196" t="str">
        <x:v>R$</x:v>
      </x:c>
      <x:c r="F8" s="196" t="str">
        <x:v>Variação do acumulado por subscritor</x:v>
      </x:c>
    </x:row>
    <x:row r="9" ht="44" customHeight="1">
      <x:c r="A9" s="196" t="str">
        <x:v>Gestores e administradores</x:v>
      </x:c>
      <x:c r="B9" s="196" t="str">
        <x:v>Dashboard ANBIMA FIDCs</x:v>
      </x:c>
      <x:c r="C9" s="196" t="str">
        <x:v>https://app.powerbi.com/view?r=eyJrIjoiM2M2NzVmOWItMzI0Yi00MTE1LWI5ZmYtZTM0ZWM4ZDUwODNlIiwidCI6Ijk3OTM3M2VkLWQxMzAtNDU4NS1iNTY5LTNjM2NlNjE0MTIyNyJ9</x:v>
      </x:c>
      <x:c r="D9" s="196" t="str">
        <x:v>Mai/2026</x:v>
      </x:c>
      <x:c r="E9" s="196" t="str">
        <x:v>R$</x:v>
      </x:c>
      <x:c r="F9" s="196" t="str">
        <x:v>PL agregado por prestador e tipo</x:v>
      </x:c>
    </x:row>
    <x:row r="10" ht="44" customHeight="1">
      <x:c r="A10" s="196" t="str">
        <x:v>PL e tipo dos fundos</x:v>
      </x:c>
      <x:c r="B10" s="196" t="str">
        <x:v>Dashboard ANBIMA FIDCs</x:v>
      </x:c>
      <x:c r="C10" s="196" t="str">
        <x:v>https://app.powerbi.com/view?r=eyJrIjoiM2M2NzVmOWItMzI0Yi00MTE1LWI5ZmYtZTM0ZWM4ZDUwODNlIiwidCI6Ijk3OTM3M2VkLWQxMzAtNDU4NS1iNTY5LTNjM2NlNjE0MTIyNyJ9</x:v>
      </x:c>
      <x:c r="D10" s="196" t="str">
        <x:v>Mai/2026</x:v>
      </x:c>
      <x:c r="E10" s="196" t="str">
        <x:v>R$</x:v>
      </x:c>
      <x:c r="F10" s="196" t="str">
        <x:v>3.570 CNPJs com PL</x:v>
      </x:c>
    </x:row>
    <x:row r="11" ht="44" customHeight="1">
      <x:c r="A11" s="196" t="str">
        <x:v>Nomes, cotistas e custodiantes</x:v>
      </x:c>
      <x:c r="B11" s="196" t="str">
        <x:v>CVM informe mensal/cadastro</x:v>
      </x:c>
      <x:c r="C11" s="196" t="str">
        <x:v>https://dados.cvm.gov.br/dados/FIDC/DOC/INF_MENSAL/DADOS/</x:v>
      </x:c>
      <x:c r="D11" s="196" t="str">
        <x:v>Mai/2026</x:v>
      </x:c>
      <x:c r="E11" s="196" t="str">
        <x:v>Contagem / texto</x:v>
      </x:c>
      <x:c r="F11" s="196" t="str">
        <x:v>Conciliado por CNPJ</x:v>
      </x:c>
    </x:row>
    <x:row r="12" ht="44" customHeight="1">
      <x:c r="A12" s="196" t="str">
        <x:v>Banco × independente</x:v>
      </x:c>
      <x:c r="B12" s="196" t="str">
        <x:v>Classificação sugerida + input do usuário</x:v>
      </x:c>
      <x:c r="C12" s="196" t="str">
        <x:v>Classif Gestoras!H:H</x:v>
      </x:c>
      <x:c r="D12" s="196" t="str">
        <x:v>Atual</x:v>
      </x:c>
      <x:c r="E12" s="196" t="str">
        <x:v>R$</x:v>
      </x:c>
      <x:c r="F12" s="196" t="str">
        <x:v>Regra nominal inicial; revisar</x:v>
      </x:c>
    </x:row>
    <x:row r="13" ht="44" customHeight="1">
      <x:c r="A13" s="197" t="str">
        <x:v>Multicedente/multissacado</x:v>
      </x:c>
      <x:c r="B13" s="197" t="str">
        <x:v>Proxy por foco Multicarteira</x:v>
      </x:c>
      <x:c r="C13" s="197" t="str">
        <x:v>Base Fundos!I:L</x:v>
      </x:c>
      <x:c r="D13" s="197" t="str">
        <x:v>Mai/2026</x:v>
      </x:c>
      <x:c r="E13" s="197" t="str">
        <x:v>R$</x:v>
      </x:c>
      <x:c r="F13" s="197" t="str">
        <x:v>Não é classificação oficial; revisar</x:v>
      </x:c>
    </x:row>
  </x:sheetData>
  <x:mergeCells>
    <x:mergeCell ref="A1:F2"/>
  </x:mergeCells>
  <x:pageMargins left="0.7" right="0.7" top="0.75" bottom="0.75" header="0.3" footer="0.3"/>
</x:worksheet>
</file>