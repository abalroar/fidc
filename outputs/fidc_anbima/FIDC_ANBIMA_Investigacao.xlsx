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148918b4e444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 Executivo" sheetId="1" r:id="R9e532d64d8554341"/>
    <x:sheet xmlns:r="http://schemas.openxmlformats.org/officeDocument/2006/relationships" name="Base Mensal" sheetId="2" r:id="R6463789431544161"/>
    <x:sheet xmlns:r="http://schemas.openxmlformats.org/officeDocument/2006/relationships" name="Base Contas" sheetId="3" r:id="Rb4ece801eb2a4076"/>
    <x:sheet xmlns:r="http://schemas.openxmlformats.org/officeDocument/2006/relationships" name="Base Foco" sheetId="4" r:id="R06dd5ac2540a45d9"/>
    <x:sheet xmlns:r="http://schemas.openxmlformats.org/officeDocument/2006/relationships" name="Base Ofertas" sheetId="5" r:id="R6561f66a166a4bc2"/>
    <x:sheet xmlns:r="http://schemas.openxmlformats.org/officeDocument/2006/relationships" name="Investigacao" sheetId="6" r:id="R005e57f42e3b4520"/>
    <x:sheet xmlns:r="http://schemas.openxmlformats.org/officeDocument/2006/relationships" name="Endpoints" sheetId="7" r:id="R7e771f09e2b64816"/>
    <x:sheet xmlns:r="http://schemas.openxmlformats.org/officeDocument/2006/relationships" name="ANBIMA Feed" sheetId="8" r:id="R57b6febb0b9c4b72"/>
    <x:sheet xmlns:r="http://schemas.openxmlformats.org/officeDocument/2006/relationships" name="Campos Power BI" sheetId="9" r:id="R05e0c71363474d50"/>
    <x:sheet xmlns:r="http://schemas.openxmlformats.org/officeDocument/2006/relationships" name="Checks" sheetId="10" r:id="R709c34ec589b4f01"/>
    <x:sheet xmlns:r="http://schemas.openxmlformats.org/officeDocument/2006/relationships" name="Fontes" sheetId="11" r:id="R21c5c16fea2140ac"/>
  </x:sheets>
</x:workbook>
</file>

<file path=xl/comments1.xml><?xml version="1.0" encoding="utf-8"?>
<x:comments xmlns:x="http://schemas.openxmlformats.org/spreadsheetml/2006/main">
  <x:authors>
    <x:author>tc={CC0D8495-A6C9-B63E-AD4B-A909DFD1202A}</x:author>
    <x:author>tc={FD4548D4-F2A1-73B9-115F-C8E17B2BFAE9}</x:author>
  </x:authors>
  <x:commentList>
    <x:comment ref="B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https://app.powerbi.com/view?r=eyJrIjoiM2M2NzVmOWItMzI0Yi00MTE1LWI5ZmYtZTM0ZWM4ZDUwODNlIiwidCI6Ijk3OTM3M2VkLWQxMzAtNDU4NS1iNTY5LTNjM2NlNjE0MTIyNyJ9. Consulta POST querydata do visual de evolução de PL.</x:t>
        </x:r>
      </x:text>
    </x:comment>
    <x:comment ref="Q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https://app.powerbi.com/view?r=eyJrIjoiM2M2NzVmOWItMzI0Yi00MTE1LWI5ZmYtZTM0ZWM4ZDUwODNlIiwidCI6Ijk3OTM3M2VkLWQxMzAtNDU4NS1iNTY5LTNjM2NlNjE0MTIyNyJ9. Card PL; data de referência Mai 2026.</x:t>
        </x:r>
      </x:text>
    </x:comment>
  </x:commentList>
</x:comments>
</file>

<file path=xl/comments2.xml><?xml version="1.0" encoding="utf-8"?>
<x:comments xmlns:x="http://schemas.openxmlformats.org/spreadsheetml/2006/main">
  <x:authors>
    <x:author>tc={A1770AEF-7A89-48F6-4BE5-4724BD501D4D}</x:author>
  </x:authors>
  <x:commentList>
    <x:comment ref="B1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 de preço: https://feed.anbima.com.br/. Valor observado em 10/07/2026; confirmar comercialmente antes da contratação.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#,##0"/>
    <x:numFmt numFmtId="202" formatCode="R$ #,##0.0,,,&quot; bi&quot;"/>
    <x:numFmt numFmtId="203" formatCode="0.0%"/>
    <x:numFmt numFmtId="204" formatCode="R$ #,##0.00"/>
    <x:numFmt numFmtId="205" formatCode="#,##0.00"/>
  </x:numFmts>
  <x:fonts count="13">
    <x:font>
      <x:sz val="11"/>
      <x:name val="Carlito"/>
    </x:font>
    <x:font>
      <x:b/>
      <x:sz val="16"/>
      <x:color rgb="FFFFFFFF"/>
      <x:name val="Aptos"/>
    </x:font>
    <x:font>
      <x:sz val="10"/>
      <x:color rgb="FF667085"/>
      <x:name val="Aptos"/>
    </x:font>
    <x:font>
      <x:b/>
      <x:sz val="10"/>
      <x:color rgb="FFFFFFFF"/>
      <x:name val="Aptos"/>
    </x:font>
    <x:font>
      <x:b/>
      <x:sz val="24"/>
      <x:color rgb="FF171D36"/>
      <x:name val="Aptos"/>
    </x:font>
    <x:font>
      <x:b/>
      <x:sz val="13"/>
      <x:color rgb="FFFFFFFF"/>
      <x:name val="Aptos"/>
    </x:font>
    <x:font>
      <x:b/>
      <x:sz val="11"/>
      <x:color rgb="FFFFFFFF"/>
      <x:name val="Aptos"/>
    </x:font>
    <x:font>
      <x:sz val="9"/>
      <x:color rgb="FF242A3A"/>
      <x:name val="Aptos"/>
    </x:font>
    <x:font>
      <x:b/>
      <x:sz val="9"/>
      <x:color rgb="FFFFFFFF"/>
      <x:name val="Aptos"/>
    </x:font>
    <x:font>
      <x:b/>
      <x:sz val="9"/>
      <x:color rgb="FF14804A"/>
      <x:name val="Aptos"/>
    </x:font>
    <x:font>
      <x:b/>
      <x:sz val="9"/>
      <x:color rgb="FFC93C37"/>
      <x:name val="Aptos"/>
    </x:font>
    <x:font>
      <x:b/>
      <x:sz val="9"/>
      <x:color rgb="FFF36A2E"/>
      <x:name val="Aptos"/>
    </x:font>
    <x:font>
      <x:i/>
      <x:sz val="8"/>
      <x:color rgb="FF667085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1D36"/>
      </x:patternFill>
    </x:fill>
    <x:fill>
      <x:patternFill patternType="solid">
        <x:fgColor rgb="FFFF5A4F"/>
      </x:patternFill>
    </x:fill>
    <x:fill>
      <x:patternFill patternType="solid">
        <x:fgColor rgb="FFF4F6FA"/>
      </x:patternFill>
    </x:fill>
    <x:fill>
      <x:patternFill patternType="solid">
        <x:fgColor rgb="FFDDF4E7"/>
      </x:patternFill>
    </x:fill>
    <x:fill>
      <x:patternFill patternType="solid">
        <x:fgColor rgb="FFFEECEC"/>
      </x:patternFill>
    </x:fill>
    <x:fill>
      <x:patternFill patternType="solid">
        <x:fgColor rgb="FFFFF3E5"/>
      </x:patternFill>
    </x:fill>
  </x:fills>
  <x:borders count="16">
    <x:border/>
    <x:border>
      <x:left style="thin">
        <x:color rgb="FFD9DEE8"/>
      </x:left>
      <x:top style="thin">
        <x:color rgb="FFD9DEE8"/>
      </x:top>
    </x:border>
    <x:border>
      <x:top style="thin">
        <x:color rgb="FFD9DEE8"/>
      </x:top>
    </x:border>
    <x:border>
      <x:right style="thin">
        <x:color rgb="FFD9DEE8"/>
      </x:right>
      <x:top style="thin">
        <x:color rgb="FFD9DEE8"/>
      </x:top>
    </x:border>
    <x:border>
      <x:left style="thin">
        <x:color rgb="FFD9DEE8"/>
      </x:left>
    </x:border>
    <x:border>
      <x:right style="thin">
        <x:color rgb="FFD9DEE8"/>
      </x:right>
    </x:border>
    <x:border>
      <x:left style="thin">
        <x:color rgb="FFD9DEE8"/>
      </x:left>
      <x:bottom style="thin">
        <x:color rgb="FFD9DEE8"/>
      </x:bottom>
    </x:border>
    <x:border>
      <x:bottom style="thin">
        <x:color rgb="FFD9DEE8"/>
      </x:bottom>
    </x:border>
    <x:border>
      <x:right style="thin">
        <x:color rgb="FFD9DEE8"/>
      </x:right>
      <x:bottom style="thin">
        <x:color rgb="FFD9DEE8"/>
      </x:bottom>
    </x:border>
    <x:border>
      <x:left style="thin">
        <x:color rgb="FFD9DEE8"/>
      </x:left>
      <x:right style="thin">
        <x:color rgb="FFD9DEE8"/>
      </x:right>
      <x:top style="thin">
        <x:color rgb="FFD9DEE8"/>
      </x:top>
      <x:bottom style="thin">
        <x:color rgb="FFD9DEE8"/>
      </x:bottom>
    </x:border>
    <x:border>
      <x:left style="thin">
        <x:color rgb="FF171D36"/>
      </x:left>
      <x:top style="thin">
        <x:color rgb="FF171D36"/>
      </x:top>
      <x:bottom style="thin">
        <x:color rgb="FF171D36"/>
      </x:bottom>
    </x:border>
    <x:border>
      <x:top style="thin">
        <x:color rgb="FF171D36"/>
      </x:top>
      <x:bottom style="thin">
        <x:color rgb="FF171D36"/>
      </x:bottom>
    </x:border>
    <x:border>
      <x:right style="thin">
        <x:color rgb="FF171D36"/>
      </x:right>
      <x:top style="thin">
        <x:color rgb="FF171D36"/>
      </x:top>
      <x:bottom style="thin">
        <x:color rgb="FF171D36"/>
      </x:bottom>
    </x:border>
    <x:border>
      <x:bottom style="thin">
        <x:color rgb="FFE8EBF2"/>
      </x:bottom>
    </x:border>
    <x:border>
      <x:top style="thin">
        <x:color rgb="FFE8EBF2"/>
      </x:top>
      <x:bottom style="thin">
        <x:color rgb="FFE8EBF2"/>
      </x:bottom>
    </x:border>
    <x:border>
      <x:top style="thin">
        <x:color rgb="FFE8EBF2"/>
      </x:top>
    </x:border>
  </x:borders>
  <x:cellStyleXfs count="1">
    <x:xf numFmtId="0" fontId="0" fillId="0" borderId="0"/>
  </x:cellStyleXfs>
  <x:cellXfs count="1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200" fontId="4" fillId="4" borderId="1" xfId="0" applyNumberFormat="1" applyFont="1" applyFill="1" applyBorder="1"/>
    <x:xf numFmtId="200" fontId="4" fillId="4" borderId="2" xfId="0" applyNumberFormat="1" applyFont="1" applyFill="1" applyBorder="1"/>
    <x:xf numFmtId="200" fontId="4" fillId="4" borderId="3" xfId="0" applyNumberFormat="1" applyFont="1" applyFill="1" applyBorder="1"/>
    <x:xf numFmtId="200" fontId="4" fillId="4" borderId="4" xfId="0" applyNumberFormat="1" applyFont="1" applyFill="1" applyBorder="1"/>
    <x:xf numFmtId="200" fontId="4" fillId="4" borderId="0" xfId="0" applyNumberFormat="1" applyFont="1" applyFill="1" applyBorder="1"/>
    <x:xf numFmtId="200" fontId="4" fillId="4" borderId="5" xfId="0" applyNumberFormat="1" applyFont="1" applyFill="1" applyBorder="1"/>
    <x:xf numFmtId="200" fontId="4" fillId="4" borderId="6" xfId="0" applyNumberFormat="1" applyFont="1" applyFill="1" applyBorder="1"/>
    <x:xf numFmtId="200" fontId="4" fillId="4" borderId="7" xfId="0" applyNumberFormat="1" applyFont="1" applyFill="1" applyBorder="1"/>
    <x:xf numFmtId="200" fontId="4" fillId="4" borderId="8" xfId="0" applyNumberFormat="1" applyFont="1" applyFill="1" applyBorder="1"/>
    <x:xf numFmtId="200" fontId="4" fillId="4" borderId="1" xfId="0" applyNumberFormat="1" applyFont="1" applyFill="1" applyBorder="1" applyAlignment="1">
      <x:alignment horizontal="center"/>
    </x:xf>
    <x:xf numFmtId="200" fontId="4" fillId="4" borderId="2" xfId="0" applyNumberFormat="1" applyFont="1" applyFill="1" applyBorder="1" applyAlignment="1">
      <x:alignment horizontal="center"/>
    </x:xf>
    <x:xf numFmtId="200" fontId="4" fillId="4" borderId="3" xfId="0" applyNumberFormat="1" applyFont="1" applyFill="1" applyBorder="1" applyAlignment="1">
      <x:alignment horizontal="center"/>
    </x:xf>
    <x:xf numFmtId="200" fontId="4" fillId="4" borderId="4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200" fontId="4" fillId="4" borderId="5" xfId="0" applyNumberFormat="1" applyFont="1" applyFill="1" applyBorder="1" applyAlignment="1">
      <x:alignment horizontal="center"/>
    </x:xf>
    <x:xf numFmtId="200" fontId="4" fillId="4" borderId="6" xfId="0" applyNumberFormat="1" applyFont="1" applyFill="1" applyBorder="1" applyAlignment="1">
      <x:alignment horizontal="center"/>
    </x:xf>
    <x:xf numFmtId="200" fontId="4" fillId="4" borderId="7" xfId="0" applyNumberFormat="1" applyFont="1" applyFill="1" applyBorder="1" applyAlignment="1">
      <x:alignment horizontal="center"/>
    </x:xf>
    <x:xf numFmtId="200" fontId="4" fillId="4" borderId="8" xfId="0" applyNumberFormat="1" applyFont="1" applyFill="1" applyBorder="1" applyAlignment="1">
      <x:alignment horizontal="center"/>
    </x:xf>
    <x:xf numFmtId="200" fontId="4" fillId="4" borderId="1" xfId="0" applyNumberFormat="1" applyFont="1" applyFill="1" applyBorder="1" applyAlignment="1">
      <x:alignment horizontal="center" vertical="center"/>
    </x:xf>
    <x:xf numFmtId="200" fontId="4" fillId="4" borderId="2" xfId="0" applyNumberFormat="1" applyFont="1" applyFill="1" applyBorder="1" applyAlignment="1">
      <x:alignment horizontal="center" vertical="center"/>
    </x:xf>
    <x:xf numFmtId="200" fontId="4" fillId="4" borderId="3" xfId="0" applyNumberFormat="1" applyFont="1" applyFill="1" applyBorder="1" applyAlignment="1">
      <x:alignment horizontal="center" vertical="center"/>
    </x:xf>
    <x:xf numFmtId="200" fontId="4" fillId="4" borderId="4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200" fontId="4" fillId="4" borderId="5" xfId="0" applyNumberFormat="1" applyFont="1" applyFill="1" applyBorder="1" applyAlignment="1">
      <x:alignment horizontal="center" vertical="center"/>
    </x:xf>
    <x:xf numFmtId="200" fontId="4" fillId="4" borderId="6" xfId="0" applyNumberFormat="1" applyFont="1" applyFill="1" applyBorder="1" applyAlignment="1">
      <x:alignment horizontal="center" vertical="center"/>
    </x:xf>
    <x:xf numFmtId="200" fontId="4" fillId="4" borderId="7" xfId="0" applyNumberFormat="1" applyFont="1" applyFill="1" applyBorder="1" applyAlignment="1">
      <x:alignment horizontal="center" vertical="center"/>
    </x:xf>
    <x:xf numFmtId="200" fontId="4" fillId="4" borderId="8" xfId="0" applyNumberFormat="1" applyFont="1" applyFill="1" applyBorder="1" applyAlignment="1">
      <x:alignment horizontal="center" vertical="center"/>
    </x:xf>
    <x:xf numFmtId="201" fontId="4" fillId="4" borderId="1" xfId="0" applyNumberFormat="1" applyFont="1" applyFill="1" applyBorder="1"/>
    <x:xf numFmtId="201" fontId="4" fillId="4" borderId="2" xfId="0" applyNumberFormat="1" applyFont="1" applyFill="1" applyBorder="1"/>
    <x:xf numFmtId="201" fontId="4" fillId="4" borderId="3" xfId="0" applyNumberFormat="1" applyFont="1" applyFill="1" applyBorder="1"/>
    <x:xf numFmtId="201" fontId="4" fillId="4" borderId="4" xfId="0" applyNumberFormat="1" applyFont="1" applyFill="1" applyBorder="1"/>
    <x:xf numFmtId="201" fontId="4" fillId="4" borderId="0" xfId="0" applyNumberFormat="1" applyFont="1" applyFill="1" applyBorder="1"/>
    <x:xf numFmtId="201" fontId="4" fillId="4" borderId="5" xfId="0" applyNumberFormat="1" applyFont="1" applyFill="1" applyBorder="1"/>
    <x:xf numFmtId="201" fontId="4" fillId="4" borderId="6" xfId="0" applyNumberFormat="1" applyFont="1" applyFill="1" applyBorder="1"/>
    <x:xf numFmtId="201" fontId="4" fillId="4" borderId="7" xfId="0" applyNumberFormat="1" applyFont="1" applyFill="1" applyBorder="1"/>
    <x:xf numFmtId="201" fontId="4" fillId="4" borderId="8" xfId="0" applyNumberFormat="1" applyFont="1" applyFill="1" applyBorder="1"/>
    <x:xf numFmtId="201" fontId="4" fillId="4" borderId="1" xfId="0" applyNumberFormat="1" applyFont="1" applyFill="1" applyBorder="1" applyAlignment="1">
      <x:alignment horizontal="center"/>
    </x:xf>
    <x:xf numFmtId="201" fontId="4" fillId="4" borderId="2" xfId="0" applyNumberFormat="1" applyFont="1" applyFill="1" applyBorder="1" applyAlignment="1">
      <x:alignment horizontal="center"/>
    </x:xf>
    <x:xf numFmtId="201" fontId="4" fillId="4" borderId="3" xfId="0" applyNumberFormat="1" applyFont="1" applyFill="1" applyBorder="1" applyAlignment="1">
      <x:alignment horizontal="center"/>
    </x:xf>
    <x:xf numFmtId="201" fontId="4" fillId="4" borderId="4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4" borderId="5" xfId="0" applyNumberFormat="1" applyFont="1" applyFill="1" applyBorder="1" applyAlignment="1">
      <x:alignment horizontal="center"/>
    </x:xf>
    <x:xf numFmtId="201" fontId="4" fillId="4" borderId="6" xfId="0" applyNumberFormat="1" applyFont="1" applyFill="1" applyBorder="1" applyAlignment="1">
      <x:alignment horizontal="center"/>
    </x:xf>
    <x:xf numFmtId="201" fontId="4" fillId="4" borderId="7" xfId="0" applyNumberFormat="1" applyFont="1" applyFill="1" applyBorder="1" applyAlignment="1">
      <x:alignment horizontal="center"/>
    </x:xf>
    <x:xf numFmtId="201" fontId="4" fillId="4" borderId="8" xfId="0" applyNumberFormat="1" applyFont="1" applyFill="1" applyBorder="1" applyAlignment="1">
      <x:alignment horizontal="center"/>
    </x:xf>
    <x:xf numFmtId="201" fontId="4" fillId="4" borderId="1" xfId="0" applyNumberFormat="1" applyFont="1" applyFill="1" applyBorder="1" applyAlignment="1">
      <x:alignment horizontal="center" vertical="center"/>
    </x:xf>
    <x:xf numFmtId="201" fontId="4" fillId="4" borderId="2" xfId="0" applyNumberFormat="1" applyFont="1" applyFill="1" applyBorder="1" applyAlignment="1">
      <x:alignment horizontal="center" vertical="center"/>
    </x:xf>
    <x:xf numFmtId="201" fontId="4" fillId="4" borderId="3" xfId="0" applyNumberFormat="1" applyFont="1" applyFill="1" applyBorder="1" applyAlignment="1">
      <x:alignment horizontal="center" vertical="center"/>
    </x:xf>
    <x:xf numFmtId="201" fontId="4" fillId="4" borderId="4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201" fontId="4" fillId="4" borderId="5" xfId="0" applyNumberFormat="1" applyFont="1" applyFill="1" applyBorder="1" applyAlignment="1">
      <x:alignment horizontal="center" vertical="center"/>
    </x:xf>
    <x:xf numFmtId="201" fontId="4" fillId="4" borderId="6" xfId="0" applyNumberFormat="1" applyFont="1" applyFill="1" applyBorder="1" applyAlignment="1">
      <x:alignment horizontal="center" vertical="center"/>
    </x:xf>
    <x:xf numFmtId="201" fontId="4" fillId="4" borderId="7" xfId="0" applyNumberFormat="1" applyFont="1" applyFill="1" applyBorder="1" applyAlignment="1">
      <x:alignment horizontal="center" vertical="center"/>
    </x:xf>
    <x:xf numFmtId="201" fontId="4" fillId="4" borderId="8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9" xfId="0" applyNumberFormat="1" applyFont="1" applyFill="1" applyBorder="1"/>
    <x:xf numFmtId="0" fontId="7" fillId="0" borderId="9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vertical="center" wrapText="1"/>
    </x:xf>
    <x:xf numFmtId="0" fontId="7" fillId="2" borderId="9" xfId="0" applyNumberFormat="1" applyFont="1" applyFill="1" applyBorder="1" applyAlignment="1">
      <x:alignment vertical="center" wrapText="1"/>
    </x:xf>
    <x:xf numFmtId="0" fontId="8" fillId="2" borderId="9" xfId="0" applyNumberFormat="1" applyFont="1" applyFill="1" applyBorder="1" applyAlignment="1">
      <x:alignment vertical="center" wrapText="1"/>
    </x:xf>
    <x:xf numFmtId="0" fontId="8" fillId="2" borderId="9" xfId="0" applyNumberFormat="1" applyFont="1" applyFill="1" applyBorder="1" applyAlignment="1">
      <x:alignment horizontal="center" vertical="center" wrapText="1"/>
    </x:xf>
    <x:xf numFmtId="0" fontId="7" fillId="5" borderId="9" xfId="0" applyNumberFormat="1" applyFont="1" applyFill="1" applyBorder="1" applyAlignment="1">
      <x:alignment vertical="center" wrapText="1"/>
    </x:xf>
    <x:xf numFmtId="0" fontId="9" fillId="5" borderId="9" xfId="0" applyNumberFormat="1" applyFont="1" applyFill="1" applyBorder="1" applyAlignment="1">
      <x:alignment vertical="center" wrapText="1"/>
    </x:xf>
    <x:xf numFmtId="0" fontId="9" fillId="5" borderId="9" xfId="0" applyNumberFormat="1" applyFont="1" applyFill="1" applyBorder="1" applyAlignment="1">
      <x:alignment horizontal="center" vertical="center" wrapText="1"/>
    </x:xf>
    <x:xf numFmtId="0" fontId="7" fillId="6" borderId="9" xfId="0" applyNumberFormat="1" applyFont="1" applyFill="1" applyBorder="1" applyAlignment="1">
      <x:alignment vertical="center" wrapText="1"/>
    </x:xf>
    <x:xf numFmtId="0" fontId="10" fillId="6" borderId="9" xfId="0" applyNumberFormat="1" applyFont="1" applyFill="1" applyBorder="1" applyAlignment="1">
      <x:alignment vertical="center" wrapText="1"/>
    </x:xf>
    <x:xf numFmtId="0" fontId="10" fillId="6" borderId="9" xfId="0" applyNumberFormat="1" applyFont="1" applyFill="1" applyBorder="1" applyAlignment="1">
      <x:alignment horizontal="center" vertical="center" wrapText="1"/>
    </x:xf>
    <x:xf numFmtId="0" fontId="7" fillId="7" borderId="9" xfId="0" applyNumberFormat="1" applyFont="1" applyFill="1" applyBorder="1" applyAlignment="1">
      <x:alignment vertical="center" wrapText="1"/>
    </x:xf>
    <x:xf numFmtId="0" fontId="11" fillId="7" borderId="9" xfId="0" applyNumberFormat="1" applyFont="1" applyFill="1" applyBorder="1" applyAlignment="1">
      <x:alignment vertical="center" wrapText="1"/>
    </x:xf>
    <x:xf numFmtId="0" fontId="11" fillId="7" borderId="9" xfId="0" applyNumberFormat="1" applyFont="1" applyFill="1" applyBorder="1" applyAlignment="1">
      <x:alignment horizontal="center" vertical="center" wrapText="1"/>
    </x:xf>
    <x:xf numFmtId="0" fontId="12" fillId="4" borderId="0" xfId="0" applyNumberFormat="1" applyFont="1" applyFill="1" applyBorder="1"/>
    <x:xf numFmtId="0" fontId="12" fillId="4" borderId="0" xfId="0" applyNumberFormat="1" applyFont="1" applyFill="1" applyBorder="1" applyAlignment="1">
      <x:alignment wrapText="1"/>
    </x:xf>
    <x:xf numFmtId="0" fontId="12" fillId="4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0" xfId="0" applyNumberFormat="1" applyFont="1" applyFill="1" applyBorder="1"/>
    <x:xf numFmtId="0" fontId="3" fillId="2" borderId="11" xfId="0" applyNumberFormat="1" applyFont="1" applyFill="1" applyBorder="1"/>
    <x:xf numFmtId="0" fontId="3" fillId="2" borderId="12" xfId="0" applyNumberFormat="1" applyFont="1" applyFill="1" applyBorder="1"/>
    <x:xf numFmtId="0" fontId="3" fillId="2" borderId="10" xfId="0" applyNumberFormat="1" applyFont="1" applyFill="1" applyBorder="1" applyAlignment="1">
      <x:alignment wrapText="1"/>
    </x:xf>
    <x:xf numFmtId="0" fontId="3" fillId="2" borderId="11" xfId="0" applyNumberFormat="1" applyFont="1" applyFill="1" applyBorder="1" applyAlignment="1">
      <x:alignment wrapText="1"/>
    </x:xf>
    <x:xf numFmtId="0" fontId="3" fillId="2" borderId="12" xfId="0" applyNumberFormat="1" applyFont="1" applyFill="1" applyBorder="1" applyAlignment="1">
      <x:alignment wrapText="1"/>
    </x:xf>
    <x:xf numFmtId="0" fontId="3" fillId="2" borderId="10" xfId="0" applyNumberFormat="1" applyFont="1" applyFill="1" applyBorder="1" applyAlignment="1">
      <x:alignment horizontal="center" wrapText="1"/>
    </x:xf>
    <x:xf numFmtId="0" fontId="3" fillId="2" borderId="11" xfId="0" applyNumberFormat="1" applyFont="1" applyFill="1" applyBorder="1" applyAlignment="1">
      <x:alignment horizontal="center" wrapText="1"/>
    </x:xf>
    <x:xf numFmtId="0" fontId="3" fillId="2" borderId="12" xfId="0" applyNumberFormat="1" applyFont="1" applyFill="1" applyBorder="1" applyAlignment="1">
      <x:alignment horizont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7" fillId="0" borderId="13" xfId="0" applyNumberFormat="1" applyFont="1" applyFill="1" applyBorder="1"/>
    <x:xf numFmtId="0" fontId="7" fillId="0" borderId="14" xfId="0" applyNumberFormat="1" applyFont="1" applyFill="1" applyBorder="1"/>
    <x:xf numFmtId="0" fontId="7" fillId="0" borderId="15" xfId="0" applyNumberFormat="1" applyFont="1" applyFill="1" applyBorder="1"/>
    <x:xf numFmtId="0" fontId="7" fillId="0" borderId="13" xfId="0" applyNumberFormat="1" applyFont="1" applyFill="1" applyBorder="1" applyAlignment="1">
      <x:alignment vertical="top"/>
    </x:xf>
    <x:xf numFmtId="0" fontId="7" fillId="0" borderId="14" xfId="0" applyNumberFormat="1" applyFont="1" applyFill="1" applyBorder="1" applyAlignment="1">
      <x:alignment vertical="top"/>
    </x:xf>
    <x:xf numFmtId="0" fontId="7" fillId="0" borderId="15" xfId="0" applyNumberFormat="1" applyFont="1" applyFill="1" applyBorder="1" applyAlignment="1">
      <x:alignment vertical="top"/>
    </x:xf>
    <x:xf numFmtId="202" fontId="7" fillId="0" borderId="13" xfId="0" applyNumberFormat="1" applyFont="1" applyFill="1" applyBorder="1" applyAlignment="1">
      <x:alignment vertical="top"/>
    </x:xf>
    <x:xf numFmtId="202" fontId="7" fillId="0" borderId="14" xfId="0" applyNumberFormat="1" applyFont="1" applyFill="1" applyBorder="1" applyAlignment="1">
      <x:alignment vertical="top"/>
    </x:xf>
    <x:xf numFmtId="202" fontId="7" fillId="0" borderId="15" xfId="0" applyNumberFormat="1" applyFont="1" applyFill="1" applyBorder="1" applyAlignment="1">
      <x:alignment vertical="top"/>
    </x:xf>
    <x:xf numFmtId="201" fontId="7" fillId="0" borderId="13" xfId="0" applyNumberFormat="1" applyFont="1" applyFill="1" applyBorder="1" applyAlignment="1">
      <x:alignment vertical="top"/>
    </x:xf>
    <x:xf numFmtId="201" fontId="7" fillId="0" borderId="14" xfId="0" applyNumberFormat="1" applyFont="1" applyFill="1" applyBorder="1" applyAlignment="1">
      <x:alignment vertical="top"/>
    </x:xf>
    <x:xf numFmtId="201" fontId="7" fillId="0" borderId="15" xfId="0" applyNumberFormat="1" applyFont="1" applyFill="1" applyBorder="1" applyAlignment="1">
      <x:alignment vertical="top"/>
    </x:xf>
    <x:xf numFmtId="203" fontId="7" fillId="0" borderId="13" xfId="0" applyNumberFormat="1" applyFont="1" applyFill="1" applyBorder="1" applyAlignment="1">
      <x:alignment vertical="top"/>
    </x:xf>
    <x:xf numFmtId="203" fontId="7" fillId="0" borderId="14" xfId="0" applyNumberFormat="1" applyFont="1" applyFill="1" applyBorder="1" applyAlignment="1">
      <x:alignment vertical="top"/>
    </x:xf>
    <x:xf numFmtId="203" fontId="7" fillId="0" borderId="15" xfId="0" applyNumberFormat="1" applyFont="1" applyFill="1" applyBorder="1" applyAlignment="1">
      <x:alignment vertical="top"/>
    </x:xf>
    <x:xf numFmtId="200" fontId="7" fillId="0" borderId="13" xfId="0" applyNumberFormat="1" applyFont="1" applyFill="1" applyBorder="1" applyAlignment="1">
      <x:alignment vertical="top"/>
    </x:xf>
    <x:xf numFmtId="200" fontId="7" fillId="0" borderId="14" xfId="0" applyNumberFormat="1" applyFont="1" applyFill="1" applyBorder="1" applyAlignment="1">
      <x:alignment vertical="top"/>
    </x:xf>
    <x:xf numFmtId="200" fontId="7" fillId="0" borderId="15" xfId="0" applyNumberFormat="1" applyFont="1" applyFill="1" applyBorder="1" applyAlignment="1">
      <x:alignment vertical="top"/>
    </x:xf>
    <x:xf numFmtId="0" fontId="7" fillId="0" borderId="13" xfId="0" applyNumberFormat="1" applyFont="1" applyFill="1" applyBorder="1" applyAlignment="1">
      <x:alignment vertical="top" wrapText="1"/>
    </x:xf>
    <x:xf numFmtId="0" fontId="7" fillId="0" borderId="14" xfId="0" applyNumberFormat="1" applyFont="1" applyFill="1" applyBorder="1" applyAlignment="1">
      <x:alignment vertical="top" wrapText="1"/>
    </x:xf>
    <x:xf numFmtId="0" fontId="7" fillId="0" borderId="15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204" fontId="7" fillId="0" borderId="13" xfId="0" applyNumberFormat="1" applyFont="1" applyFill="1" applyBorder="1" applyAlignment="1">
      <x:alignment vertical="top"/>
    </x:xf>
    <x:xf numFmtId="204" fontId="7" fillId="0" borderId="14" xfId="0" applyNumberFormat="1" applyFont="1" applyFill="1" applyBorder="1" applyAlignment="1">
      <x:alignment vertical="top"/>
    </x:xf>
    <x:xf numFmtId="204" fontId="7" fillId="0" borderId="13" xfId="0" applyNumberFormat="1" applyFont="1" applyFill="1" applyBorder="1" applyAlignment="1">
      <x:alignment vertical="top" wrapText="1"/>
    </x:xf>
    <x:xf numFmtId="204" fontId="7" fillId="0" borderId="14" xfId="0" applyNumberFormat="1" applyFont="1" applyFill="1" applyBorder="1" applyAlignment="1">
      <x:alignment vertical="top" wrapText="1"/>
    </x:xf>
    <x:xf numFmtId="205" fontId="7" fillId="0" borderId="13" xfId="0" applyNumberFormat="1" applyFont="1" applyFill="1" applyBorder="1" applyAlignment="1">
      <x:alignment vertical="top"/>
    </x:xf>
    <x:xf numFmtId="205" fontId="7" fillId="0" borderId="14" xfId="0" applyNumberFormat="1" applyFont="1" applyFill="1" applyBorder="1" applyAlignment="1">
      <x:alignment vertical="top"/>
    </x:xf>
  </x:cellXfs>
  <x:cellStyles count="1">
    <x:cellStyle name="Normal" xfId="0"/>
  </x:cellStyles>
  <x:dxfs count="2">
    <x:dxf>
      <x:font>
        <x:b/>
        <x:color rgb="FF14804A"/>
      </x:font>
      <x:fill>
        <x:patternFill patternType="solid">
          <x:bgColor rgb="FFDDF4E7"/>
        </x:patternFill>
      </x:fill>
    </x:dxf>
    <x:dxf>
      <x:font>
        <x:b/>
        <x:color rgb="FFC93C37"/>
      </x:font>
      <x:fill>
        <x:patternFill patternType="solid">
          <x:bgColor rgb="FFFE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ca1f0a075f43de" /><Relationship Type="http://schemas.openxmlformats.org/officeDocument/2006/relationships/theme" Target="/xl/theme/theme1.xml" Id="R3b49078ae9f54e5a" /><Relationship Type="http://schemas.openxmlformats.org/officeDocument/2006/relationships/sharedStrings" Target="/xl/sharedStrings.xml" Id="R2f6713f3761f4bee" /><Relationship Type="http://schemas.openxmlformats.org/officeDocument/2006/relationships/worksheet" Target="/xl/worksheets/sheet1.xml" Id="R9e532d64d8554341" /><Relationship Type="http://schemas.openxmlformats.org/officeDocument/2006/relationships/worksheet" Target="/xl/worksheets/sheet2.xml" Id="R6463789431544161" /><Relationship Type="http://schemas.openxmlformats.org/officeDocument/2006/relationships/worksheet" Target="/xl/worksheets/sheet3.xml" Id="Rb4ece801eb2a4076" /><Relationship Type="http://schemas.openxmlformats.org/officeDocument/2006/relationships/worksheet" Target="/xl/worksheets/sheet4.xml" Id="R06dd5ac2540a45d9" /><Relationship Type="http://schemas.openxmlformats.org/officeDocument/2006/relationships/worksheet" Target="/xl/worksheets/sheet5.xml" Id="R6561f66a166a4bc2" /><Relationship Type="http://schemas.openxmlformats.org/officeDocument/2006/relationships/worksheet" Target="/xl/worksheets/sheet6.xml" Id="R005e57f42e3b4520" /><Relationship Type="http://schemas.openxmlformats.org/officeDocument/2006/relationships/worksheet" Target="/xl/worksheets/sheet7.xml" Id="R7e771f09e2b64816" /><Relationship Type="http://schemas.openxmlformats.org/officeDocument/2006/relationships/worksheet" Target="/xl/worksheets/sheet8.xml" Id="R57b6febb0b9c4b72" /><Relationship Type="http://schemas.openxmlformats.org/officeDocument/2006/relationships/worksheet" Target="/xl/worksheets/sheet9.xml" Id="R05e0c71363474d50" /><Relationship Type="http://schemas.openxmlformats.org/officeDocument/2006/relationships/worksheet" Target="/xl/worksheets/sheet10.xml" Id="R709c34ec589b4f01" /><Relationship Type="http://schemas.openxmlformats.org/officeDocument/2006/relationships/worksheet" Target="/xl/worksheets/sheet11.xml" Id="R21c5c16fea2140ac" /><Relationship Type="http://schemas.microsoft.com/office/2017/10/relationships/person" Target="/xl/persons/person.xml" Id="Rd9ecebab95d54e2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b167466b39f4f29" /><Relationship Type="http://schemas.openxmlformats.org/officeDocument/2006/relationships/chart" Target="/xl/drawings/charts/chart2.xml" Id="R2f4b7a8e38154b01" /><Relationship Type="http://schemas.openxmlformats.org/officeDocument/2006/relationships/chart" Target="/xl/drawings/charts/chart3.xml" Id="R87fc586919134228" /><Relationship Type="http://schemas.openxmlformats.org/officeDocument/2006/relationships/chart" Target="/xl/drawings/charts/chart4.xml" Id="R26dc1470c583485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PL cresceu 39% desde out/24 (R$ bi)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PL FIDC</c:v>
          </c:tx>
          <c:spPr>
            <a:solidFill xmlns:a="http://schemas.openxmlformats.org/drawingml/2006/main">
              <a:srgbClr val="FF5A4F"/>
            </a:solidFill>
          </c:spPr>
          <c:marker>
            <c:symbol val="none"/>
          </c:marker>
          <c:cat>
            <c:strRef>
              <c:f>'Base Mensal'!$S$2:$S$21</c:f>
              <c:strCache>
                <c:ptCount val="0"/>
              </c:strCache>
            </c:strRef>
          </c:cat>
          <c:val>
            <c:numRef>
              <c:f>'Base Mensal'!$T$2:$T$21</c:f>
              <c:numCache>
                <c:formatCode>R$ #,##0,,," bi"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E5E7EB"/>
              </a:solidFill>
              <a:prstDash val="solid"/>
            </a:ln>
          </c:spPr>
        </c:majorGridlines>
        <c:numFmt formatCode="R$ #,##0,,,&quot; bi&quot;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PL por tipo ANBIMA — Mai 2026 (R$ bi)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PL</c:v>
          </c:tx>
          <c:spPr>
            <a:solidFill xmlns:a="http://schemas.openxmlformats.org/drawingml/2006/main">
              <a:srgbClr val="2146B8"/>
            </a:solidFill>
          </c:spPr>
          <c:cat>
            <c:strRef>
              <c:f>'Base Mensal'!$P$14:$P$17</c:f>
              <c:strCache>
                <c:ptCount val="0"/>
              </c:strCache>
            </c:strRef>
          </c:cat>
          <c:val>
            <c:numRef>
              <c:f>'Base Mensal'!$Q$14:$Q$17</c:f>
              <c:numCache>
                <c:formatCode>R$ #,##0,,," bi"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E5E7EB"/>
              </a:solidFill>
              <a:prstDash val="solid"/>
            </a:ln>
          </c:spPr>
        </c:majorGridlines>
        <c:numFmt formatCode="R$ #,##0,,,&quot; bi&quot;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Contas por segmento — Mai 2026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Contas</c:v>
          </c:tx>
          <c:spPr>
            <a:solidFill xmlns:a="http://schemas.openxmlformats.org/drawingml/2006/main">
              <a:srgbClr val="FF5A4F"/>
            </a:solidFill>
          </c:spPr>
          <c:cat>
            <c:strRef>
              <c:f>'Base Contas'!$E$2:$E$11</c:f>
              <c:strCache>
                <c:ptCount val="0"/>
              </c:strCache>
            </c:strRef>
          </c:cat>
          <c:val>
            <c:numRef>
              <c:f>'Base Contas'!$F$2:$F$11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E5E7EB"/>
              </a:solidFill>
              <a:prstDash val="solid"/>
            </a:ln>
          </c:spPr>
        </c:majorGridlines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Responsabilidade limitada — Mai 2026 (R$ bi)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PL</c:v>
          </c:tx>
          <c:spPr>
            <a:solidFill xmlns:a="http://schemas.openxmlformats.org/drawingml/2006/main">
              <a:srgbClr val="F36A2E"/>
            </a:solidFill>
          </c:spPr>
          <c:cat>
            <c:strRef>
              <c:f>'Base Mensal'!$P$20:$P$22</c:f>
              <c:strCache>
                <c:ptCount val="0"/>
              </c:strCache>
            </c:strRef>
          </c:cat>
          <c:val>
            <c:numRef>
              <c:f>'Base Mensal'!$Q$20:$Q$22</c:f>
              <c:numCache>
                <c:formatCode>R$ #,##0,,," bi"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E5E7EB"/>
              </a:solidFill>
              <a:prstDash val="solid"/>
            </a:ln>
          </c:spPr>
        </c:majorGridlines>
        <c:numFmt formatCode="R$ #,##0,,,&quot; bi&quot;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167466b39f4f29"/>
        </a:graphicData>
      </a:graphic>
    </xdr:graphicFrame>
    <xdr:clientData/>
  </xdr:twoCellAnchor>
  <xdr:twoCellAnchor>
    <xdr:from>
      <xdr:col>7</xdr:col>
      <xdr:colOff>0</xdr:colOff>
      <xdr:row>9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4b7a8e38154b0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0</xdr:colOff>
      <xdr:row>42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fc586919134228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14</xdr:col>
      <xdr:colOff>0</xdr:colOff>
      <xdr:row>42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dc1470c583485c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06E204CC-0843-4B80-AD57-77B93DE4A3FE}"/>
</xltc:personList>
</file>

<file path=xl/tables/table1.xml><?xml version="1.0" encoding="utf-8"?>
<x:table xmlns:x="http://schemas.openxmlformats.org/spreadsheetml/2006/main" id="1" name="BaseMensalTable" displayName="BaseMensalTable" ref="A2:N22" headerRowCount="1" totalsRowCount="0" totalsRowShown="0">
  <x:tableColumns count="14">
    <x:tableColumn id="1" name="Período"/>
    <x:tableColumn id="2" name="PL total"/>
    <x:tableColumn id="3" name="PL Agro/Ind./Com."/>
    <x:tableColumn id="4" name="PL Financeiro"/>
    <x:tableColumn id="5" name="PL Fomento"/>
    <x:tableColumn id="6" name="PL Outros"/>
    <x:tableColumn id="7" name="Contas"/>
    <x:tableColumn id="8" name="PL resp. limitada"/>
    <x:tableColumn id="9" name="PL sem resp. limitada"/>
    <x:tableColumn id="10" name="PL não se aplica"/>
    <x:tableColumn id="11" name="Ofertas acum."/>
    <x:tableColumn id="12" name="Gestores"/>
    <x:tableColumn id="13" name="Administradores"/>
    <x:tableColumn id="14" name="Cresc. m/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seContasTable" displayName="BaseContasTable" ref="A2:C201" headerRowCount="1" totalsRowCount="0" totalsRowShown="0">
  <x:tableColumns count="3">
    <x:tableColumn id="1" name="Período"/>
    <x:tableColumn id="2" name="Segmento"/>
    <x:tableColumn id="3" name="Conta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seFocoTable" displayName="BaseFocoTable" ref="A2:D582" headerRowCount="1" totalsRowCount="0" totalsRowShown="0">
  <x:tableColumns count="4">
    <x:tableColumn id="1" name="Tipo ANBIMA"/>
    <x:tableColumn id="2" name="Período"/>
    <x:tableColumn id="3" name="Foco de atuação"/>
    <x:tableColumn id="4" name="P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aseOfertasTable" displayName="BaseOfertasTable" ref="A2:C102" headerRowCount="1" totalsRowCount="0" totalsRowShown="0">
  <x:tableColumns count="3">
    <x:tableColumn id="1" name="Período"/>
    <x:tableColumn id="2" name="Tipo de subscritor"/>
    <x:tableColumn id="3" name="Volume acumulad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vestigacaoTable" displayName="InvestigacaoTable" ref="A2:F26" headerRowCount="1" totalsRowCount="0" totalsRowShown="0">
  <x:tableColumns count="6">
    <x:tableColumn id="1" name="Seção"/>
    <x:tableColumn id="2" name="Item"/>
    <x:tableColumn id="3" name="Evidência observada"/>
    <x:tableColumn id="4" name="URL exata"/>
    <x:tableColumn id="5" name="Acesso / formato"/>
    <x:tableColumn id="6" name="Implicaçã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ndpointsTable" displayName="EndpointsTable" ref="A2:I15" headerRowCount="1" totalsRowCount="0" totalsRowShown="0">
  <x:tableColumns count="9">
    <x:tableColumn id="1" name="Método"/>
    <x:tableColumn id="2" name="Domínio"/>
    <x:tableColumn id="3" name="Path"/>
    <x:tableColumn id="4" name="Finalidade"/>
    <x:tableColumn id="5" name="Headers relevantes"/>
    <x:tableColumn id="6" name="Autenticação"/>
    <x:tableColumn id="7" name="Resposta"/>
    <x:tableColumn id="8" name="Observação"/>
    <x:tableColumn id="9" name="Fon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amposPbiTable" displayName="CamposPbiTable" ref="A2:E307" headerRowCount="1" totalsRowCount="0" totalsRowShown="0">
  <x:tableColumns count="5">
    <x:tableColumn id="1" name="Entidade"/>
    <x:tableColumn id="2" name="Campo"/>
    <x:tableColumn id="3" name="Tipo lógico"/>
    <x:tableColumn id="4" name="DataType"/>
    <x:tableColumn id="5" name="Orige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3" dT="2026-07-10T17:08:46.883" personId="{06E204CC-0843-4B80-AD57-77B93DE4A3FE}" id="{CC0D8495-A6C9-B63E-AD4B-A909DFD1202A}">
    <xltc:text>Fonte: https://app.powerbi.com/view?r=eyJrIjoiM2M2NzVmOWItMzI0Yi00MTE1LWI5ZmYtZTM0ZWM4ZDUwODNlIiwidCI6Ijk3OTM3M2VkLWQxMzAtNDU4NS1iNTY5LTNjM2NlNjE0MTIyNyJ9. Consulta POST querydata do visual de evolução de PL.</xltc:text>
  </xltc:threadedComment>
  <xltc:threadedComment ref="Q2" dT="2026-07-10T17:08:46.883" personId="{06E204CC-0843-4B80-AD57-77B93DE4A3FE}" id="{FD4548D4-F2A1-73B9-115F-C8E17B2BFAE9}">
    <xltc:text>Fonte: https://app.powerbi.com/view?r=eyJrIjoiM2M2NzVmOWItMzI0Yi00MTE1LWI5ZmYtZTM0ZWM4ZDUwODNlIiwidCI6Ijk3OTM3M2VkLWQxMzAtNDU4NS1iNTY5LTNjM2NlNjE0MTIyNyJ9. Card PL; data de referência Mai 2026.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14" dT="2026-07-10T17:08:46.883" personId="{06E204CC-0843-4B80-AD57-77B93DE4A3FE}" id="{A1770AEF-7A89-48F6-4BE5-4724BD501D4D}">
    <xltc:text>Fonte de preço: https://feed.anbima.com.br/. Valor observado em 10/07/2026; confirmar comercialmente antes da contratação.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a0c2265e92745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a109f1e44dc0423c" /><Relationship Type="http://schemas.openxmlformats.org/officeDocument/2006/relationships/vmlDrawing" Target="/xl/drawings/vmldrawing.vml" Id="R5f8ad178b13341dc" /><Relationship Type="http://schemas.microsoft.com/office/2017/10/relationships/threadedComment" Target="/xl/threadedcomments/threadedcomment.xml" Id="Raa45f75eeff3495b" /><Relationship Type="http://schemas.openxmlformats.org/officeDocument/2006/relationships/table" Target="/xl/tables/table1.xml" Id="Rcda9f4426aa749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0e6108599a4e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cfea243d7e40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8dae2a9c1d48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900f78d57e04a9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60c960c44944c5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2.xml" Id="R4665f5a8310b4ca7" /><Relationship Type="http://schemas.openxmlformats.org/officeDocument/2006/relationships/vmlDrawing" Target="/xl/drawings/vmldrawing2.vml" Id="Rf167ca2322204082" /><Relationship Type="http://schemas.microsoft.com/office/2017/10/relationships/threadedComment" Target="/xl/threadedcomments/threadedcomment2.xml" Id="R07c1e7b164954e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97d20aabe1b45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28" customHeight="1">
      <x:c r="A1" s="4" t="str">
        <x:v>FIDCs ANBIMA | dados replicáveis, mas o caminho sustentável é a API oficial</x:v>
      </x:c>
      <x:c r="B1" s="4" t="str">
        <x:v>FIDCs ANBIMA | dados replicáveis, mas o caminho sustentável é a API oficial</x:v>
      </x:c>
      <x:c r="C1" s="4" t="str">
        <x:v>FIDCs ANBIMA | dados replicáveis, mas o caminho sustentável é a API oficial</x:v>
      </x:c>
      <x:c r="D1" s="4" t="str">
        <x:v>FIDCs ANBIMA | dados replicáveis, mas o caminho sustentável é a API oficial</x:v>
      </x:c>
      <x:c r="E1" s="4" t="str">
        <x:v>FIDCs ANBIMA | dados replicáveis, mas o caminho sustentável é a API oficial</x:v>
      </x:c>
      <x:c r="F1" s="4" t="str">
        <x:v>FIDCs ANBIMA | dados replicáveis, mas o caminho sustentável é a API oficial</x:v>
      </x:c>
      <x:c r="G1" s="4" t="str">
        <x:v>FIDCs ANBIMA | dados replicáveis, mas o caminho sustentável é a API oficial</x:v>
      </x:c>
      <x:c r="H1" s="4" t="str">
        <x:v>FIDCs ANBIMA | dados replicáveis, mas o caminho sustentável é a API oficial</x:v>
      </x:c>
      <x:c r="I1" s="4" t="str">
        <x:v>FIDCs ANBIMA | dados replicáveis, mas o caminho sustentável é a API oficial</x:v>
      </x:c>
      <x:c r="J1" s="4" t="str">
        <x:v>FIDCs ANBIMA | dados replicáveis, mas o caminho sustentável é a API oficial</x:v>
      </x:c>
      <x:c r="K1" s="4" t="str">
        <x:v>FIDCs ANBIMA | dados replicáveis, mas o caminho sustentável é a API oficial</x:v>
      </x:c>
      <x:c r="L1" s="4" t="str">
        <x:v>FIDCs ANBIMA | dados replicáveis, mas o caminho sustentável é a API oficial</x:v>
      </x:c>
      <x:c r="M1" s="4" t="str">
        <x:v>FIDCs ANBIMA | dados replicáveis, mas o caminho sustentável é a API oficial</x:v>
      </x:c>
      <x:c r="N1" s="4" t="str">
        <x:v>FIDCs ANBIMA | dados replicáveis, mas o caminho sustentável é a API oficial</x:v>
      </x:c>
    </x:row>
    <x:row r="2" ht="28" customHeight="1">
      <x:c r="A2" s="4" t="str">
        <x:v>FIDCs ANBIMA | dados replicáveis, mas o caminho sustentável é a API oficial</x:v>
      </x:c>
      <x:c r="B2" s="4" t="str">
        <x:v>FIDCs ANBIMA | dados replicáveis, mas o caminho sustentável é a API oficial</x:v>
      </x:c>
      <x:c r="C2" s="4" t="str">
        <x:v>FIDCs ANBIMA | dados replicáveis, mas o caminho sustentável é a API oficial</x:v>
      </x:c>
      <x:c r="D2" s="4" t="str">
        <x:v>FIDCs ANBIMA | dados replicáveis, mas o caminho sustentável é a API oficial</x:v>
      </x:c>
      <x:c r="E2" s="4" t="str">
        <x:v>FIDCs ANBIMA | dados replicáveis, mas o caminho sustentável é a API oficial</x:v>
      </x:c>
      <x:c r="F2" s="4" t="str">
        <x:v>FIDCs ANBIMA | dados replicáveis, mas o caminho sustentável é a API oficial</x:v>
      </x:c>
      <x:c r="G2" s="4" t="str">
        <x:v>FIDCs ANBIMA | dados replicáveis, mas o caminho sustentável é a API oficial</x:v>
      </x:c>
      <x:c r="H2" s="4" t="str">
        <x:v>FIDCs ANBIMA | dados replicáveis, mas o caminho sustentável é a API oficial</x:v>
      </x:c>
      <x:c r="I2" s="4" t="str">
        <x:v>FIDCs ANBIMA | dados replicáveis, mas o caminho sustentável é a API oficial</x:v>
      </x:c>
      <x:c r="J2" s="4" t="str">
        <x:v>FIDCs ANBIMA | dados replicáveis, mas o caminho sustentável é a API oficial</x:v>
      </x:c>
      <x:c r="K2" s="4" t="str">
        <x:v>FIDCs ANBIMA | dados replicáveis, mas o caminho sustentável é a API oficial</x:v>
      </x:c>
      <x:c r="L2" s="4" t="str">
        <x:v>FIDCs ANBIMA | dados replicáveis, mas o caminho sustentável é a API oficial</x:v>
      </x:c>
      <x:c r="M2" s="4" t="str">
        <x:v>FIDCs ANBIMA | dados replicáveis, mas o caminho sustentável é a API oficial</x:v>
      </x:c>
      <x:c r="N2" s="4" t="str">
        <x:v>FIDCs ANBIMA | dados replicáveis, mas o caminho sustentável é a API oficial</x:v>
      </x:c>
    </x:row>
    <x:row r="3">
      <x:c r="A3" s="6" t="str">
        <x:v>Investigação técnica e dados observados no dashboard público — referência Mai 2026; modelo atualizado em 18/06/2026</x:v>
      </x:c>
      <x:c r="B3" s="6" t="str">
        <x:v>Investigação técnica e dados observados no dashboard público — referência Mai 2026; modelo atualizado em 18/06/2026</x:v>
      </x:c>
      <x:c r="C3" s="6" t="str">
        <x:v>Investigação técnica e dados observados no dashboard público — referência Mai 2026; modelo atualizado em 18/06/2026</x:v>
      </x:c>
      <x:c r="D3" s="6" t="str">
        <x:v>Investigação técnica e dados observados no dashboard público — referência Mai 2026; modelo atualizado em 18/06/2026</x:v>
      </x:c>
      <x:c r="E3" s="6" t="str">
        <x:v>Investigação técnica e dados observados no dashboard público — referência Mai 2026; modelo atualizado em 18/06/2026</x:v>
      </x:c>
      <x:c r="F3" s="6" t="str">
        <x:v>Investigação técnica e dados observados no dashboard público — referência Mai 2026; modelo atualizado em 18/06/2026</x:v>
      </x:c>
      <x:c r="G3" s="6" t="str">
        <x:v>Investigação técnica e dados observados no dashboard público — referência Mai 2026; modelo atualizado em 18/06/2026</x:v>
      </x:c>
      <x:c r="H3" s="6" t="str">
        <x:v>Investigação técnica e dados observados no dashboard público — referência Mai 2026; modelo atualizado em 18/06/2026</x:v>
      </x:c>
      <x:c r="I3" s="6" t="str">
        <x:v>Investigação técnica e dados observados no dashboard público — referência Mai 2026; modelo atualizado em 18/06/2026</x:v>
      </x:c>
      <x:c r="J3" s="6" t="str">
        <x:v>Investigação técnica e dados observados no dashboard público — referência Mai 2026; modelo atualizado em 18/06/2026</x:v>
      </x:c>
      <x:c r="K3" s="6" t="str">
        <x:v>Investigação técnica e dados observados no dashboard público — referência Mai 2026; modelo atualizado em 18/06/2026</x:v>
      </x:c>
      <x:c r="L3" s="6" t="str">
        <x:v>Investigação técnica e dados observados no dashboard público — referência Mai 2026; modelo atualizado em 18/06/2026</x:v>
      </x:c>
      <x:c r="M3" s="6" t="str">
        <x:v>Investigação técnica e dados observados no dashboard público — referência Mai 2026; modelo atualizado em 18/06/2026</x:v>
      </x:c>
      <x:c r="N3" s="6" t="str">
        <x:v>Investigação técnica e dados observados no dashboard público — referência Mai 2026; modelo atualizado em 18/06/2026</x:v>
      </x:c>
    </x:row>
    <x:row r="5">
      <x:c r="A5" s="10" t="str">
        <x:v>PL FIDC (R$ bi)</x:v>
      </x:c>
      <x:c r="B5" s="10" t="str">
        <x:v>PL FIDC (R$ bi)</x:v>
      </x:c>
      <x:c r="C5" s="10" t="str">
        <x:v>PL FIDC (R$ bi)</x:v>
      </x:c>
      <x:c r="D5" s="10" t="str">
        <x:v>Classes</x:v>
      </x:c>
      <x:c r="E5" s="10" t="str">
        <x:v>Classes</x:v>
      </x:c>
      <x:c r="F5" s="10" t="str">
        <x:v>Classes</x:v>
      </x:c>
      <x:c r="G5" s="10" t="str">
        <x:v>Contas</x:v>
      </x:c>
      <x:c r="H5" s="10" t="str">
        <x:v>Contas</x:v>
      </x:c>
      <x:c r="I5" s="10" t="str">
        <x:v>Contas</x:v>
      </x:c>
      <x:c r="J5" s="10" t="str">
        <x:v>Gestores</x:v>
      </x:c>
      <x:c r="K5" s="10" t="str">
        <x:v>Gestores</x:v>
      </x:c>
      <x:c r="L5" s="10" t="str">
        <x:v>Gestores</x:v>
      </x:c>
      <x:c r="M5" s="78" t="str">
        <x:v>VIÁVEL
sem Power BI
✓ API Feed
△ Embed público</x:v>
      </x:c>
      <x:c r="N5" s="78" t="str">
        <x:v>VIÁVEL
sem Power BI
✓ API Feed
△ Embed público</x:v>
      </x:c>
    </x:row>
    <x:row r="6">
      <x:c r="A6" s="39" t="n">
        <x:f>'Base Mensal'!$Q$2/1000000000</x:f>
        <x:v>751.0884551581736</x:v>
      </x:c>
      <x:c r="B6" s="40"/>
      <x:c r="C6" s="41"/>
      <x:c r="D6" s="66" t="n">
        <x:f>'Base Mensal'!$Q$3</x:f>
        <x:v>4118</x:v>
      </x:c>
      <x:c r="E6" s="67"/>
      <x:c r="F6" s="68"/>
      <x:c r="G6" s="66" t="n">
        <x:f>'Base Mensal'!$Q$5</x:f>
        <x:v>428938</x:v>
      </x:c>
      <x:c r="H6" s="67"/>
      <x:c r="I6" s="68"/>
      <x:c r="J6" s="66" t="n">
        <x:f>'Base Mensal'!$Q$8</x:f>
        <x:v>469</x:v>
      </x:c>
      <x:c r="K6" s="67"/>
      <x:c r="L6" s="68"/>
      <x:c r="M6" s="78" t="str">
        <x:v>VIÁVEL
sem Power BI
✓ API Feed
△ Embed público</x:v>
      </x:c>
      <x:c r="N6" s="78" t="str">
        <x:v>VIÁVEL
sem Power BI
✓ API Feed
△ Embed público</x:v>
      </x:c>
    </x:row>
    <x:row r="7">
      <x:c r="A7" s="42"/>
      <x:c r="B7" s="43"/>
      <x:c r="C7" s="44"/>
      <x:c r="D7" s="69"/>
      <x:c r="E7" s="70"/>
      <x:c r="F7" s="71"/>
      <x:c r="G7" s="69"/>
      <x:c r="H7" s="70"/>
      <x:c r="I7" s="71"/>
      <x:c r="J7" s="69"/>
      <x:c r="K7" s="70"/>
      <x:c r="L7" s="71"/>
      <x:c r="M7" s="78" t="str">
        <x:v>VIÁVEL
sem Power BI
✓ API Feed
△ Embed público</x:v>
      </x:c>
      <x:c r="N7" s="78" t="str">
        <x:v>VIÁVEL
sem Power BI
✓ API Feed
△ Embed público</x:v>
      </x:c>
    </x:row>
    <x:row r="8">
      <x:c r="A8" s="45"/>
      <x:c r="B8" s="46"/>
      <x:c r="C8" s="47"/>
      <x:c r="D8" s="72"/>
      <x:c r="E8" s="73"/>
      <x:c r="F8" s="74"/>
      <x:c r="G8" s="72"/>
      <x:c r="H8" s="73"/>
      <x:c r="I8" s="74"/>
      <x:c r="J8" s="72"/>
      <x:c r="K8" s="73"/>
      <x:c r="L8" s="74"/>
      <x:c r="M8" s="78" t="str">
        <x:v>VIÁVEL
sem Power BI
✓ API Feed
△ Embed público</x:v>
      </x:c>
      <x:c r="N8" s="78" t="str">
        <x:v>VIÁVEL
sem Power BI
✓ API Feed
△ Embed público</x:v>
      </x:c>
    </x:row>
    <x:row r="44" ht="22" customHeight="1">
      <x:c r="A44" s="80" t="str">
        <x:v>Decisão prática</x:v>
      </x:c>
      <x:c r="B44" s="80" t="str">
        <x:v>Decisão prática</x:v>
      </x:c>
      <x:c r="C44" s="80" t="str">
        <x:v>Decisão prática</x:v>
      </x:c>
      <x:c r="D44" s="80" t="str">
        <x:v>Decisão prática</x:v>
      </x:c>
      <x:c r="E44" s="80" t="str">
        <x:v>Decisão prática</x:v>
      </x:c>
      <x:c r="F44" s="80" t="str">
        <x:v>Decisão prática</x:v>
      </x:c>
      <x:c r="G44" s="80" t="str">
        <x:v>Decisão prática</x:v>
      </x:c>
      <x:c r="H44" s="80" t="str">
        <x:v>Decisão prática</x:v>
      </x:c>
      <x:c r="I44" s="80" t="str">
        <x:v>Decisão prática</x:v>
      </x:c>
      <x:c r="J44" s="80" t="str">
        <x:v>Decisão prática</x:v>
      </x:c>
      <x:c r="K44" s="80" t="str">
        <x:v>Decisão prática</x:v>
      </x:c>
      <x:c r="L44" s="80" t="str">
        <x:v>Decisão prática</x:v>
      </x:c>
      <x:c r="M44" s="80" t="str">
        <x:v>Decisão prática</x:v>
      </x:c>
      <x:c r="N44" s="80" t="str">
        <x:v>Decisão prática</x:v>
      </x:c>
    </x:row>
    <x:row r="45">
      <x:c r="A45" s="87" t="str">
        <x:v>Caminho</x:v>
      </x:c>
      <x:c r="B45" s="87" t="str">
        <x:v>Acesso</x:v>
      </x:c>
      <x:c r="C45" s="87" t="str">
        <x:v>Cobertura</x:v>
      </x:c>
      <x:c r="D45" s="87" t="str">
        <x:v>Estabilidade</x:v>
      </x:c>
      <x:c r="E45" s="87" t="str">
        <x:v>Risco de termos</x:v>
      </x:c>
      <x:c r="F45" s="87" t="str">
        <x:v>Recomendação</x:v>
      </x:c>
      <x:c r="G45" t="str"/>
      <x:c r="H45" t="str"/>
      <x:c r="I45" t="str"/>
      <x:c r="J45" t="str"/>
      <x:c r="K45" t="str"/>
      <x:c r="L45" t="str"/>
      <x:c r="M45" t="str"/>
      <x:c r="N45" t="str"/>
    </x:row>
    <x:row r="46">
      <x:c r="A46" s="84" t="str">
        <x:v>ANBIMA Feed v2</x:v>
      </x:c>
      <x:c r="B46" s="84" t="str">
        <x:v>OAuth2 + pacote/associação</x:v>
      </x:c>
      <x:c r="C46" s="84" t="str">
        <x:v>Cadastro, PL/cota, prestadores; segmentação restrita</x:v>
      </x:c>
      <x:c r="D46" s="84" t="str">
        <x:v>Alta / contratual</x:v>
      </x:c>
      <x:c r="E46" s="84" t="str">
        <x:v>Baixo</x:v>
      </x:c>
      <x:c r="F46" s="90" t="str">
        <x:v>PRIORIDADE</x:v>
      </x:c>
      <x:c r="G46" t="str"/>
      <x:c r="H46" t="str"/>
      <x:c r="I46" t="str"/>
      <x:c r="J46" t="str"/>
      <x:c r="K46" t="str"/>
      <x:c r="L46" t="str"/>
      <x:c r="M46" t="str"/>
      <x:c r="N46" t="str"/>
    </x:row>
    <x:row r="47">
      <x:c r="A47" s="84" t="str">
        <x:v>Download público XLS/CSV</x:v>
      </x:c>
      <x:c r="B47" s="84" t="str">
        <x:v>Não existe no item investigado</x:v>
      </x:c>
      <x:c r="C47" s="84" t="str">
        <x:v>Nenhuma planilha anexada</x:v>
      </x:c>
      <x:c r="D47" s="84" t="str">
        <x:v>N/A</x:v>
      </x:c>
      <x:c r="E47" s="84" t="str">
        <x:v>Baixo</x:v>
      </x:c>
      <x:c r="F47" s="93" t="str">
        <x:v>DESCARTADO</x:v>
      </x:c>
      <x:c r="G47" t="str"/>
      <x:c r="H47" t="str"/>
      <x:c r="I47" t="str"/>
      <x:c r="J47" t="str"/>
      <x:c r="K47" t="str"/>
      <x:c r="L47" t="str"/>
      <x:c r="M47" t="str"/>
      <x:c r="N47" t="str"/>
    </x:row>
    <x:row r="48">
      <x:c r="A48" s="84" t="str">
        <x:v>Power BI público</x:v>
      </x:c>
      <x:c r="B48" s="84" t="str">
        <x:v>ResourceKey + consultas internas</x:v>
      </x:c>
      <x:c r="C48" s="84" t="str">
        <x:v>Paridade alta com o visual agregado</x:v>
      </x:c>
      <x:c r="D48" s="84" t="str">
        <x:v>Baixa / sem SLA</x:v>
      </x:c>
      <x:c r="E48" s="84" t="str">
        <x:v>Alto: termos vedam engenharia reversa/spider</x:v>
      </x:c>
      <x:c r="F48" s="96" t="str">
        <x:v>Somente evidência pontual</x:v>
      </x:c>
      <x:c r="G48" t="str"/>
      <x:c r="H48" t="str"/>
      <x:c r="I48" t="str"/>
      <x:c r="J48" t="str"/>
      <x:c r="K48" t="str"/>
      <x:c r="L48" t="str"/>
      <x:c r="M48" t="str"/>
      <x:c r="N48" t="str"/>
    </x:row>
    <x:row r="50">
      <x:c r="A50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  <x:c r="B50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  <x:c r="C50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  <x:c r="D50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  <x:c r="E50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  <x:c r="F50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  <x:c r="G50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  <x:c r="H50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  <x:c r="I50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  <x:c r="J50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  <x:c r="K50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  <x:c r="L50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  <x:c r="M50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  <x:c r="N50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</x:row>
    <x:row r="51">
      <x:c r="A51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  <x:c r="B51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  <x:c r="C51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  <x:c r="D51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  <x:c r="E51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  <x:c r="F51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  <x:c r="G51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  <x:c r="H51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  <x:c r="I51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  <x:c r="J51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  <x:c r="K51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  <x:c r="L51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  <x:c r="M51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  <x:c r="N51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</x:row>
    <x:row r="52">
      <x:c r="A52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  <x:c r="B52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  <x:c r="C52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  <x:c r="D52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  <x:c r="E52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  <x:c r="F52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  <x:c r="G52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  <x:c r="H52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  <x:c r="I52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  <x:c r="J52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  <x:c r="K52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  <x:c r="L52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  <x:c r="M52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  <x:c r="N52" s="99" t="str">
        <x:v>Conclusão: tecnicamente é possível consultar o relatório sem abrir o Power BI, mas a automação do embed não é sustentável nem compatível com os Termos de Uso vigentes. Use ANBIMA Feed para produção. Fontes: https://data.anbima.com.br/publicacoes/fundos-de-investimento/dashboard-de-fidcs | https://feed.anbima.com.br/ | https://www.anbima.com.br/pt_br/termos-de-uso.htm</x:v>
      </x:c>
    </x:row>
  </x:sheetData>
  <x:mergeCells>
    <x:mergeCell ref="A1:N2"/>
    <x:mergeCell ref="A3:N3"/>
    <x:mergeCell ref="A5:C5"/>
    <x:mergeCell ref="A6:C8"/>
    <x:mergeCell ref="D5:F5"/>
    <x:mergeCell ref="D6:F8"/>
    <x:mergeCell ref="G5:I5"/>
    <x:mergeCell ref="G6:I8"/>
    <x:mergeCell ref="J5:L5"/>
    <x:mergeCell ref="J6:L8"/>
    <x:mergeCell ref="M5:N8"/>
    <x:mergeCell ref="A44:N44"/>
    <x:mergeCell ref="A50:N52"/>
  </x:mergeCells>
  <x:pageMargins left="0.7" right="0.7" top="0.75" bottom="0.75" header="0.3" footer="0.3"/>
  <x:drawing xmlns:r="http://schemas.openxmlformats.org/officeDocument/2006/relationships" r:id="R2a0c2265e92745e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6" max="16" width="26" hidden="0" customWidth="1"/>
    <x:col min="17" max="17" width="18" hidden="0" customWidth="1"/>
  </x:cols>
  <x:sheetData>
    <x:row r="1" ht="26" customHeight="1">
      <x:c r="A1" s="4" t="str">
        <x:v>Base mensal extraída do visual público</x:v>
      </x:c>
      <x:c r="B1" s="4" t="str">
        <x:v>Base mensal extraída do visual público</x:v>
      </x:c>
      <x:c r="C1" s="4" t="str">
        <x:v>Base mensal extraída do visual público</x:v>
      </x:c>
      <x:c r="D1" s="4" t="str">
        <x:v>Base mensal extraída do visual público</x:v>
      </x:c>
      <x:c r="E1" s="4" t="str">
        <x:v>Base mensal extraída do visual público</x:v>
      </x:c>
      <x:c r="F1" s="4" t="str">
        <x:v>Base mensal extraída do visual público</x:v>
      </x:c>
      <x:c r="G1" s="4" t="str">
        <x:v>Base mensal extraída do visual público</x:v>
      </x:c>
      <x:c r="H1" s="4" t="str">
        <x:v>Base mensal extraída do visual público</x:v>
      </x:c>
      <x:c r="I1" s="4" t="str">
        <x:v>Base mensal extraída do visual público</x:v>
      </x:c>
      <x:c r="J1" s="4" t="str">
        <x:v>Base mensal extraída do visual público</x:v>
      </x:c>
      <x:c r="K1" s="4" t="str">
        <x:v>Base mensal extraída do visual público</x:v>
      </x:c>
      <x:c r="L1" s="4" t="str">
        <x:v>Base mensal extraída do visual público</x:v>
      </x:c>
      <x:c r="M1" s="4" t="str">
        <x:v>Base mensal extraída do visual público</x:v>
      </x:c>
      <x:c r="N1" s="4" t="str">
        <x:v>Base mensal extraída do visual público</x:v>
      </x:c>
      <x:c r="P1" s="110" t="str">
        <x:v>Métrica atual</x:v>
      </x:c>
      <x:c r="Q1" s="112" t="str">
        <x:v>Valor</x:v>
      </x:c>
      <x:c r="S1" s="110" t="str">
        <x:v>Período</x:v>
      </x:c>
      <x:c r="T1" s="112" t="str">
        <x:v>PL (R$ bi)</x:v>
      </x:c>
    </x:row>
    <x:row r="2" ht="26" customHeight="1">
      <x:c r="A2" s="110" t="str">
        <x:v>Período</x:v>
      </x:c>
      <x:c r="B2" s="111" t="str">
        <x:v>PL total</x:v>
      </x:c>
      <x:c r="C2" s="111" t="str">
        <x:v>PL Agro/Ind./Com.</x:v>
      </x:c>
      <x:c r="D2" s="111" t="str">
        <x:v>PL Financeiro</x:v>
      </x:c>
      <x:c r="E2" s="111" t="str">
        <x:v>PL Fomento</x:v>
      </x:c>
      <x:c r="F2" s="111" t="str">
        <x:v>PL Outros</x:v>
      </x:c>
      <x:c r="G2" s="111" t="str">
        <x:v>Contas</x:v>
      </x:c>
      <x:c r="H2" s="111" t="str">
        <x:v>PL resp. limitada</x:v>
      </x:c>
      <x:c r="I2" s="111" t="str">
        <x:v>PL sem resp. limitada</x:v>
      </x:c>
      <x:c r="J2" s="111" t="str">
        <x:v>PL não se aplica</x:v>
      </x:c>
      <x:c r="K2" s="111" t="str">
        <x:v>Ofertas acum.</x:v>
      </x:c>
      <x:c r="L2" s="111" t="str">
        <x:v>Gestores</x:v>
      </x:c>
      <x:c r="M2" s="111" t="str">
        <x:v>Administradores</x:v>
      </x:c>
      <x:c r="N2" s="112" t="str">
        <x:v>Cresc. m/m</x:v>
      </x:c>
      <x:c r="P2" s="116" t="str">
        <x:v>PL FIDC</x:v>
      </x:c>
      <x:c r="Q2" s="119" t="n">
        <x:v>751088455158.1736</x:v>
      </x:c>
      <x:c r="S2" s="116" t="str">
        <x:v>Out 2024</x:v>
      </x:c>
      <x:c r="T2" s="128" t="n">
        <x:v>538.7500411107518</x:v>
      </x:c>
    </x:row>
    <x:row r="3">
      <x:c r="A3" s="116" t="str">
        <x:v>Out 2024</x:v>
      </x:c>
      <x:c r="B3" s="119" t="n">
        <x:v>538750041110.75183</x:v>
      </x:c>
      <x:c r="C3" s="119" t="n">
        <x:v>155604098463.8513</x:v>
      </x:c>
      <x:c r="D3" s="119" t="n">
        <x:v>134508358330.37047</x:v>
      </x:c>
      <x:c r="E3" s="119" t="n">
        <x:v>51828880230.25992</x:v>
      </x:c>
      <x:c r="F3" s="119" t="n">
        <x:v>196808704086.27</x:v>
      </x:c>
      <x:c r="G3" s="122" t="n">
        <x:v>106925</x:v>
      </x:c>
      <x:c r="H3" s="119" t="n">
        <x:v>236672237199.80975</x:v>
      </x:c>
      <x:c r="I3" s="119" t="n">
        <x:v>295050238932.353</x:v>
      </x:c>
      <x:c r="J3" s="119" t="n">
        <x:v>7027564978.59</x:v>
      </x:c>
      <x:c r="K3" s="119" t="n">
        <x:v>6884789115.487031</x:v>
      </x:c>
      <x:c r="L3" s="122" t="n">
        <x:v>358</x:v>
      </x:c>
      <x:c r="M3" s="122" t="n">
        <x:v>53</x:v>
      </x:c>
      <x:c r="N3" s="125" t="str">
        <x:f>IFERROR(B3/B2-1,"")</x:f>
      </x:c>
      <x:c r="P3" s="117" t="str">
        <x:v>Classes</x:v>
      </x:c>
      <x:c r="Q3" s="123" t="n">
        <x:v>4118</x:v>
      </x:c>
      <x:c r="S3" s="117" t="str">
        <x:v>Nov 2024</x:v>
      </x:c>
      <x:c r="T3" s="129" t="n">
        <x:v>552.5871634145246</x:v>
      </x:c>
    </x:row>
    <x:row r="4">
      <x:c r="A4" s="117" t="str">
        <x:v>Nov 2024</x:v>
      </x:c>
      <x:c r="B4" s="120" t="n">
        <x:v>552587163414.5247</x:v>
      </x:c>
      <x:c r="C4" s="120" t="n">
        <x:v>160105506149.59988</x:v>
      </x:c>
      <x:c r="D4" s="120" t="n">
        <x:v>136049067355.58035</x:v>
      </x:c>
      <x:c r="E4" s="120" t="n">
        <x:v>55798519463.199844</x:v>
      </x:c>
      <x:c r="F4" s="120" t="n">
        <x:v>200634070446.14258</x:v>
      </x:c>
      <x:c r="G4" s="123" t="n">
        <x:v>140134</x:v>
      </x:c>
      <x:c r="H4" s="120" t="n">
        <x:v>245333954233.55267</x:v>
      </x:c>
      <x:c r="I4" s="120" t="n">
        <x:v>300040451796.241</x:v>
      </x:c>
      <x:c r="J4" s="120" t="n">
        <x:v>7212757384.729998</x:v>
      </x:c>
      <x:c r="K4" s="120" t="n">
        <x:v>18026420953.854267</x:v>
      </x:c>
      <x:c r="L4" s="123" t="n">
        <x:v>370</x:v>
      </x:c>
      <x:c r="M4" s="123" t="n">
        <x:v>53</x:v>
      </x:c>
      <x:c r="N4" s="126" t="n">
        <x:f>IFERROR(B4/B3-1,"")</x:f>
        <x:v>0.025683751736231164</x:v>
      </x:c>
      <x:c r="P4" s="117" t="str">
        <x:v>Subclasses</x:v>
      </x:c>
      <x:c r="Q4" s="123" t="n">
        <x:v>8464</x:v>
      </x:c>
      <x:c r="S4" s="117" t="str">
        <x:v>Dez 2024</x:v>
      </x:c>
      <x:c r="T4" s="129" t="n">
        <x:v>587.0851540682204</x:v>
      </x:c>
    </x:row>
    <x:row r="5">
      <x:c r="A5" s="117" t="str">
        <x:v>Dez 2024</x:v>
      </x:c>
      <x:c r="B5" s="120" t="n">
        <x:v>587085154068.2203</x:v>
      </x:c>
      <x:c r="C5" s="120" t="n">
        <x:v>162169009238.15005</x:v>
      </x:c>
      <x:c r="D5" s="120" t="n">
        <x:v>140232219494.94995</x:v>
      </x:c>
      <x:c r="E5" s="120" t="n">
        <x:v>56803923699.5401</x:v>
      </x:c>
      <x:c r="F5" s="120" t="n">
        <x:v>227880001635.58002</x:v>
      </x:c>
      <x:c r="G5" s="123" t="n">
        <x:v>142987</x:v>
      </x:c>
      <x:c r="H5" s="120" t="n">
        <x:v>261354233398.50024</x:v>
      </x:c>
      <x:c r="I5" s="120" t="n">
        <x:v>318499194053.5903</x:v>
      </x:c>
      <x:c r="J5" s="120" t="n">
        <x:v>7222010494.249999</x:v>
      </x:c>
      <x:c r="K5" s="120" t="n">
        <x:v>30524163200.79584</x:v>
      </x:c>
      <x:c r="L5" s="123" t="n">
        <x:v>368</x:v>
      </x:c>
      <x:c r="M5" s="123" t="n">
        <x:v>52</x:v>
      </x:c>
      <x:c r="N5" s="126" t="n">
        <x:f>IFERROR(B5/B4-1,"")</x:f>
        <x:v>0.06242995302411125</x:v>
      </x:c>
      <x:c r="P5" s="117" t="str">
        <x:v>Contas</x:v>
      </x:c>
      <x:c r="Q5" s="123" t="n">
        <x:v>428938</x:v>
      </x:c>
      <x:c r="S5" s="117" t="str">
        <x:v>Jan 2025</x:v>
      </x:c>
      <x:c r="T5" s="129" t="n">
        <x:v>595.4441446153128</x:v>
      </x:c>
    </x:row>
    <x:row r="6">
      <x:c r="A6" s="117" t="str">
        <x:v>Jan 2025</x:v>
      </x:c>
      <x:c r="B6" s="120" t="n">
        <x:v>595444144615.3127</x:v>
      </x:c>
      <x:c r="C6" s="120" t="n">
        <x:v>157341800194.44086</x:v>
      </x:c>
      <x:c r="D6" s="120" t="n">
        <x:v>142498174099.51996</x:v>
      </x:c>
      <x:c r="E6" s="120" t="n">
        <x:v>59965912477.16002</x:v>
      </x:c>
      <x:c r="F6" s="120" t="n">
        <x:v>235638257844.19016</x:v>
      </x:c>
      <x:c r="G6" s="123" t="n">
        <x:v>164301</x:v>
      </x:c>
      <x:c r="H6" s="120" t="n">
        <x:v>271289157245.6094</x:v>
      </x:c>
      <x:c r="I6" s="120" t="n">
        <x:v>316791332170.9904</x:v>
      </x:c>
      <x:c r="J6" s="120" t="n">
        <x:v>7363655198.709999</x:v>
      </x:c>
      <x:c r="K6" s="120" t="n">
        <x:v>34045489578.350407</x:v>
      </x:c>
      <x:c r="L6" s="123" t="n">
        <x:v>370</x:v>
      </x:c>
      <x:c r="M6" s="123" t="n">
        <x:v>52</x:v>
      </x:c>
      <x:c r="N6" s="126" t="n">
        <x:f>IFERROR(B6/B5-1,"")</x:f>
        <x:v>0.014238122850098733</x:v>
      </x:c>
      <x:c r="P6" s="117" t="str">
        <x:v>Classes abertas</x:v>
      </x:c>
      <x:c r="Q6" s="123" t="n">
        <x:v>1180</x:v>
      </x:c>
      <x:c r="S6" s="117" t="str">
        <x:v>Fev 2025</x:v>
      </x:c>
      <x:c r="T6" s="129" t="n">
        <x:v>607.748394458358</x:v>
      </x:c>
    </x:row>
    <x:row r="7">
      <x:c r="A7" s="117" t="str">
        <x:v>Fev 2025</x:v>
      </x:c>
      <x:c r="B7" s="120" t="n">
        <x:v>607748394458.358</x:v>
      </x:c>
      <x:c r="C7" s="120" t="n">
        <x:v>159460686640.33005</x:v>
      </x:c>
      <x:c r="D7" s="120" t="n">
        <x:v>146520163868.11005</x:v>
      </x:c>
      <x:c r="E7" s="120" t="n">
        <x:v>61350395783.690056</x:v>
      </x:c>
      <x:c r="F7" s="120" t="n">
        <x:v>240417148166.2269</x:v>
      </x:c>
      <x:c r="G7" s="123" t="n">
        <x:v>173980</x:v>
      </x:c>
      <x:c r="H7" s="120" t="n">
        <x:v>279615422873.53986</x:v>
      </x:c>
      <x:c r="I7" s="120" t="n">
        <x:v>320542408974.7072</x:v>
      </x:c>
      <x:c r="J7" s="120" t="n">
        <x:v>7590562610.110003</x:v>
      </x:c>
      <x:c r="K7" s="120" t="n">
        <x:v>40251179876.52797</x:v>
      </x:c>
      <x:c r="L7" s="123" t="n">
        <x:v>378</x:v>
      </x:c>
      <x:c r="M7" s="123" t="n">
        <x:v>52</x:v>
      </x:c>
      <x:c r="N7" s="126" t="n">
        <x:f>IFERROR(B7/B6-1,"")</x:f>
        <x:v>0.020663986629668507</x:v>
      </x:c>
      <x:c r="P7" s="117" t="str">
        <x:v>Classes fechadas</x:v>
      </x:c>
      <x:c r="Q7" s="123" t="n">
        <x:v>2938</x:v>
      </x:c>
      <x:c r="S7" s="117" t="str">
        <x:v>Mar 2025</x:v>
      </x:c>
      <x:c r="T7" s="129" t="n">
        <x:v>613.6798122948996</x:v>
      </x:c>
    </x:row>
    <x:row r="8">
      <x:c r="A8" s="117" t="str">
        <x:v>Mar 2025</x:v>
      </x:c>
      <x:c r="B8" s="120" t="n">
        <x:v>613679812294.8997</x:v>
      </x:c>
      <x:c r="C8" s="120" t="n">
        <x:v>157182198793.98987</x:v>
      </x:c>
      <x:c r="D8" s="120" t="n">
        <x:v>149649435896.7102</x:v>
      </x:c>
      <x:c r="E8" s="120" t="n">
        <x:v>64111302856.66001</x:v>
      </x:c>
      <x:c r="F8" s="120" t="n">
        <x:v>242736874747.5377</x:v>
      </x:c>
      <x:c r="G8" s="123" t="n">
        <x:v>188570</x:v>
      </x:c>
      <x:c r="H8" s="120" t="n">
        <x:v>284428096179.8206</x:v>
      </x:c>
      <x:c r="I8" s="120" t="n">
        <x:v>321579909628.9085</x:v>
      </x:c>
      <x:c r="J8" s="120" t="n">
        <x:v>7671806486.169996</x:v>
      </x:c>
      <x:c r="K8" s="120" t="n">
        <x:v>46052429878.65127</x:v>
      </x:c>
      <x:c r="L8" s="123" t="n">
        <x:v>387</x:v>
      </x:c>
      <x:c r="M8" s="123" t="n">
        <x:v>52</x:v>
      </x:c>
      <x:c r="N8" s="126" t="n">
        <x:f>IFERROR(B8/B7-1,"")</x:f>
        <x:v>0.009759660232139034</x:v>
      </x:c>
      <x:c r="P8" s="117" t="str">
        <x:v>Gestores</x:v>
      </x:c>
      <x:c r="Q8" s="123" t="n">
        <x:v>469</x:v>
      </x:c>
      <x:c r="S8" s="117" t="str">
        <x:v>Abr 2025</x:v>
      </x:c>
      <x:c r="T8" s="129" t="n">
        <x:v>625.495304424509</x:v>
      </x:c>
    </x:row>
    <x:row r="9">
      <x:c r="A9" s="117" t="str">
        <x:v>Abr 2025</x:v>
      </x:c>
      <x:c r="B9" s="120" t="n">
        <x:v>625495304424.5089</x:v>
      </x:c>
      <x:c r="C9" s="120" t="n">
        <x:v>155085257866.9602</x:v>
      </x:c>
      <x:c r="D9" s="120" t="n">
        <x:v>152830444980.4704</x:v>
      </x:c>
      <x:c r="E9" s="120" t="n">
        <x:v>65833622605.01985</x:v>
      </x:c>
      <x:c r="F9" s="120" t="n">
        <x:v>251745978972.05756</x:v>
      </x:c>
      <x:c r="G9" s="123" t="n">
        <x:v>210625</x:v>
      </x:c>
      <x:c r="H9" s="120" t="n">
        <x:v>293984947292.81946</x:v>
      </x:c>
      <x:c r="I9" s="120" t="n">
        <x:v>323939465619.44806</x:v>
      </x:c>
      <x:c r="J9" s="120" t="n">
        <x:v>7570891512.240004</x:v>
      </x:c>
      <x:c r="K9" s="120" t="n">
        <x:v>55157277223.004944</x:v>
      </x:c>
      <x:c r="L9" s="123" t="n">
        <x:v>395</x:v>
      </x:c>
      <x:c r="M9" s="123" t="n">
        <x:v>52</x:v>
      </x:c>
      <x:c r="N9" s="126" t="n">
        <x:f>IFERROR(B9/B8-1,"")</x:f>
        <x:v>0.01925351281383092</x:v>
      </x:c>
      <x:c r="P9" s="117" t="str">
        <x:v>Administradores</x:v>
      </x:c>
      <x:c r="Q9" s="123" t="n">
        <x:v>56</x:v>
      </x:c>
      <x:c r="S9" s="117" t="str">
        <x:v>Mai 2025</x:v>
      </x:c>
      <x:c r="T9" s="129" t="n">
        <x:v>644.8935623154531</x:v>
      </x:c>
    </x:row>
    <x:row r="10">
      <x:c r="A10" s="117" t="str">
        <x:v>Mai 2025</x:v>
      </x:c>
      <x:c r="B10" s="120" t="n">
        <x:v>644893562315.4531</x:v>
      </x:c>
      <x:c r="C10" s="120" t="n">
        <x:v>158104764263.64996</x:v>
      </x:c>
      <x:c r="D10" s="120" t="n">
        <x:v>155256078556.80002</x:v>
      </x:c>
      <x:c r="E10" s="120" t="n">
        <x:v>67182910388.290115</x:v>
      </x:c>
      <x:c r="F10" s="120" t="n">
        <x:v>264349809106.71332</x:v>
      </x:c>
      <x:c r="G10" s="123" t="n">
        <x:v>246879</x:v>
      </x:c>
      <x:c r="H10" s="120" t="n">
        <x:v>310918099706.02625</x:v>
      </x:c>
      <x:c r="I10" s="120" t="n">
        <x:v>326343031755.21857</x:v>
      </x:c>
      <x:c r="J10" s="120" t="n">
        <x:v>7632430854.209999</x:v>
      </x:c>
      <x:c r="K10" s="120" t="n">
        <x:v>61042970169.81056</x:v>
      </x:c>
      <x:c r="L10" s="123" t="n">
        <x:v>400</x:v>
      </x:c>
      <x:c r="M10" s="123" t="n">
        <x:v>53</x:v>
      </x:c>
      <x:c r="N10" s="126" t="n">
        <x:f>IFERROR(B10/B9-1,"")</x:f>
        <x:v>0.031012635512574604</x:v>
      </x:c>
      <x:c r="P10" s="118" t="str">
        <x:v>Ofertas no mês</x:v>
      </x:c>
      <x:c r="Q10" s="121" t="n">
        <x:v>5289087410.0111885</x:v>
      </x:c>
      <x:c r="S10" s="117" t="str">
        <x:v>Jun 2025</x:v>
      </x:c>
      <x:c r="T10" s="129" t="n">
        <x:v>690.2377510428779</x:v>
      </x:c>
    </x:row>
    <x:row r="11">
      <x:c r="A11" s="117" t="str">
        <x:v>Jun 2025</x:v>
      </x:c>
      <x:c r="B11" s="120" t="n">
        <x:v>690237751042.8779</x:v>
      </x:c>
      <x:c r="C11" s="120" t="n">
        <x:v>162945707993.5</x:v>
      </x:c>
      <x:c r="D11" s="120" t="n">
        <x:v>163729733521.57263</x:v>
      </x:c>
      <x:c r="E11" s="120" t="n">
        <x:v>70622003638.96</x:v>
      </x:c>
      <x:c r="F11" s="120" t="n">
        <x:v>292940305888.84204</x:v>
      </x:c>
      <x:c r="G11" s="123" t="n">
        <x:v>263642</x:v>
      </x:c>
      <x:c r="H11" s="120" t="n">
        <x:v>335825652962.0162</x:v>
      </x:c>
      <x:c r="I11" s="120" t="n">
        <x:v>346576589466.5303</x:v>
      </x:c>
      <x:c r="J11" s="120" t="n">
        <x:v>7835508614.330001</x:v>
      </x:c>
      <x:c r="K11" s="120" t="n">
        <x:v>71525835907.62634</x:v>
      </x:c>
      <x:c r="L11" s="123" t="n">
        <x:v>407</x:v>
      </x:c>
      <x:c r="M11" s="123" t="n">
        <x:v>52</x:v>
      </x:c>
      <x:c r="N11" s="126" t="n">
        <x:f>IFERROR(B11/B10-1,"")</x:f>
        <x:v>0.07031267076790026</x:v>
      </x:c>
      <x:c r="S11" s="117" t="str">
        <x:v>Jul 2025</x:v>
      </x:c>
      <x:c r="T11" s="129" t="n">
        <x:v>700.7446984996625</x:v>
      </x:c>
    </x:row>
    <x:row r="12">
      <x:c r="A12" s="117" t="str">
        <x:v>Jul 2025</x:v>
      </x:c>
      <x:c r="B12" s="120" t="n">
        <x:v>700744698499.6625</x:v>
      </x:c>
      <x:c r="C12" s="120" t="n">
        <x:v>160549366406.09662</x:v>
      </x:c>
      <x:c r="D12" s="120" t="n">
        <x:v>167520102479.30002</x:v>
      </x:c>
      <x:c r="E12" s="120" t="n">
        <x:v>71729455428.51996</x:v>
      </x:c>
      <x:c r="F12" s="120" t="n">
        <x:v>300945774185.74756</x:v>
      </x:c>
      <x:c r="G12" s="123" t="n">
        <x:v>298966</x:v>
      </x:c>
      <x:c r="H12" s="120" t="n">
        <x:v>345237368139.53564</x:v>
      </x:c>
      <x:c r="I12" s="120" t="n">
        <x:v>347828408114.6797</x:v>
      </x:c>
      <x:c r="J12" s="120" t="n">
        <x:v>7678922245.449999</x:v>
      </x:c>
      <x:c r="K12" s="120" t="n">
        <x:v>77299476928.37648</x:v>
      </x:c>
      <x:c r="L12" s="123" t="n">
        <x:v>412</x:v>
      </x:c>
      <x:c r="M12" s="123" t="n">
        <x:v>52</x:v>
      </x:c>
      <x:c r="N12" s="126" t="n">
        <x:f>IFERROR(B12/B11-1,"")</x:f>
        <x:v>0.015222215013463991</x:v>
      </x:c>
      <x:c r="S12" s="117" t="str">
        <x:v>Ago 2025</x:v>
      </x:c>
      <x:c r="T12" s="129" t="n">
        <x:v>699.1736876549021</x:v>
      </x:c>
    </x:row>
    <x:row r="13" ht="26" customHeight="1">
      <x:c r="A13" s="117" t="str">
        <x:v>Ago 2025</x:v>
      </x:c>
      <x:c r="B13" s="120" t="n">
        <x:v>699173687654.9021</x:v>
      </x:c>
      <x:c r="C13" s="120" t="n">
        <x:v>157151744010.05762</x:v>
      </x:c>
      <x:c r="D13" s="120" t="n">
        <x:v>171600194145.90027</x:v>
      </x:c>
      <x:c r="E13" s="120" t="n">
        <x:v>73073254176.41989</x:v>
      </x:c>
      <x:c r="F13" s="120" t="n">
        <x:v>297348495322.5276</x:v>
      </x:c>
      <x:c r="G13" s="123" t="n">
        <x:v>328832</x:v>
      </x:c>
      <x:c r="H13" s="120" t="n">
        <x:v>352988030362.19684</x:v>
      </x:c>
      <x:c r="I13" s="120" t="n">
        <x:v>337868710568.0087</x:v>
      </x:c>
      <x:c r="J13" s="120" t="n">
        <x:v>8316946724.700004</x:v>
      </x:c>
      <x:c r="K13" s="120" t="n">
        <x:v>83185194571.19395</x:v>
      </x:c>
      <x:c r="L13" s="123" t="n">
        <x:v>418</x:v>
      </x:c>
      <x:c r="M13" s="123" t="n">
        <x:v>52</x:v>
      </x:c>
      <x:c r="N13" s="126" t="n">
        <x:f>IFERROR(B13/B12-1,"")</x:f>
        <x:v>-0.0022419161331138637</x:v>
      </x:c>
      <x:c r="P13" s="110" t="str">
        <x:v>Tipo ANBIMA</x:v>
      </x:c>
      <x:c r="Q13" s="112" t="str">
        <x:v>PL atual (R$ bi)</x:v>
      </x:c>
      <x:c r="S13" s="117" t="str">
        <x:v>Set 2025</x:v>
      </x:c>
      <x:c r="T13" s="129" t="n">
        <x:v>710.6139959590562</x:v>
      </x:c>
    </x:row>
    <x:row r="14">
      <x:c r="A14" s="117" t="str">
        <x:v>Set 2025</x:v>
      </x:c>
      <x:c r="B14" s="120" t="n">
        <x:v>710613995959.0562</x:v>
      </x:c>
      <x:c r="C14" s="120" t="n">
        <x:v>151236593196.36456</x:v>
      </x:c>
      <x:c r="D14" s="120" t="n">
        <x:v>176952453681.39993</x:v>
      </x:c>
      <x:c r="E14" s="120" t="n">
        <x:v>75776691003.8663</x:v>
      </x:c>
      <x:c r="F14" s="120" t="n">
        <x:v>306648258077.4247</x:v>
      </x:c>
      <x:c r="G14" s="123" t="n">
        <x:v>344499</x:v>
      </x:c>
      <x:c r="H14" s="120" t="n">
        <x:v>367579591517.3893</x:v>
      </x:c>
      <x:c r="I14" s="120" t="n">
        <x:v>335731809937.97614</x:v>
      </x:c>
      <x:c r="J14" s="120" t="n">
        <x:v>7302594503.690002</x:v>
      </x:c>
      <x:c r="K14" s="120" t="n">
        <x:v>92009350740.5148</x:v>
      </x:c>
      <x:c r="L14" s="123" t="n">
        <x:v>422</x:v>
      </x:c>
      <x:c r="M14" s="123" t="n">
        <x:v>53</x:v>
      </x:c>
      <x:c r="N14" s="126" t="n">
        <x:f>IFERROR(B14/B13-1,"")</x:f>
        <x:v>0.01636261276153861</x:v>
      </x:c>
      <x:c r="P14" s="116" t="str">
        <x:v>Agro, Indústria e Comércio</x:v>
      </x:c>
      <x:c r="Q14" s="128" t="n">
        <x:v>154.07011941794488</x:v>
      </x:c>
      <x:c r="S14" s="117" t="str">
        <x:v>Out 2025</x:v>
      </x:c>
      <x:c r="T14" s="129" t="n">
        <x:v>731.7059548178989</x:v>
      </x:c>
    </x:row>
    <x:row r="15">
      <x:c r="A15" s="117" t="str">
        <x:v>Out 2025</x:v>
      </x:c>
      <x:c r="B15" s="120" t="n">
        <x:v>731705954817.8989</x:v>
      </x:c>
      <x:c r="C15" s="120" t="n">
        <x:v>150614882540.4602</x:v>
      </x:c>
      <x:c r="D15" s="120" t="n">
        <x:v>180191270999.49304</x:v>
      </x:c>
      <x:c r="E15" s="120" t="n">
        <x:v>77913615016.51491</x:v>
      </x:c>
      <x:c r="F15" s="120" t="n">
        <x:v>322986186261.4293</x:v>
      </x:c>
      <x:c r="G15" s="123" t="n">
        <x:v>336454</x:v>
      </x:c>
      <x:c r="H15" s="120" t="n">
        <x:v>381423514850.3422</x:v>
      </x:c>
      <x:c r="I15" s="120" t="n">
        <x:v>342374069266.28577</x:v>
      </x:c>
      <x:c r="J15" s="120" t="n">
        <x:v>7908370701.270001</x:v>
      </x:c>
      <x:c r="K15" s="120" t="n">
        <x:v>101718721059.82736</x:v>
      </x:c>
      <x:c r="L15" s="123" t="n">
        <x:v>427</x:v>
      </x:c>
      <x:c r="M15" s="123" t="n">
        <x:v>53</x:v>
      </x:c>
      <x:c r="N15" s="126" t="n">
        <x:f>IFERROR(B15/B14-1,"")</x:f>
        <x:v>0.02968131640916627</x:v>
      </x:c>
      <x:c r="P15" s="117" t="str">
        <x:v>Financeiro</x:v>
      </x:c>
      <x:c r="Q15" s="129" t="n">
        <x:v>213.18044627644005</x:v>
      </x:c>
      <x:c r="S15" s="117" t="str">
        <x:v>Nov 2025</x:v>
      </x:c>
      <x:c r="T15" s="129" t="n">
        <x:v>729.2372338590533</x:v>
      </x:c>
    </x:row>
    <x:row r="16">
      <x:c r="A16" s="117" t="str">
        <x:v>Nov 2025</x:v>
      </x:c>
      <x:c r="B16" s="120" t="n">
        <x:v>729237233859.0532</x:v>
      </x:c>
      <x:c r="C16" s="120" t="n">
        <x:v>148803118056.55273</x:v>
      </x:c>
      <x:c r="D16" s="120" t="n">
        <x:v>183734540970.31638</x:v>
      </x:c>
      <x:c r="E16" s="120" t="n">
        <x:v>79693172261.76477</x:v>
      </x:c>
      <x:c r="F16" s="120" t="n">
        <x:v>317006402570.4149</x:v>
      </x:c>
      <x:c r="G16" s="123" t="n">
        <x:v>345542</x:v>
      </x:c>
      <x:c r="H16" s="120" t="n">
        <x:v>384024099573.43176</x:v>
      </x:c>
      <x:c r="I16" s="120" t="n">
        <x:v>338198634341.5584</x:v>
      </x:c>
      <x:c r="J16" s="120" t="n">
        <x:v>7014499944.059998</x:v>
      </x:c>
      <x:c r="K16" s="120" t="n">
        <x:v>108450954190.81842</x:v>
      </x:c>
      <x:c r="L16" s="123" t="n">
        <x:v>431</x:v>
      </x:c>
      <x:c r="M16" s="123" t="n">
        <x:v>53</x:v>
      </x:c>
      <x:c r="N16" s="126" t="n">
        <x:f>IFERROR(B16/B15-1,"")</x:f>
        <x:v>-0.003373924925156757</x:v>
      </x:c>
      <x:c r="P16" s="117" t="str">
        <x:v>Fomento Mercantil</x:v>
      </x:c>
      <x:c r="Q16" s="129" t="n">
        <x:v>85.75464670265465</x:v>
      </x:c>
      <x:c r="S16" s="117" t="str">
        <x:v>Dez 2025</x:v>
      </x:c>
      <x:c r="T16" s="129" t="n">
        <x:v>745.2873420566174</x:v>
      </x:c>
    </x:row>
    <x:row r="17">
      <x:c r="A17" s="117" t="str">
        <x:v>Dez 2025</x:v>
      </x:c>
      <x:c r="B17" s="120" t="n">
        <x:v>745287342056.6174</x:v>
      </x:c>
      <x:c r="C17" s="120" t="n">
        <x:v>150739628409.11218</x:v>
      </x:c>
      <x:c r="D17" s="120" t="n">
        <x:v>190917114697.75494</x:v>
      </x:c>
      <x:c r="E17" s="120" t="n">
        <x:v>80247330697.28981</x:v>
      </x:c>
      <x:c r="F17" s="120" t="n">
        <x:v>323383268252.4593</x:v>
      </x:c>
      <x:c r="G17" s="123" t="n">
        <x:v>361764</x:v>
      </x:c>
      <x:c r="H17" s="120" t="n">
        <x:v>395017301837.2966</x:v>
      </x:c>
      <x:c r="I17" s="120" t="n">
        <x:v>342008640188.5177</x:v>
      </x:c>
      <x:c r="J17" s="120" t="n">
        <x:v>8261400030.800004</x:v>
      </x:c>
      <x:c r="K17" s="120" t="n">
        <x:v>121509269293.49895</x:v>
      </x:c>
      <x:c r="L17" s="123" t="n">
        <x:v>448</x:v>
      </x:c>
      <x:c r="M17" s="123" t="n">
        <x:v>54</x:v>
      </x:c>
      <x:c r="N17" s="126" t="n">
        <x:f>IFERROR(B17/B16-1,"")</x:f>
        <x:v>0.02200944692940121</x:v>
      </x:c>
      <x:c r="P17" s="118" t="str">
        <x:v>Outros</x:v>
      </x:c>
      <x:c r="Q17" s="130" t="n">
        <x:v>298.08324276113404</x:v>
      </x:c>
      <x:c r="S17" s="117" t="str">
        <x:v>Jan 2026</x:v>
      </x:c>
      <x:c r="T17" s="129" t="n">
        <x:v>716.5605449979691</x:v>
      </x:c>
    </x:row>
    <x:row r="18">
      <x:c r="A18" s="117" t="str">
        <x:v>Jan 2026</x:v>
      </x:c>
      <x:c r="B18" s="120" t="n">
        <x:v>716560544997.9691</x:v>
      </x:c>
      <x:c r="C18" s="120" t="n">
        <x:v>152183418866.93738</x:v>
      </x:c>
      <x:c r="D18" s="120" t="n">
        <x:v>194090114631.4353</x:v>
      </x:c>
      <x:c r="E18" s="120" t="n">
        <x:v>78994233188.78854</x:v>
      </x:c>
      <x:c r="F18" s="120" t="n">
        <x:v>291292778310.80695</x:v>
      </x:c>
      <x:c r="G18" s="123" t="n">
        <x:v>371118</x:v>
      </x:c>
      <x:c r="H18" s="120" t="n">
        <x:v>411249029619.0828</x:v>
      </x:c>
      <x:c r="I18" s="120" t="n">
        <x:v>299145042797.2465</x:v>
      </x:c>
      <x:c r="J18" s="120" t="n">
        <x:v>6166472581.640001</x:v>
      </x:c>
      <x:c r="K18" s="120" t="n">
        <x:v>128498046089.58432</x:v>
      </x:c>
      <x:c r="L18" s="123" t="n">
        <x:v>454</x:v>
      </x:c>
      <x:c r="M18" s="123" t="n">
        <x:v>53</x:v>
      </x:c>
      <x:c r="N18" s="126" t="n">
        <x:f>IFERROR(B18/B17-1,"")</x:f>
        <x:v>-0.038544592719603754</x:v>
      </x:c>
      <x:c r="S18" s="117" t="str">
        <x:v>Fev 2026</x:v>
      </x:c>
      <x:c r="T18" s="129" t="n">
        <x:v>716.840823512756</x:v>
      </x:c>
    </x:row>
    <x:row r="19" ht="26" customHeight="1">
      <x:c r="A19" s="117" t="str">
        <x:v>Fev 2026</x:v>
      </x:c>
      <x:c r="B19" s="120" t="n">
        <x:v>716840823512.756</x:v>
      </x:c>
      <x:c r="C19" s="120" t="n">
        <x:v>153869650294.86377</x:v>
      </x:c>
      <x:c r="D19" s="120" t="n">
        <x:v>194817628090.41492</x:v>
      </x:c>
      <x:c r="E19" s="120" t="n">
        <x:v>80318285596.6815</x:v>
      </x:c>
      <x:c r="F19" s="120" t="n">
        <x:v>287835259530.79553</x:v>
      </x:c>
      <x:c r="G19" s="123" t="n">
        <x:v>388193</x:v>
      </x:c>
      <x:c r="H19" s="120" t="n">
        <x:v>418961857954.285</x:v>
      </x:c>
      <x:c r="I19" s="120" t="n">
        <x:v>291660743703.8709</x:v>
      </x:c>
      <x:c r="J19" s="120" t="n">
        <x:v>6218221854.6</x:v>
      </x:c>
      <x:c r="K19" s="120" t="n">
        <x:v>134780323982.49057</x:v>
      </x:c>
      <x:c r="L19" s="123" t="n">
        <x:v>456</x:v>
      </x:c>
      <x:c r="M19" s="123" t="n">
        <x:v>53</x:v>
      </x:c>
      <x:c r="N19" s="126" t="n">
        <x:f>IFERROR(B19/B18-1,"")</x:f>
        <x:v>0.00039114421906627506</x:v>
      </x:c>
      <x:c r="P19" s="110" t="str">
        <x:v>Responsabilidade</x:v>
      </x:c>
      <x:c r="Q19" s="112" t="str">
        <x:v>PL atual (R$ bi)</x:v>
      </x:c>
      <x:c r="S19" s="117" t="str">
        <x:v>Mar 2026</x:v>
      </x:c>
      <x:c r="T19" s="129" t="n">
        <x:v>737.3828678194516</x:v>
      </x:c>
    </x:row>
    <x:row r="20">
      <x:c r="A20" s="117" t="str">
        <x:v>Mar 2026</x:v>
      </x:c>
      <x:c r="B20" s="120" t="n">
        <x:v>737382867819.4515</x:v>
      </x:c>
      <x:c r="C20" s="120" t="n">
        <x:v>155086111995.35986</x:v>
      </x:c>
      <x:c r="D20" s="120" t="n">
        <x:v>200359682711.77493</x:v>
      </x:c>
      <x:c r="E20" s="120" t="n">
        <x:v>82895032770.57019</x:v>
      </x:c>
      <x:c r="F20" s="120" t="n">
        <x:v>299042040341.7491</x:v>
      </x:c>
      <x:c r="G20" s="123" t="n">
        <x:v>403303</x:v>
      </x:c>
      <x:c r="H20" s="120" t="n">
        <x:v>437157205505.31525</x:v>
      </x:c>
      <x:c r="I20" s="120" t="n">
        <x:v>293856975023.8177</x:v>
      </x:c>
      <x:c r="J20" s="120" t="n">
        <x:v>6368687290.3211</x:v>
      </x:c>
      <x:c r="K20" s="120" t="n">
        <x:v>142899609848.78314</x:v>
      </x:c>
      <x:c r="L20" s="123" t="n">
        <x:v>460</x:v>
      </x:c>
      <x:c r="M20" s="123" t="n">
        <x:v>54</x:v>
      </x:c>
      <x:c r="N20" s="126" t="n">
        <x:f>IFERROR(B20/B19-1,"")</x:f>
        <x:v>0.028656353869514373</x:v>
      </x:c>
      <x:c r="P20" s="116" t="str">
        <x:v>Sim</x:v>
      </x:c>
      <x:c r="Q20" s="128" t="n">
        <x:v>458.12034960274667</x:v>
      </x:c>
      <x:c r="S20" s="117" t="str">
        <x:v>Abr 2026</x:v>
      </x:c>
      <x:c r="T20" s="129" t="n">
        <x:v>742.8795344125141</x:v>
      </x:c>
    </x:row>
    <x:row r="21">
      <x:c r="A21" s="117" t="str">
        <x:v>Abr 2026</x:v>
      </x:c>
      <x:c r="B21" s="120" t="n">
        <x:v>742879534412.514</x:v>
      </x:c>
      <x:c r="C21" s="120" t="n">
        <x:v>155395692975.42322</x:v>
      </x:c>
      <x:c r="D21" s="120" t="n">
        <x:v>207714950099.25598</x:v>
      </x:c>
      <x:c r="E21" s="120" t="n">
        <x:v>84302298008.36623</x:v>
      </x:c>
      <x:c r="F21" s="120" t="n">
        <x:v>295466593329.4663</x:v>
      </x:c>
      <x:c r="G21" s="123" t="n">
        <x:v>420266</x:v>
      </x:c>
      <x:c r="H21" s="120" t="n">
        <x:v>449941594500.1491</x:v>
      </x:c>
      <x:c r="I21" s="120" t="n">
        <x:v>286271605749.6711</x:v>
      </x:c>
      <x:c r="J21" s="120" t="n">
        <x:v>6666334162.690099</x:v>
      </x:c>
      <x:c r="K21" s="120" t="n">
        <x:v>157868311785.42957</x:v>
      </x:c>
      <x:c r="L21" s="123" t="n">
        <x:v>465</x:v>
      </x:c>
      <x:c r="M21" s="123" t="n">
        <x:v>56</x:v>
      </x:c>
      <x:c r="N21" s="126" t="n">
        <x:f>IFERROR(B21/B20-1,"")</x:f>
        <x:v>0.007454291159919357</x:v>
      </x:c>
      <x:c r="P21" s="117" t="str">
        <x:v>Não</x:v>
      </x:c>
      <x:c r="Q21" s="129" t="n">
        <x:v>286.5628573402591</x:v>
      </x:c>
      <x:c r="S21" s="118" t="str">
        <x:v>Mai 2026</x:v>
      </x:c>
      <x:c r="T21" s="130" t="n">
        <x:v>751.0884551581736</x:v>
      </x:c>
    </x:row>
    <x:row r="22">
      <x:c r="A22" s="118" t="str">
        <x:v>Mai 2026</x:v>
      </x:c>
      <x:c r="B22" s="121" t="n">
        <x:v>751088455158.1736</x:v>
      </x:c>
      <x:c r="C22" s="121" t="n">
        <x:v>154070119417.9449</x:v>
      </x:c>
      <x:c r="D22" s="121" t="n">
        <x:v>213180446276.44006</x:v>
      </x:c>
      <x:c r="E22" s="121" t="n">
        <x:v>85754646702.65465</x:v>
      </x:c>
      <x:c r="F22" s="121" t="n">
        <x:v>298083242761.13403</x:v>
      </x:c>
      <x:c r="G22" s="124" t="n">
        <x:v>428938</x:v>
      </x:c>
      <x:c r="H22" s="121" t="n">
        <x:v>458120349602.74664</x:v>
      </x:c>
      <x:c r="I22" s="121" t="n">
        <x:v>286562857340.2591</x:v>
      </x:c>
      <x:c r="J22" s="121" t="n">
        <x:v>6405248215.167599</x:v>
      </x:c>
      <x:c r="K22" s="121" t="n">
        <x:v>163157399195.4408</x:v>
      </x:c>
      <x:c r="L22" s="124" t="n">
        <x:v>469</x:v>
      </x:c>
      <x:c r="M22" s="124" t="n">
        <x:v>56</x:v>
      </x:c>
      <x:c r="N22" s="127" t="n">
        <x:f>IFERROR(B22/B21-1,"")</x:f>
        <x:v>0.011050137156021433</x:v>
      </x:c>
      <x:c r="P22" s="118" t="str">
        <x:v>Não se aplica</x:v>
      </x:c>
      <x:c r="Q22" s="130" t="n">
        <x:v>6.405248215167599</x:v>
      </x:c>
    </x:row>
    <x:row r="24">
      <x:c r="A24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  <x:c r="B24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  <x:c r="C24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  <x:c r="D24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  <x:c r="E24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  <x:c r="F24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  <x:c r="G24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  <x:c r="H24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  <x:c r="I24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  <x:c r="J24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  <x:c r="K24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  <x:c r="L24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  <x:c r="M24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  <x:c r="N24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</x:row>
    <x:row r="25">
      <x:c r="A25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  <x:c r="B25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  <x:c r="C25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  <x:c r="D25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  <x:c r="E25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  <x:c r="F25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  <x:c r="G25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  <x:c r="H25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  <x:c r="I25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  <x:c r="J25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  <x:c r="K25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  <x:c r="L25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  <x:c r="M25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  <x:c r="N25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</x:row>
    <x:row r="26">
      <x:c r="A26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  <x:c r="B26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  <x:c r="C26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  <x:c r="D26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  <x:c r="E26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  <x:c r="F26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  <x:c r="G26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  <x:c r="H26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  <x:c r="I26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  <x:c r="J26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  <x:c r="K26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  <x:c r="L26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  <x:c r="M26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  <x:c r="N26" s="99" t="str">
        <x:v>Origem: consultas agregadas do Power BI público. Série observada: Out/2024–Mai/2026. O visual não aplica filtro explícito de data na consulta usada; não foi observado histórico anterior no modelo. https://app.powerbi.com/view?r=eyJrIjoiM2M2NzVmOWItMzI0Yi00MTE1LWI5ZmYtZTM0ZWM4ZDUwODNlIiwidCI6Ijk3OTM3M2VkLWQxMzAtNDU4NS1iNTY5LTNjM2NlNjE0MTIyNyJ9</x:v>
      </x:c>
    </x:row>
  </x:sheetData>
  <x:mergeCells>
    <x:mergeCell ref="A1:N1"/>
    <x:mergeCell ref="A24:N26"/>
  </x:mergeCells>
  <x:pageMargins left="0.7" right="0.7" top="0.75" bottom="0.75" header="0.3" footer="0.3"/>
  <x:legacyDrawing xmlns:r="http://schemas.openxmlformats.org/officeDocument/2006/relationships" r:id="R5f8ad178b13341dc"/>
  <x:tableParts count="1">
    <x:tablePart xmlns:r="http://schemas.openxmlformats.org/officeDocument/2006/relationships" r:id="Rcda9f4426aa7496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4" hidden="0" customWidth="1"/>
    <x:col min="5" max="5" width="28" hidden="0" customWidth="1"/>
    <x:col min="6" max="6" width="15" hidden="0" customWidth="1"/>
  </x:cols>
  <x:sheetData>
    <x:row r="1" ht="26" customHeight="1">
      <x:c r="A1" s="4" t="str">
        <x:v>Contas por segmento de investidor — série mensal</x:v>
      </x:c>
      <x:c r="B1" s="4" t="str">
        <x:v>Contas por segmento de investidor — série mensal</x:v>
      </x:c>
      <x:c r="C1" s="4" t="str">
        <x:v>Contas por segmento de investidor — série mensal</x:v>
      </x:c>
      <x:c r="E1" s="110" t="str">
        <x:v>Segmento — Mai 2026</x:v>
      </x:c>
      <x:c r="F1" s="112" t="str">
        <x:v>Contas</x:v>
      </x:c>
    </x:row>
    <x:row r="2" ht="26" customHeight="1">
      <x:c r="A2" s="110" t="str">
        <x:v>Período</x:v>
      </x:c>
      <x:c r="B2" s="111" t="str">
        <x:v>Segmento</x:v>
      </x:c>
      <x:c r="C2" s="112" t="str">
        <x:v>Contas</x:v>
      </x:c>
      <x:c r="E2" s="116" t="str">
        <x:v>Conta e Ordem</x:v>
      </x:c>
      <x:c r="F2" s="122" t="n">
        <x:v>283271</x:v>
      </x:c>
    </x:row>
    <x:row r="3">
      <x:c r="A3" s="116" t="str">
        <x:v>Out 2024</x:v>
      </x:c>
      <x:c r="B3" s="116" t="str">
        <x:v>Conta e Ordem</x:v>
      </x:c>
      <x:c r="C3" s="122" t="n">
        <x:v>29208</x:v>
      </x:c>
      <x:c r="E3" s="117" t="str">
        <x:v>Varejo</x:v>
      </x:c>
      <x:c r="F3" s="123" t="n">
        <x:v>67177</x:v>
      </x:c>
    </x:row>
    <x:row r="4">
      <x:c r="A4" s="117" t="str">
        <x:v>Out 2024</x:v>
      </x:c>
      <x:c r="B4" s="117" t="str">
        <x:v>Corporate</x:v>
      </x:c>
      <x:c r="C4" s="123" t="n">
        <x:v>3561</x:v>
      </x:c>
      <x:c r="E4" s="117" t="str">
        <x:v>Outros Institucionais</x:v>
      </x:c>
      <x:c r="F4" s="123" t="n">
        <x:v>40875</x:v>
      </x:c>
    </x:row>
    <x:row r="5">
      <x:c r="A5" s="117" t="str">
        <x:v>Out 2024</x:v>
      </x:c>
      <x:c r="B5" s="117" t="str">
        <x:v>EAPC</x:v>
      </x:c>
      <x:c r="C5" s="123" t="n">
        <x:v>2</x:v>
      </x:c>
      <x:c r="E5" s="117" t="str">
        <x:v>Private</x:v>
      </x:c>
      <x:c r="F5" s="123" t="n">
        <x:v>17948</x:v>
      </x:c>
    </x:row>
    <x:row r="6">
      <x:c r="A6" s="117" t="str">
        <x:v>Out 2024</x:v>
      </x:c>
      <x:c r="B6" s="117" t="str">
        <x:v>Estrangeiros</x:v>
      </x:c>
      <x:c r="C6" s="123" t="n">
        <x:v>291</x:v>
      </x:c>
      <x:c r="E6" s="117" t="str">
        <x:v>Outros</x:v>
      </x:c>
      <x:c r="F6" s="123" t="n">
        <x:v>11718</x:v>
      </x:c>
    </x:row>
    <x:row r="7">
      <x:c r="A7" s="117" t="str">
        <x:v>Out 2024</x:v>
      </x:c>
      <x:c r="B7" s="117" t="str">
        <x:v>Outros</x:v>
      </x:c>
      <x:c r="C7" s="123" t="n">
        <x:v>6802</x:v>
      </x:c>
      <x:c r="E7" s="117" t="str">
        <x:v>Corporate</x:v>
      </x:c>
      <x:c r="F7" s="123" t="n">
        <x:v>7232</x:v>
      </x:c>
    </x:row>
    <x:row r="8">
      <x:c r="A8" s="117" t="str">
        <x:v>Out 2024</x:v>
      </x:c>
      <x:c r="B8" s="117" t="str">
        <x:v>Outros Institucionais</x:v>
      </x:c>
      <x:c r="C8" s="123" t="n">
        <x:v>23842</x:v>
      </x:c>
      <x:c r="E8" s="117" t="str">
        <x:v>Previdência Fechada</x:v>
      </x:c>
      <x:c r="F8" s="123" t="n">
        <x:v>376</x:v>
      </x:c>
    </x:row>
    <x:row r="9">
      <x:c r="A9" s="117" t="str">
        <x:v>Out 2024</x:v>
      </x:c>
      <x:c r="B9" s="117" t="str">
        <x:v>Previdência Fechada</x:v>
      </x:c>
      <x:c r="C9" s="123" t="n">
        <x:v>440</x:v>
      </x:c>
      <x:c r="E9" s="117" t="str">
        <x:v>Estrangeiros</x:v>
      </x:c>
      <x:c r="F9" s="123" t="n">
        <x:v>331</x:v>
      </x:c>
    </x:row>
    <x:row r="10">
      <x:c r="A10" s="117" t="str">
        <x:v>Out 2024</x:v>
      </x:c>
      <x:c r="B10" s="117" t="str">
        <x:v>Private</x:v>
      </x:c>
      <x:c r="C10" s="123" t="n">
        <x:v>5718</x:v>
      </x:c>
      <x:c r="E10" s="117" t="str">
        <x:v>Poder Público</x:v>
      </x:c>
      <x:c r="F10" s="123" t="n">
        <x:v>7</x:v>
      </x:c>
    </x:row>
    <x:row r="11">
      <x:c r="A11" s="117" t="str">
        <x:v>Out 2024</x:v>
      </x:c>
      <x:c r="B11" s="117" t="str">
        <x:v>Varejo</x:v>
      </x:c>
      <x:c r="C11" s="123" t="n">
        <x:v>37061</x:v>
      </x:c>
      <x:c r="E11" s="118" t="str">
        <x:v>EAPC</x:v>
      </x:c>
      <x:c r="F11" s="124" t="n">
        <x:v>3</x:v>
      </x:c>
    </x:row>
    <x:row r="12">
      <x:c r="A12" s="117" t="str">
        <x:v>Nov 2024</x:v>
      </x:c>
      <x:c r="B12" s="117" t="str">
        <x:v>Conta e Ordem</x:v>
      </x:c>
      <x:c r="C12" s="123" t="n">
        <x:v>56265</x:v>
      </x:c>
    </x:row>
    <x:row r="13">
      <x:c r="A13" s="117" t="str">
        <x:v>Nov 2024</x:v>
      </x:c>
      <x:c r="B13" s="117" t="str">
        <x:v>Corporate</x:v>
      </x:c>
      <x:c r="C13" s="123" t="n">
        <x:v>4132</x:v>
      </x:c>
      <x:c r="E13" s="99" t="str">
        <x:v>Granularidade observada: mensal × segmento. Soma de Mai 2026: 428.938 contas, conciliada com o card do dashboard. https://app.powerbi.com/view?r=eyJrIjoiM2M2NzVmOWItMzI0Yi00MTE1LWI5ZmYtZTM0ZWM4ZDUwODNlIiwidCI6Ijk3OTM3M2VkLWQxMzAtNDU4NS1iNTY5LTNjM2NlNjE0MTIyNyJ9</x:v>
      </x:c>
      <x:c r="F13" s="99" t="str">
        <x:v>Granularidade observada: mensal × segmento. Soma de Mai 2026: 428.938 contas, conciliada com o card do dashboard. https://app.powerbi.com/view?r=eyJrIjoiM2M2NzVmOWItMzI0Yi00MTE1LWI5ZmYtZTM0ZWM4ZDUwODNlIiwidCI6Ijk3OTM3M2VkLWQxMzAtNDU4NS1iNTY5LTNjM2NlNjE0MTIyNyJ9</x:v>
      </x:c>
      <x:c r="G13" s="99" t="str">
        <x:v>Granularidade observada: mensal × segmento. Soma de Mai 2026: 428.938 contas, conciliada com o card do dashboard. https://app.powerbi.com/view?r=eyJrIjoiM2M2NzVmOWItMzI0Yi00MTE1LWI5ZmYtZTM0ZWM4ZDUwODNlIiwidCI6Ijk3OTM3M2VkLWQxMzAtNDU4NS1iNTY5LTNjM2NlNjE0MTIyNyJ9</x:v>
      </x:c>
      <x:c r="H13" s="99" t="str">
        <x:v>Granularidade observada: mensal × segmento. Soma de Mai 2026: 428.938 contas, conciliada com o card do dashboard. https://app.powerbi.com/view?r=eyJrIjoiM2M2NzVmOWItMzI0Yi00MTE1LWI5ZmYtZTM0ZWM4ZDUwODNlIiwidCI6Ijk3OTM3M2VkLWQxMzAtNDU4NS1iNTY5LTNjM2NlNjE0MTIyNyJ9</x:v>
      </x:c>
    </x:row>
    <x:row r="14">
      <x:c r="A14" s="117" t="str">
        <x:v>Nov 2024</x:v>
      </x:c>
      <x:c r="B14" s="117" t="str">
        <x:v>EAPC</x:v>
      </x:c>
      <x:c r="C14" s="123" t="n">
        <x:v>2</x:v>
      </x:c>
      <x:c r="E14" s="99" t="str">
        <x:v>Granularidade observada: mensal × segmento. Soma de Mai 2026: 428.938 contas, conciliada com o card do dashboard. https://app.powerbi.com/view?r=eyJrIjoiM2M2NzVmOWItMzI0Yi00MTE1LWI5ZmYtZTM0ZWM4ZDUwODNlIiwidCI6Ijk3OTM3M2VkLWQxMzAtNDU4NS1iNTY5LTNjM2NlNjE0MTIyNyJ9</x:v>
      </x:c>
      <x:c r="F14" s="99" t="str">
        <x:v>Granularidade observada: mensal × segmento. Soma de Mai 2026: 428.938 contas, conciliada com o card do dashboard. https://app.powerbi.com/view?r=eyJrIjoiM2M2NzVmOWItMzI0Yi00MTE1LWI5ZmYtZTM0ZWM4ZDUwODNlIiwidCI6Ijk3OTM3M2VkLWQxMzAtNDU4NS1iNTY5LTNjM2NlNjE0MTIyNyJ9</x:v>
      </x:c>
      <x:c r="G14" s="99" t="str">
        <x:v>Granularidade observada: mensal × segmento. Soma de Mai 2026: 428.938 contas, conciliada com o card do dashboard. https://app.powerbi.com/view?r=eyJrIjoiM2M2NzVmOWItMzI0Yi00MTE1LWI5ZmYtZTM0ZWM4ZDUwODNlIiwidCI6Ijk3OTM3M2VkLWQxMzAtNDU4NS1iNTY5LTNjM2NlNjE0MTIyNyJ9</x:v>
      </x:c>
      <x:c r="H14" s="99" t="str">
        <x:v>Granularidade observada: mensal × segmento. Soma de Mai 2026: 428.938 contas, conciliada com o card do dashboard. https://app.powerbi.com/view?r=eyJrIjoiM2M2NzVmOWItMzI0Yi00MTE1LWI5ZmYtZTM0ZWM4ZDUwODNlIiwidCI6Ijk3OTM3M2VkLWQxMzAtNDU4NS1iNTY5LTNjM2NlNjE0MTIyNyJ9</x:v>
      </x:c>
    </x:row>
    <x:row r="15">
      <x:c r="A15" s="117" t="str">
        <x:v>Nov 2024</x:v>
      </x:c>
      <x:c r="B15" s="117" t="str">
        <x:v>Estrangeiros</x:v>
      </x:c>
      <x:c r="C15" s="123" t="n">
        <x:v>292</x:v>
      </x:c>
      <x:c r="E15" s="99" t="str">
        <x:v>Granularidade observada: mensal × segmento. Soma de Mai 2026: 428.938 contas, conciliada com o card do dashboard. https://app.powerbi.com/view?r=eyJrIjoiM2M2NzVmOWItMzI0Yi00MTE1LWI5ZmYtZTM0ZWM4ZDUwODNlIiwidCI6Ijk3OTM3M2VkLWQxMzAtNDU4NS1iNTY5LTNjM2NlNjE0MTIyNyJ9</x:v>
      </x:c>
      <x:c r="F15" s="99" t="str">
        <x:v>Granularidade observada: mensal × segmento. Soma de Mai 2026: 428.938 contas, conciliada com o card do dashboard. https://app.powerbi.com/view?r=eyJrIjoiM2M2NzVmOWItMzI0Yi00MTE1LWI5ZmYtZTM0ZWM4ZDUwODNlIiwidCI6Ijk3OTM3M2VkLWQxMzAtNDU4NS1iNTY5LTNjM2NlNjE0MTIyNyJ9</x:v>
      </x:c>
      <x:c r="G15" s="99" t="str">
        <x:v>Granularidade observada: mensal × segmento. Soma de Mai 2026: 428.938 contas, conciliada com o card do dashboard. https://app.powerbi.com/view?r=eyJrIjoiM2M2NzVmOWItMzI0Yi00MTE1LWI5ZmYtZTM0ZWM4ZDUwODNlIiwidCI6Ijk3OTM3M2VkLWQxMzAtNDU4NS1iNTY5LTNjM2NlNjE0MTIyNyJ9</x:v>
      </x:c>
      <x:c r="H15" s="99" t="str">
        <x:v>Granularidade observada: mensal × segmento. Soma de Mai 2026: 428.938 contas, conciliada com o card do dashboard. https://app.powerbi.com/view?r=eyJrIjoiM2M2NzVmOWItMzI0Yi00MTE1LWI5ZmYtZTM0ZWM4ZDUwODNlIiwidCI6Ijk3OTM3M2VkLWQxMzAtNDU4NS1iNTY5LTNjM2NlNjE0MTIyNyJ9</x:v>
      </x:c>
    </x:row>
    <x:row r="16">
      <x:c r="A16" s="117" t="str">
        <x:v>Nov 2024</x:v>
      </x:c>
      <x:c r="B16" s="117" t="str">
        <x:v>Outros</x:v>
      </x:c>
      <x:c r="C16" s="123" t="n">
        <x:v>6945</x:v>
      </x:c>
    </x:row>
    <x:row r="17">
      <x:c r="A17" s="117" t="str">
        <x:v>Nov 2024</x:v>
      </x:c>
      <x:c r="B17" s="117" t="str">
        <x:v>Outros Institucionais</x:v>
      </x:c>
      <x:c r="C17" s="123" t="n">
        <x:v>24441</x:v>
      </x:c>
    </x:row>
    <x:row r="18">
      <x:c r="A18" s="117" t="str">
        <x:v>Nov 2024</x:v>
      </x:c>
      <x:c r="B18" s="117" t="str">
        <x:v>Poder Público</x:v>
      </x:c>
      <x:c r="C18" s="123" t="n">
        <x:v>1</x:v>
      </x:c>
    </x:row>
    <x:row r="19">
      <x:c r="A19" s="117" t="str">
        <x:v>Nov 2024</x:v>
      </x:c>
      <x:c r="B19" s="117" t="str">
        <x:v>Previdência Fechada</x:v>
      </x:c>
      <x:c r="C19" s="123" t="n">
        <x:v>474</x:v>
      </x:c>
    </x:row>
    <x:row r="20">
      <x:c r="A20" s="117" t="str">
        <x:v>Nov 2024</x:v>
      </x:c>
      <x:c r="B20" s="117" t="str">
        <x:v>Private</x:v>
      </x:c>
      <x:c r="C20" s="123" t="n">
        <x:v>6301</x:v>
      </x:c>
    </x:row>
    <x:row r="21">
      <x:c r="A21" s="117" t="str">
        <x:v>Nov 2024</x:v>
      </x:c>
      <x:c r="B21" s="117" t="str">
        <x:v>Varejo</x:v>
      </x:c>
      <x:c r="C21" s="123" t="n">
        <x:v>41281</x:v>
      </x:c>
    </x:row>
    <x:row r="22">
      <x:c r="A22" s="117" t="str">
        <x:v>Dez 2024</x:v>
      </x:c>
      <x:c r="B22" s="117" t="str">
        <x:v>Conta e Ordem</x:v>
      </x:c>
      <x:c r="C22" s="123" t="n">
        <x:v>57200</x:v>
      </x:c>
    </x:row>
    <x:row r="23">
      <x:c r="A23" s="117" t="str">
        <x:v>Dez 2024</x:v>
      </x:c>
      <x:c r="B23" s="117" t="str">
        <x:v>Corporate</x:v>
      </x:c>
      <x:c r="C23" s="123" t="n">
        <x:v>3943</x:v>
      </x:c>
    </x:row>
    <x:row r="24">
      <x:c r="A24" s="117" t="str">
        <x:v>Dez 2024</x:v>
      </x:c>
      <x:c r="B24" s="117" t="str">
        <x:v>EAPC</x:v>
      </x:c>
      <x:c r="C24" s="123" t="n">
        <x:v>2</x:v>
      </x:c>
    </x:row>
    <x:row r="25">
      <x:c r="A25" s="117" t="str">
        <x:v>Dez 2024</x:v>
      </x:c>
      <x:c r="B25" s="117" t="str">
        <x:v>Estrangeiros</x:v>
      </x:c>
      <x:c r="C25" s="123" t="n">
        <x:v>289</x:v>
      </x:c>
    </x:row>
    <x:row r="26">
      <x:c r="A26" s="117" t="str">
        <x:v>Dez 2024</x:v>
      </x:c>
      <x:c r="B26" s="117" t="str">
        <x:v>Outros</x:v>
      </x:c>
      <x:c r="C26" s="123" t="n">
        <x:v>7279</x:v>
      </x:c>
    </x:row>
    <x:row r="27">
      <x:c r="A27" s="117" t="str">
        <x:v>Dez 2024</x:v>
      </x:c>
      <x:c r="B27" s="117" t="str">
        <x:v>Outros Institucionais</x:v>
      </x:c>
      <x:c r="C27" s="123" t="n">
        <x:v>25096</x:v>
      </x:c>
    </x:row>
    <x:row r="28">
      <x:c r="A28" s="117" t="str">
        <x:v>Dez 2024</x:v>
      </x:c>
      <x:c r="B28" s="117" t="str">
        <x:v>Poder Público</x:v>
      </x:c>
      <x:c r="C28" s="123" t="n">
        <x:v>1</x:v>
      </x:c>
    </x:row>
    <x:row r="29">
      <x:c r="A29" s="117" t="str">
        <x:v>Dez 2024</x:v>
      </x:c>
      <x:c r="B29" s="117" t="str">
        <x:v>Previdência Fechada</x:v>
      </x:c>
      <x:c r="C29" s="123" t="n">
        <x:v>595</x:v>
      </x:c>
    </x:row>
    <x:row r="30">
      <x:c r="A30" s="117" t="str">
        <x:v>Dez 2024</x:v>
      </x:c>
      <x:c r="B30" s="117" t="str">
        <x:v>Private</x:v>
      </x:c>
      <x:c r="C30" s="123" t="n">
        <x:v>6382</x:v>
      </x:c>
    </x:row>
    <x:row r="31">
      <x:c r="A31" s="117" t="str">
        <x:v>Dez 2024</x:v>
      </x:c>
      <x:c r="B31" s="117" t="str">
        <x:v>Varejo</x:v>
      </x:c>
      <x:c r="C31" s="123" t="n">
        <x:v>42200</x:v>
      </x:c>
    </x:row>
    <x:row r="32">
      <x:c r="A32" s="117" t="str">
        <x:v>Jan 2025</x:v>
      </x:c>
      <x:c r="B32" s="117" t="str">
        <x:v>Conta e Ordem</x:v>
      </x:c>
      <x:c r="C32" s="123" t="n">
        <x:v>66207</x:v>
      </x:c>
    </x:row>
    <x:row r="33">
      <x:c r="A33" s="117" t="str">
        <x:v>Jan 2025</x:v>
      </x:c>
      <x:c r="B33" s="117" t="str">
        <x:v>Corporate</x:v>
      </x:c>
      <x:c r="C33" s="123" t="n">
        <x:v>3832</x:v>
      </x:c>
    </x:row>
    <x:row r="34">
      <x:c r="A34" s="117" t="str">
        <x:v>Jan 2025</x:v>
      </x:c>
      <x:c r="B34" s="117" t="str">
        <x:v>EAPC</x:v>
      </x:c>
      <x:c r="C34" s="123" t="n">
        <x:v>5</x:v>
      </x:c>
    </x:row>
    <x:row r="35">
      <x:c r="A35" s="117" t="str">
        <x:v>Jan 2025</x:v>
      </x:c>
      <x:c r="B35" s="117" t="str">
        <x:v>Estrangeiros</x:v>
      </x:c>
      <x:c r="C35" s="123" t="n">
        <x:v>295</x:v>
      </x:c>
    </x:row>
    <x:row r="36">
      <x:c r="A36" s="117" t="str">
        <x:v>Jan 2025</x:v>
      </x:c>
      <x:c r="B36" s="117" t="str">
        <x:v>Outros</x:v>
      </x:c>
      <x:c r="C36" s="123" t="n">
        <x:v>11329</x:v>
      </x:c>
    </x:row>
    <x:row r="37">
      <x:c r="A37" s="117" t="str">
        <x:v>Jan 2025</x:v>
      </x:c>
      <x:c r="B37" s="117" t="str">
        <x:v>Outros Institucionais</x:v>
      </x:c>
      <x:c r="C37" s="123" t="n">
        <x:v>26179</x:v>
      </x:c>
    </x:row>
    <x:row r="38">
      <x:c r="A38" s="117" t="str">
        <x:v>Jan 2025</x:v>
      </x:c>
      <x:c r="B38" s="117" t="str">
        <x:v>Poder Público</x:v>
      </x:c>
      <x:c r="C38" s="123" t="n">
        <x:v>1</x:v>
      </x:c>
    </x:row>
    <x:row r="39">
      <x:c r="A39" s="117" t="str">
        <x:v>Jan 2025</x:v>
      </x:c>
      <x:c r="B39" s="117" t="str">
        <x:v>Previdência Fechada</x:v>
      </x:c>
      <x:c r="C39" s="123" t="n">
        <x:v>460</x:v>
      </x:c>
    </x:row>
    <x:row r="40">
      <x:c r="A40" s="117" t="str">
        <x:v>Jan 2025</x:v>
      </x:c>
      <x:c r="B40" s="117" t="str">
        <x:v>Private</x:v>
      </x:c>
      <x:c r="C40" s="123" t="n">
        <x:v>8234</x:v>
      </x:c>
    </x:row>
    <x:row r="41">
      <x:c r="A41" s="117" t="str">
        <x:v>Jan 2025</x:v>
      </x:c>
      <x:c r="B41" s="117" t="str">
        <x:v>Varejo</x:v>
      </x:c>
      <x:c r="C41" s="123" t="n">
        <x:v>47759</x:v>
      </x:c>
    </x:row>
    <x:row r="42">
      <x:c r="A42" s="117" t="str">
        <x:v>Fev 2025</x:v>
      </x:c>
      <x:c r="B42" s="117" t="str">
        <x:v>Conta e Ordem</x:v>
      </x:c>
      <x:c r="C42" s="123" t="n">
        <x:v>74154</x:v>
      </x:c>
    </x:row>
    <x:row r="43">
      <x:c r="A43" s="117" t="str">
        <x:v>Fev 2025</x:v>
      </x:c>
      <x:c r="B43" s="117" t="str">
        <x:v>Corporate</x:v>
      </x:c>
      <x:c r="C43" s="123" t="n">
        <x:v>4144</x:v>
      </x:c>
    </x:row>
    <x:row r="44">
      <x:c r="A44" s="117" t="str">
        <x:v>Fev 2025</x:v>
      </x:c>
      <x:c r="B44" s="117" t="str">
        <x:v>EAPC</x:v>
      </x:c>
      <x:c r="C44" s="123" t="n">
        <x:v>5</x:v>
      </x:c>
    </x:row>
    <x:row r="45">
      <x:c r="A45" s="117" t="str">
        <x:v>Fev 2025</x:v>
      </x:c>
      <x:c r="B45" s="117" t="str">
        <x:v>Estrangeiros</x:v>
      </x:c>
      <x:c r="C45" s="123" t="n">
        <x:v>293</x:v>
      </x:c>
    </x:row>
    <x:row r="46">
      <x:c r="A46" s="117" t="str">
        <x:v>Fev 2025</x:v>
      </x:c>
      <x:c r="B46" s="117" t="str">
        <x:v>Outros</x:v>
      </x:c>
      <x:c r="C46" s="123" t="n">
        <x:v>7882</x:v>
      </x:c>
    </x:row>
    <x:row r="47">
      <x:c r="A47" s="117" t="str">
        <x:v>Fev 2025</x:v>
      </x:c>
      <x:c r="B47" s="117" t="str">
        <x:v>Outros Institucionais</x:v>
      </x:c>
      <x:c r="C47" s="123" t="n">
        <x:v>26883</x:v>
      </x:c>
    </x:row>
    <x:row r="48">
      <x:c r="A48" s="117" t="str">
        <x:v>Fev 2025</x:v>
      </x:c>
      <x:c r="B48" s="117" t="str">
        <x:v>Poder Público</x:v>
      </x:c>
      <x:c r="C48" s="123" t="n">
        <x:v>1</x:v>
      </x:c>
    </x:row>
    <x:row r="49">
      <x:c r="A49" s="117" t="str">
        <x:v>Fev 2025</x:v>
      </x:c>
      <x:c r="B49" s="117" t="str">
        <x:v>Previdência Fechada</x:v>
      </x:c>
      <x:c r="C49" s="123" t="n">
        <x:v>445</x:v>
      </x:c>
    </x:row>
    <x:row r="50">
      <x:c r="A50" s="117" t="str">
        <x:v>Fev 2025</x:v>
      </x:c>
      <x:c r="B50" s="117" t="str">
        <x:v>Private</x:v>
      </x:c>
      <x:c r="C50" s="123" t="n">
        <x:v>8557</x:v>
      </x:c>
    </x:row>
    <x:row r="51">
      <x:c r="A51" s="117" t="str">
        <x:v>Fev 2025</x:v>
      </x:c>
      <x:c r="B51" s="117" t="str">
        <x:v>Varejo</x:v>
      </x:c>
      <x:c r="C51" s="123" t="n">
        <x:v>51616</x:v>
      </x:c>
    </x:row>
    <x:row r="52">
      <x:c r="A52" s="117" t="str">
        <x:v>Mar 2025</x:v>
      </x:c>
      <x:c r="B52" s="117" t="str">
        <x:v>Conta e Ordem</x:v>
      </x:c>
      <x:c r="C52" s="123" t="n">
        <x:v>82385</x:v>
      </x:c>
    </x:row>
    <x:row r="53">
      <x:c r="A53" s="117" t="str">
        <x:v>Mar 2025</x:v>
      </x:c>
      <x:c r="B53" s="117" t="str">
        <x:v>Corporate</x:v>
      </x:c>
      <x:c r="C53" s="123" t="n">
        <x:v>4944</x:v>
      </x:c>
    </x:row>
    <x:row r="54">
      <x:c r="A54" s="117" t="str">
        <x:v>Mar 2025</x:v>
      </x:c>
      <x:c r="B54" s="117" t="str">
        <x:v>EAPC</x:v>
      </x:c>
      <x:c r="C54" s="123" t="n">
        <x:v>5</x:v>
      </x:c>
    </x:row>
    <x:row r="55">
      <x:c r="A55" s="117" t="str">
        <x:v>Mar 2025</x:v>
      </x:c>
      <x:c r="B55" s="117" t="str">
        <x:v>Estrangeiros</x:v>
      </x:c>
      <x:c r="C55" s="123" t="n">
        <x:v>303</x:v>
      </x:c>
    </x:row>
    <x:row r="56">
      <x:c r="A56" s="117" t="str">
        <x:v>Mar 2025</x:v>
      </x:c>
      <x:c r="B56" s="117" t="str">
        <x:v>Outros</x:v>
      </x:c>
      <x:c r="C56" s="123" t="n">
        <x:v>7159</x:v>
      </x:c>
    </x:row>
    <x:row r="57">
      <x:c r="A57" s="117" t="str">
        <x:v>Mar 2025</x:v>
      </x:c>
      <x:c r="B57" s="117" t="str">
        <x:v>Outros Institucionais</x:v>
      </x:c>
      <x:c r="C57" s="123" t="n">
        <x:v>28195</x:v>
      </x:c>
    </x:row>
    <x:row r="58">
      <x:c r="A58" s="117" t="str">
        <x:v>Mar 2025</x:v>
      </x:c>
      <x:c r="B58" s="117" t="str">
        <x:v>Poder Público</x:v>
      </x:c>
      <x:c r="C58" s="123" t="n">
        <x:v>1</x:v>
      </x:c>
    </x:row>
    <x:row r="59">
      <x:c r="A59" s="117" t="str">
        <x:v>Mar 2025</x:v>
      </x:c>
      <x:c r="B59" s="117" t="str">
        <x:v>Previdência Fechada</x:v>
      </x:c>
      <x:c r="C59" s="123" t="n">
        <x:v>455</x:v>
      </x:c>
    </x:row>
    <x:row r="60">
      <x:c r="A60" s="117" t="str">
        <x:v>Mar 2025</x:v>
      </x:c>
      <x:c r="B60" s="117" t="str">
        <x:v>Private</x:v>
      </x:c>
      <x:c r="C60" s="123" t="n">
        <x:v>9957</x:v>
      </x:c>
    </x:row>
    <x:row r="61">
      <x:c r="A61" s="117" t="str">
        <x:v>Mar 2025</x:v>
      </x:c>
      <x:c r="B61" s="117" t="str">
        <x:v>Varejo</x:v>
      </x:c>
      <x:c r="C61" s="123" t="n">
        <x:v>55166</x:v>
      </x:c>
    </x:row>
    <x:row r="62">
      <x:c r="A62" s="117" t="str">
        <x:v>Abr 2025</x:v>
      </x:c>
      <x:c r="B62" s="117" t="str">
        <x:v>Conta e Ordem</x:v>
      </x:c>
      <x:c r="C62" s="123" t="n">
        <x:v>97984</x:v>
      </x:c>
    </x:row>
    <x:row r="63">
      <x:c r="A63" s="117" t="str">
        <x:v>Abr 2025</x:v>
      </x:c>
      <x:c r="B63" s="117" t="str">
        <x:v>Corporate</x:v>
      </x:c>
      <x:c r="C63" s="123" t="n">
        <x:v>5252</x:v>
      </x:c>
    </x:row>
    <x:row r="64">
      <x:c r="A64" s="117" t="str">
        <x:v>Abr 2025</x:v>
      </x:c>
      <x:c r="B64" s="117" t="str">
        <x:v>EAPC</x:v>
      </x:c>
      <x:c r="C64" s="123" t="n">
        <x:v>5</x:v>
      </x:c>
    </x:row>
    <x:row r="65">
      <x:c r="A65" s="117" t="str">
        <x:v>Abr 2025</x:v>
      </x:c>
      <x:c r="B65" s="117" t="str">
        <x:v>Estrangeiros</x:v>
      </x:c>
      <x:c r="C65" s="123" t="n">
        <x:v>306</x:v>
      </x:c>
    </x:row>
    <x:row r="66">
      <x:c r="A66" s="117" t="str">
        <x:v>Abr 2025</x:v>
      </x:c>
      <x:c r="B66" s="117" t="str">
        <x:v>Outros</x:v>
      </x:c>
      <x:c r="C66" s="123" t="n">
        <x:v>6965</x:v>
      </x:c>
    </x:row>
    <x:row r="67">
      <x:c r="A67" s="117" t="str">
        <x:v>Abr 2025</x:v>
      </x:c>
      <x:c r="B67" s="117" t="str">
        <x:v>Outros Institucionais</x:v>
      </x:c>
      <x:c r="C67" s="123" t="n">
        <x:v>29710</x:v>
      </x:c>
    </x:row>
    <x:row r="68">
      <x:c r="A68" s="117" t="str">
        <x:v>Abr 2025</x:v>
      </x:c>
      <x:c r="B68" s="117" t="str">
        <x:v>Poder Público</x:v>
      </x:c>
      <x:c r="C68" s="123" t="n">
        <x:v>1</x:v>
      </x:c>
    </x:row>
    <x:row r="69">
      <x:c r="A69" s="117" t="str">
        <x:v>Abr 2025</x:v>
      </x:c>
      <x:c r="B69" s="117" t="str">
        <x:v>Previdência Fechada</x:v>
      </x:c>
      <x:c r="C69" s="123" t="n">
        <x:v>459</x:v>
      </x:c>
    </x:row>
    <x:row r="70">
      <x:c r="A70" s="117" t="str">
        <x:v>Abr 2025</x:v>
      </x:c>
      <x:c r="B70" s="117" t="str">
        <x:v>Private</x:v>
      </x:c>
      <x:c r="C70" s="123" t="n">
        <x:v>11148</x:v>
      </x:c>
    </x:row>
    <x:row r="71">
      <x:c r="A71" s="117" t="str">
        <x:v>Abr 2025</x:v>
      </x:c>
      <x:c r="B71" s="117" t="str">
        <x:v>Varejo</x:v>
      </x:c>
      <x:c r="C71" s="123" t="n">
        <x:v>58795</x:v>
      </x:c>
    </x:row>
    <x:row r="72">
      <x:c r="A72" s="117" t="str">
        <x:v>Mai 2025</x:v>
      </x:c>
      <x:c r="B72" s="117" t="str">
        <x:v>Conta e Ordem</x:v>
      </x:c>
      <x:c r="C72" s="123" t="n">
        <x:v>124444</x:v>
      </x:c>
    </x:row>
    <x:row r="73">
      <x:c r="A73" s="117" t="str">
        <x:v>Mai 2025</x:v>
      </x:c>
      <x:c r="B73" s="117" t="str">
        <x:v>Corporate</x:v>
      </x:c>
      <x:c r="C73" s="123" t="n">
        <x:v>6014</x:v>
      </x:c>
    </x:row>
    <x:row r="74">
      <x:c r="A74" s="117" t="str">
        <x:v>Mai 2025</x:v>
      </x:c>
      <x:c r="B74" s="117" t="str">
        <x:v>EAPC</x:v>
      </x:c>
      <x:c r="C74" s="123" t="n">
        <x:v>5</x:v>
      </x:c>
    </x:row>
    <x:row r="75">
      <x:c r="A75" s="117" t="str">
        <x:v>Mai 2025</x:v>
      </x:c>
      <x:c r="B75" s="117" t="str">
        <x:v>Estrangeiros</x:v>
      </x:c>
      <x:c r="C75" s="123" t="n">
        <x:v>318</x:v>
      </x:c>
    </x:row>
    <x:row r="76">
      <x:c r="A76" s="117" t="str">
        <x:v>Mai 2025</x:v>
      </x:c>
      <x:c r="B76" s="117" t="str">
        <x:v>Outros</x:v>
      </x:c>
      <x:c r="C76" s="123" t="n">
        <x:v>7215</x:v>
      </x:c>
    </x:row>
    <x:row r="77">
      <x:c r="A77" s="117" t="str">
        <x:v>Mai 2025</x:v>
      </x:c>
      <x:c r="B77" s="117" t="str">
        <x:v>Outros Institucionais</x:v>
      </x:c>
      <x:c r="C77" s="123" t="n">
        <x:v>35189</x:v>
      </x:c>
    </x:row>
    <x:row r="78">
      <x:c r="A78" s="117" t="str">
        <x:v>Mai 2025</x:v>
      </x:c>
      <x:c r="B78" s="117" t="str">
        <x:v>Poder Público</x:v>
      </x:c>
      <x:c r="C78" s="123" t="n">
        <x:v>1</x:v>
      </x:c>
    </x:row>
    <x:row r="79">
      <x:c r="A79" s="117" t="str">
        <x:v>Mai 2025</x:v>
      </x:c>
      <x:c r="B79" s="117" t="str">
        <x:v>Previdência Fechada</x:v>
      </x:c>
      <x:c r="C79" s="123" t="n">
        <x:v>459</x:v>
      </x:c>
    </x:row>
    <x:row r="80">
      <x:c r="A80" s="117" t="str">
        <x:v>Mai 2025</x:v>
      </x:c>
      <x:c r="B80" s="117" t="str">
        <x:v>Private</x:v>
      </x:c>
      <x:c r="C80" s="123" t="n">
        <x:v>11977</x:v>
      </x:c>
    </x:row>
    <x:row r="81">
      <x:c r="A81" s="117" t="str">
        <x:v>Mai 2025</x:v>
      </x:c>
      <x:c r="B81" s="117" t="str">
        <x:v>Varejo</x:v>
      </x:c>
      <x:c r="C81" s="123" t="n">
        <x:v>61257</x:v>
      </x:c>
    </x:row>
    <x:row r="82">
      <x:c r="A82" s="117" t="str">
        <x:v>Jun 2025</x:v>
      </x:c>
      <x:c r="B82" s="117" t="str">
        <x:v>Conta e Ordem</x:v>
      </x:c>
      <x:c r="C82" s="123" t="n">
        <x:v>133038</x:v>
      </x:c>
    </x:row>
    <x:row r="83">
      <x:c r="A83" s="117" t="str">
        <x:v>Jun 2025</x:v>
      </x:c>
      <x:c r="B83" s="117" t="str">
        <x:v>Corporate</x:v>
      </x:c>
      <x:c r="C83" s="123" t="n">
        <x:v>5629</x:v>
      </x:c>
    </x:row>
    <x:row r="84">
      <x:c r="A84" s="117" t="str">
        <x:v>Jun 2025</x:v>
      </x:c>
      <x:c r="B84" s="117" t="str">
        <x:v>EAPC</x:v>
      </x:c>
      <x:c r="C84" s="123" t="n">
        <x:v>6</x:v>
      </x:c>
    </x:row>
    <x:row r="85">
      <x:c r="A85" s="117" t="str">
        <x:v>Jun 2025</x:v>
      </x:c>
      <x:c r="B85" s="117" t="str">
        <x:v>Estrangeiros</x:v>
      </x:c>
      <x:c r="C85" s="123" t="n">
        <x:v>320</x:v>
      </x:c>
    </x:row>
    <x:row r="86">
      <x:c r="A86" s="117" t="str">
        <x:v>Jun 2025</x:v>
      </x:c>
      <x:c r="B86" s="117" t="str">
        <x:v>Outros</x:v>
      </x:c>
      <x:c r="C86" s="123" t="n">
        <x:v>7000</x:v>
      </x:c>
    </x:row>
    <x:row r="87">
      <x:c r="A87" s="117" t="str">
        <x:v>Jun 2025</x:v>
      </x:c>
      <x:c r="B87" s="117" t="str">
        <x:v>Outros Institucionais</x:v>
      </x:c>
      <x:c r="C87" s="123" t="n">
        <x:v>39492</x:v>
      </x:c>
    </x:row>
    <x:row r="88">
      <x:c r="A88" s="117" t="str">
        <x:v>Jun 2025</x:v>
      </x:c>
      <x:c r="B88" s="117" t="str">
        <x:v>Poder Público</x:v>
      </x:c>
      <x:c r="C88" s="123" t="n">
        <x:v>1</x:v>
      </x:c>
    </x:row>
    <x:row r="89">
      <x:c r="A89" s="117" t="str">
        <x:v>Jun 2025</x:v>
      </x:c>
      <x:c r="B89" s="117" t="str">
        <x:v>Previdência Fechada</x:v>
      </x:c>
      <x:c r="C89" s="123" t="n">
        <x:v>469</x:v>
      </x:c>
    </x:row>
    <x:row r="90">
      <x:c r="A90" s="117" t="str">
        <x:v>Jun 2025</x:v>
      </x:c>
      <x:c r="B90" s="117" t="str">
        <x:v>Private</x:v>
      </x:c>
      <x:c r="C90" s="123" t="n">
        <x:v>14525</x:v>
      </x:c>
    </x:row>
    <x:row r="91">
      <x:c r="A91" s="117" t="str">
        <x:v>Jun 2025</x:v>
      </x:c>
      <x:c r="B91" s="117" t="str">
        <x:v>Varejo</x:v>
      </x:c>
      <x:c r="C91" s="123" t="n">
        <x:v>63162</x:v>
      </x:c>
    </x:row>
    <x:row r="92">
      <x:c r="A92" s="117" t="str">
        <x:v>Jul 2025</x:v>
      </x:c>
      <x:c r="B92" s="117" t="str">
        <x:v>Conta e Ordem</x:v>
      </x:c>
      <x:c r="C92" s="123" t="n">
        <x:v>151408</x:v>
      </x:c>
    </x:row>
    <x:row r="93">
      <x:c r="A93" s="117" t="str">
        <x:v>Jul 2025</x:v>
      </x:c>
      <x:c r="B93" s="117" t="str">
        <x:v>Corporate</x:v>
      </x:c>
      <x:c r="C93" s="123" t="n">
        <x:v>6869</x:v>
      </x:c>
    </x:row>
    <x:row r="94">
      <x:c r="A94" s="117" t="str">
        <x:v>Jul 2025</x:v>
      </x:c>
      <x:c r="B94" s="117" t="str">
        <x:v>EAPC</x:v>
      </x:c>
      <x:c r="C94" s="123" t="n">
        <x:v>7</x:v>
      </x:c>
    </x:row>
    <x:row r="95">
      <x:c r="A95" s="117" t="str">
        <x:v>Jul 2025</x:v>
      </x:c>
      <x:c r="B95" s="117" t="str">
        <x:v>Estrangeiros</x:v>
      </x:c>
      <x:c r="C95" s="123" t="n">
        <x:v>327</x:v>
      </x:c>
    </x:row>
    <x:row r="96">
      <x:c r="A96" s="117" t="str">
        <x:v>Jul 2025</x:v>
      </x:c>
      <x:c r="B96" s="117" t="str">
        <x:v>Outros</x:v>
      </x:c>
      <x:c r="C96" s="123" t="n">
        <x:v>6651</x:v>
      </x:c>
    </x:row>
    <x:row r="97">
      <x:c r="A97" s="117" t="str">
        <x:v>Jul 2025</x:v>
      </x:c>
      <x:c r="B97" s="117" t="str">
        <x:v>Outros Institucionais</x:v>
      </x:c>
      <x:c r="C97" s="123" t="n">
        <x:v>40416</x:v>
      </x:c>
    </x:row>
    <x:row r="98">
      <x:c r="A98" s="117" t="str">
        <x:v>Jul 2025</x:v>
      </x:c>
      <x:c r="B98" s="117" t="str">
        <x:v>Poder Público</x:v>
      </x:c>
      <x:c r="C98" s="123" t="n">
        <x:v>1</x:v>
      </x:c>
    </x:row>
    <x:row r="99">
      <x:c r="A99" s="117" t="str">
        <x:v>Jul 2025</x:v>
      </x:c>
      <x:c r="B99" s="117" t="str">
        <x:v>Previdência Fechada</x:v>
      </x:c>
      <x:c r="C99" s="123" t="n">
        <x:v>468</x:v>
      </x:c>
    </x:row>
    <x:row r="100">
      <x:c r="A100" s="117" t="str">
        <x:v>Jul 2025</x:v>
      </x:c>
      <x:c r="B100" s="117" t="str">
        <x:v>Private</x:v>
      </x:c>
      <x:c r="C100" s="123" t="n">
        <x:v>16583</x:v>
      </x:c>
    </x:row>
    <x:row r="101">
      <x:c r="A101" s="117" t="str">
        <x:v>Jul 2025</x:v>
      </x:c>
      <x:c r="B101" s="117" t="str">
        <x:v>Varejo</x:v>
      </x:c>
      <x:c r="C101" s="123" t="n">
        <x:v>76236</x:v>
      </x:c>
    </x:row>
    <x:row r="102">
      <x:c r="A102" s="117" t="str">
        <x:v>Ago 2025</x:v>
      </x:c>
      <x:c r="B102" s="117" t="str">
        <x:v>Conta e Ordem</x:v>
      </x:c>
      <x:c r="C102" s="123" t="n">
        <x:v>176421</x:v>
      </x:c>
    </x:row>
    <x:row r="103">
      <x:c r="A103" s="117" t="str">
        <x:v>Ago 2025</x:v>
      </x:c>
      <x:c r="B103" s="117" t="str">
        <x:v>Corporate</x:v>
      </x:c>
      <x:c r="C103" s="123" t="n">
        <x:v>7062</x:v>
      </x:c>
    </x:row>
    <x:row r="104">
      <x:c r="A104" s="117" t="str">
        <x:v>Ago 2025</x:v>
      </x:c>
      <x:c r="B104" s="117" t="str">
        <x:v>EAPC</x:v>
      </x:c>
      <x:c r="C104" s="123" t="n">
        <x:v>7</x:v>
      </x:c>
    </x:row>
    <x:row r="105">
      <x:c r="A105" s="117" t="str">
        <x:v>Ago 2025</x:v>
      </x:c>
      <x:c r="B105" s="117" t="str">
        <x:v>Estrangeiros</x:v>
      </x:c>
      <x:c r="C105" s="123" t="n">
        <x:v>313</x:v>
      </x:c>
    </x:row>
    <x:row r="106">
      <x:c r="A106" s="117" t="str">
        <x:v>Ago 2025</x:v>
      </x:c>
      <x:c r="B106" s="117" t="str">
        <x:v>Outros</x:v>
      </x:c>
      <x:c r="C106" s="123" t="n">
        <x:v>6620</x:v>
      </x:c>
    </x:row>
    <x:row r="107">
      <x:c r="A107" s="117" t="str">
        <x:v>Ago 2025</x:v>
      </x:c>
      <x:c r="B107" s="117" t="str">
        <x:v>Outros Institucionais</x:v>
      </x:c>
      <x:c r="C107" s="123" t="n">
        <x:v>41236</x:v>
      </x:c>
    </x:row>
    <x:row r="108">
      <x:c r="A108" s="117" t="str">
        <x:v>Ago 2025</x:v>
      </x:c>
      <x:c r="B108" s="117" t="str">
        <x:v>Poder Público</x:v>
      </x:c>
      <x:c r="C108" s="123" t="n">
        <x:v>1</x:v>
      </x:c>
    </x:row>
    <x:row r="109">
      <x:c r="A109" s="117" t="str">
        <x:v>Ago 2025</x:v>
      </x:c>
      <x:c r="B109" s="117" t="str">
        <x:v>Previdência Fechada</x:v>
      </x:c>
      <x:c r="C109" s="123" t="n">
        <x:v>470</x:v>
      </x:c>
    </x:row>
    <x:row r="110">
      <x:c r="A110" s="117" t="str">
        <x:v>Ago 2025</x:v>
      </x:c>
      <x:c r="B110" s="117" t="str">
        <x:v>Private</x:v>
      </x:c>
      <x:c r="C110" s="123" t="n">
        <x:v>17199</x:v>
      </x:c>
    </x:row>
    <x:row r="111">
      <x:c r="A111" s="117" t="str">
        <x:v>Ago 2025</x:v>
      </x:c>
      <x:c r="B111" s="117" t="str">
        <x:v>Varejo</x:v>
      </x:c>
      <x:c r="C111" s="123" t="n">
        <x:v>79503</x:v>
      </x:c>
    </x:row>
    <x:row r="112">
      <x:c r="A112" s="117" t="str">
        <x:v>Set 2025</x:v>
      </x:c>
      <x:c r="B112" s="117" t="str">
        <x:v>Conta e Ordem</x:v>
      </x:c>
      <x:c r="C112" s="123" t="n">
        <x:v>211554</x:v>
      </x:c>
    </x:row>
    <x:row r="113">
      <x:c r="A113" s="117" t="str">
        <x:v>Set 2025</x:v>
      </x:c>
      <x:c r="B113" s="117" t="str">
        <x:v>Corporate</x:v>
      </x:c>
      <x:c r="C113" s="123" t="n">
        <x:v>7664</x:v>
      </x:c>
    </x:row>
    <x:row r="114">
      <x:c r="A114" s="117" t="str">
        <x:v>Set 2025</x:v>
      </x:c>
      <x:c r="B114" s="117" t="str">
        <x:v>EAPC</x:v>
      </x:c>
      <x:c r="C114" s="123" t="n">
        <x:v>8</x:v>
      </x:c>
    </x:row>
    <x:row r="115">
      <x:c r="A115" s="117" t="str">
        <x:v>Set 2025</x:v>
      </x:c>
      <x:c r="B115" s="117" t="str">
        <x:v>Estrangeiros</x:v>
      </x:c>
      <x:c r="C115" s="123" t="n">
        <x:v>292</x:v>
      </x:c>
    </x:row>
    <x:row r="116">
      <x:c r="A116" s="117" t="str">
        <x:v>Set 2025</x:v>
      </x:c>
      <x:c r="B116" s="117" t="str">
        <x:v>Outros</x:v>
      </x:c>
      <x:c r="C116" s="123" t="n">
        <x:v>9395</x:v>
      </x:c>
    </x:row>
    <x:row r="117">
      <x:c r="A117" s="117" t="str">
        <x:v>Set 2025</x:v>
      </x:c>
      <x:c r="B117" s="117" t="str">
        <x:v>Outros Institucionais</x:v>
      </x:c>
      <x:c r="C117" s="123" t="n">
        <x:v>37819</x:v>
      </x:c>
    </x:row>
    <x:row r="118">
      <x:c r="A118" s="117" t="str">
        <x:v>Set 2025</x:v>
      </x:c>
      <x:c r="B118" s="117" t="str">
        <x:v>Poder Público</x:v>
      </x:c>
      <x:c r="C118" s="123" t="n">
        <x:v>1</x:v>
      </x:c>
    </x:row>
    <x:row r="119">
      <x:c r="A119" s="117" t="str">
        <x:v>Set 2025</x:v>
      </x:c>
      <x:c r="B119" s="117" t="str">
        <x:v>Previdência Fechada</x:v>
      </x:c>
      <x:c r="C119" s="123" t="n">
        <x:v>471</x:v>
      </x:c>
    </x:row>
    <x:row r="120">
      <x:c r="A120" s="117" t="str">
        <x:v>Set 2025</x:v>
      </x:c>
      <x:c r="B120" s="117" t="str">
        <x:v>Private</x:v>
      </x:c>
      <x:c r="C120" s="123" t="n">
        <x:v>15852</x:v>
      </x:c>
    </x:row>
    <x:row r="121">
      <x:c r="A121" s="117" t="str">
        <x:v>Set 2025</x:v>
      </x:c>
      <x:c r="B121" s="117" t="str">
        <x:v>Varejo</x:v>
      </x:c>
      <x:c r="C121" s="123" t="n">
        <x:v>61443</x:v>
      </x:c>
    </x:row>
    <x:row r="122">
      <x:c r="A122" s="117" t="str">
        <x:v>Out 2025</x:v>
      </x:c>
      <x:c r="B122" s="117" t="str">
        <x:v>Conta e Ordem</x:v>
      </x:c>
      <x:c r="C122" s="123" t="n">
        <x:v>200089</x:v>
      </x:c>
    </x:row>
    <x:row r="123">
      <x:c r="A123" s="117" t="str">
        <x:v>Out 2025</x:v>
      </x:c>
      <x:c r="B123" s="117" t="str">
        <x:v>Corporate</x:v>
      </x:c>
      <x:c r="C123" s="123" t="n">
        <x:v>7828</x:v>
      </x:c>
    </x:row>
    <x:row r="124">
      <x:c r="A124" s="117" t="str">
        <x:v>Out 2025</x:v>
      </x:c>
      <x:c r="B124" s="117" t="str">
        <x:v>EAPC</x:v>
      </x:c>
      <x:c r="C124" s="123" t="n">
        <x:v>8</x:v>
      </x:c>
    </x:row>
    <x:row r="125">
      <x:c r="A125" s="117" t="str">
        <x:v>Out 2025</x:v>
      </x:c>
      <x:c r="B125" s="117" t="str">
        <x:v>Estrangeiros</x:v>
      </x:c>
      <x:c r="C125" s="123" t="n">
        <x:v>310</x:v>
      </x:c>
    </x:row>
    <x:row r="126">
      <x:c r="A126" s="117" t="str">
        <x:v>Out 2025</x:v>
      </x:c>
      <x:c r="B126" s="117" t="str">
        <x:v>Outros</x:v>
      </x:c>
      <x:c r="C126" s="123" t="n">
        <x:v>6358</x:v>
      </x:c>
    </x:row>
    <x:row r="127">
      <x:c r="A127" s="117" t="str">
        <x:v>Out 2025</x:v>
      </x:c>
      <x:c r="B127" s="117" t="str">
        <x:v>Outros Institucionais</x:v>
      </x:c>
      <x:c r="C127" s="123" t="n">
        <x:v>43152</x:v>
      </x:c>
    </x:row>
    <x:row r="128">
      <x:c r="A128" s="117" t="str">
        <x:v>Out 2025</x:v>
      </x:c>
      <x:c r="B128" s="117" t="str">
        <x:v>Poder Público</x:v>
      </x:c>
      <x:c r="C128" s="123" t="n">
        <x:v>6</x:v>
      </x:c>
    </x:row>
    <x:row r="129">
      <x:c r="A129" s="117" t="str">
        <x:v>Out 2025</x:v>
      </x:c>
      <x:c r="B129" s="117" t="str">
        <x:v>Previdência Fechada</x:v>
      </x:c>
      <x:c r="C129" s="123" t="n">
        <x:v>466</x:v>
      </x:c>
    </x:row>
    <x:row r="130">
      <x:c r="A130" s="117" t="str">
        <x:v>Out 2025</x:v>
      </x:c>
      <x:c r="B130" s="117" t="str">
        <x:v>Private</x:v>
      </x:c>
      <x:c r="C130" s="123" t="n">
        <x:v>16315</x:v>
      </x:c>
    </x:row>
    <x:row r="131">
      <x:c r="A131" s="117" t="str">
        <x:v>Out 2025</x:v>
      </x:c>
      <x:c r="B131" s="117" t="str">
        <x:v>Varejo</x:v>
      </x:c>
      <x:c r="C131" s="123" t="n">
        <x:v>61922</x:v>
      </x:c>
    </x:row>
    <x:row r="132">
      <x:c r="A132" s="117" t="str">
        <x:v>Nov 2025</x:v>
      </x:c>
      <x:c r="B132" s="117" t="str">
        <x:v>Conta e Ordem</x:v>
      </x:c>
      <x:c r="C132" s="123" t="n">
        <x:v>207867</x:v>
      </x:c>
    </x:row>
    <x:row r="133">
      <x:c r="A133" s="117" t="str">
        <x:v>Nov 2025</x:v>
      </x:c>
      <x:c r="B133" s="117" t="str">
        <x:v>Corporate</x:v>
      </x:c>
      <x:c r="C133" s="123" t="n">
        <x:v>7865</x:v>
      </x:c>
    </x:row>
    <x:row r="134">
      <x:c r="A134" s="117" t="str">
        <x:v>Nov 2025</x:v>
      </x:c>
      <x:c r="B134" s="117" t="str">
        <x:v>EAPC</x:v>
      </x:c>
      <x:c r="C134" s="123" t="n">
        <x:v>7</x:v>
      </x:c>
    </x:row>
    <x:row r="135">
      <x:c r="A135" s="117" t="str">
        <x:v>Nov 2025</x:v>
      </x:c>
      <x:c r="B135" s="117" t="str">
        <x:v>Estrangeiros</x:v>
      </x:c>
      <x:c r="C135" s="123" t="n">
        <x:v>304</x:v>
      </x:c>
    </x:row>
    <x:row r="136">
      <x:c r="A136" s="117" t="str">
        <x:v>Nov 2025</x:v>
      </x:c>
      <x:c r="B136" s="117" t="str">
        <x:v>Outros</x:v>
      </x:c>
      <x:c r="C136" s="123" t="n">
        <x:v>6587</x:v>
      </x:c>
    </x:row>
    <x:row r="137">
      <x:c r="A137" s="117" t="str">
        <x:v>Nov 2025</x:v>
      </x:c>
      <x:c r="B137" s="117" t="str">
        <x:v>Outros Institucionais</x:v>
      </x:c>
      <x:c r="C137" s="123" t="n">
        <x:v>43911</x:v>
      </x:c>
    </x:row>
    <x:row r="138">
      <x:c r="A138" s="117" t="str">
        <x:v>Nov 2025</x:v>
      </x:c>
      <x:c r="B138" s="117" t="str">
        <x:v>Poder Público</x:v>
      </x:c>
      <x:c r="C138" s="123" t="n">
        <x:v>2</x:v>
      </x:c>
    </x:row>
    <x:row r="139">
      <x:c r="A139" s="117" t="str">
        <x:v>Nov 2025</x:v>
      </x:c>
      <x:c r="B139" s="117" t="str">
        <x:v>Previdência Fechada</x:v>
      </x:c>
      <x:c r="C139" s="123" t="n">
        <x:v>460</x:v>
      </x:c>
    </x:row>
    <x:row r="140">
      <x:c r="A140" s="117" t="str">
        <x:v>Nov 2025</x:v>
      </x:c>
      <x:c r="B140" s="117" t="str">
        <x:v>Private</x:v>
      </x:c>
      <x:c r="C140" s="123" t="n">
        <x:v>16774</x:v>
      </x:c>
    </x:row>
    <x:row r="141">
      <x:c r="A141" s="117" t="str">
        <x:v>Nov 2025</x:v>
      </x:c>
      <x:c r="B141" s="117" t="str">
        <x:v>Varejo</x:v>
      </x:c>
      <x:c r="C141" s="123" t="n">
        <x:v>61765</x:v>
      </x:c>
    </x:row>
    <x:row r="142">
      <x:c r="A142" s="117" t="str">
        <x:v>Dez 2025</x:v>
      </x:c>
      <x:c r="B142" s="117" t="str">
        <x:v>Conta e Ordem</x:v>
      </x:c>
      <x:c r="C142" s="123" t="n">
        <x:v>216396</x:v>
      </x:c>
    </x:row>
    <x:row r="143">
      <x:c r="A143" s="117" t="str">
        <x:v>Dez 2025</x:v>
      </x:c>
      <x:c r="B143" s="117" t="str">
        <x:v>Corporate</x:v>
      </x:c>
      <x:c r="C143" s="123" t="n">
        <x:v>7936</x:v>
      </x:c>
    </x:row>
    <x:row r="144">
      <x:c r="A144" s="117" t="str">
        <x:v>Dez 2025</x:v>
      </x:c>
      <x:c r="B144" s="117" t="str">
        <x:v>EAPC</x:v>
      </x:c>
      <x:c r="C144" s="123" t="n">
        <x:v>8</x:v>
      </x:c>
    </x:row>
    <x:row r="145">
      <x:c r="A145" s="117" t="str">
        <x:v>Dez 2025</x:v>
      </x:c>
      <x:c r="B145" s="117" t="str">
        <x:v>Estrangeiros</x:v>
      </x:c>
      <x:c r="C145" s="123" t="n">
        <x:v>307</x:v>
      </x:c>
    </x:row>
    <x:row r="146">
      <x:c r="A146" s="117" t="str">
        <x:v>Dez 2025</x:v>
      </x:c>
      <x:c r="B146" s="117" t="str">
        <x:v>Outros</x:v>
      </x:c>
      <x:c r="C146" s="123" t="n">
        <x:v>6707</x:v>
      </x:c>
    </x:row>
    <x:row r="147">
      <x:c r="A147" s="117" t="str">
        <x:v>Dez 2025</x:v>
      </x:c>
      <x:c r="B147" s="117" t="str">
        <x:v>Outros Institucionais</x:v>
      </x:c>
      <x:c r="C147" s="123" t="n">
        <x:v>50651</x:v>
      </x:c>
    </x:row>
    <x:row r="148">
      <x:c r="A148" s="117" t="str">
        <x:v>Dez 2025</x:v>
      </x:c>
      <x:c r="B148" s="117" t="str">
        <x:v>Poder Público</x:v>
      </x:c>
      <x:c r="C148" s="123" t="n">
        <x:v>2</x:v>
      </x:c>
    </x:row>
    <x:row r="149">
      <x:c r="A149" s="117" t="str">
        <x:v>Dez 2025</x:v>
      </x:c>
      <x:c r="B149" s="117" t="str">
        <x:v>Previdência Fechada</x:v>
      </x:c>
      <x:c r="C149" s="123" t="n">
        <x:v>464</x:v>
      </x:c>
    </x:row>
    <x:row r="150">
      <x:c r="A150" s="117" t="str">
        <x:v>Dez 2025</x:v>
      </x:c>
      <x:c r="B150" s="117" t="str">
        <x:v>Private</x:v>
      </x:c>
      <x:c r="C150" s="123" t="n">
        <x:v>17094</x:v>
      </x:c>
    </x:row>
    <x:row r="151">
      <x:c r="A151" s="117" t="str">
        <x:v>Dez 2025</x:v>
      </x:c>
      <x:c r="B151" s="117" t="str">
        <x:v>Varejo</x:v>
      </x:c>
      <x:c r="C151" s="123" t="n">
        <x:v>62199</x:v>
      </x:c>
    </x:row>
    <x:row r="152">
      <x:c r="A152" s="117" t="str">
        <x:v>Jan 2026</x:v>
      </x:c>
      <x:c r="B152" s="117" t="str">
        <x:v>Conta e Ordem</x:v>
      </x:c>
      <x:c r="C152" s="123" t="n">
        <x:v>237608</x:v>
      </x:c>
    </x:row>
    <x:row r="153">
      <x:c r="A153" s="117" t="str">
        <x:v>Jan 2026</x:v>
      </x:c>
      <x:c r="B153" s="117" t="str">
        <x:v>Corporate</x:v>
      </x:c>
      <x:c r="C153" s="123" t="n">
        <x:v>7915</x:v>
      </x:c>
    </x:row>
    <x:row r="154">
      <x:c r="A154" s="117" t="str">
        <x:v>Jan 2026</x:v>
      </x:c>
      <x:c r="B154" s="117" t="str">
        <x:v>EAPC</x:v>
      </x:c>
      <x:c r="C154" s="123" t="n">
        <x:v>8</x:v>
      </x:c>
    </x:row>
    <x:row r="155">
      <x:c r="A155" s="117" t="str">
        <x:v>Jan 2026</x:v>
      </x:c>
      <x:c r="B155" s="117" t="str">
        <x:v>Estrangeiros</x:v>
      </x:c>
      <x:c r="C155" s="123" t="n">
        <x:v>310</x:v>
      </x:c>
    </x:row>
    <x:row r="156">
      <x:c r="A156" s="117" t="str">
        <x:v>Jan 2026</x:v>
      </x:c>
      <x:c r="B156" s="117" t="str">
        <x:v>Outros</x:v>
      </x:c>
      <x:c r="C156" s="123" t="n">
        <x:v>6568</x:v>
      </x:c>
    </x:row>
    <x:row r="157">
      <x:c r="A157" s="117" t="str">
        <x:v>Jan 2026</x:v>
      </x:c>
      <x:c r="B157" s="117" t="str">
        <x:v>Outros Institucionais</x:v>
      </x:c>
      <x:c r="C157" s="123" t="n">
        <x:v>38679</x:v>
      </x:c>
    </x:row>
    <x:row r="158">
      <x:c r="A158" s="117" t="str">
        <x:v>Jan 2026</x:v>
      </x:c>
      <x:c r="B158" s="117" t="str">
        <x:v>Poder Público</x:v>
      </x:c>
      <x:c r="C158" s="123" t="n">
        <x:v>2</x:v>
      </x:c>
    </x:row>
    <x:row r="159">
      <x:c r="A159" s="117" t="str">
        <x:v>Jan 2026</x:v>
      </x:c>
      <x:c r="B159" s="117" t="str">
        <x:v>Previdência Fechada</x:v>
      </x:c>
      <x:c r="C159" s="123" t="n">
        <x:v>465</x:v>
      </x:c>
    </x:row>
    <x:row r="160">
      <x:c r="A160" s="117" t="str">
        <x:v>Jan 2026</x:v>
      </x:c>
      <x:c r="B160" s="117" t="str">
        <x:v>Private</x:v>
      </x:c>
      <x:c r="C160" s="123" t="n">
        <x:v>17292</x:v>
      </x:c>
    </x:row>
    <x:row r="161">
      <x:c r="A161" s="117" t="str">
        <x:v>Jan 2026</x:v>
      </x:c>
      <x:c r="B161" s="117" t="str">
        <x:v>Varejo</x:v>
      </x:c>
      <x:c r="C161" s="123" t="n">
        <x:v>62271</x:v>
      </x:c>
    </x:row>
    <x:row r="162">
      <x:c r="A162" s="117" t="str">
        <x:v>Fev 2026</x:v>
      </x:c>
      <x:c r="B162" s="117" t="str">
        <x:v>Conta e Ordem</x:v>
      </x:c>
      <x:c r="C162" s="123" t="n">
        <x:v>250920</x:v>
      </x:c>
    </x:row>
    <x:row r="163">
      <x:c r="A163" s="117" t="str">
        <x:v>Fev 2026</x:v>
      </x:c>
      <x:c r="B163" s="117" t="str">
        <x:v>Corporate</x:v>
      </x:c>
      <x:c r="C163" s="123" t="n">
        <x:v>6557</x:v>
      </x:c>
    </x:row>
    <x:row r="164">
      <x:c r="A164" s="117" t="str">
        <x:v>Fev 2026</x:v>
      </x:c>
      <x:c r="B164" s="117" t="str">
        <x:v>EAPC</x:v>
      </x:c>
      <x:c r="C164" s="123" t="n">
        <x:v>3</x:v>
      </x:c>
    </x:row>
    <x:row r="165">
      <x:c r="A165" s="117" t="str">
        <x:v>Fev 2026</x:v>
      </x:c>
      <x:c r="B165" s="117" t="str">
        <x:v>Estrangeiros</x:v>
      </x:c>
      <x:c r="C165" s="123" t="n">
        <x:v>306</x:v>
      </x:c>
    </x:row>
    <x:row r="166">
      <x:c r="A166" s="117" t="str">
        <x:v>Fev 2026</x:v>
      </x:c>
      <x:c r="B166" s="117" t="str">
        <x:v>Outros</x:v>
      </x:c>
      <x:c r="C166" s="123" t="n">
        <x:v>9348</x:v>
      </x:c>
    </x:row>
    <x:row r="167">
      <x:c r="A167" s="117" t="str">
        <x:v>Fev 2026</x:v>
      </x:c>
      <x:c r="B167" s="117" t="str">
        <x:v>Outros Institucionais</x:v>
      </x:c>
      <x:c r="C167" s="123" t="n">
        <x:v>39564</x:v>
      </x:c>
    </x:row>
    <x:row r="168">
      <x:c r="A168" s="117" t="str">
        <x:v>Fev 2026</x:v>
      </x:c>
      <x:c r="B168" s="117" t="str">
        <x:v>Poder Público</x:v>
      </x:c>
      <x:c r="C168" s="123" t="n">
        <x:v>3</x:v>
      </x:c>
    </x:row>
    <x:row r="169">
      <x:c r="A169" s="117" t="str">
        <x:v>Fev 2026</x:v>
      </x:c>
      <x:c r="B169" s="117" t="str">
        <x:v>Previdência Fechada</x:v>
      </x:c>
      <x:c r="C169" s="123" t="n">
        <x:v>384</x:v>
      </x:c>
    </x:row>
    <x:row r="170">
      <x:c r="A170" s="117" t="str">
        <x:v>Fev 2026</x:v>
      </x:c>
      <x:c r="B170" s="117" t="str">
        <x:v>Private</x:v>
      </x:c>
      <x:c r="C170" s="123" t="n">
        <x:v>18445</x:v>
      </x:c>
    </x:row>
    <x:row r="171">
      <x:c r="A171" s="117" t="str">
        <x:v>Fev 2026</x:v>
      </x:c>
      <x:c r="B171" s="117" t="str">
        <x:v>Varejo</x:v>
      </x:c>
      <x:c r="C171" s="123" t="n">
        <x:v>62663</x:v>
      </x:c>
    </x:row>
    <x:row r="172">
      <x:c r="A172" s="117" t="str">
        <x:v>Mar 2026</x:v>
      </x:c>
      <x:c r="B172" s="117" t="str">
        <x:v>Conta e Ordem</x:v>
      </x:c>
      <x:c r="C172" s="123" t="n">
        <x:v>262015</x:v>
      </x:c>
    </x:row>
    <x:row r="173">
      <x:c r="A173" s="117" t="str">
        <x:v>Mar 2026</x:v>
      </x:c>
      <x:c r="B173" s="117" t="str">
        <x:v>Corporate</x:v>
      </x:c>
      <x:c r="C173" s="123" t="n">
        <x:v>7074</x:v>
      </x:c>
    </x:row>
    <x:row r="174">
      <x:c r="A174" s="117" t="str">
        <x:v>Mar 2026</x:v>
      </x:c>
      <x:c r="B174" s="117" t="str">
        <x:v>EAPC</x:v>
      </x:c>
      <x:c r="C174" s="123" t="n">
        <x:v>6</x:v>
      </x:c>
    </x:row>
    <x:row r="175">
      <x:c r="A175" s="117" t="str">
        <x:v>Mar 2026</x:v>
      </x:c>
      <x:c r="B175" s="117" t="str">
        <x:v>Estrangeiros</x:v>
      </x:c>
      <x:c r="C175" s="123" t="n">
        <x:v>326</x:v>
      </x:c>
    </x:row>
    <x:row r="176">
      <x:c r="A176" s="117" t="str">
        <x:v>Mar 2026</x:v>
      </x:c>
      <x:c r="B176" s="117" t="str">
        <x:v>Outros</x:v>
      </x:c>
      <x:c r="C176" s="123" t="n">
        <x:v>11878</x:v>
      </x:c>
    </x:row>
    <x:row r="177">
      <x:c r="A177" s="117" t="str">
        <x:v>Mar 2026</x:v>
      </x:c>
      <x:c r="B177" s="117" t="str">
        <x:v>Outros Institucionais</x:v>
      </x:c>
      <x:c r="C177" s="123" t="n">
        <x:v>39530</x:v>
      </x:c>
    </x:row>
    <x:row r="178">
      <x:c r="A178" s="117" t="str">
        <x:v>Mar 2026</x:v>
      </x:c>
      <x:c r="B178" s="117" t="str">
        <x:v>Poder Público</x:v>
      </x:c>
      <x:c r="C178" s="123" t="n">
        <x:v>6</x:v>
      </x:c>
    </x:row>
    <x:row r="179">
      <x:c r="A179" s="117" t="str">
        <x:v>Mar 2026</x:v>
      </x:c>
      <x:c r="B179" s="117" t="str">
        <x:v>Previdência Fechada</x:v>
      </x:c>
      <x:c r="C179" s="123" t="n">
        <x:v>432</x:v>
      </x:c>
    </x:row>
    <x:row r="180">
      <x:c r="A180" s="117" t="str">
        <x:v>Mar 2026</x:v>
      </x:c>
      <x:c r="B180" s="117" t="str">
        <x:v>Private</x:v>
      </x:c>
      <x:c r="C180" s="123" t="n">
        <x:v>18435</x:v>
      </x:c>
    </x:row>
    <x:row r="181">
      <x:c r="A181" s="117" t="str">
        <x:v>Mar 2026</x:v>
      </x:c>
      <x:c r="B181" s="117" t="str">
        <x:v>Varejo</x:v>
      </x:c>
      <x:c r="C181" s="123" t="n">
        <x:v>63601</x:v>
      </x:c>
    </x:row>
    <x:row r="182">
      <x:c r="A182" s="117" t="str">
        <x:v>Abr 2026</x:v>
      </x:c>
      <x:c r="B182" s="117" t="str">
        <x:v>Conta e Ordem</x:v>
      </x:c>
      <x:c r="C182" s="123" t="n">
        <x:v>274065</x:v>
      </x:c>
    </x:row>
    <x:row r="183">
      <x:c r="A183" s="117" t="str">
        <x:v>Abr 2026</x:v>
      </x:c>
      <x:c r="B183" s="117" t="str">
        <x:v>Corporate</x:v>
      </x:c>
      <x:c r="C183" s="123" t="n">
        <x:v>7176</x:v>
      </x:c>
    </x:row>
    <x:row r="184">
      <x:c r="A184" s="117" t="str">
        <x:v>Abr 2026</x:v>
      </x:c>
      <x:c r="B184" s="117" t="str">
        <x:v>EAPC</x:v>
      </x:c>
      <x:c r="C184" s="123" t="n">
        <x:v>6</x:v>
      </x:c>
    </x:row>
    <x:row r="185">
      <x:c r="A185" s="117" t="str">
        <x:v>Abr 2026</x:v>
      </x:c>
      <x:c r="B185" s="117" t="str">
        <x:v>Estrangeiros</x:v>
      </x:c>
      <x:c r="C185" s="123" t="n">
        <x:v>335</x:v>
      </x:c>
    </x:row>
    <x:row r="186">
      <x:c r="A186" s="117" t="str">
        <x:v>Abr 2026</x:v>
      </x:c>
      <x:c r="B186" s="117" t="str">
        <x:v>Outros</x:v>
      </x:c>
      <x:c r="C186" s="123" t="n">
        <x:v>11850</x:v>
      </x:c>
    </x:row>
    <x:row r="187">
      <x:c r="A187" s="117" t="str">
        <x:v>Abr 2026</x:v>
      </x:c>
      <x:c r="B187" s="117" t="str">
        <x:v>Outros Institucionais</x:v>
      </x:c>
      <x:c r="C187" s="123" t="n">
        <x:v>40632</x:v>
      </x:c>
    </x:row>
    <x:row r="188">
      <x:c r="A188" s="117" t="str">
        <x:v>Abr 2026</x:v>
      </x:c>
      <x:c r="B188" s="117" t="str">
        <x:v>Poder Público</x:v>
      </x:c>
      <x:c r="C188" s="123" t="n">
        <x:v>6</x:v>
      </x:c>
    </x:row>
    <x:row r="189">
      <x:c r="A189" s="117" t="str">
        <x:v>Abr 2026</x:v>
      </x:c>
      <x:c r="B189" s="117" t="str">
        <x:v>Previdência Fechada</x:v>
      </x:c>
      <x:c r="C189" s="123" t="n">
        <x:v>422</x:v>
      </x:c>
    </x:row>
    <x:row r="190">
      <x:c r="A190" s="117" t="str">
        <x:v>Abr 2026</x:v>
      </x:c>
      <x:c r="B190" s="117" t="str">
        <x:v>Private</x:v>
      </x:c>
      <x:c r="C190" s="123" t="n">
        <x:v>18498</x:v>
      </x:c>
    </x:row>
    <x:row r="191">
      <x:c r="A191" s="117" t="str">
        <x:v>Abr 2026</x:v>
      </x:c>
      <x:c r="B191" s="117" t="str">
        <x:v>Varejo</x:v>
      </x:c>
      <x:c r="C191" s="123" t="n">
        <x:v>67276</x:v>
      </x:c>
    </x:row>
    <x:row r="192">
      <x:c r="A192" s="117" t="str">
        <x:v>Mai 2026</x:v>
      </x:c>
      <x:c r="B192" s="117" t="str">
        <x:v>Conta e Ordem</x:v>
      </x:c>
      <x:c r="C192" s="123" t="n">
        <x:v>283271</x:v>
      </x:c>
    </x:row>
    <x:row r="193">
      <x:c r="A193" s="117" t="str">
        <x:v>Mai 2026</x:v>
      </x:c>
      <x:c r="B193" s="117" t="str">
        <x:v>Corporate</x:v>
      </x:c>
      <x:c r="C193" s="123" t="n">
        <x:v>7232</x:v>
      </x:c>
    </x:row>
    <x:row r="194">
      <x:c r="A194" s="117" t="str">
        <x:v>Mai 2026</x:v>
      </x:c>
      <x:c r="B194" s="117" t="str">
        <x:v>EAPC</x:v>
      </x:c>
      <x:c r="C194" s="123" t="n">
        <x:v>3</x:v>
      </x:c>
    </x:row>
    <x:row r="195">
      <x:c r="A195" s="117" t="str">
        <x:v>Mai 2026</x:v>
      </x:c>
      <x:c r="B195" s="117" t="str">
        <x:v>Estrangeiros</x:v>
      </x:c>
      <x:c r="C195" s="123" t="n">
        <x:v>331</x:v>
      </x:c>
    </x:row>
    <x:row r="196">
      <x:c r="A196" s="117" t="str">
        <x:v>Mai 2026</x:v>
      </x:c>
      <x:c r="B196" s="117" t="str">
        <x:v>Outros</x:v>
      </x:c>
      <x:c r="C196" s="123" t="n">
        <x:v>11718</x:v>
      </x:c>
    </x:row>
    <x:row r="197">
      <x:c r="A197" s="117" t="str">
        <x:v>Mai 2026</x:v>
      </x:c>
      <x:c r="B197" s="117" t="str">
        <x:v>Outros Institucionais</x:v>
      </x:c>
      <x:c r="C197" s="123" t="n">
        <x:v>40875</x:v>
      </x:c>
    </x:row>
    <x:row r="198">
      <x:c r="A198" s="117" t="str">
        <x:v>Mai 2026</x:v>
      </x:c>
      <x:c r="B198" s="117" t="str">
        <x:v>Poder Público</x:v>
      </x:c>
      <x:c r="C198" s="123" t="n">
        <x:v>7</x:v>
      </x:c>
    </x:row>
    <x:row r="199">
      <x:c r="A199" s="117" t="str">
        <x:v>Mai 2026</x:v>
      </x:c>
      <x:c r="B199" s="117" t="str">
        <x:v>Previdência Fechada</x:v>
      </x:c>
      <x:c r="C199" s="123" t="n">
        <x:v>376</x:v>
      </x:c>
    </x:row>
    <x:row r="200">
      <x:c r="A200" s="117" t="str">
        <x:v>Mai 2026</x:v>
      </x:c>
      <x:c r="B200" s="117" t="str">
        <x:v>Private</x:v>
      </x:c>
      <x:c r="C200" s="123" t="n">
        <x:v>17948</x:v>
      </x:c>
    </x:row>
    <x:row r="201">
      <x:c r="A201" s="118" t="str">
        <x:v>Mai 2026</x:v>
      </x:c>
      <x:c r="B201" s="118" t="str">
        <x:v>Varejo</x:v>
      </x:c>
      <x:c r="C201" s="124" t="n">
        <x:v>67177</x:v>
      </x:c>
    </x:row>
  </x:sheetData>
  <x:mergeCells>
    <x:mergeCell ref="A1:C1"/>
    <x:mergeCell ref="E13:H15"/>
  </x:mergeCells>
  <x:pageMargins left="0.7" right="0.7" top="0.75" bottom="0.75" header="0.3" footer="0.3"/>
  <x:tableParts count="1">
    <x:tablePart xmlns:r="http://schemas.openxmlformats.org/officeDocument/2006/relationships" r:id="R360e6108599a4ec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4" hidden="0" customWidth="1"/>
    <x:col min="3" max="3" width="35" hidden="0" customWidth="1"/>
    <x:col min="4" max="4" width="18" hidden="0" customWidth="1"/>
  </x:cols>
  <x:sheetData>
    <x:row r="1" ht="28" customHeight="1">
      <x:c r="A1" s="4" t="str">
        <x:v>PL por tipo ANBIMA e foco de atuação</x:v>
      </x:c>
      <x:c r="B1" s="4" t="str">
        <x:v>PL por tipo ANBIMA e foco de atuação</x:v>
      </x:c>
      <x:c r="C1" s="4" t="str">
        <x:v>PL por tipo ANBIMA e foco de atuação</x:v>
      </x:c>
      <x:c r="D1" s="4" t="str">
        <x:v>PL por tipo ANBIMA e foco de atuação</x:v>
      </x:c>
      <x:c r="F1" s="99" t="str">
        <x:v>Granularidade observada: mensal × tipo ANBIMA × foco de atuação. A soma em Mai 2026 concilia com o PL total de R$ 751,09 bi. https://app.powerbi.com/view?r=eyJrIjoiM2M2NzVmOWItMzI0Yi00MTE1LWI5ZmYtZTM0ZWM4ZDUwODNlIiwidCI6Ijk3OTM3M2VkLWQxMzAtNDU4NS1iNTY5LTNjM2NlNjE0MTIyNyJ9</x:v>
      </x:c>
      <x:c r="G1" s="99" t="str">
        <x:v>Granularidade observada: mensal × tipo ANBIMA × foco de atuação. A soma em Mai 2026 concilia com o PL total de R$ 751,09 bi. https://app.powerbi.com/view?r=eyJrIjoiM2M2NzVmOWItMzI0Yi00MTE1LWI5ZmYtZTM0ZWM4ZDUwODNlIiwidCI6Ijk3OTM3M2VkLWQxMzAtNDU4NS1iNTY5LTNjM2NlNjE0MTIyNyJ9</x:v>
      </x:c>
      <x:c r="H1" s="99" t="str">
        <x:v>Granularidade observada: mensal × tipo ANBIMA × foco de atuação. A soma em Mai 2026 concilia com o PL total de R$ 751,09 bi. https://app.powerbi.com/view?r=eyJrIjoiM2M2NzVmOWItMzI0Yi00MTE1LWI5ZmYtZTM0ZWM4ZDUwODNlIiwidCI6Ijk3OTM3M2VkLWQxMzAtNDU4NS1iNTY5LTNjM2NlNjE0MTIyNyJ9</x:v>
      </x:c>
      <x:c r="I1" s="99" t="str">
        <x:v>Granularidade observada: mensal × tipo ANBIMA × foco de atuação. A soma em Mai 2026 concilia com o PL total de R$ 751,09 bi. https://app.powerbi.com/view?r=eyJrIjoiM2M2NzVmOWItMzI0Yi00MTE1LWI5ZmYtZTM0ZWM4ZDUwODNlIiwidCI6Ijk3OTM3M2VkLWQxMzAtNDU4NS1iNTY5LTNjM2NlNjE0MTIyNyJ9</x:v>
      </x:c>
      <x:c r="J1" s="99" t="str">
        <x:v>Granularidade observada: mensal × tipo ANBIMA × foco de atuação. A soma em Mai 2026 concilia com o PL total de R$ 751,09 bi. https://app.powerbi.com/view?r=eyJrIjoiM2M2NzVmOWItMzI0Yi00MTE1LWI5ZmYtZTM0ZWM4ZDUwODNlIiwidCI6Ijk3OTM3M2VkLWQxMzAtNDU4NS1iNTY5LTNjM2NlNjE0MTIyNyJ9</x:v>
      </x:c>
    </x:row>
    <x:row r="2" ht="26" customHeight="1">
      <x:c r="A2" s="110" t="str">
        <x:v>Tipo ANBIMA</x:v>
      </x:c>
      <x:c r="B2" s="111" t="str">
        <x:v>Período</x:v>
      </x:c>
      <x:c r="C2" s="111" t="str">
        <x:v>Foco de atuação</x:v>
      </x:c>
      <x:c r="D2" s="112" t="str">
        <x:v>PL</x:v>
      </x:c>
      <x:c r="F2" s="99" t="str">
        <x:v>Granularidade observada: mensal × tipo ANBIMA × foco de atuação. A soma em Mai 2026 concilia com o PL total de R$ 751,09 bi. https://app.powerbi.com/view?r=eyJrIjoiM2M2NzVmOWItMzI0Yi00MTE1LWI5ZmYtZTM0ZWM4ZDUwODNlIiwidCI6Ijk3OTM3M2VkLWQxMzAtNDU4NS1iNTY5LTNjM2NlNjE0MTIyNyJ9</x:v>
      </x:c>
      <x:c r="G2" s="99" t="str">
        <x:v>Granularidade observada: mensal × tipo ANBIMA × foco de atuação. A soma em Mai 2026 concilia com o PL total de R$ 751,09 bi. https://app.powerbi.com/view?r=eyJrIjoiM2M2NzVmOWItMzI0Yi00MTE1LWI5ZmYtZTM0ZWM4ZDUwODNlIiwidCI6Ijk3OTM3M2VkLWQxMzAtNDU4NS1iNTY5LTNjM2NlNjE0MTIyNyJ9</x:v>
      </x:c>
      <x:c r="H2" s="99" t="str">
        <x:v>Granularidade observada: mensal × tipo ANBIMA × foco de atuação. A soma em Mai 2026 concilia com o PL total de R$ 751,09 bi. https://app.powerbi.com/view?r=eyJrIjoiM2M2NzVmOWItMzI0Yi00MTE1LWI5ZmYtZTM0ZWM4ZDUwODNlIiwidCI6Ijk3OTM3M2VkLWQxMzAtNDU4NS1iNTY5LTNjM2NlNjE0MTIyNyJ9</x:v>
      </x:c>
      <x:c r="I2" s="99" t="str">
        <x:v>Granularidade observada: mensal × tipo ANBIMA × foco de atuação. A soma em Mai 2026 concilia com o PL total de R$ 751,09 bi. https://app.powerbi.com/view?r=eyJrIjoiM2M2NzVmOWItMzI0Yi00MTE1LWI5ZmYtZTM0ZWM4ZDUwODNlIiwidCI6Ijk3OTM3M2VkLWQxMzAtNDU4NS1iNTY5LTNjM2NlNjE0MTIyNyJ9</x:v>
      </x:c>
      <x:c r="J2" s="99" t="str">
        <x:v>Granularidade observada: mensal × tipo ANBIMA × foco de atuação. A soma em Mai 2026 concilia com o PL total de R$ 751,09 bi. https://app.powerbi.com/view?r=eyJrIjoiM2M2NzVmOWItMzI0Yi00MTE1LWI5ZmYtZTM0ZWM4ZDUwODNlIiwidCI6Ijk3OTM3M2VkLWQxMzAtNDU4NS1iNTY5LTNjM2NlNjE0MTIyNyJ9</x:v>
      </x:c>
    </x:row>
    <x:row r="3">
      <x:c r="A3" s="116" t="str">
        <x:v>Agro, Indústria e Comércio</x:v>
      </x:c>
      <x:c r="B3" s="116" t="str">
        <x:v>Out 2024</x:v>
      </x:c>
      <x:c r="C3" s="116" t="str">
        <x:v>Agronegócio</x:v>
      </x:c>
      <x:c r="D3" s="119" t="n">
        <x:v>10156361741.899998</x:v>
      </x:c>
      <x:c r="F3" s="99" t="str">
        <x:v>Granularidade observada: mensal × tipo ANBIMA × foco de atuação. A soma em Mai 2026 concilia com o PL total de R$ 751,09 bi. https://app.powerbi.com/view?r=eyJrIjoiM2M2NzVmOWItMzI0Yi00MTE1LWI5ZmYtZTM0ZWM4ZDUwODNlIiwidCI6Ijk3OTM3M2VkLWQxMzAtNDU4NS1iNTY5LTNjM2NlNjE0MTIyNyJ9</x:v>
      </x:c>
      <x:c r="G3" s="99" t="str">
        <x:v>Granularidade observada: mensal × tipo ANBIMA × foco de atuação. A soma em Mai 2026 concilia com o PL total de R$ 751,09 bi. https://app.powerbi.com/view?r=eyJrIjoiM2M2NzVmOWItMzI0Yi00MTE1LWI5ZmYtZTM0ZWM4ZDUwODNlIiwidCI6Ijk3OTM3M2VkLWQxMzAtNDU4NS1iNTY5LTNjM2NlNjE0MTIyNyJ9</x:v>
      </x:c>
      <x:c r="H3" s="99" t="str">
        <x:v>Granularidade observada: mensal × tipo ANBIMA × foco de atuação. A soma em Mai 2026 concilia com o PL total de R$ 751,09 bi. https://app.powerbi.com/view?r=eyJrIjoiM2M2NzVmOWItMzI0Yi00MTE1LWI5ZmYtZTM0ZWM4ZDUwODNlIiwidCI6Ijk3OTM3M2VkLWQxMzAtNDU4NS1iNTY5LTNjM2NlNjE0MTIyNyJ9</x:v>
      </x:c>
      <x:c r="I3" s="99" t="str">
        <x:v>Granularidade observada: mensal × tipo ANBIMA × foco de atuação. A soma em Mai 2026 concilia com o PL total de R$ 751,09 bi. https://app.powerbi.com/view?r=eyJrIjoiM2M2NzVmOWItMzI0Yi00MTE1LWI5ZmYtZTM0ZWM4ZDUwODNlIiwidCI6Ijk3OTM3M2VkLWQxMzAtNDU4NS1iNTY5LTNjM2NlNjE0MTIyNyJ9</x:v>
      </x:c>
      <x:c r="J3" s="99" t="str">
        <x:v>Granularidade observada: mensal × tipo ANBIMA × foco de atuação. A soma em Mai 2026 concilia com o PL total de R$ 751,09 bi. https://app.powerbi.com/view?r=eyJrIjoiM2M2NzVmOWItMzI0Yi00MTE1LWI5ZmYtZTM0ZWM4ZDUwODNlIiwidCI6Ijk3OTM3M2VkLWQxMzAtNDU4NS1iNTY5LTNjM2NlNjE0MTIyNyJ9</x:v>
      </x:c>
    </x:row>
    <x:row r="4">
      <x:c r="A4" s="117" t="str">
        <x:v>Agro, Indústria e Comércio</x:v>
      </x:c>
      <x:c r="B4" s="117" t="str">
        <x:v>Out 2024</x:v>
      </x:c>
      <x:c r="C4" s="117" t="str">
        <x:v>Crédito Corporativo</x:v>
      </x:c>
      <x:c r="D4" s="120" t="n">
        <x:v>3919907172.71</x:v>
      </x:c>
      <x:c r="F4" s="99" t="str">
        <x:v>Granularidade observada: mensal × tipo ANBIMA × foco de atuação. A soma em Mai 2026 concilia com o PL total de R$ 751,09 bi. https://app.powerbi.com/view?r=eyJrIjoiM2M2NzVmOWItMzI0Yi00MTE1LWI5ZmYtZTM0ZWM4ZDUwODNlIiwidCI6Ijk3OTM3M2VkLWQxMzAtNDU4NS1iNTY5LTNjM2NlNjE0MTIyNyJ9</x:v>
      </x:c>
      <x:c r="G4" s="99" t="str">
        <x:v>Granularidade observada: mensal × tipo ANBIMA × foco de atuação. A soma em Mai 2026 concilia com o PL total de R$ 751,09 bi. https://app.powerbi.com/view?r=eyJrIjoiM2M2NzVmOWItMzI0Yi00MTE1LWI5ZmYtZTM0ZWM4ZDUwODNlIiwidCI6Ijk3OTM3M2VkLWQxMzAtNDU4NS1iNTY5LTNjM2NlNjE0MTIyNyJ9</x:v>
      </x:c>
      <x:c r="H4" s="99" t="str">
        <x:v>Granularidade observada: mensal × tipo ANBIMA × foco de atuação. A soma em Mai 2026 concilia com o PL total de R$ 751,09 bi. https://app.powerbi.com/view?r=eyJrIjoiM2M2NzVmOWItMzI0Yi00MTE1LWI5ZmYtZTM0ZWM4ZDUwODNlIiwidCI6Ijk3OTM3M2VkLWQxMzAtNDU4NS1iNTY5LTNjM2NlNjE0MTIyNyJ9</x:v>
      </x:c>
      <x:c r="I4" s="99" t="str">
        <x:v>Granularidade observada: mensal × tipo ANBIMA × foco de atuação. A soma em Mai 2026 concilia com o PL total de R$ 751,09 bi. https://app.powerbi.com/view?r=eyJrIjoiM2M2NzVmOWItMzI0Yi00MTE1LWI5ZmYtZTM0ZWM4ZDUwODNlIiwidCI6Ijk3OTM3M2VkLWQxMzAtNDU4NS1iNTY5LTNjM2NlNjE0MTIyNyJ9</x:v>
      </x:c>
      <x:c r="J4" s="99" t="str">
        <x:v>Granularidade observada: mensal × tipo ANBIMA × foco de atuação. A soma em Mai 2026 concilia com o PL total de R$ 751,09 bi. https://app.powerbi.com/view?r=eyJrIjoiM2M2NzVmOWItMzI0Yi00MTE1LWI5ZmYtZTM0ZWM4ZDUwODNlIiwidCI6Ijk3OTM3M2VkLWQxMzAtNDU4NS1iNTY5LTNjM2NlNjE0MTIyNyJ9</x:v>
      </x:c>
    </x:row>
    <x:row r="5">
      <x:c r="A5" s="117" t="str">
        <x:v>Agro, Indústria e Comércio</x:v>
      </x:c>
      <x:c r="B5" s="117" t="str">
        <x:v>Out 2024</x:v>
      </x:c>
      <x:c r="C5" s="117" t="str">
        <x:v>Crédito Pessoal</x:v>
      </x:c>
      <x:c r="D5" s="120" t="n">
        <x:v>88192224.94</x:v>
      </x:c>
    </x:row>
    <x:row r="6">
      <x:c r="A6" s="117" t="str">
        <x:v>Agro, Indústria e Comércio</x:v>
      </x:c>
      <x:c r="B6" s="117" t="str">
        <x:v>Out 2024</x:v>
      </x:c>
      <x:c r="C6" s="117" t="str">
        <x:v>Fomento Mercantil</x:v>
      </x:c>
      <x:c r="D6" s="120" t="n">
        <x:v>1329838862.61</x:v>
      </x:c>
    </x:row>
    <x:row r="7">
      <x:c r="A7" s="117" t="str">
        <x:v>Agro, Indústria e Comércio</x:v>
      </x:c>
      <x:c r="B7" s="117" t="str">
        <x:v>Out 2024</x:v>
      </x:c>
      <x:c r="C7" s="117" t="str">
        <x:v>Infraestrutura</x:v>
      </x:c>
      <x:c r="D7" s="120" t="n">
        <x:v>3504349804.1599994</x:v>
      </x:c>
    </x:row>
    <x:row r="8">
      <x:c r="A8" s="117" t="str">
        <x:v>Agro, Indústria e Comércio</x:v>
      </x:c>
      <x:c r="B8" s="117" t="str">
        <x:v>Out 2024</x:v>
      </x:c>
      <x:c r="C8" s="117" t="str">
        <x:v>Multicarteira Agro, Indústria e Comércio</x:v>
      </x:c>
      <x:c r="D8" s="120" t="n">
        <x:v>7701812754.100002</x:v>
      </x:c>
    </x:row>
    <x:row r="9">
      <x:c r="A9" s="117" t="str">
        <x:v>Agro, Indústria e Comércio</x:v>
      </x:c>
      <x:c r="B9" s="117" t="str">
        <x:v>Out 2024</x:v>
      </x:c>
      <x:c r="C9" s="117" t="str">
        <x:v>Multicarteira Outros</x:v>
      </x:c>
      <x:c r="D9" s="120" t="n">
        <x:v>3896763897.3</x:v>
      </x:c>
    </x:row>
    <x:row r="10">
      <x:c r="A10" s="117" t="str">
        <x:v>Agro, Indústria e Comércio</x:v>
      </x:c>
      <x:c r="B10" s="117" t="str">
        <x:v>Out 2024</x:v>
      </x:c>
      <x:c r="C10" s="117" t="str">
        <x:v>Multiestratégia</x:v>
      </x:c>
      <x:c r="D10" s="120" t="n">
        <x:v>0</x:v>
      </x:c>
    </x:row>
    <x:row r="11">
      <x:c r="A11" s="117" t="str">
        <x:v>Agro, Indústria e Comércio</x:v>
      </x:c>
      <x:c r="B11" s="117" t="str">
        <x:v>Out 2024</x:v>
      </x:c>
      <x:c r="C11" s="117" t="str">
        <x:v>Não se aplica</x:v>
      </x:c>
      <x:c r="D11" s="120" t="n">
        <x:v>3432559070.279999</x:v>
      </x:c>
    </x:row>
    <x:row r="12">
      <x:c r="A12" s="117" t="str">
        <x:v>Agro, Indústria e Comércio</x:v>
      </x:c>
      <x:c r="B12" s="117" t="str">
        <x:v>Out 2024</x:v>
      </x:c>
      <x:c r="C12" s="117" t="str">
        <x:v>Recebíveis Comerciais</x:v>
      </x:c>
      <x:c r="D12" s="120" t="n">
        <x:v>121574312935.8513</x:v>
      </x:c>
    </x:row>
    <x:row r="13">
      <x:c r="A13" s="117" t="str">
        <x:v>Financeiro</x:v>
      </x:c>
      <x:c r="B13" s="117" t="str">
        <x:v>Out 2024</x:v>
      </x:c>
      <x:c r="C13" s="117" t="str">
        <x:v>Crédito Consignado</x:v>
      </x:c>
      <x:c r="D13" s="120" t="n">
        <x:v>15860580943.749996</x:v>
      </x:c>
    </x:row>
    <x:row r="14">
      <x:c r="A14" s="117" t="str">
        <x:v>Financeiro</x:v>
      </x:c>
      <x:c r="B14" s="117" t="str">
        <x:v>Out 2024</x:v>
      </x:c>
      <x:c r="C14" s="117" t="str">
        <x:v>Crédito Imobiliário</x:v>
      </x:c>
      <x:c r="D14" s="120" t="n">
        <x:v>3161415451.88</x:v>
      </x:c>
    </x:row>
    <x:row r="15">
      <x:c r="A15" s="117" t="str">
        <x:v>Financeiro</x:v>
      </x:c>
      <x:c r="B15" s="117" t="str">
        <x:v>Out 2024</x:v>
      </x:c>
      <x:c r="C15" s="117" t="str">
        <x:v>Crédito Pessoal</x:v>
      </x:c>
      <x:c r="D15" s="120" t="n">
        <x:v>76178169798.19</x:v>
      </x:c>
    </x:row>
    <x:row r="16">
      <x:c r="A16" s="117" t="str">
        <x:v>Financeiro</x:v>
      </x:c>
      <x:c r="B16" s="117" t="str">
        <x:v>Out 2024</x:v>
      </x:c>
      <x:c r="C16" s="117" t="str">
        <x:v>Financiamento de Veículos</x:v>
      </x:c>
      <x:c r="D16" s="120" t="n">
        <x:v>5202514368.94046</x:v>
      </x:c>
    </x:row>
    <x:row r="17">
      <x:c r="A17" s="117" t="str">
        <x:v>Financeiro</x:v>
      </x:c>
      <x:c r="B17" s="117" t="str">
        <x:v>Out 2024</x:v>
      </x:c>
      <x:c r="C17" s="117" t="str">
        <x:v>Fomento Mercantil</x:v>
      </x:c>
      <x:c r="D17" s="120" t="n">
        <x:v>262217023.39000002</x:v>
      </x:c>
    </x:row>
    <x:row r="18">
      <x:c r="A18" s="117" t="str">
        <x:v>Financeiro</x:v>
      </x:c>
      <x:c r="B18" s="117" t="str">
        <x:v>Out 2024</x:v>
      </x:c>
      <x:c r="C18" s="117" t="str">
        <x:v>Multicarteira Agro, Indústria e Comércio</x:v>
      </x:c>
      <x:c r="D18" s="120" t="n">
        <x:v>525115302.23</x:v>
      </x:c>
    </x:row>
    <x:row r="19">
      <x:c r="A19" s="117" t="str">
        <x:v>Financeiro</x:v>
      </x:c>
      <x:c r="B19" s="117" t="str">
        <x:v>Out 2024</x:v>
      </x:c>
      <x:c r="C19" s="117" t="str">
        <x:v>Multicarteira Financeiro</x:v>
      </x:c>
      <x:c r="D19" s="120" t="n">
        <x:v>32735217785.910007</x:v>
      </x:c>
    </x:row>
    <x:row r="20">
      <x:c r="A20" s="117" t="str">
        <x:v>Financeiro</x:v>
      </x:c>
      <x:c r="B20" s="117" t="str">
        <x:v>Out 2024</x:v>
      </x:c>
      <x:c r="C20" s="117" t="str">
        <x:v>Multicarteira Outros</x:v>
      </x:c>
      <x:c r="D20" s="120" t="n">
        <x:v>335188233.09000003</x:v>
      </x:c>
    </x:row>
    <x:row r="21">
      <x:c r="A21" s="117" t="str">
        <x:v>Financeiro</x:v>
      </x:c>
      <x:c r="B21" s="117" t="str">
        <x:v>Out 2024</x:v>
      </x:c>
      <x:c r="C21" s="117" t="str">
        <x:v>Não se aplica</x:v>
      </x:c>
      <x:c r="D21" s="120" t="n">
        <x:v>156236016.10000002</x:v>
      </x:c>
    </x:row>
    <x:row r="22">
      <x:c r="A22" s="117" t="str">
        <x:v>Financeiro</x:v>
      </x:c>
      <x:c r="B22" s="117" t="str">
        <x:v>Out 2024</x:v>
      </x:c>
      <x:c r="C22" s="117" t="str">
        <x:v>Poder Público</x:v>
      </x:c>
      <x:c r="D22" s="120" t="n">
        <x:v>40166359.6</x:v>
      </x:c>
    </x:row>
    <x:row r="23">
      <x:c r="A23" s="117" t="str">
        <x:v>Financeiro</x:v>
      </x:c>
      <x:c r="B23" s="117" t="str">
        <x:v>Out 2024</x:v>
      </x:c>
      <x:c r="C23" s="117" t="str">
        <x:v>Recebíveis Comerciais</x:v>
      </x:c>
      <x:c r="D23" s="120" t="n">
        <x:v>51537047.29</x:v>
      </x:c>
    </x:row>
    <x:row r="24">
      <x:c r="A24" s="117" t="str">
        <x:v>Fomento Mercantil</x:v>
      </x:c>
      <x:c r="B24" s="117" t="str">
        <x:v>Out 2024</x:v>
      </x:c>
      <x:c r="C24" s="117" t="str">
        <x:v>Crédito Consignado</x:v>
      </x:c>
      <x:c r="D24" s="120" t="n">
        <x:v>57935696.62</x:v>
      </x:c>
    </x:row>
    <x:row r="25">
      <x:c r="A25" s="117" t="str">
        <x:v>Fomento Mercantil</x:v>
      </x:c>
      <x:c r="B25" s="117" t="str">
        <x:v>Out 2024</x:v>
      </x:c>
      <x:c r="C25" s="117" t="str">
        <x:v>Fomento Mercantil</x:v>
      </x:c>
      <x:c r="D25" s="120" t="n">
        <x:v>49917892437.82991</x:v>
      </x:c>
    </x:row>
    <x:row r="26">
      <x:c r="A26" s="117" t="str">
        <x:v>Fomento Mercantil</x:v>
      </x:c>
      <x:c r="B26" s="117" t="str">
        <x:v>Out 2024</x:v>
      </x:c>
      <x:c r="C26" s="117" t="str">
        <x:v>Multicarteira Agro, Indústria e Comércio</x:v>
      </x:c>
      <x:c r="D26" s="120" t="n">
        <x:v>735096281.76</x:v>
      </x:c>
    </x:row>
    <x:row r="27">
      <x:c r="A27" s="117" t="str">
        <x:v>Fomento Mercantil</x:v>
      </x:c>
      <x:c r="B27" s="117" t="str">
        <x:v>Out 2024</x:v>
      </x:c>
      <x:c r="C27" s="117" t="str">
        <x:v>Multicarteira Outros</x:v>
      </x:c>
      <x:c r="D27" s="120" t="n">
        <x:v>1090369740.7199998</x:v>
      </x:c>
    </x:row>
    <x:row r="28">
      <x:c r="A28" s="117" t="str">
        <x:v>Fomento Mercantil</x:v>
      </x:c>
      <x:c r="B28" s="117" t="str">
        <x:v>Out 2024</x:v>
      </x:c>
      <x:c r="C28" s="117" t="str">
        <x:v>Não se aplica</x:v>
      </x:c>
      <x:c r="D28" s="120" t="n">
        <x:v>173894.25999999998</x:v>
      </x:c>
    </x:row>
    <x:row r="29">
      <x:c r="A29" s="117" t="str">
        <x:v>Fomento Mercantil</x:v>
      </x:c>
      <x:c r="B29" s="117" t="str">
        <x:v>Out 2024</x:v>
      </x:c>
      <x:c r="C29" s="117" t="str">
        <x:v>Poder Público</x:v>
      </x:c>
      <x:c r="D29" s="120" t="n">
        <x:v>15503191.19</x:v>
      </x:c>
    </x:row>
    <x:row r="30">
      <x:c r="A30" s="117" t="str">
        <x:v>Fomento Mercantil</x:v>
      </x:c>
      <x:c r="B30" s="117" t="str">
        <x:v>Out 2024</x:v>
      </x:c>
      <x:c r="C30" s="117" t="str">
        <x:v>Recebíveis Comerciais</x:v>
      </x:c>
      <x:c r="D30" s="120" t="n">
        <x:v>11908987.879999999</x:v>
      </x:c>
    </x:row>
    <x:row r="31">
      <x:c r="A31" s="117" t="str">
        <x:v>Outros</x:v>
      </x:c>
      <x:c r="B31" s="117" t="str">
        <x:v>Out 2024</x:v>
      </x:c>
      <x:c r="C31" s="117" t="str">
        <x:v>Crédito Consignado</x:v>
      </x:c>
      <x:c r="D31" s="120" t="n">
        <x:v>59439698.74999999</x:v>
      </x:c>
    </x:row>
    <x:row r="32">
      <x:c r="A32" s="117" t="str">
        <x:v>Outros</x:v>
      </x:c>
      <x:c r="B32" s="117" t="str">
        <x:v>Out 2024</x:v>
      </x:c>
      <x:c r="C32" s="117" t="str">
        <x:v>Crédito Pessoal</x:v>
      </x:c>
      <x:c r="D32" s="120" t="n">
        <x:v>592504291.04</x:v>
      </x:c>
    </x:row>
    <x:row r="33">
      <x:c r="A33" s="117" t="str">
        <x:v>Outros</x:v>
      </x:c>
      <x:c r="B33" s="117" t="str">
        <x:v>Out 2024</x:v>
      </x:c>
      <x:c r="C33" s="117" t="str">
        <x:v>Fomento Mercantil</x:v>
      </x:c>
      <x:c r="D33" s="120" t="n">
        <x:v>5343910997.180001</x:v>
      </x:c>
    </x:row>
    <x:row r="34">
      <x:c r="A34" s="117" t="str">
        <x:v>Outros</x:v>
      </x:c>
      <x:c r="B34" s="117" t="str">
        <x:v>Out 2024</x:v>
      </x:c>
      <x:c r="C34" s="117" t="str">
        <x:v>Infraestrutura</x:v>
      </x:c>
      <x:c r="D34" s="120" t="n">
        <x:v>147834126.84</x:v>
      </x:c>
    </x:row>
    <x:row r="35">
      <x:c r="A35" s="117" t="str">
        <x:v>Outros</x:v>
      </x:c>
      <x:c r="B35" s="117" t="str">
        <x:v>Out 2024</x:v>
      </x:c>
      <x:c r="C35" s="117" t="str">
        <x:v>Multicarteira Agro, Indústria e Comércio</x:v>
      </x:c>
      <x:c r="D35" s="120" t="n">
        <x:v>974165419.26</x:v>
      </x:c>
    </x:row>
    <x:row r="36">
      <x:c r="A36" s="117" t="str">
        <x:v>Outros</x:v>
      </x:c>
      <x:c r="B36" s="117" t="str">
        <x:v>Out 2024</x:v>
      </x:c>
      <x:c r="C36" s="117" t="str">
        <x:v>Multicarteira Outros</x:v>
      </x:c>
      <x:c r="D36" s="120" t="n">
        <x:v>146922802521.82</x:v>
      </x:c>
    </x:row>
    <x:row r="37">
      <x:c r="A37" s="117" t="str">
        <x:v>Outros</x:v>
      </x:c>
      <x:c r="B37" s="117" t="str">
        <x:v>Out 2024</x:v>
      </x:c>
      <x:c r="C37" s="117" t="str">
        <x:v>Multicategoria</x:v>
      </x:c>
      <x:c r="D37" s="120" t="n">
        <x:v>50203284.15</x:v>
      </x:c>
    </x:row>
    <x:row r="38">
      <x:c r="A38" s="117" t="str">
        <x:v>Outros</x:v>
      </x:c>
      <x:c r="B38" s="117" t="str">
        <x:v>Out 2024</x:v>
      </x:c>
      <x:c r="C38" s="117" t="str">
        <x:v>Multiestratégia</x:v>
      </x:c>
      <x:c r="D38" s="120" t="n">
        <x:v>6081742.489999999</x:v>
      </x:c>
    </x:row>
    <x:row r="39">
      <x:c r="A39" s="117" t="str">
        <x:v>Outros</x:v>
      </x:c>
      <x:c r="B39" s="117" t="str">
        <x:v>Out 2024</x:v>
      </x:c>
      <x:c r="C39" s="117" t="str">
        <x:v>Não se aplica</x:v>
      </x:c>
      <x:c r="D39" s="120" t="n">
        <x:v>5287857965.03999</x:v>
      </x:c>
    </x:row>
    <x:row r="40">
      <x:c r="A40" s="117" t="str">
        <x:v>Outros</x:v>
      </x:c>
      <x:c r="B40" s="117" t="str">
        <x:v>Out 2024</x:v>
      </x:c>
      <x:c r="C40" s="117" t="str">
        <x:v>Poder Público</x:v>
      </x:c>
      <x:c r="D40" s="120" t="n">
        <x:v>31906871141.99</x:v>
      </x:c>
    </x:row>
    <x:row r="41">
      <x:c r="A41" s="117" t="str">
        <x:v>Outros</x:v>
      </x:c>
      <x:c r="B41" s="117" t="str">
        <x:v>Out 2024</x:v>
      </x:c>
      <x:c r="C41" s="117" t="str">
        <x:v>Recebíveis Comerciais</x:v>
      </x:c>
      <x:c r="D41" s="120" t="n">
        <x:v>76225926.57</x:v>
      </x:c>
    </x:row>
    <x:row r="42">
      <x:c r="A42" s="117" t="str">
        <x:v>Outros</x:v>
      </x:c>
      <x:c r="B42" s="117" t="str">
        <x:v>Out 2024</x:v>
      </x:c>
      <x:c r="C42" s="117" t="str">
        <x:v>Recuperação</x:v>
      </x:c>
      <x:c r="D42" s="120" t="n">
        <x:v>5440806971.14</x:v>
      </x:c>
    </x:row>
    <x:row r="43">
      <x:c r="A43" s="117" t="str">
        <x:v>Agro, Indústria e Comércio</x:v>
      </x:c>
      <x:c r="B43" s="117" t="str">
        <x:v>Nov 2024</x:v>
      </x:c>
      <x:c r="C43" s="117" t="str">
        <x:v>Agronegócio</x:v>
      </x:c>
      <x:c r="D43" s="120" t="n">
        <x:v>12482484894.149996</x:v>
      </x:c>
    </x:row>
    <x:row r="44">
      <x:c r="A44" s="117" t="str">
        <x:v>Agro, Indústria e Comércio</x:v>
      </x:c>
      <x:c r="B44" s="117" t="str">
        <x:v>Nov 2024</x:v>
      </x:c>
      <x:c r="C44" s="117" t="str">
        <x:v>Crédito Corporativo</x:v>
      </x:c>
      <x:c r="D44" s="120" t="n">
        <x:v>3784155498.370001</x:v>
      </x:c>
    </x:row>
    <x:row r="45">
      <x:c r="A45" s="117" t="str">
        <x:v>Agro, Indústria e Comércio</x:v>
      </x:c>
      <x:c r="B45" s="117" t="str">
        <x:v>Nov 2024</x:v>
      </x:c>
      <x:c r="C45" s="117" t="str">
        <x:v>Crédito Pessoal</x:v>
      </x:c>
      <x:c r="D45" s="120" t="n">
        <x:v>0</x:v>
      </x:c>
    </x:row>
    <x:row r="46">
      <x:c r="A46" s="117" t="str">
        <x:v>Agro, Indústria e Comércio</x:v>
      </x:c>
      <x:c r="B46" s="117" t="str">
        <x:v>Nov 2024</x:v>
      </x:c>
      <x:c r="C46" s="117" t="str">
        <x:v>Fomento Mercantil</x:v>
      </x:c>
      <x:c r="D46" s="120" t="n">
        <x:v>0</x:v>
      </x:c>
    </x:row>
    <x:row r="47">
      <x:c r="A47" s="117" t="str">
        <x:v>Agro, Indústria e Comércio</x:v>
      </x:c>
      <x:c r="B47" s="117" t="str">
        <x:v>Nov 2024</x:v>
      </x:c>
      <x:c r="C47" s="117" t="str">
        <x:v>Infraestrutura</x:v>
      </x:c>
      <x:c r="D47" s="120" t="n">
        <x:v>3606828538.349999</x:v>
      </x:c>
    </x:row>
    <x:row r="48">
      <x:c r="A48" s="117" t="str">
        <x:v>Agro, Indústria e Comércio</x:v>
      </x:c>
      <x:c r="B48" s="117" t="str">
        <x:v>Nov 2024</x:v>
      </x:c>
      <x:c r="C48" s="117" t="str">
        <x:v>Multicarteira Agro, Indústria e Comércio</x:v>
      </x:c>
      <x:c r="D48" s="120" t="n">
        <x:v>8336162401.1100025</x:v>
      </x:c>
    </x:row>
    <x:row r="49">
      <x:c r="A49" s="117" t="str">
        <x:v>Agro, Indústria e Comércio</x:v>
      </x:c>
      <x:c r="B49" s="117" t="str">
        <x:v>Nov 2024</x:v>
      </x:c>
      <x:c r="C49" s="117" t="str">
        <x:v>Multicarteira Outros</x:v>
      </x:c>
      <x:c r="D49" s="120" t="n">
        <x:v>110710072.58999999</x:v>
      </x:c>
    </x:row>
    <x:row r="50">
      <x:c r="A50" s="117" t="str">
        <x:v>Agro, Indústria e Comércio</x:v>
      </x:c>
      <x:c r="B50" s="117" t="str">
        <x:v>Nov 2024</x:v>
      </x:c>
      <x:c r="C50" s="117" t="str">
        <x:v>Multiestratégia</x:v>
      </x:c>
      <x:c r="D50" s="120" t="n">
        <x:v>0</x:v>
      </x:c>
    </x:row>
    <x:row r="51">
      <x:c r="A51" s="117" t="str">
        <x:v>Agro, Indústria e Comércio</x:v>
      </x:c>
      <x:c r="B51" s="117" t="str">
        <x:v>Nov 2024</x:v>
      </x:c>
      <x:c r="C51" s="117" t="str">
        <x:v>Não se aplica</x:v>
      </x:c>
      <x:c r="D51" s="120" t="n">
        <x:v>3433723522.9400005</x:v>
      </x:c>
    </x:row>
    <x:row r="52">
      <x:c r="A52" s="117" t="str">
        <x:v>Agro, Indústria e Comércio</x:v>
      </x:c>
      <x:c r="B52" s="117" t="str">
        <x:v>Nov 2024</x:v>
      </x:c>
      <x:c r="C52" s="117" t="str">
        <x:v>Recebíveis Comerciais</x:v>
      </x:c>
      <x:c r="D52" s="120" t="n">
        <x:v>128351441222.08989</x:v>
      </x:c>
    </x:row>
    <x:row r="53">
      <x:c r="A53" s="117" t="str">
        <x:v>Financeiro</x:v>
      </x:c>
      <x:c r="B53" s="117" t="str">
        <x:v>Nov 2024</x:v>
      </x:c>
      <x:c r="C53" s="117" t="str">
        <x:v>Crédito Consignado</x:v>
      </x:c>
      <x:c r="D53" s="120" t="n">
        <x:v>17537759952.309986</x:v>
      </x:c>
    </x:row>
    <x:row r="54">
      <x:c r="A54" s="117" t="str">
        <x:v>Financeiro</x:v>
      </x:c>
      <x:c r="B54" s="117" t="str">
        <x:v>Nov 2024</x:v>
      </x:c>
      <x:c r="C54" s="117" t="str">
        <x:v>Crédito Imobiliário</x:v>
      </x:c>
      <x:c r="D54" s="120" t="n">
        <x:v>3238183301.27</x:v>
      </x:c>
    </x:row>
    <x:row r="55">
      <x:c r="A55" s="117" t="str">
        <x:v>Financeiro</x:v>
      </x:c>
      <x:c r="B55" s="117" t="str">
        <x:v>Nov 2024</x:v>
      </x:c>
      <x:c r="C55" s="117" t="str">
        <x:v>Crédito Pessoal</x:v>
      </x:c>
      <x:c r="D55" s="120" t="n">
        <x:v>75045961781.83005</x:v>
      </x:c>
    </x:row>
    <x:row r="56">
      <x:c r="A56" s="117" t="str">
        <x:v>Financeiro</x:v>
      </x:c>
      <x:c r="B56" s="117" t="str">
        <x:v>Nov 2024</x:v>
      </x:c>
      <x:c r="C56" s="117" t="str">
        <x:v>Financiamento de Veículos</x:v>
      </x:c>
      <x:c r="D56" s="120" t="n">
        <x:v>5569091779.900322</x:v>
      </x:c>
    </x:row>
    <x:row r="57">
      <x:c r="A57" s="117" t="str">
        <x:v>Financeiro</x:v>
      </x:c>
      <x:c r="B57" s="117" t="str">
        <x:v>Nov 2024</x:v>
      </x:c>
      <x:c r="C57" s="117" t="str">
        <x:v>Fomento Mercantil</x:v>
      </x:c>
      <x:c r="D57" s="120" t="n">
        <x:v>0</x:v>
      </x:c>
    </x:row>
    <x:row r="58">
      <x:c r="A58" s="117" t="str">
        <x:v>Financeiro</x:v>
      </x:c>
      <x:c r="B58" s="117" t="str">
        <x:v>Nov 2024</x:v>
      </x:c>
      <x:c r="C58" s="117" t="str">
        <x:v>Multicarteira Agro, Indústria e Comércio</x:v>
      </x:c>
      <x:c r="D58" s="120" t="n">
        <x:v>0</x:v>
      </x:c>
    </x:row>
    <x:row r="59">
      <x:c r="A59" s="117" t="str">
        <x:v>Financeiro</x:v>
      </x:c>
      <x:c r="B59" s="117" t="str">
        <x:v>Nov 2024</x:v>
      </x:c>
      <x:c r="C59" s="117" t="str">
        <x:v>Multicarteira Financeiro</x:v>
      </x:c>
      <x:c r="D59" s="120" t="n">
        <x:v>34181801148.059998</x:v>
      </x:c>
    </x:row>
    <x:row r="60">
      <x:c r="A60" s="117" t="str">
        <x:v>Financeiro</x:v>
      </x:c>
      <x:c r="B60" s="117" t="str">
        <x:v>Nov 2024</x:v>
      </x:c>
      <x:c r="C60" s="117" t="str">
        <x:v>Multicarteira Outros</x:v>
      </x:c>
      <x:c r="D60" s="120" t="n">
        <x:v>314575290.79</x:v>
      </x:c>
    </x:row>
    <x:row r="61">
      <x:c r="A61" s="117" t="str">
        <x:v>Financeiro</x:v>
      </x:c>
      <x:c r="B61" s="117" t="str">
        <x:v>Nov 2024</x:v>
      </x:c>
      <x:c r="C61" s="117" t="str">
        <x:v>Não se aplica</x:v>
      </x:c>
      <x:c r="D61" s="120" t="n">
        <x:v>161694101.42</x:v>
      </x:c>
    </x:row>
    <x:row r="62">
      <x:c r="A62" s="117" t="str">
        <x:v>Financeiro</x:v>
      </x:c>
      <x:c r="B62" s="117" t="str">
        <x:v>Nov 2024</x:v>
      </x:c>
      <x:c r="C62" s="117" t="str">
        <x:v>Poder Público</x:v>
      </x:c>
      <x:c r="D62" s="120" t="n">
        <x:v>0</x:v>
      </x:c>
    </x:row>
    <x:row r="63">
      <x:c r="A63" s="117" t="str">
        <x:v>Financeiro</x:v>
      </x:c>
      <x:c r="B63" s="117" t="str">
        <x:v>Nov 2024</x:v>
      </x:c>
      <x:c r="C63" s="117" t="str">
        <x:v>Recebíveis Comerciais</x:v>
      </x:c>
      <x:c r="D63" s="120" t="n">
        <x:v>0</x:v>
      </x:c>
    </x:row>
    <x:row r="64">
      <x:c r="A64" s="117" t="str">
        <x:v>Fomento Mercantil</x:v>
      </x:c>
      <x:c r="B64" s="117" t="str">
        <x:v>Nov 2024</x:v>
      </x:c>
      <x:c r="C64" s="117" t="str">
        <x:v>Crédito Consignado</x:v>
      </x:c>
      <x:c r="D64" s="120" t="n">
        <x:v>139552588.51999998</x:v>
      </x:c>
    </x:row>
    <x:row r="65">
      <x:c r="A65" s="117" t="str">
        <x:v>Fomento Mercantil</x:v>
      </x:c>
      <x:c r="B65" s="117" t="str">
        <x:v>Nov 2024</x:v>
      </x:c>
      <x:c r="C65" s="117" t="str">
        <x:v>Fomento Mercantil</x:v>
      </x:c>
      <x:c r="D65" s="120" t="n">
        <x:v>54235575855.569855</x:v>
      </x:c>
    </x:row>
    <x:row r="66">
      <x:c r="A66" s="117" t="str">
        <x:v>Fomento Mercantil</x:v>
      </x:c>
      <x:c r="B66" s="117" t="str">
        <x:v>Nov 2024</x:v>
      </x:c>
      <x:c r="C66" s="117" t="str">
        <x:v>Multicarteira Agro, Indústria e Comércio</x:v>
      </x:c>
      <x:c r="D66" s="120" t="n">
        <x:v>597874316.34</x:v>
      </x:c>
    </x:row>
    <x:row r="67">
      <x:c r="A67" s="117" t="str">
        <x:v>Fomento Mercantil</x:v>
      </x:c>
      <x:c r="B67" s="117" t="str">
        <x:v>Nov 2024</x:v>
      </x:c>
      <x:c r="C67" s="117" t="str">
        <x:v>Multicarteira Outros</x:v>
      </x:c>
      <x:c r="D67" s="120" t="n">
        <x:v>796556859.7499999</x:v>
      </x:c>
    </x:row>
    <x:row r="68">
      <x:c r="A68" s="117" t="str">
        <x:v>Fomento Mercantil</x:v>
      </x:c>
      <x:c r="B68" s="117" t="str">
        <x:v>Nov 2024</x:v>
      </x:c>
      <x:c r="C68" s="117" t="str">
        <x:v>Não se aplica</x:v>
      </x:c>
      <x:c r="D68" s="120" t="n">
        <x:v>42491.39</x:v>
      </x:c>
    </x:row>
    <x:row r="69">
      <x:c r="A69" s="117" t="str">
        <x:v>Fomento Mercantil</x:v>
      </x:c>
      <x:c r="B69" s="117" t="str">
        <x:v>Nov 2024</x:v>
      </x:c>
      <x:c r="C69" s="117" t="str">
        <x:v>Poder Público</x:v>
      </x:c>
      <x:c r="D69" s="120" t="n">
        <x:v>17848192.82</x:v>
      </x:c>
    </x:row>
    <x:row r="70">
      <x:c r="A70" s="117" t="str">
        <x:v>Fomento Mercantil</x:v>
      </x:c>
      <x:c r="B70" s="117" t="str">
        <x:v>Nov 2024</x:v>
      </x:c>
      <x:c r="C70" s="117" t="str">
        <x:v>Recebíveis Comerciais</x:v>
      </x:c>
      <x:c r="D70" s="120" t="n">
        <x:v>11069158.81</x:v>
      </x:c>
    </x:row>
    <x:row r="71">
      <x:c r="A71" s="117" t="str">
        <x:v>Outros</x:v>
      </x:c>
      <x:c r="B71" s="117" t="str">
        <x:v>Nov 2024</x:v>
      </x:c>
      <x:c r="C71" s="117" t="str">
        <x:v>Crédito Consignado</x:v>
      </x:c>
      <x:c r="D71" s="120" t="n">
        <x:v>0</x:v>
      </x:c>
    </x:row>
    <x:row r="72">
      <x:c r="A72" s="117" t="str">
        <x:v>Outros</x:v>
      </x:c>
      <x:c r="B72" s="117" t="str">
        <x:v>Nov 2024</x:v>
      </x:c>
      <x:c r="C72" s="117" t="str">
        <x:v>Crédito Pessoal</x:v>
      </x:c>
      <x:c r="D72" s="120" t="n">
        <x:v>601727781.4699999</x:v>
      </x:c>
    </x:row>
    <x:row r="73">
      <x:c r="A73" s="117" t="str">
        <x:v>Outros</x:v>
      </x:c>
      <x:c r="B73" s="117" t="str">
        <x:v>Nov 2024</x:v>
      </x:c>
      <x:c r="C73" s="117" t="str">
        <x:v>Fomento Mercantil</x:v>
      </x:c>
      <x:c r="D73" s="120" t="n">
        <x:v>2679358822.0299993</x:v>
      </x:c>
    </x:row>
    <x:row r="74">
      <x:c r="A74" s="117" t="str">
        <x:v>Outros</x:v>
      </x:c>
      <x:c r="B74" s="117" t="str">
        <x:v>Nov 2024</x:v>
      </x:c>
      <x:c r="C74" s="117" t="str">
        <x:v>Infraestrutura</x:v>
      </x:c>
      <x:c r="D74" s="120" t="n">
        <x:v>0</x:v>
      </x:c>
    </x:row>
    <x:row r="75">
      <x:c r="A75" s="117" t="str">
        <x:v>Outros</x:v>
      </x:c>
      <x:c r="B75" s="117" t="str">
        <x:v>Nov 2024</x:v>
      </x:c>
      <x:c r="C75" s="117" t="str">
        <x:v>Multicarteira Agro, Indústria e Comércio</x:v>
      </x:c>
      <x:c r="D75" s="120" t="n">
        <x:v>999635923.1</x:v>
      </x:c>
    </x:row>
    <x:row r="76">
      <x:c r="A76" s="117" t="str">
        <x:v>Outros</x:v>
      </x:c>
      <x:c r="B76" s="117" t="str">
        <x:v>Nov 2024</x:v>
      </x:c>
      <x:c r="C76" s="117" t="str">
        <x:v>Multicarteira Outros</x:v>
      </x:c>
      <x:c r="D76" s="120" t="n">
        <x:v>156026307284.65253</x:v>
      </x:c>
    </x:row>
    <x:row r="77">
      <x:c r="A77" s="117" t="str">
        <x:v>Outros</x:v>
      </x:c>
      <x:c r="B77" s="117" t="str">
        <x:v>Nov 2024</x:v>
      </x:c>
      <x:c r="C77" s="117" t="str">
        <x:v>Multicategoria</x:v>
      </x:c>
      <x:c r="D77" s="120" t="n">
        <x:v>54739366.449999996</x:v>
      </x:c>
    </x:row>
    <x:row r="78">
      <x:c r="A78" s="117" t="str">
        <x:v>Outros</x:v>
      </x:c>
      <x:c r="B78" s="117" t="str">
        <x:v>Nov 2024</x:v>
      </x:c>
      <x:c r="C78" s="117" t="str">
        <x:v>Multiestratégia</x:v>
      </x:c>
      <x:c r="D78" s="120" t="n">
        <x:v>6064262.89</x:v>
      </x:c>
    </x:row>
    <x:row r="79">
      <x:c r="A79" s="117" t="str">
        <x:v>Outros</x:v>
      </x:c>
      <x:c r="B79" s="117" t="str">
        <x:v>Nov 2024</x:v>
      </x:c>
      <x:c r="C79" s="117" t="str">
        <x:v>Não se aplica</x:v>
      </x:c>
      <x:c r="D79" s="120" t="n">
        <x:v>1569736929.57</x:v>
      </x:c>
    </x:row>
    <x:row r="80">
      <x:c r="A80" s="117" t="str">
        <x:v>Outros</x:v>
      </x:c>
      <x:c r="B80" s="117" t="str">
        <x:v>Nov 2024</x:v>
      </x:c>
      <x:c r="C80" s="117" t="str">
        <x:v>Poder Público</x:v>
      </x:c>
      <x:c r="D80" s="120" t="n">
        <x:v>33658651531.660004</x:v>
      </x:c>
    </x:row>
    <x:row r="81">
      <x:c r="A81" s="117" t="str">
        <x:v>Outros</x:v>
      </x:c>
      <x:c r="B81" s="117" t="str">
        <x:v>Nov 2024</x:v>
      </x:c>
      <x:c r="C81" s="117" t="str">
        <x:v>Recebíveis Comerciais</x:v>
      </x:c>
      <x:c r="D81" s="120" t="n">
        <x:v>33909931.45</x:v>
      </x:c>
    </x:row>
    <x:row r="82">
      <x:c r="A82" s="117" t="str">
        <x:v>Outros</x:v>
      </x:c>
      <x:c r="B82" s="117" t="str">
        <x:v>Nov 2024</x:v>
      </x:c>
      <x:c r="C82" s="117" t="str">
        <x:v>Recuperação</x:v>
      </x:c>
      <x:c r="D82" s="120" t="n">
        <x:v>5003938612.87</x:v>
      </x:c>
    </x:row>
    <x:row r="83">
      <x:c r="A83" s="117" t="str">
        <x:v>Agro, Indústria e Comércio</x:v>
      </x:c>
      <x:c r="B83" s="117" t="str">
        <x:v>Dez 2024</x:v>
      </x:c>
      <x:c r="C83" s="117" t="str">
        <x:v>Agronegócio</x:v>
      </x:c>
      <x:c r="D83" s="120" t="n">
        <x:v>13462915137.16</x:v>
      </x:c>
    </x:row>
    <x:row r="84">
      <x:c r="A84" s="117" t="str">
        <x:v>Agro, Indústria e Comércio</x:v>
      </x:c>
      <x:c r="B84" s="117" t="str">
        <x:v>Dez 2024</x:v>
      </x:c>
      <x:c r="C84" s="117" t="str">
        <x:v>Crédito Corporativo</x:v>
      </x:c>
      <x:c r="D84" s="120" t="n">
        <x:v>3999026460.1900015</x:v>
      </x:c>
    </x:row>
    <x:row r="85">
      <x:c r="A85" s="117" t="str">
        <x:v>Agro, Indústria e Comércio</x:v>
      </x:c>
      <x:c r="B85" s="117" t="str">
        <x:v>Dez 2024</x:v>
      </x:c>
      <x:c r="C85" s="117" t="str">
        <x:v>Infraestrutura</x:v>
      </x:c>
      <x:c r="D85" s="120" t="n">
        <x:v>3866304900.03</x:v>
      </x:c>
    </x:row>
    <x:row r="86">
      <x:c r="A86" s="117" t="str">
        <x:v>Agro, Indústria e Comércio</x:v>
      </x:c>
      <x:c r="B86" s="117" t="str">
        <x:v>Dez 2024</x:v>
      </x:c>
      <x:c r="C86" s="117" t="str">
        <x:v>Multicarteira Agro, Indústria e Comércio</x:v>
      </x:c>
      <x:c r="D86" s="120" t="n">
        <x:v>9642356674.680002</x:v>
      </x:c>
    </x:row>
    <x:row r="87">
      <x:c r="A87" s="117" t="str">
        <x:v>Agro, Indústria e Comércio</x:v>
      </x:c>
      <x:c r="B87" s="117" t="str">
        <x:v>Dez 2024</x:v>
      </x:c>
      <x:c r="C87" s="117" t="str">
        <x:v>Multicarteira Outros</x:v>
      </x:c>
      <x:c r="D87" s="120" t="n">
        <x:v>111942180.51</x:v>
      </x:c>
    </x:row>
    <x:row r="88">
      <x:c r="A88" s="117" t="str">
        <x:v>Agro, Indústria e Comércio</x:v>
      </x:c>
      <x:c r="B88" s="117" t="str">
        <x:v>Dez 2024</x:v>
      </x:c>
      <x:c r="C88" s="117" t="str">
        <x:v>Multiestratégia</x:v>
      </x:c>
      <x:c r="D88" s="120" t="n">
        <x:v>0</x:v>
      </x:c>
    </x:row>
    <x:row r="89">
      <x:c r="A89" s="117" t="str">
        <x:v>Agro, Indústria e Comércio</x:v>
      </x:c>
      <x:c r="B89" s="117" t="str">
        <x:v>Dez 2024</x:v>
      </x:c>
      <x:c r="C89" s="117" t="str">
        <x:v>Não se aplica</x:v>
      </x:c>
      <x:c r="D89" s="120" t="n">
        <x:v>4445654979.129999</x:v>
      </x:c>
    </x:row>
    <x:row r="90">
      <x:c r="A90" s="117" t="str">
        <x:v>Agro, Indústria e Comércio</x:v>
      </x:c>
      <x:c r="B90" s="117" t="str">
        <x:v>Dez 2024</x:v>
      </x:c>
      <x:c r="C90" s="117" t="str">
        <x:v>Recebíveis Comerciais</x:v>
      </x:c>
      <x:c r="D90" s="120" t="n">
        <x:v>126640808906.45004</x:v>
      </x:c>
    </x:row>
    <x:row r="91">
      <x:c r="A91" s="117" t="str">
        <x:v>Financeiro</x:v>
      </x:c>
      <x:c r="B91" s="117" t="str">
        <x:v>Dez 2024</x:v>
      </x:c>
      <x:c r="C91" s="117" t="str">
        <x:v>Crédito Consignado</x:v>
      </x:c>
      <x:c r="D91" s="120" t="n">
        <x:v>18057160325.479996</x:v>
      </x:c>
    </x:row>
    <x:row r="92">
      <x:c r="A92" s="117" t="str">
        <x:v>Financeiro</x:v>
      </x:c>
      <x:c r="B92" s="117" t="str">
        <x:v>Dez 2024</x:v>
      </x:c>
      <x:c r="C92" s="117" t="str">
        <x:v>Crédito Imobiliário</x:v>
      </x:c>
      <x:c r="D92" s="120" t="n">
        <x:v>3291616630.3</x:v>
      </x:c>
    </x:row>
    <x:row r="93">
      <x:c r="A93" s="117" t="str">
        <x:v>Financeiro</x:v>
      </x:c>
      <x:c r="B93" s="117" t="str">
        <x:v>Dez 2024</x:v>
      </x:c>
      <x:c r="C93" s="117" t="str">
        <x:v>Crédito Pessoal</x:v>
      </x:c>
      <x:c r="D93" s="120" t="n">
        <x:v>76749989833.70996</x:v>
      </x:c>
    </x:row>
    <x:row r="94">
      <x:c r="A94" s="117" t="str">
        <x:v>Financeiro</x:v>
      </x:c>
      <x:c r="B94" s="117" t="str">
        <x:v>Dez 2024</x:v>
      </x:c>
      <x:c r="C94" s="117" t="str">
        <x:v>Financiamento de Veículos</x:v>
      </x:c>
      <x:c r="D94" s="120" t="n">
        <x:v>6243278737.02</x:v>
      </x:c>
    </x:row>
    <x:row r="95">
      <x:c r="A95" s="117" t="str">
        <x:v>Financeiro</x:v>
      </x:c>
      <x:c r="B95" s="117" t="str">
        <x:v>Dez 2024</x:v>
      </x:c>
      <x:c r="C95" s="117" t="str">
        <x:v>Multicarteira Financeiro</x:v>
      </x:c>
      <x:c r="D95" s="120" t="n">
        <x:v>35679659701.38</x:v>
      </x:c>
    </x:row>
    <x:row r="96">
      <x:c r="A96" s="117" t="str">
        <x:v>Financeiro</x:v>
      </x:c>
      <x:c r="B96" s="117" t="str">
        <x:v>Dez 2024</x:v>
      </x:c>
      <x:c r="C96" s="117" t="str">
        <x:v>Multicarteira Outros</x:v>
      </x:c>
      <x:c r="D96" s="120" t="n">
        <x:v>81178655.88000001</x:v>
      </x:c>
    </x:row>
    <x:row r="97">
      <x:c r="A97" s="117" t="str">
        <x:v>Financeiro</x:v>
      </x:c>
      <x:c r="B97" s="117" t="str">
        <x:v>Dez 2024</x:v>
      </x:c>
      <x:c r="C97" s="117" t="str">
        <x:v>Não se aplica</x:v>
      </x:c>
      <x:c r="D97" s="120" t="n">
        <x:v>129335611.17999999</x:v>
      </x:c>
    </x:row>
    <x:row r="98">
      <x:c r="A98" s="117" t="str">
        <x:v>Fomento Mercantil</x:v>
      </x:c>
      <x:c r="B98" s="117" t="str">
        <x:v>Dez 2024</x:v>
      </x:c>
      <x:c r="C98" s="117" t="str">
        <x:v>Crédito Consignado</x:v>
      </x:c>
      <x:c r="D98" s="120" t="n">
        <x:v>62050468.56</x:v>
      </x:c>
    </x:row>
    <x:row r="99">
      <x:c r="A99" s="117" t="str">
        <x:v>Fomento Mercantil</x:v>
      </x:c>
      <x:c r="B99" s="117" t="str">
        <x:v>Dez 2024</x:v>
      </x:c>
      <x:c r="C99" s="117" t="str">
        <x:v>Fomento Mercantil</x:v>
      </x:c>
      <x:c r="D99" s="120" t="n">
        <x:v>54966501811.19011</x:v>
      </x:c>
    </x:row>
    <x:row r="100">
      <x:c r="A100" s="117" t="str">
        <x:v>Fomento Mercantil</x:v>
      </x:c>
      <x:c r="B100" s="117" t="str">
        <x:v>Dez 2024</x:v>
      </x:c>
      <x:c r="C100" s="117" t="str">
        <x:v>Multicarteira Agro, Indústria e Comércio</x:v>
      </x:c>
      <x:c r="D100" s="120" t="n">
        <x:v>614044949.36</x:v>
      </x:c>
    </x:row>
    <x:row r="101">
      <x:c r="A101" s="117" t="str">
        <x:v>Fomento Mercantil</x:v>
      </x:c>
      <x:c r="B101" s="117" t="str">
        <x:v>Dez 2024</x:v>
      </x:c>
      <x:c r="C101" s="117" t="str">
        <x:v>Multicarteira Outros</x:v>
      </x:c>
      <x:c r="D101" s="120" t="n">
        <x:v>1130753749.71</x:v>
      </x:c>
    </x:row>
    <x:row r="102">
      <x:c r="A102" s="117" t="str">
        <x:v>Fomento Mercantil</x:v>
      </x:c>
      <x:c r="B102" s="117" t="str">
        <x:v>Dez 2024</x:v>
      </x:c>
      <x:c r="C102" s="117" t="str">
        <x:v>Não se aplica</x:v>
      </x:c>
      <x:c r="D102" s="120" t="n">
        <x:v>15139.34</x:v>
      </x:c>
    </x:row>
    <x:row r="103">
      <x:c r="A103" s="117" t="str">
        <x:v>Fomento Mercantil</x:v>
      </x:c>
      <x:c r="B103" s="117" t="str">
        <x:v>Dez 2024</x:v>
      </x:c>
      <x:c r="C103" s="117" t="str">
        <x:v>Poder Público</x:v>
      </x:c>
      <x:c r="D103" s="120" t="n">
        <x:v>18996593.77</x:v>
      </x:c>
    </x:row>
    <x:row r="104">
      <x:c r="A104" s="117" t="str">
        <x:v>Fomento Mercantil</x:v>
      </x:c>
      <x:c r="B104" s="117" t="str">
        <x:v>Dez 2024</x:v>
      </x:c>
      <x:c r="C104" s="117" t="str">
        <x:v>Recebíveis Comerciais</x:v>
      </x:c>
      <x:c r="D104" s="120" t="n">
        <x:v>11560987.61</x:v>
      </x:c>
    </x:row>
    <x:row r="105">
      <x:c r="A105" s="117" t="str">
        <x:v>Outros</x:v>
      </x:c>
      <x:c r="B105" s="117" t="str">
        <x:v>Dez 2024</x:v>
      </x:c>
      <x:c r="C105" s="117" t="str">
        <x:v>Crédito Consignado</x:v>
      </x:c>
      <x:c r="D105" s="120" t="n">
        <x:v>0</x:v>
      </x:c>
    </x:row>
    <x:row r="106">
      <x:c r="A106" s="117" t="str">
        <x:v>Outros</x:v>
      </x:c>
      <x:c r="B106" s="117" t="str">
        <x:v>Dez 2024</x:v>
      </x:c>
      <x:c r="C106" s="117" t="str">
        <x:v>Crédito Pessoal</x:v>
      </x:c>
      <x:c r="D106" s="120" t="n">
        <x:v>727735343.8800001</x:v>
      </x:c>
    </x:row>
    <x:row r="107">
      <x:c r="A107" s="117" t="str">
        <x:v>Outros</x:v>
      </x:c>
      <x:c r="B107" s="117" t="str">
        <x:v>Dez 2024</x:v>
      </x:c>
      <x:c r="C107" s="117" t="str">
        <x:v>Fomento Mercantil</x:v>
      </x:c>
      <x:c r="D107" s="120" t="n">
        <x:v>2518739549.85</x:v>
      </x:c>
    </x:row>
    <x:row r="108">
      <x:c r="A108" s="117" t="str">
        <x:v>Outros</x:v>
      </x:c>
      <x:c r="B108" s="117" t="str">
        <x:v>Dez 2024</x:v>
      </x:c>
      <x:c r="C108" s="117" t="str">
        <x:v>Multicarteira Agro, Indústria e Comércio</x:v>
      </x:c>
      <x:c r="D108" s="120" t="n">
        <x:v>1145354974.57</x:v>
      </x:c>
    </x:row>
    <x:row r="109">
      <x:c r="A109" s="117" t="str">
        <x:v>Outros</x:v>
      </x:c>
      <x:c r="B109" s="117" t="str">
        <x:v>Dez 2024</x:v>
      </x:c>
      <x:c r="C109" s="117" t="str">
        <x:v>Multicarteira Outros</x:v>
      </x:c>
      <x:c r="D109" s="120" t="n">
        <x:v>182744104494.31006</x:v>
      </x:c>
    </x:row>
    <x:row r="110">
      <x:c r="A110" s="117" t="str">
        <x:v>Outros</x:v>
      </x:c>
      <x:c r="B110" s="117" t="str">
        <x:v>Dez 2024</x:v>
      </x:c>
      <x:c r="C110" s="117" t="str">
        <x:v>Multicategoria</x:v>
      </x:c>
      <x:c r="D110" s="120" t="n">
        <x:v>54499299.68</x:v>
      </x:c>
    </x:row>
    <x:row r="111">
      <x:c r="A111" s="117" t="str">
        <x:v>Outros</x:v>
      </x:c>
      <x:c r="B111" s="117" t="str">
        <x:v>Dez 2024</x:v>
      </x:c>
      <x:c r="C111" s="117" t="str">
        <x:v>Multiestratégia</x:v>
      </x:c>
      <x:c r="D111" s="120" t="n">
        <x:v>6427818.779999999</x:v>
      </x:c>
    </x:row>
    <x:row r="112">
      <x:c r="A112" s="117" t="str">
        <x:v>Outros</x:v>
      </x:c>
      <x:c r="B112" s="117" t="str">
        <x:v>Dez 2024</x:v>
      </x:c>
      <x:c r="C112" s="117" t="str">
        <x:v>Não se aplica</x:v>
      </x:c>
      <x:c r="D112" s="120" t="n">
        <x:v>1655129429.0000002</x:v>
      </x:c>
    </x:row>
    <x:row r="113">
      <x:c r="A113" s="117" t="str">
        <x:v>Outros</x:v>
      </x:c>
      <x:c r="B113" s="117" t="str">
        <x:v>Dez 2024</x:v>
      </x:c>
      <x:c r="C113" s="117" t="str">
        <x:v>Poder Público</x:v>
      </x:c>
      <x:c r="D113" s="120" t="n">
        <x:v>33817067876.669987</x:v>
      </x:c>
    </x:row>
    <x:row r="114">
      <x:c r="A114" s="117" t="str">
        <x:v>Outros</x:v>
      </x:c>
      <x:c r="B114" s="117" t="str">
        <x:v>Dez 2024</x:v>
      </x:c>
      <x:c r="C114" s="117" t="str">
        <x:v>Recebíveis Comerciais</x:v>
      </x:c>
      <x:c r="D114" s="120" t="n">
        <x:v>32207238.560000002</x:v>
      </x:c>
    </x:row>
    <x:row r="115">
      <x:c r="A115" s="117" t="str">
        <x:v>Outros</x:v>
      </x:c>
      <x:c r="B115" s="117" t="str">
        <x:v>Dez 2024</x:v>
      </x:c>
      <x:c r="C115" s="117" t="str">
        <x:v>Recuperação</x:v>
      </x:c>
      <x:c r="D115" s="120" t="n">
        <x:v>5178735610.280004</x:v>
      </x:c>
    </x:row>
    <x:row r="116">
      <x:c r="A116" s="117" t="str">
        <x:v>Agro, Indústria e Comércio</x:v>
      </x:c>
      <x:c r="B116" s="117" t="str">
        <x:v>Jan 2025</x:v>
      </x:c>
      <x:c r="C116" s="117" t="str">
        <x:v>Agronegócio</x:v>
      </x:c>
      <x:c r="D116" s="120" t="n">
        <x:v>13787122796.870003</x:v>
      </x:c>
    </x:row>
    <x:row r="117">
      <x:c r="A117" s="117" t="str">
        <x:v>Agro, Indústria e Comércio</x:v>
      </x:c>
      <x:c r="B117" s="117" t="str">
        <x:v>Jan 2025</x:v>
      </x:c>
      <x:c r="C117" s="117" t="str">
        <x:v>Crédito Corporativo</x:v>
      </x:c>
      <x:c r="D117" s="120" t="n">
        <x:v>3878372574.78</x:v>
      </x:c>
    </x:row>
    <x:row r="118">
      <x:c r="A118" s="117" t="str">
        <x:v>Agro, Indústria e Comércio</x:v>
      </x:c>
      <x:c r="B118" s="117" t="str">
        <x:v>Jan 2025</x:v>
      </x:c>
      <x:c r="C118" s="117" t="str">
        <x:v>Infraestrutura</x:v>
      </x:c>
      <x:c r="D118" s="120" t="n">
        <x:v>3956575242.7999997</x:v>
      </x:c>
    </x:row>
    <x:row r="119">
      <x:c r="A119" s="117" t="str">
        <x:v>Agro, Indústria e Comércio</x:v>
      </x:c>
      <x:c r="B119" s="117" t="str">
        <x:v>Jan 2025</x:v>
      </x:c>
      <x:c r="C119" s="117" t="str">
        <x:v>Multicarteira Agro, Indústria e Comércio</x:v>
      </x:c>
      <x:c r="D119" s="120" t="n">
        <x:v>10190123235.449995</x:v>
      </x:c>
    </x:row>
    <x:row r="120">
      <x:c r="A120" s="117" t="str">
        <x:v>Agro, Indústria e Comércio</x:v>
      </x:c>
      <x:c r="B120" s="117" t="str">
        <x:v>Jan 2025</x:v>
      </x:c>
      <x:c r="C120" s="117" t="str">
        <x:v>Multicarteira Outros</x:v>
      </x:c>
      <x:c r="D120" s="120" t="n">
        <x:v>111386658.11</x:v>
      </x:c>
    </x:row>
    <x:row r="121">
      <x:c r="A121" s="117" t="str">
        <x:v>Agro, Indústria e Comércio</x:v>
      </x:c>
      <x:c r="B121" s="117" t="str">
        <x:v>Jan 2025</x:v>
      </x:c>
      <x:c r="C121" s="117" t="str">
        <x:v>Multiestratégia</x:v>
      </x:c>
      <x:c r="D121" s="120" t="n">
        <x:v>0</x:v>
      </x:c>
    </x:row>
    <x:row r="122">
      <x:c r="A122" s="117" t="str">
        <x:v>Agro, Indústria e Comércio</x:v>
      </x:c>
      <x:c r="B122" s="117" t="str">
        <x:v>Jan 2025</x:v>
      </x:c>
      <x:c r="C122" s="117" t="str">
        <x:v>Não se aplica</x:v>
      </x:c>
      <x:c r="D122" s="120" t="n">
        <x:v>5039079688.439999</x:v>
      </x:c>
    </x:row>
    <x:row r="123">
      <x:c r="A123" s="117" t="str">
        <x:v>Agro, Indústria e Comércio</x:v>
      </x:c>
      <x:c r="B123" s="117" t="str">
        <x:v>Jan 2025</x:v>
      </x:c>
      <x:c r="C123" s="117" t="str">
        <x:v>Recebíveis Comerciais</x:v>
      </x:c>
      <x:c r="D123" s="120" t="n">
        <x:v>120379139997.99088</x:v>
      </x:c>
    </x:row>
    <x:row r="124">
      <x:c r="A124" s="117" t="str">
        <x:v>Financeiro</x:v>
      </x:c>
      <x:c r="B124" s="117" t="str">
        <x:v>Jan 2025</x:v>
      </x:c>
      <x:c r="C124" s="117" t="str">
        <x:v>Crédito Consignado</x:v>
      </x:c>
      <x:c r="D124" s="120" t="n">
        <x:v>18457405509.309982</x:v>
      </x:c>
    </x:row>
    <x:row r="125">
      <x:c r="A125" s="117" t="str">
        <x:v>Financeiro</x:v>
      </x:c>
      <x:c r="B125" s="117" t="str">
        <x:v>Jan 2025</x:v>
      </x:c>
      <x:c r="C125" s="117" t="str">
        <x:v>Crédito Imobiliário</x:v>
      </x:c>
      <x:c r="D125" s="120" t="n">
        <x:v>3451097051.179999</x:v>
      </x:c>
    </x:row>
    <x:row r="126">
      <x:c r="A126" s="117" t="str">
        <x:v>Financeiro</x:v>
      </x:c>
      <x:c r="B126" s="117" t="str">
        <x:v>Jan 2025</x:v>
      </x:c>
      <x:c r="C126" s="117" t="str">
        <x:v>Crédito Pessoal</x:v>
      </x:c>
      <x:c r="D126" s="120" t="n">
        <x:v>79491314050.87996</x:v>
      </x:c>
    </x:row>
    <x:row r="127">
      <x:c r="A127" s="117" t="str">
        <x:v>Financeiro</x:v>
      </x:c>
      <x:c r="B127" s="117" t="str">
        <x:v>Jan 2025</x:v>
      </x:c>
      <x:c r="C127" s="117" t="str">
        <x:v>Financiamento de Veículos</x:v>
      </x:c>
      <x:c r="D127" s="120" t="n">
        <x:v>5348101670.279989</x:v>
      </x:c>
    </x:row>
    <x:row r="128">
      <x:c r="A128" s="117" t="str">
        <x:v>Financeiro</x:v>
      </x:c>
      <x:c r="B128" s="117" t="str">
        <x:v>Jan 2025</x:v>
      </x:c>
      <x:c r="C128" s="117" t="str">
        <x:v>Multicarteira Financeiro</x:v>
      </x:c>
      <x:c r="D128" s="120" t="n">
        <x:v>35595163789.91</x:v>
      </x:c>
    </x:row>
    <x:row r="129">
      <x:c r="A129" s="117" t="str">
        <x:v>Financeiro</x:v>
      </x:c>
      <x:c r="B129" s="117" t="str">
        <x:v>Jan 2025</x:v>
      </x:c>
      <x:c r="C129" s="117" t="str">
        <x:v>Multicarteira Outros</x:v>
      </x:c>
      <x:c r="D129" s="120" t="n">
        <x:v>84134355.32000001</x:v>
      </x:c>
    </x:row>
    <x:row r="130">
      <x:c r="A130" s="117" t="str">
        <x:v>Financeiro</x:v>
      </x:c>
      <x:c r="B130" s="117" t="str">
        <x:v>Jan 2025</x:v>
      </x:c>
      <x:c r="C130" s="117" t="str">
        <x:v>Não se aplica</x:v>
      </x:c>
      <x:c r="D130" s="120" t="n">
        <x:v>70957672.64</x:v>
      </x:c>
    </x:row>
    <x:row r="131">
      <x:c r="A131" s="117" t="str">
        <x:v>Fomento Mercantil</x:v>
      </x:c>
      <x:c r="B131" s="117" t="str">
        <x:v>Jan 2025</x:v>
      </x:c>
      <x:c r="C131" s="117" t="str">
        <x:v>Crédito Consignado</x:v>
      </x:c>
      <x:c r="D131" s="120" t="n">
        <x:v>99663227.89</x:v>
      </x:c>
    </x:row>
    <x:row r="132">
      <x:c r="A132" s="117" t="str">
        <x:v>Fomento Mercantil</x:v>
      </x:c>
      <x:c r="B132" s="117" t="str">
        <x:v>Jan 2025</x:v>
      </x:c>
      <x:c r="C132" s="117" t="str">
        <x:v>Fomento Mercantil</x:v>
      </x:c>
      <x:c r="D132" s="120" t="n">
        <x:v>57781721164.85001</x:v>
      </x:c>
    </x:row>
    <x:row r="133">
      <x:c r="A133" s="117" t="str">
        <x:v>Fomento Mercantil</x:v>
      </x:c>
      <x:c r="B133" s="117" t="str">
        <x:v>Jan 2025</x:v>
      </x:c>
      <x:c r="C133" s="117" t="str">
        <x:v>Multicarteira Agro, Indústria e Comércio</x:v>
      </x:c>
      <x:c r="D133" s="120" t="n">
        <x:v>615709700.75</x:v>
      </x:c>
    </x:row>
    <x:row r="134">
      <x:c r="A134" s="117" t="str">
        <x:v>Fomento Mercantil</x:v>
      </x:c>
      <x:c r="B134" s="117" t="str">
        <x:v>Jan 2025</x:v>
      </x:c>
      <x:c r="C134" s="117" t="str">
        <x:v>Multicarteira Outros</x:v>
      </x:c>
      <x:c r="D134" s="120" t="n">
        <x:v>1435483699.3300002</x:v>
      </x:c>
    </x:row>
    <x:row r="135">
      <x:c r="A135" s="117" t="str">
        <x:v>Fomento Mercantil</x:v>
      </x:c>
      <x:c r="B135" s="117" t="str">
        <x:v>Jan 2025</x:v>
      </x:c>
      <x:c r="C135" s="117" t="str">
        <x:v>Não se aplica</x:v>
      </x:c>
      <x:c r="D135" s="120" t="n">
        <x:v>539.21</x:v>
      </x:c>
    </x:row>
    <x:row r="136">
      <x:c r="A136" s="117" t="str">
        <x:v>Fomento Mercantil</x:v>
      </x:c>
      <x:c r="B136" s="117" t="str">
        <x:v>Jan 2025</x:v>
      </x:c>
      <x:c r="C136" s="117" t="str">
        <x:v>Poder Público</x:v>
      </x:c>
      <x:c r="D136" s="120" t="n">
        <x:v>19564094.41</x:v>
      </x:c>
    </x:row>
    <x:row r="137">
      <x:c r="A137" s="117" t="str">
        <x:v>Fomento Mercantil</x:v>
      </x:c>
      <x:c r="B137" s="117" t="str">
        <x:v>Jan 2025</x:v>
      </x:c>
      <x:c r="C137" s="117" t="str">
        <x:v>Recebíveis Comerciais</x:v>
      </x:c>
      <x:c r="D137" s="120" t="n">
        <x:v>13770050.719999999</x:v>
      </x:c>
    </x:row>
    <x:row r="138">
      <x:c r="A138" s="117" t="str">
        <x:v>Outros</x:v>
      </x:c>
      <x:c r="B138" s="117" t="str">
        <x:v>Jan 2025</x:v>
      </x:c>
      <x:c r="C138" s="117" t="str">
        <x:v>Crédito Consignado</x:v>
      </x:c>
      <x:c r="D138" s="120" t="n">
        <x:v>5435019.490000001</x:v>
      </x:c>
    </x:row>
    <x:row r="139">
      <x:c r="A139" s="117" t="str">
        <x:v>Outros</x:v>
      </x:c>
      <x:c r="B139" s="117" t="str">
        <x:v>Jan 2025</x:v>
      </x:c>
      <x:c r="C139" s="117" t="str">
        <x:v>Crédito Pessoal</x:v>
      </x:c>
      <x:c r="D139" s="120" t="n">
        <x:v>736991640.18</x:v>
      </x:c>
    </x:row>
    <x:row r="140">
      <x:c r="A140" s="117" t="str">
        <x:v>Outros</x:v>
      </x:c>
      <x:c r="B140" s="117" t="str">
        <x:v>Jan 2025</x:v>
      </x:c>
      <x:c r="C140" s="117" t="str">
        <x:v>Fomento Mercantil</x:v>
      </x:c>
      <x:c r="D140" s="120" t="n">
        <x:v>1837750765.2800004</x:v>
      </x:c>
    </x:row>
    <x:row r="141">
      <x:c r="A141" s="117" t="str">
        <x:v>Outros</x:v>
      </x:c>
      <x:c r="B141" s="117" t="str">
        <x:v>Jan 2025</x:v>
      </x:c>
      <x:c r="C141" s="117" t="str">
        <x:v>Multicarteira Agro, Indústria e Comércio</x:v>
      </x:c>
      <x:c r="D141" s="120" t="n">
        <x:v>1206601375.0200002</x:v>
      </x:c>
    </x:row>
    <x:row r="142">
      <x:c r="A142" s="117" t="str">
        <x:v>Outros</x:v>
      </x:c>
      <x:c r="B142" s="117" t="str">
        <x:v>Jan 2025</x:v>
      </x:c>
      <x:c r="C142" s="117" t="str">
        <x:v>Multicarteira Outros</x:v>
      </x:c>
      <x:c r="D142" s="120" t="n">
        <x:v>191612549551.5902</x:v>
      </x:c>
    </x:row>
    <x:row r="143">
      <x:c r="A143" s="117" t="str">
        <x:v>Outros</x:v>
      </x:c>
      <x:c r="B143" s="117" t="str">
        <x:v>Jan 2025</x:v>
      </x:c>
      <x:c r="C143" s="117" t="str">
        <x:v>Multicategoria</x:v>
      </x:c>
      <x:c r="D143" s="120" t="n">
        <x:v>54395081.61</x:v>
      </x:c>
    </x:row>
    <x:row r="144">
      <x:c r="A144" s="117" t="str">
        <x:v>Outros</x:v>
      </x:c>
      <x:c r="B144" s="117" t="str">
        <x:v>Jan 2025</x:v>
      </x:c>
      <x:c r="C144" s="117" t="str">
        <x:v>Multiestratégia</x:v>
      </x:c>
      <x:c r="D144" s="120" t="n">
        <x:v>5984646.470000001</x:v>
      </x:c>
    </x:row>
    <x:row r="145">
      <x:c r="A145" s="117" t="str">
        <x:v>Outros</x:v>
      </x:c>
      <x:c r="B145" s="117" t="str">
        <x:v>Jan 2025</x:v>
      </x:c>
      <x:c r="C145" s="117" t="str">
        <x:v>Não se aplica</x:v>
      </x:c>
      <x:c r="D145" s="120" t="n">
        <x:v>1731511818.6099901</x:v>
      </x:c>
    </x:row>
    <x:row r="146">
      <x:c r="A146" s="117" t="str">
        <x:v>Outros</x:v>
      </x:c>
      <x:c r="B146" s="117" t="str">
        <x:v>Jan 2025</x:v>
      </x:c>
      <x:c r="C146" s="117" t="str">
        <x:v>Poder Público</x:v>
      </x:c>
      <x:c r="D146" s="120" t="n">
        <x:v>32887578899.289967</x:v>
      </x:c>
    </x:row>
    <x:row r="147">
      <x:c r="A147" s="117" t="str">
        <x:v>Outros</x:v>
      </x:c>
      <x:c r="B147" s="117" t="str">
        <x:v>Jan 2025</x:v>
      </x:c>
      <x:c r="C147" s="117" t="str">
        <x:v>Recebíveis Comerciais</x:v>
      </x:c>
      <x:c r="D147" s="120" t="n">
        <x:v>35339500.87</x:v>
      </x:c>
    </x:row>
    <x:row r="148">
      <x:c r="A148" s="117" t="str">
        <x:v>Outros</x:v>
      </x:c>
      <x:c r="B148" s="117" t="str">
        <x:v>Jan 2025</x:v>
      </x:c>
      <x:c r="C148" s="117" t="str">
        <x:v>Recuperação</x:v>
      </x:c>
      <x:c r="D148" s="120" t="n">
        <x:v>5524119545.780004</x:v>
      </x:c>
    </x:row>
    <x:row r="149">
      <x:c r="A149" s="117" t="str">
        <x:v>Agro, Indústria e Comércio</x:v>
      </x:c>
      <x:c r="B149" s="117" t="str">
        <x:v>Fev 2025</x:v>
      </x:c>
      <x:c r="C149" s="117" t="str">
        <x:v>Agronegócio</x:v>
      </x:c>
      <x:c r="D149" s="120" t="n">
        <x:v>14168777995.7</x:v>
      </x:c>
    </x:row>
    <x:row r="150">
      <x:c r="A150" s="117" t="str">
        <x:v>Agro, Indústria e Comércio</x:v>
      </x:c>
      <x:c r="B150" s="117" t="str">
        <x:v>Fev 2025</x:v>
      </x:c>
      <x:c r="C150" s="117" t="str">
        <x:v>Crédito Corporativo</x:v>
      </x:c>
      <x:c r="D150" s="120" t="n">
        <x:v>3892170846.42</x:v>
      </x:c>
    </x:row>
    <x:row r="151">
      <x:c r="A151" s="117" t="str">
        <x:v>Agro, Indústria e Comércio</x:v>
      </x:c>
      <x:c r="B151" s="117" t="str">
        <x:v>Fev 2025</x:v>
      </x:c>
      <x:c r="C151" s="117" t="str">
        <x:v>Infraestrutura</x:v>
      </x:c>
      <x:c r="D151" s="120" t="n">
        <x:v>4918350188.090001</x:v>
      </x:c>
    </x:row>
    <x:row r="152">
      <x:c r="A152" s="117" t="str">
        <x:v>Agro, Indústria e Comércio</x:v>
      </x:c>
      <x:c r="B152" s="117" t="str">
        <x:v>Fev 2025</x:v>
      </x:c>
      <x:c r="C152" s="117" t="str">
        <x:v>Multicarteira Agro, Indústria e Comércio</x:v>
      </x:c>
      <x:c r="D152" s="120" t="n">
        <x:v>11445844461.219995</x:v>
      </x:c>
    </x:row>
    <x:row r="153">
      <x:c r="A153" s="117" t="str">
        <x:v>Agro, Indústria e Comércio</x:v>
      </x:c>
      <x:c r="B153" s="117" t="str">
        <x:v>Fev 2025</x:v>
      </x:c>
      <x:c r="C153" s="117" t="str">
        <x:v>Multicarteira Outros</x:v>
      </x:c>
      <x:c r="D153" s="120" t="n">
        <x:v>112827039.22</x:v>
      </x:c>
    </x:row>
    <x:row r="154">
      <x:c r="A154" s="117" t="str">
        <x:v>Agro, Indústria e Comércio</x:v>
      </x:c>
      <x:c r="B154" s="117" t="str">
        <x:v>Fev 2025</x:v>
      </x:c>
      <x:c r="C154" s="117" t="str">
        <x:v>Não se aplica</x:v>
      </x:c>
      <x:c r="D154" s="120" t="n">
        <x:v>4782471025.490002</x:v>
      </x:c>
    </x:row>
    <x:row r="155">
      <x:c r="A155" s="117" t="str">
        <x:v>Agro, Indústria e Comércio</x:v>
      </x:c>
      <x:c r="B155" s="117" t="str">
        <x:v>Fev 2025</x:v>
      </x:c>
      <x:c r="C155" s="117" t="str">
        <x:v>Recebíveis Comerciais</x:v>
      </x:c>
      <x:c r="D155" s="120" t="n">
        <x:v>120140245084.19005</x:v>
      </x:c>
    </x:row>
    <x:row r="156">
      <x:c r="A156" s="117" t="str">
        <x:v>Financeiro</x:v>
      </x:c>
      <x:c r="B156" s="117" t="str">
        <x:v>Fev 2025</x:v>
      </x:c>
      <x:c r="C156" s="117" t="str">
        <x:v>Crédito Consignado</x:v>
      </x:c>
      <x:c r="D156" s="120" t="n">
        <x:v>19349567998.889996</x:v>
      </x:c>
    </x:row>
    <x:row r="157">
      <x:c r="A157" s="117" t="str">
        <x:v>Financeiro</x:v>
      </x:c>
      <x:c r="B157" s="117" t="str">
        <x:v>Fev 2025</x:v>
      </x:c>
      <x:c r="C157" s="117" t="str">
        <x:v>Crédito Imobiliário</x:v>
      </x:c>
      <x:c r="D157" s="120" t="n">
        <x:v>3480204599.4400015</x:v>
      </x:c>
    </x:row>
    <x:row r="158">
      <x:c r="A158" s="117" t="str">
        <x:v>Financeiro</x:v>
      </x:c>
      <x:c r="B158" s="117" t="str">
        <x:v>Fev 2025</x:v>
      </x:c>
      <x:c r="C158" s="117" t="str">
        <x:v>Crédito Pessoal</x:v>
      </x:c>
      <x:c r="D158" s="120" t="n">
        <x:v>80123017911.1599</x:v>
      </x:c>
    </x:row>
    <x:row r="159">
      <x:c r="A159" s="117" t="str">
        <x:v>Financeiro</x:v>
      </x:c>
      <x:c r="B159" s="117" t="str">
        <x:v>Fev 2025</x:v>
      </x:c>
      <x:c r="C159" s="117" t="str">
        <x:v>Financiamento de Veículos</x:v>
      </x:c>
      <x:c r="D159" s="120" t="n">
        <x:v>5756142854.63015</x:v>
      </x:c>
    </x:row>
    <x:row r="160">
      <x:c r="A160" s="117" t="str">
        <x:v>Financeiro</x:v>
      </x:c>
      <x:c r="B160" s="117" t="str">
        <x:v>Fev 2025</x:v>
      </x:c>
      <x:c r="C160" s="117" t="str">
        <x:v>Multicarteira Financeiro</x:v>
      </x:c>
      <x:c r="D160" s="120" t="n">
        <x:v>37724683300.619995</x:v>
      </x:c>
    </x:row>
    <x:row r="161">
      <x:c r="A161" s="117" t="str">
        <x:v>Financeiro</x:v>
      </x:c>
      <x:c r="B161" s="117" t="str">
        <x:v>Fev 2025</x:v>
      </x:c>
      <x:c r="C161" s="117" t="str">
        <x:v>Multicarteira Outros</x:v>
      </x:c>
      <x:c r="D161" s="120" t="n">
        <x:v>16219638.32</x:v>
      </x:c>
    </x:row>
    <x:row r="162">
      <x:c r="A162" s="117" t="str">
        <x:v>Financeiro</x:v>
      </x:c>
      <x:c r="B162" s="117" t="str">
        <x:v>Fev 2025</x:v>
      </x:c>
      <x:c r="C162" s="117" t="str">
        <x:v>Não se aplica</x:v>
      </x:c>
      <x:c r="D162" s="120" t="n">
        <x:v>70327565.05</x:v>
      </x:c>
    </x:row>
    <x:row r="163">
      <x:c r="A163" s="117" t="str">
        <x:v>Fomento Mercantil</x:v>
      </x:c>
      <x:c r="B163" s="117" t="str">
        <x:v>Fev 2025</x:v>
      </x:c>
      <x:c r="C163" s="117" t="str">
        <x:v>Crédito Consignado</x:v>
      </x:c>
      <x:c r="D163" s="120" t="n">
        <x:v>112876779.85000001</x:v>
      </x:c>
    </x:row>
    <x:row r="164">
      <x:c r="A164" s="117" t="str">
        <x:v>Fomento Mercantil</x:v>
      </x:c>
      <x:c r="B164" s="117" t="str">
        <x:v>Fev 2025</x:v>
      </x:c>
      <x:c r="C164" s="117" t="str">
        <x:v>Fomento Mercantil</x:v>
      </x:c>
      <x:c r="D164" s="120" t="n">
        <x:v>59263620542.38005</x:v>
      </x:c>
    </x:row>
    <x:row r="165">
      <x:c r="A165" s="117" t="str">
        <x:v>Fomento Mercantil</x:v>
      </x:c>
      <x:c r="B165" s="117" t="str">
        <x:v>Fev 2025</x:v>
      </x:c>
      <x:c r="C165" s="117" t="str">
        <x:v>Multicarteira Agro, Indústria e Comércio</x:v>
      </x:c>
      <x:c r="D165" s="120" t="n">
        <x:v>585644313.8400002</x:v>
      </x:c>
    </x:row>
    <x:row r="166">
      <x:c r="A166" s="117" t="str">
        <x:v>Fomento Mercantil</x:v>
      </x:c>
      <x:c r="B166" s="117" t="str">
        <x:v>Fev 2025</x:v>
      </x:c>
      <x:c r="C166" s="117" t="str">
        <x:v>Multicarteira Outros</x:v>
      </x:c>
      <x:c r="D166" s="120" t="n">
        <x:v>1354172392.3500001</x:v>
      </x:c>
    </x:row>
    <x:row r="167">
      <x:c r="A167" s="117" t="str">
        <x:v>Fomento Mercantil</x:v>
      </x:c>
      <x:c r="B167" s="117" t="str">
        <x:v>Fev 2025</x:v>
      </x:c>
      <x:c r="C167" s="117" t="str">
        <x:v>Não se aplica</x:v>
      </x:c>
      <x:c r="D167" s="120" t="n">
        <x:v>22484.73</x:v>
      </x:c>
    </x:row>
    <x:row r="168">
      <x:c r="A168" s="117" t="str">
        <x:v>Fomento Mercantil</x:v>
      </x:c>
      <x:c r="B168" s="117" t="str">
        <x:v>Fev 2025</x:v>
      </x:c>
      <x:c r="C168" s="117" t="str">
        <x:v>Poder Público</x:v>
      </x:c>
      <x:c r="D168" s="120" t="n">
        <x:v>20934921.63</x:v>
      </x:c>
    </x:row>
    <x:row r="169">
      <x:c r="A169" s="117" t="str">
        <x:v>Fomento Mercantil</x:v>
      </x:c>
      <x:c r="B169" s="117" t="str">
        <x:v>Fev 2025</x:v>
      </x:c>
      <x:c r="C169" s="117" t="str">
        <x:v>Recebíveis Comerciais</x:v>
      </x:c>
      <x:c r="D169" s="120" t="n">
        <x:v>13124348.91</x:v>
      </x:c>
    </x:row>
    <x:row r="170">
      <x:c r="A170" s="117" t="str">
        <x:v>Outros</x:v>
      </x:c>
      <x:c r="B170" s="117" t="str">
        <x:v>Fev 2025</x:v>
      </x:c>
      <x:c r="C170" s="117" t="str">
        <x:v>Crédito Consignado</x:v>
      </x:c>
      <x:c r="D170" s="120" t="n">
        <x:v>5718102.37</x:v>
      </x:c>
    </x:row>
    <x:row r="171">
      <x:c r="A171" s="117" t="str">
        <x:v>Outros</x:v>
      </x:c>
      <x:c r="B171" s="117" t="str">
        <x:v>Fev 2025</x:v>
      </x:c>
      <x:c r="C171" s="117" t="str">
        <x:v>Crédito Pessoal</x:v>
      </x:c>
      <x:c r="D171" s="120" t="n">
        <x:v>735553430.33</x:v>
      </x:c>
    </x:row>
    <x:row r="172">
      <x:c r="A172" s="117" t="str">
        <x:v>Outros</x:v>
      </x:c>
      <x:c r="B172" s="117" t="str">
        <x:v>Fev 2025</x:v>
      </x:c>
      <x:c r="C172" s="117" t="str">
        <x:v>Fomento Mercantil</x:v>
      </x:c>
      <x:c r="D172" s="120" t="n">
        <x:v>1537609649.56</x:v>
      </x:c>
    </x:row>
    <x:row r="173">
      <x:c r="A173" s="117" t="str">
        <x:v>Outros</x:v>
      </x:c>
      <x:c r="B173" s="117" t="str">
        <x:v>Fev 2025</x:v>
      </x:c>
      <x:c r="C173" s="117" t="str">
        <x:v>Multicarteira Agro, Indústria e Comércio</x:v>
      </x:c>
      <x:c r="D173" s="120" t="n">
        <x:v>301593075.9700001</x:v>
      </x:c>
    </x:row>
    <x:row r="174">
      <x:c r="A174" s="117" t="str">
        <x:v>Outros</x:v>
      </x:c>
      <x:c r="B174" s="117" t="str">
        <x:v>Fev 2025</x:v>
      </x:c>
      <x:c r="C174" s="117" t="str">
        <x:v>Multicarteira Outros</x:v>
      </x:c>
      <x:c r="D174" s="120" t="n">
        <x:v>196991110620.54684</x:v>
      </x:c>
    </x:row>
    <x:row r="175">
      <x:c r="A175" s="117" t="str">
        <x:v>Outros</x:v>
      </x:c>
      <x:c r="B175" s="117" t="str">
        <x:v>Fev 2025</x:v>
      </x:c>
      <x:c r="C175" s="117" t="str">
        <x:v>Multicategoria</x:v>
      </x:c>
      <x:c r="D175" s="120" t="n">
        <x:v>54361474.14</x:v>
      </x:c>
    </x:row>
    <x:row r="176">
      <x:c r="A176" s="117" t="str">
        <x:v>Outros</x:v>
      </x:c>
      <x:c r="B176" s="117" t="str">
        <x:v>Fev 2025</x:v>
      </x:c>
      <x:c r="C176" s="117" t="str">
        <x:v>Multiestratégia</x:v>
      </x:c>
      <x:c r="D176" s="120" t="n">
        <x:v>6055086.449999999</x:v>
      </x:c>
    </x:row>
    <x:row r="177">
      <x:c r="A177" s="117" t="str">
        <x:v>Outros</x:v>
      </x:c>
      <x:c r="B177" s="117" t="str">
        <x:v>Fev 2025</x:v>
      </x:c>
      <x:c r="C177" s="117" t="str">
        <x:v>Não se aplica</x:v>
      </x:c>
      <x:c r="D177" s="120" t="n">
        <x:v>1778837696.49999</x:v>
      </x:c>
    </x:row>
    <x:row r="178">
      <x:c r="A178" s="117" t="str">
        <x:v>Outros</x:v>
      </x:c>
      <x:c r="B178" s="117" t="str">
        <x:v>Fev 2025</x:v>
      </x:c>
      <x:c r="C178" s="117" t="str">
        <x:v>Poder Público</x:v>
      </x:c>
      <x:c r="D178" s="120" t="n">
        <x:v>33325591775.500004</x:v>
      </x:c>
    </x:row>
    <x:row r="179">
      <x:c r="A179" s="117" t="str">
        <x:v>Outros</x:v>
      </x:c>
      <x:c r="B179" s="117" t="str">
        <x:v>Fev 2025</x:v>
      </x:c>
      <x:c r="C179" s="117" t="str">
        <x:v>Recebíveis Comerciais</x:v>
      </x:c>
      <x:c r="D179" s="120" t="n">
        <x:v>52127401.89</x:v>
      </x:c>
    </x:row>
    <x:row r="180">
      <x:c r="A180" s="117" t="str">
        <x:v>Outros</x:v>
      </x:c>
      <x:c r="B180" s="117" t="str">
        <x:v>Fev 2025</x:v>
      </x:c>
      <x:c r="C180" s="117" t="str">
        <x:v>Recuperação</x:v>
      </x:c>
      <x:c r="D180" s="120" t="n">
        <x:v>5628589852.969997</x:v>
      </x:c>
    </x:row>
    <x:row r="181">
      <x:c r="A181" s="117" t="str">
        <x:v>Agro, Indústria e Comércio</x:v>
      </x:c>
      <x:c r="B181" s="117" t="str">
        <x:v>Mar 2025</x:v>
      </x:c>
      <x:c r="C181" s="117" t="str">
        <x:v>Agronegócio</x:v>
      </x:c>
      <x:c r="D181" s="120" t="n">
        <x:v>14705753515.169994</x:v>
      </x:c>
    </x:row>
    <x:row r="182">
      <x:c r="A182" s="117" t="str">
        <x:v>Agro, Indústria e Comércio</x:v>
      </x:c>
      <x:c r="B182" s="117" t="str">
        <x:v>Mar 2025</x:v>
      </x:c>
      <x:c r="C182" s="117" t="str">
        <x:v>Crédito Corporativo</x:v>
      </x:c>
      <x:c r="D182" s="120" t="n">
        <x:v>3973943009.3700013</x:v>
      </x:c>
    </x:row>
    <x:row r="183">
      <x:c r="A183" s="117" t="str">
        <x:v>Agro, Indústria e Comércio</x:v>
      </x:c>
      <x:c r="B183" s="117" t="str">
        <x:v>Mar 2025</x:v>
      </x:c>
      <x:c r="C183" s="117" t="str">
        <x:v>Infraestrutura</x:v>
      </x:c>
      <x:c r="D183" s="120" t="n">
        <x:v>5727535591.31</x:v>
      </x:c>
    </x:row>
    <x:row r="184">
      <x:c r="A184" s="117" t="str">
        <x:v>Agro, Indústria e Comércio</x:v>
      </x:c>
      <x:c r="B184" s="117" t="str">
        <x:v>Mar 2025</x:v>
      </x:c>
      <x:c r="C184" s="117" t="str">
        <x:v>Multicarteira Agro, Indústria e Comércio</x:v>
      </x:c>
      <x:c r="D184" s="120" t="n">
        <x:v>12194407397.279997</x:v>
      </x:c>
    </x:row>
    <x:row r="185">
      <x:c r="A185" s="117" t="str">
        <x:v>Agro, Indústria e Comércio</x:v>
      </x:c>
      <x:c r="B185" s="117" t="str">
        <x:v>Mar 2025</x:v>
      </x:c>
      <x:c r="C185" s="117" t="str">
        <x:v>Multicarteira Outros</x:v>
      </x:c>
      <x:c r="D185" s="120" t="n">
        <x:v>0</x:v>
      </x:c>
    </x:row>
    <x:row r="186">
      <x:c r="A186" s="117" t="str">
        <x:v>Agro, Indústria e Comércio</x:v>
      </x:c>
      <x:c r="B186" s="117" t="str">
        <x:v>Mar 2025</x:v>
      </x:c>
      <x:c r="C186" s="117" t="str">
        <x:v>Não se aplica</x:v>
      </x:c>
      <x:c r="D186" s="120" t="n">
        <x:v>4826587842.580003</x:v>
      </x:c>
    </x:row>
    <x:row r="187">
      <x:c r="A187" s="117" t="str">
        <x:v>Agro, Indústria e Comércio</x:v>
      </x:c>
      <x:c r="B187" s="117" t="str">
        <x:v>Mar 2025</x:v>
      </x:c>
      <x:c r="C187" s="117" t="str">
        <x:v>Recebíveis Comerciais</x:v>
      </x:c>
      <x:c r="D187" s="120" t="n">
        <x:v>115753971438.27988</x:v>
      </x:c>
    </x:row>
    <x:row r="188">
      <x:c r="A188" s="117" t="str">
        <x:v>Financeiro</x:v>
      </x:c>
      <x:c r="B188" s="117" t="str">
        <x:v>Mar 2025</x:v>
      </x:c>
      <x:c r="C188" s="117" t="str">
        <x:v>Crédito Consignado</x:v>
      </x:c>
      <x:c r="D188" s="120" t="n">
        <x:v>20315985031.970013</x:v>
      </x:c>
    </x:row>
    <x:row r="189">
      <x:c r="A189" s="117" t="str">
        <x:v>Financeiro</x:v>
      </x:c>
      <x:c r="B189" s="117" t="str">
        <x:v>Mar 2025</x:v>
      </x:c>
      <x:c r="C189" s="117" t="str">
        <x:v>Crédito Imobiliário</x:v>
      </x:c>
      <x:c r="D189" s="120" t="n">
        <x:v>3361926489.369999</x:v>
      </x:c>
    </x:row>
    <x:row r="190">
      <x:c r="A190" s="117" t="str">
        <x:v>Financeiro</x:v>
      </x:c>
      <x:c r="B190" s="117" t="str">
        <x:v>Mar 2025</x:v>
      </x:c>
      <x:c r="C190" s="117" t="str">
        <x:v>Crédito Pessoal</x:v>
      </x:c>
      <x:c r="D190" s="120" t="n">
        <x:v>82339047932.9</x:v>
      </x:c>
    </x:row>
    <x:row r="191">
      <x:c r="A191" s="117" t="str">
        <x:v>Financeiro</x:v>
      </x:c>
      <x:c r="B191" s="117" t="str">
        <x:v>Mar 2025</x:v>
      </x:c>
      <x:c r="C191" s="117" t="str">
        <x:v>Financiamento de Veículos</x:v>
      </x:c>
      <x:c r="D191" s="120" t="n">
        <x:v>5779069819.31023</x:v>
      </x:c>
    </x:row>
    <x:row r="192">
      <x:c r="A192" s="117" t="str">
        <x:v>Financeiro</x:v>
      </x:c>
      <x:c r="B192" s="117" t="str">
        <x:v>Mar 2025</x:v>
      </x:c>
      <x:c r="C192" s="117" t="str">
        <x:v>Multicarteira Financeiro</x:v>
      </x:c>
      <x:c r="D192" s="120" t="n">
        <x:v>37764853202.50001</x:v>
      </x:c>
    </x:row>
    <x:row r="193">
      <x:c r="A193" s="117" t="str">
        <x:v>Financeiro</x:v>
      </x:c>
      <x:c r="B193" s="117" t="str">
        <x:v>Mar 2025</x:v>
      </x:c>
      <x:c r="C193" s="117" t="str">
        <x:v>Multicarteira Outros</x:v>
      </x:c>
      <x:c r="D193" s="120" t="n">
        <x:v>18972668.05</x:v>
      </x:c>
    </x:row>
    <x:row r="194">
      <x:c r="A194" s="117" t="str">
        <x:v>Financeiro</x:v>
      </x:c>
      <x:c r="B194" s="117" t="str">
        <x:v>Mar 2025</x:v>
      </x:c>
      <x:c r="C194" s="117" t="str">
        <x:v>Não se aplica</x:v>
      </x:c>
      <x:c r="D194" s="120" t="n">
        <x:v>69580752.61</x:v>
      </x:c>
    </x:row>
    <x:row r="195">
      <x:c r="A195" s="117" t="str">
        <x:v>Fomento Mercantil</x:v>
      </x:c>
      <x:c r="B195" s="117" t="str">
        <x:v>Mar 2025</x:v>
      </x:c>
      <x:c r="C195" s="117" t="str">
        <x:v>Crédito Consignado</x:v>
      </x:c>
      <x:c r="D195" s="120" t="n">
        <x:v>67078083.059999995</x:v>
      </x:c>
    </x:row>
    <x:row r="196">
      <x:c r="A196" s="117" t="str">
        <x:v>Fomento Mercantil</x:v>
      </x:c>
      <x:c r="B196" s="117" t="str">
        <x:v>Mar 2025</x:v>
      </x:c>
      <x:c r="C196" s="117" t="str">
        <x:v>Fomento Mercantil</x:v>
      </x:c>
      <x:c r="D196" s="120" t="n">
        <x:v>62467512394.08001</x:v>
      </x:c>
    </x:row>
    <x:row r="197">
      <x:c r="A197" s="117" t="str">
        <x:v>Fomento Mercantil</x:v>
      </x:c>
      <x:c r="B197" s="117" t="str">
        <x:v>Mar 2025</x:v>
      </x:c>
      <x:c r="C197" s="117" t="str">
        <x:v>Multicarteira Agro, Indústria e Comércio</x:v>
      </x:c>
      <x:c r="D197" s="120" t="n">
        <x:v>590265181.5800002</x:v>
      </x:c>
    </x:row>
    <x:row r="198">
      <x:c r="A198" s="117" t="str">
        <x:v>Fomento Mercantil</x:v>
      </x:c>
      <x:c r="B198" s="117" t="str">
        <x:v>Mar 2025</x:v>
      </x:c>
      <x:c r="C198" s="117" t="str">
        <x:v>Multicarteira Outros</x:v>
      </x:c>
      <x:c r="D198" s="120" t="n">
        <x:v>955337250.1</x:v>
      </x:c>
    </x:row>
    <x:row r="199">
      <x:c r="A199" s="117" t="str">
        <x:v>Fomento Mercantil</x:v>
      </x:c>
      <x:c r="B199" s="117" t="str">
        <x:v>Mar 2025</x:v>
      </x:c>
      <x:c r="C199" s="117" t="str">
        <x:v>Não se aplica</x:v>
      </x:c>
      <x:c r="D199" s="120" t="n">
        <x:v>26084.64</x:v>
      </x:c>
    </x:row>
    <x:row r="200">
      <x:c r="A200" s="117" t="str">
        <x:v>Fomento Mercantil</x:v>
      </x:c>
      <x:c r="B200" s="117" t="str">
        <x:v>Mar 2025</x:v>
      </x:c>
      <x:c r="C200" s="117" t="str">
        <x:v>Poder Público</x:v>
      </x:c>
      <x:c r="D200" s="120" t="n">
        <x:v>21329427.790000003</x:v>
      </x:c>
    </x:row>
    <x:row r="201">
      <x:c r="A201" s="117" t="str">
        <x:v>Fomento Mercantil</x:v>
      </x:c>
      <x:c r="B201" s="117" t="str">
        <x:v>Mar 2025</x:v>
      </x:c>
      <x:c r="C201" s="117" t="str">
        <x:v>Recebíveis Comerciais</x:v>
      </x:c>
      <x:c r="D201" s="120" t="n">
        <x:v>9754435.409999998</x:v>
      </x:c>
    </x:row>
    <x:row r="202">
      <x:c r="A202" s="117" t="str">
        <x:v>Outros</x:v>
      </x:c>
      <x:c r="B202" s="117" t="str">
        <x:v>Mar 2025</x:v>
      </x:c>
      <x:c r="C202" s="117" t="str">
        <x:v>Crédito Consignado</x:v>
      </x:c>
      <x:c r="D202" s="120" t="n">
        <x:v>6150260.880000001</x:v>
      </x:c>
    </x:row>
    <x:row r="203">
      <x:c r="A203" s="117" t="str">
        <x:v>Outros</x:v>
      </x:c>
      <x:c r="B203" s="117" t="str">
        <x:v>Mar 2025</x:v>
      </x:c>
      <x:c r="C203" s="117" t="str">
        <x:v>Crédito Pessoal</x:v>
      </x:c>
      <x:c r="D203" s="120" t="n">
        <x:v>744115016.58</x:v>
      </x:c>
    </x:row>
    <x:row r="204">
      <x:c r="A204" s="117" t="str">
        <x:v>Outros</x:v>
      </x:c>
      <x:c r="B204" s="117" t="str">
        <x:v>Mar 2025</x:v>
      </x:c>
      <x:c r="C204" s="117" t="str">
        <x:v>Fomento Mercantil</x:v>
      </x:c>
      <x:c r="D204" s="120" t="n">
        <x:v>1476641236.9299998</x:v>
      </x:c>
    </x:row>
    <x:row r="205">
      <x:c r="A205" s="117" t="str">
        <x:v>Outros</x:v>
      </x:c>
      <x:c r="B205" s="117" t="str">
        <x:v>Mar 2025</x:v>
      </x:c>
      <x:c r="C205" s="117" t="str">
        <x:v>Multicarteira Agro, Indústria e Comércio</x:v>
      </x:c>
      <x:c r="D205" s="120" t="n">
        <x:v>312194111.33</x:v>
      </x:c>
    </x:row>
    <x:row r="206">
      <x:c r="A206" s="117" t="str">
        <x:v>Outros</x:v>
      </x:c>
      <x:c r="B206" s="117" t="str">
        <x:v>Mar 2025</x:v>
      </x:c>
      <x:c r="C206" s="117" t="str">
        <x:v>Multicarteira Outros</x:v>
      </x:c>
      <x:c r="D206" s="120" t="n">
        <x:v>198555211644.3577</x:v>
      </x:c>
    </x:row>
    <x:row r="207">
      <x:c r="A207" s="117" t="str">
        <x:v>Outros</x:v>
      </x:c>
      <x:c r="B207" s="117" t="str">
        <x:v>Mar 2025</x:v>
      </x:c>
      <x:c r="C207" s="117" t="str">
        <x:v>Multicategoria</x:v>
      </x:c>
      <x:c r="D207" s="120" t="n">
        <x:v>39287768.8</x:v>
      </x:c>
    </x:row>
    <x:row r="208">
      <x:c r="A208" s="117" t="str">
        <x:v>Outros</x:v>
      </x:c>
      <x:c r="B208" s="117" t="str">
        <x:v>Mar 2025</x:v>
      </x:c>
      <x:c r="C208" s="117" t="str">
        <x:v>Multiestratégia</x:v>
      </x:c>
      <x:c r="D208" s="120" t="n">
        <x:v>6267101.7299999995</x:v>
      </x:c>
    </x:row>
    <x:row r="209">
      <x:c r="A209" s="117" t="str">
        <x:v>Outros</x:v>
      </x:c>
      <x:c r="B209" s="117" t="str">
        <x:v>Mar 2025</x:v>
      </x:c>
      <x:c r="C209" s="117" t="str">
        <x:v>Não se aplica</x:v>
      </x:c>
      <x:c r="D209" s="120" t="n">
        <x:v>1809874203.25</x:v>
      </x:c>
    </x:row>
    <x:row r="210">
      <x:c r="A210" s="117" t="str">
        <x:v>Outros</x:v>
      </x:c>
      <x:c r="B210" s="117" t="str">
        <x:v>Mar 2025</x:v>
      </x:c>
      <x:c r="C210" s="117" t="str">
        <x:v>Poder Público</x:v>
      </x:c>
      <x:c r="D210" s="120" t="n">
        <x:v>34174783858.31001</x:v>
      </x:c>
    </x:row>
    <x:row r="211">
      <x:c r="A211" s="117" t="str">
        <x:v>Outros</x:v>
      </x:c>
      <x:c r="B211" s="117" t="str">
        <x:v>Mar 2025</x:v>
      </x:c>
      <x:c r="C211" s="117" t="str">
        <x:v>Recebíveis Comerciais</x:v>
      </x:c>
      <x:c r="D211" s="120" t="n">
        <x:v>42418482.72</x:v>
      </x:c>
    </x:row>
    <x:row r="212">
      <x:c r="A212" s="117" t="str">
        <x:v>Outros</x:v>
      </x:c>
      <x:c r="B212" s="117" t="str">
        <x:v>Mar 2025</x:v>
      </x:c>
      <x:c r="C212" s="117" t="str">
        <x:v>Recuperação</x:v>
      </x:c>
      <x:c r="D212" s="120" t="n">
        <x:v>5569931062.649999</x:v>
      </x:c>
    </x:row>
    <x:row r="213">
      <x:c r="A213" s="117" t="str">
        <x:v>Agro, Indústria e Comércio</x:v>
      </x:c>
      <x:c r="B213" s="117" t="str">
        <x:v>Abr 2025</x:v>
      </x:c>
      <x:c r="C213" s="117" t="str">
        <x:v>Agronegócio</x:v>
      </x:c>
      <x:c r="D213" s="120" t="n">
        <x:v>14786417319.330004</x:v>
      </x:c>
    </x:row>
    <x:row r="214">
      <x:c r="A214" s="117" t="str">
        <x:v>Agro, Indústria e Comércio</x:v>
      </x:c>
      <x:c r="B214" s="117" t="str">
        <x:v>Abr 2025</x:v>
      </x:c>
      <x:c r="C214" s="117" t="str">
        <x:v>Crédito Corporativo</x:v>
      </x:c>
      <x:c r="D214" s="120" t="n">
        <x:v>3378715297.26</x:v>
      </x:c>
    </x:row>
    <x:row r="215">
      <x:c r="A215" s="117" t="str">
        <x:v>Agro, Indústria e Comércio</x:v>
      </x:c>
      <x:c r="B215" s="117" t="str">
        <x:v>Abr 2025</x:v>
      </x:c>
      <x:c r="C215" s="117" t="str">
        <x:v>Infraestrutura</x:v>
      </x:c>
      <x:c r="D215" s="120" t="n">
        <x:v>7244660363.310003</x:v>
      </x:c>
    </x:row>
    <x:row r="216">
      <x:c r="A216" s="117" t="str">
        <x:v>Agro, Indústria e Comércio</x:v>
      </x:c>
      <x:c r="B216" s="117" t="str">
        <x:v>Abr 2025</x:v>
      </x:c>
      <x:c r="C216" s="117" t="str">
        <x:v>Multicarteira Agro, Indústria e Comércio</x:v>
      </x:c>
      <x:c r="D216" s="120" t="n">
        <x:v>12923232747.780003</x:v>
      </x:c>
    </x:row>
    <x:row r="217">
      <x:c r="A217" s="117" t="str">
        <x:v>Agro, Indústria e Comércio</x:v>
      </x:c>
      <x:c r="B217" s="117" t="str">
        <x:v>Abr 2025</x:v>
      </x:c>
      <x:c r="C217" s="117" t="str">
        <x:v>Não se aplica</x:v>
      </x:c>
      <x:c r="D217" s="120" t="n">
        <x:v>4890764102.910002</x:v>
      </x:c>
    </x:row>
    <x:row r="218">
      <x:c r="A218" s="117" t="str">
        <x:v>Agro, Indústria e Comércio</x:v>
      </x:c>
      <x:c r="B218" s="117" t="str">
        <x:v>Abr 2025</x:v>
      </x:c>
      <x:c r="C218" s="117" t="str">
        <x:v>Recebíveis Comerciais</x:v>
      </x:c>
      <x:c r="D218" s="120" t="n">
        <x:v>111861468036.3702</x:v>
      </x:c>
    </x:row>
    <x:row r="219">
      <x:c r="A219" s="117" t="str">
        <x:v>Financeiro</x:v>
      </x:c>
      <x:c r="B219" s="117" t="str">
        <x:v>Abr 2025</x:v>
      </x:c>
      <x:c r="C219" s="117" t="str">
        <x:v>Crédito Consignado</x:v>
      </x:c>
      <x:c r="D219" s="120" t="n">
        <x:v>20839369684.36002</x:v>
      </x:c>
    </x:row>
    <x:row r="220">
      <x:c r="A220" s="117" t="str">
        <x:v>Financeiro</x:v>
      </x:c>
      <x:c r="B220" s="117" t="str">
        <x:v>Abr 2025</x:v>
      </x:c>
      <x:c r="C220" s="117" t="str">
        <x:v>Crédito Imobiliário</x:v>
      </x:c>
      <x:c r="D220" s="120" t="n">
        <x:v>3316075492.090001</x:v>
      </x:c>
    </x:row>
    <x:row r="221">
      <x:c r="A221" s="117" t="str">
        <x:v>Financeiro</x:v>
      </x:c>
      <x:c r="B221" s="117" t="str">
        <x:v>Abr 2025</x:v>
      </x:c>
      <x:c r="C221" s="117" t="str">
        <x:v>Crédito Pessoal</x:v>
      </x:c>
      <x:c r="D221" s="120" t="n">
        <x:v>82967356135.85011</x:v>
      </x:c>
    </x:row>
    <x:row r="222">
      <x:c r="A222" s="117" t="str">
        <x:v>Financeiro</x:v>
      </x:c>
      <x:c r="B222" s="117" t="str">
        <x:v>Abr 2025</x:v>
      </x:c>
      <x:c r="C222" s="117" t="str">
        <x:v>Financiamento de Veículos</x:v>
      </x:c>
      <x:c r="D222" s="120" t="n">
        <x:v>5456170542.130231</x:v>
      </x:c>
    </x:row>
    <x:row r="223">
      <x:c r="A223" s="117" t="str">
        <x:v>Financeiro</x:v>
      </x:c>
      <x:c r="B223" s="117" t="str">
        <x:v>Abr 2025</x:v>
      </x:c>
      <x:c r="C223" s="117" t="str">
        <x:v>Multicarteira Financeiro</x:v>
      </x:c>
      <x:c r="D223" s="120" t="n">
        <x:v>40163964295.89001</x:v>
      </x:c>
    </x:row>
    <x:row r="224">
      <x:c r="A224" s="117" t="str">
        <x:v>Financeiro</x:v>
      </x:c>
      <x:c r="B224" s="117" t="str">
        <x:v>Abr 2025</x:v>
      </x:c>
      <x:c r="C224" s="117" t="str">
        <x:v>Multicarteira Outros</x:v>
      </x:c>
      <x:c r="D224" s="120" t="n">
        <x:v>19416369.950000003</x:v>
      </x:c>
    </x:row>
    <x:row r="225">
      <x:c r="A225" s="117" t="str">
        <x:v>Financeiro</x:v>
      </x:c>
      <x:c r="B225" s="117" t="str">
        <x:v>Abr 2025</x:v>
      </x:c>
      <x:c r="C225" s="117" t="str">
        <x:v>Não se aplica</x:v>
      </x:c>
      <x:c r="D225" s="120" t="n">
        <x:v>68092460.2</x:v>
      </x:c>
    </x:row>
    <x:row r="226">
      <x:c r="A226" s="117" t="str">
        <x:v>Fomento Mercantil</x:v>
      </x:c>
      <x:c r="B226" s="117" t="str">
        <x:v>Abr 2025</x:v>
      </x:c>
      <x:c r="C226" s="117" t="str">
        <x:v>Crédito Consignado</x:v>
      </x:c>
      <x:c r="D226" s="120" t="n">
        <x:v>67287580.97</x:v>
      </x:c>
    </x:row>
    <x:row r="227">
      <x:c r="A227" s="117" t="str">
        <x:v>Fomento Mercantil</x:v>
      </x:c>
      <x:c r="B227" s="117" t="str">
        <x:v>Abr 2025</x:v>
      </x:c>
      <x:c r="C227" s="117" t="str">
        <x:v>Fomento Mercantil</x:v>
      </x:c>
      <x:c r="D227" s="120" t="n">
        <x:v>63914119098.36985</x:v>
      </x:c>
    </x:row>
    <x:row r="228">
      <x:c r="A228" s="117" t="str">
        <x:v>Fomento Mercantil</x:v>
      </x:c>
      <x:c r="B228" s="117" t="str">
        <x:v>Abr 2025</x:v>
      </x:c>
      <x:c r="C228" s="117" t="str">
        <x:v>Multicarteira Agro, Indústria e Comércio</x:v>
      </x:c>
      <x:c r="D228" s="120" t="n">
        <x:v>580650052.27</x:v>
      </x:c>
    </x:row>
    <x:row r="229">
      <x:c r="A229" s="117" t="str">
        <x:v>Fomento Mercantil</x:v>
      </x:c>
      <x:c r="B229" s="117" t="str">
        <x:v>Abr 2025</x:v>
      </x:c>
      <x:c r="C229" s="117" t="str">
        <x:v>Multicarteira Outros</x:v>
      </x:c>
      <x:c r="D229" s="120" t="n">
        <x:v>1230583936.6200001</x:v>
      </x:c>
    </x:row>
    <x:row r="230">
      <x:c r="A230" s="117" t="str">
        <x:v>Fomento Mercantil</x:v>
      </x:c>
      <x:c r="B230" s="117" t="str">
        <x:v>Abr 2025</x:v>
      </x:c>
      <x:c r="C230" s="117" t="str">
        <x:v>Não se aplica</x:v>
      </x:c>
      <x:c r="D230" s="120" t="n">
        <x:v>0</x:v>
      </x:c>
    </x:row>
    <x:row r="231">
      <x:c r="A231" s="117" t="str">
        <x:v>Fomento Mercantil</x:v>
      </x:c>
      <x:c r="B231" s="117" t="str">
        <x:v>Abr 2025</x:v>
      </x:c>
      <x:c r="C231" s="117" t="str">
        <x:v>Poder Público</x:v>
      </x:c>
      <x:c r="D231" s="120" t="n">
        <x:v>22649526.41</x:v>
      </x:c>
    </x:row>
    <x:row r="232">
      <x:c r="A232" s="117" t="str">
        <x:v>Fomento Mercantil</x:v>
      </x:c>
      <x:c r="B232" s="117" t="str">
        <x:v>Abr 2025</x:v>
      </x:c>
      <x:c r="C232" s="117" t="str">
        <x:v>Recebíveis Comerciais</x:v>
      </x:c>
      <x:c r="D232" s="120" t="n">
        <x:v>18332410.38</x:v>
      </x:c>
    </x:row>
    <x:row r="233">
      <x:c r="A233" s="117" t="str">
        <x:v>Outros</x:v>
      </x:c>
      <x:c r="B233" s="117" t="str">
        <x:v>Abr 2025</x:v>
      </x:c>
      <x:c r="C233" s="117" t="str">
        <x:v>Crédito Consignado</x:v>
      </x:c>
      <x:c r="D233" s="120" t="n">
        <x:v>6532004.26</x:v>
      </x:c>
    </x:row>
    <x:row r="234">
      <x:c r="A234" s="117" t="str">
        <x:v>Outros</x:v>
      </x:c>
      <x:c r="B234" s="117" t="str">
        <x:v>Abr 2025</x:v>
      </x:c>
      <x:c r="C234" s="117" t="str">
        <x:v>Crédito Pessoal</x:v>
      </x:c>
      <x:c r="D234" s="120" t="n">
        <x:v>749355380.2499998</x:v>
      </x:c>
    </x:row>
    <x:row r="235">
      <x:c r="A235" s="117" t="str">
        <x:v>Outros</x:v>
      </x:c>
      <x:c r="B235" s="117" t="str">
        <x:v>Abr 2025</x:v>
      </x:c>
      <x:c r="C235" s="117" t="str">
        <x:v>Fomento Mercantil</x:v>
      </x:c>
      <x:c r="D235" s="120" t="n">
        <x:v>1426332614.6899998</x:v>
      </x:c>
    </x:row>
    <x:row r="236">
      <x:c r="A236" s="117" t="str">
        <x:v>Outros</x:v>
      </x:c>
      <x:c r="B236" s="117" t="str">
        <x:v>Abr 2025</x:v>
      </x:c>
      <x:c r="C236" s="117" t="str">
        <x:v>Multicarteira Agro, Indústria e Comércio</x:v>
      </x:c>
      <x:c r="D236" s="120" t="n">
        <x:v>317088647.74</x:v>
      </x:c>
    </x:row>
    <x:row r="237">
      <x:c r="A237" s="117" t="str">
        <x:v>Outros</x:v>
      </x:c>
      <x:c r="B237" s="117" t="str">
        <x:v>Abr 2025</x:v>
      </x:c>
      <x:c r="C237" s="117" t="str">
        <x:v>Multicarteira Outros</x:v>
      </x:c>
      <x:c r="D237" s="120" t="n">
        <x:v>207241981471.72757</x:v>
      </x:c>
    </x:row>
    <x:row r="238">
      <x:c r="A238" s="117" t="str">
        <x:v>Outros</x:v>
      </x:c>
      <x:c r="B238" s="117" t="str">
        <x:v>Abr 2025</x:v>
      </x:c>
      <x:c r="C238" s="117" t="str">
        <x:v>Multicategoria</x:v>
      </x:c>
      <x:c r="D238" s="120" t="n">
        <x:v>38047493.41</x:v>
      </x:c>
    </x:row>
    <x:row r="239">
      <x:c r="A239" s="117" t="str">
        <x:v>Outros</x:v>
      </x:c>
      <x:c r="B239" s="117" t="str">
        <x:v>Abr 2025</x:v>
      </x:c>
      <x:c r="C239" s="117" t="str">
        <x:v>Multiestratégia</x:v>
      </x:c>
      <x:c r="D239" s="120" t="n">
        <x:v>6420532.649999999</x:v>
      </x:c>
    </x:row>
    <x:row r="240">
      <x:c r="A240" s="117" t="str">
        <x:v>Outros</x:v>
      </x:c>
      <x:c r="B240" s="117" t="str">
        <x:v>Abr 2025</x:v>
      </x:c>
      <x:c r="C240" s="117" t="str">
        <x:v>Não se aplica</x:v>
      </x:c>
      <x:c r="D240" s="120" t="n">
        <x:v>1705601789.98</x:v>
      </x:c>
    </x:row>
    <x:row r="241">
      <x:c r="A241" s="117" t="str">
        <x:v>Outros</x:v>
      </x:c>
      <x:c r="B241" s="117" t="str">
        <x:v>Abr 2025</x:v>
      </x:c>
      <x:c r="C241" s="117" t="str">
        <x:v>Poder Público</x:v>
      </x:c>
      <x:c r="D241" s="120" t="n">
        <x:v>34803601615.049995</x:v>
      </x:c>
    </x:row>
    <x:row r="242">
      <x:c r="A242" s="117" t="str">
        <x:v>Outros</x:v>
      </x:c>
      <x:c r="B242" s="117" t="str">
        <x:v>Abr 2025</x:v>
      </x:c>
      <x:c r="C242" s="117" t="str">
        <x:v>Recebíveis Comerciais</x:v>
      </x:c>
      <x:c r="D242" s="120" t="n">
        <x:v>50125442.519999996</x:v>
      </x:c>
    </x:row>
    <x:row r="243">
      <x:c r="A243" s="117" t="str">
        <x:v>Outros</x:v>
      </x:c>
      <x:c r="B243" s="117" t="str">
        <x:v>Abr 2025</x:v>
      </x:c>
      <x:c r="C243" s="117" t="str">
        <x:v>Recuperação</x:v>
      </x:c>
      <x:c r="D243" s="120" t="n">
        <x:v>5400891979.7800045</x:v>
      </x:c>
    </x:row>
    <x:row r="244">
      <x:c r="A244" s="117" t="str">
        <x:v>Agro, Indústria e Comércio</x:v>
      </x:c>
      <x:c r="B244" s="117" t="str">
        <x:v>Mai 2025</x:v>
      </x:c>
      <x:c r="C244" s="117" t="str">
        <x:v>Agronegócio</x:v>
      </x:c>
      <x:c r="D244" s="120" t="n">
        <x:v>13706245229.13</x:v>
      </x:c>
    </x:row>
    <x:row r="245">
      <x:c r="A245" s="117" t="str">
        <x:v>Agro, Indústria e Comércio</x:v>
      </x:c>
      <x:c r="B245" s="117" t="str">
        <x:v>Mai 2025</x:v>
      </x:c>
      <x:c r="C245" s="117" t="str">
        <x:v>Crédito Corporativo</x:v>
      </x:c>
      <x:c r="D245" s="120" t="n">
        <x:v>3547775651.5500007</x:v>
      </x:c>
    </x:row>
    <x:row r="246">
      <x:c r="A246" s="117" t="str">
        <x:v>Agro, Indústria e Comércio</x:v>
      </x:c>
      <x:c r="B246" s="117" t="str">
        <x:v>Mai 2025</x:v>
      </x:c>
      <x:c r="C246" s="117" t="str">
        <x:v>Infraestrutura</x:v>
      </x:c>
      <x:c r="D246" s="120" t="n">
        <x:v>8752648290.79</x:v>
      </x:c>
    </x:row>
    <x:row r="247">
      <x:c r="A247" s="117" t="str">
        <x:v>Agro, Indústria e Comércio</x:v>
      </x:c>
      <x:c r="B247" s="117" t="str">
        <x:v>Mai 2025</x:v>
      </x:c>
      <x:c r="C247" s="117" t="str">
        <x:v>Multicarteira Agro, Indústria e Comércio</x:v>
      </x:c>
      <x:c r="D247" s="120" t="n">
        <x:v>13650581104.009993</x:v>
      </x:c>
    </x:row>
    <x:row r="248">
      <x:c r="A248" s="117" t="str">
        <x:v>Agro, Indústria e Comércio</x:v>
      </x:c>
      <x:c r="B248" s="117" t="str">
        <x:v>Mai 2025</x:v>
      </x:c>
      <x:c r="C248" s="117" t="str">
        <x:v>Não se aplica</x:v>
      </x:c>
      <x:c r="D248" s="120" t="n">
        <x:v>4983625742.329996</x:v>
      </x:c>
    </x:row>
    <x:row r="249">
      <x:c r="A249" s="117" t="str">
        <x:v>Agro, Indústria e Comércio</x:v>
      </x:c>
      <x:c r="B249" s="117" t="str">
        <x:v>Mai 2025</x:v>
      </x:c>
      <x:c r="C249" s="117" t="str">
        <x:v>Recebíveis Comerciais</x:v>
      </x:c>
      <x:c r="D249" s="120" t="n">
        <x:v>113463888245.83997</x:v>
      </x:c>
    </x:row>
    <x:row r="250">
      <x:c r="A250" s="117" t="str">
        <x:v>Financeiro</x:v>
      </x:c>
      <x:c r="B250" s="117" t="str">
        <x:v>Mai 2025</x:v>
      </x:c>
      <x:c r="C250" s="117" t="str">
        <x:v>Crédito Consignado</x:v>
      </x:c>
      <x:c r="D250" s="120" t="n">
        <x:v>24188212398.36001</x:v>
      </x:c>
    </x:row>
    <x:row r="251">
      <x:c r="A251" s="117" t="str">
        <x:v>Financeiro</x:v>
      </x:c>
      <x:c r="B251" s="117" t="str">
        <x:v>Mai 2025</x:v>
      </x:c>
      <x:c r="C251" s="117" t="str">
        <x:v>Crédito Imobiliário</x:v>
      </x:c>
      <x:c r="D251" s="120" t="n">
        <x:v>3248714141.56</x:v>
      </x:c>
    </x:row>
    <x:row r="252">
      <x:c r="A252" s="117" t="str">
        <x:v>Financeiro</x:v>
      </x:c>
      <x:c r="B252" s="117" t="str">
        <x:v>Mai 2025</x:v>
      </x:c>
      <x:c r="C252" s="117" t="str">
        <x:v>Crédito Pessoal</x:v>
      </x:c>
      <x:c r="D252" s="120" t="n">
        <x:v>82681644965.57993</x:v>
      </x:c>
    </x:row>
    <x:row r="253">
      <x:c r="A253" s="117" t="str">
        <x:v>Financeiro</x:v>
      </x:c>
      <x:c r="B253" s="117" t="str">
        <x:v>Mai 2025</x:v>
      </x:c>
      <x:c r="C253" s="117" t="str">
        <x:v>Financiamento de Veículos</x:v>
      </x:c>
      <x:c r="D253" s="120" t="n">
        <x:v>5132947545.67009</x:v>
      </x:c>
    </x:row>
    <x:row r="254">
      <x:c r="A254" s="117" t="str">
        <x:v>Financeiro</x:v>
      </x:c>
      <x:c r="B254" s="117" t="str">
        <x:v>Mai 2025</x:v>
      </x:c>
      <x:c r="C254" s="117" t="str">
        <x:v>Multicarteira Financeiro</x:v>
      </x:c>
      <x:c r="D254" s="120" t="n">
        <x:v>39904277594.579994</x:v>
      </x:c>
    </x:row>
    <x:row r="255">
      <x:c r="A255" s="117" t="str">
        <x:v>Financeiro</x:v>
      </x:c>
      <x:c r="B255" s="117" t="str">
        <x:v>Mai 2025</x:v>
      </x:c>
      <x:c r="C255" s="117" t="str">
        <x:v>Multicarteira Outros</x:v>
      </x:c>
      <x:c r="D255" s="120" t="n">
        <x:v>32103051.240000002</x:v>
      </x:c>
    </x:row>
    <x:row r="256">
      <x:c r="A256" s="117" t="str">
        <x:v>Financeiro</x:v>
      </x:c>
      <x:c r="B256" s="117" t="str">
        <x:v>Mai 2025</x:v>
      </x:c>
      <x:c r="C256" s="117" t="str">
        <x:v>Não se aplica</x:v>
      </x:c>
      <x:c r="D256" s="120" t="n">
        <x:v>68178859.81</x:v>
      </x:c>
    </x:row>
    <x:row r="257">
      <x:c r="A257" s="117" t="str">
        <x:v>Fomento Mercantil</x:v>
      </x:c>
      <x:c r="B257" s="117" t="str">
        <x:v>Mai 2025</x:v>
      </x:c>
      <x:c r="C257" s="117" t="str">
        <x:v>Crédito Consignado</x:v>
      </x:c>
      <x:c r="D257" s="120" t="n">
        <x:v>68552148.13</x:v>
      </x:c>
    </x:row>
    <x:row r="258">
      <x:c r="A258" s="117" t="str">
        <x:v>Fomento Mercantil</x:v>
      </x:c>
      <x:c r="B258" s="117" t="str">
        <x:v>Mai 2025</x:v>
      </x:c>
      <x:c r="C258" s="117" t="str">
        <x:v>Fomento Mercantil</x:v>
      </x:c>
      <x:c r="D258" s="120" t="n">
        <x:v>65642992647.70012</x:v>
      </x:c>
    </x:row>
    <x:row r="259">
      <x:c r="A259" s="117" t="str">
        <x:v>Fomento Mercantil</x:v>
      </x:c>
      <x:c r="B259" s="117" t="str">
        <x:v>Mai 2025</x:v>
      </x:c>
      <x:c r="C259" s="117" t="str">
        <x:v>Multicarteira Agro, Indústria e Comércio</x:v>
      </x:c>
      <x:c r="D259" s="120" t="n">
        <x:v>0</x:v>
      </x:c>
    </x:row>
    <x:row r="260">
      <x:c r="A260" s="117" t="str">
        <x:v>Fomento Mercantil</x:v>
      </x:c>
      <x:c r="B260" s="117" t="str">
        <x:v>Mai 2025</x:v>
      </x:c>
      <x:c r="C260" s="117" t="str">
        <x:v>Multicarteira Outros</x:v>
      </x:c>
      <x:c r="D260" s="120" t="n">
        <x:v>1426553548.7099996</x:v>
      </x:c>
    </x:row>
    <x:row r="261">
      <x:c r="A261" s="117" t="str">
        <x:v>Fomento Mercantil</x:v>
      </x:c>
      <x:c r="B261" s="117" t="str">
        <x:v>Mai 2025</x:v>
      </x:c>
      <x:c r="C261" s="117" t="str">
        <x:v>Poder Público</x:v>
      </x:c>
      <x:c r="D261" s="120" t="n">
        <x:v>23182383.9</x:v>
      </x:c>
    </x:row>
    <x:row r="262">
      <x:c r="A262" s="117" t="str">
        <x:v>Fomento Mercantil</x:v>
      </x:c>
      <x:c r="B262" s="117" t="str">
        <x:v>Mai 2025</x:v>
      </x:c>
      <x:c r="C262" s="117" t="str">
        <x:v>Recebíveis Comerciais</x:v>
      </x:c>
      <x:c r="D262" s="120" t="n">
        <x:v>21629659.849999998</x:v>
      </x:c>
    </x:row>
    <x:row r="263">
      <x:c r="A263" s="117" t="str">
        <x:v>Outros</x:v>
      </x:c>
      <x:c r="B263" s="117" t="str">
        <x:v>Mai 2025</x:v>
      </x:c>
      <x:c r="C263" s="117" t="str">
        <x:v>Crédito Consignado</x:v>
      </x:c>
      <x:c r="D263" s="120" t="n">
        <x:v>6814676.89</x:v>
      </x:c>
    </x:row>
    <x:row r="264">
      <x:c r="A264" s="117" t="str">
        <x:v>Outros</x:v>
      </x:c>
      <x:c r="B264" s="117" t="str">
        <x:v>Mai 2025</x:v>
      </x:c>
      <x:c r="C264" s="117" t="str">
        <x:v>Crédito Pessoal</x:v>
      </x:c>
      <x:c r="D264" s="120" t="n">
        <x:v>252443822.45999998</x:v>
      </x:c>
    </x:row>
    <x:row r="265">
      <x:c r="A265" s="117" t="str">
        <x:v>Outros</x:v>
      </x:c>
      <x:c r="B265" s="117" t="str">
        <x:v>Mai 2025</x:v>
      </x:c>
      <x:c r="C265" s="117" t="str">
        <x:v>Fomento Mercantil</x:v>
      </x:c>
      <x:c r="D265" s="120" t="n">
        <x:v>1449470141.6100001</x:v>
      </x:c>
    </x:row>
    <x:row r="266">
      <x:c r="A266" s="117" t="str">
        <x:v>Outros</x:v>
      </x:c>
      <x:c r="B266" s="117" t="str">
        <x:v>Mai 2025</x:v>
      </x:c>
      <x:c r="C266" s="117" t="str">
        <x:v>Multicarteira Agro, Indústria e Comércio</x:v>
      </x:c>
      <x:c r="D266" s="120" t="n">
        <x:v>368870745.19000006</x:v>
      </x:c>
    </x:row>
    <x:row r="267">
      <x:c r="A267" s="117" t="str">
        <x:v>Outros</x:v>
      </x:c>
      <x:c r="B267" s="117" t="str">
        <x:v>Mai 2025</x:v>
      </x:c>
      <x:c r="C267" s="117" t="str">
        <x:v>Multicarteira Outros</x:v>
      </x:c>
      <x:c r="D267" s="120" t="n">
        <x:v>218473901052.34717</x:v>
      </x:c>
    </x:row>
    <x:row r="268">
      <x:c r="A268" s="117" t="str">
        <x:v>Outros</x:v>
      </x:c>
      <x:c r="B268" s="117" t="str">
        <x:v>Mai 2025</x:v>
      </x:c>
      <x:c r="C268" s="117" t="str">
        <x:v>Multicategoria</x:v>
      </x:c>
      <x:c r="D268" s="120" t="n">
        <x:v>36933727.6</x:v>
      </x:c>
    </x:row>
    <x:row r="269">
      <x:c r="A269" s="117" t="str">
        <x:v>Outros</x:v>
      </x:c>
      <x:c r="B269" s="117" t="str">
        <x:v>Mai 2025</x:v>
      </x:c>
      <x:c r="C269" s="117" t="str">
        <x:v>Multiestratégia</x:v>
      </x:c>
      <x:c r="D269" s="120" t="n">
        <x:v>542777859.45</x:v>
      </x:c>
    </x:row>
    <x:row r="270">
      <x:c r="A270" s="117" t="str">
        <x:v>Outros</x:v>
      </x:c>
      <x:c r="B270" s="117" t="str">
        <x:v>Mai 2025</x:v>
      </x:c>
      <x:c r="C270" s="117" t="str">
        <x:v>Não se aplica</x:v>
      </x:c>
      <x:c r="D270" s="120" t="n">
        <x:v>1723109533.6299899</x:v>
      </x:c>
    </x:row>
    <x:row r="271">
      <x:c r="A271" s="117" t="str">
        <x:v>Outros</x:v>
      </x:c>
      <x:c r="B271" s="117" t="str">
        <x:v>Mai 2025</x:v>
      </x:c>
      <x:c r="C271" s="117" t="str">
        <x:v>Poder Público</x:v>
      </x:c>
      <x:c r="D271" s="120" t="n">
        <x:v>35890224577.93612</x:v>
      </x:c>
    </x:row>
    <x:row r="272">
      <x:c r="A272" s="117" t="str">
        <x:v>Outros</x:v>
      </x:c>
      <x:c r="B272" s="117" t="str">
        <x:v>Mai 2025</x:v>
      </x:c>
      <x:c r="C272" s="117" t="str">
        <x:v>Recebíveis Comerciais</x:v>
      </x:c>
      <x:c r="D272" s="120" t="n">
        <x:v>93348460.25000001</x:v>
      </x:c>
    </x:row>
    <x:row r="273">
      <x:c r="A273" s="117" t="str">
        <x:v>Outros</x:v>
      </x:c>
      <x:c r="B273" s="117" t="str">
        <x:v>Mai 2025</x:v>
      </x:c>
      <x:c r="C273" s="117" t="str">
        <x:v>Recuperação</x:v>
      </x:c>
      <x:c r="D273" s="120" t="n">
        <x:v>5511914509.349999</x:v>
      </x:c>
    </x:row>
    <x:row r="274">
      <x:c r="A274" s="117" t="str">
        <x:v>Agro, Indústria e Comércio</x:v>
      </x:c>
      <x:c r="B274" s="117" t="str">
        <x:v>Jun 2025</x:v>
      </x:c>
      <x:c r="C274" s="117" t="str">
        <x:v>Agronegócio</x:v>
      </x:c>
      <x:c r="D274" s="120" t="n">
        <x:v>12980699685.529991</x:v>
      </x:c>
    </x:row>
    <x:row r="275">
      <x:c r="A275" s="117" t="str">
        <x:v>Agro, Indústria e Comércio</x:v>
      </x:c>
      <x:c r="B275" s="117" t="str">
        <x:v>Jun 2025</x:v>
      </x:c>
      <x:c r="C275" s="117" t="str">
        <x:v>Crédito Corporativo</x:v>
      </x:c>
      <x:c r="D275" s="120" t="n">
        <x:v>3501287612.7699995</x:v>
      </x:c>
    </x:row>
    <x:row r="276">
      <x:c r="A276" s="117" t="str">
        <x:v>Agro, Indústria e Comércio</x:v>
      </x:c>
      <x:c r="B276" s="117" t="str">
        <x:v>Jun 2025</x:v>
      </x:c>
      <x:c r="C276" s="117" t="str">
        <x:v>Infraestrutura</x:v>
      </x:c>
      <x:c r="D276" s="120" t="n">
        <x:v>8797530373.409998</x:v>
      </x:c>
    </x:row>
    <x:row r="277">
      <x:c r="A277" s="117" t="str">
        <x:v>Agro, Indústria e Comércio</x:v>
      </x:c>
      <x:c r="B277" s="117" t="str">
        <x:v>Jun 2025</x:v>
      </x:c>
      <x:c r="C277" s="117" t="str">
        <x:v>Multicarteira Agro, Indústria e Comércio</x:v>
      </x:c>
      <x:c r="D277" s="120" t="n">
        <x:v>14430260135.89</x:v>
      </x:c>
    </x:row>
    <x:row r="278">
      <x:c r="A278" s="117" t="str">
        <x:v>Agro, Indústria e Comércio</x:v>
      </x:c>
      <x:c r="B278" s="117" t="str">
        <x:v>Jun 2025</x:v>
      </x:c>
      <x:c r="C278" s="117" t="str">
        <x:v>Não se aplica</x:v>
      </x:c>
      <x:c r="D278" s="120" t="n">
        <x:v>4904569411.219999</x:v>
      </x:c>
    </x:row>
    <x:row r="279">
      <x:c r="A279" s="117" t="str">
        <x:v>Agro, Indústria e Comércio</x:v>
      </x:c>
      <x:c r="B279" s="117" t="str">
        <x:v>Jun 2025</x:v>
      </x:c>
      <x:c r="C279" s="117" t="str">
        <x:v>Recebíveis Comerciais</x:v>
      </x:c>
      <x:c r="D279" s="120" t="n">
        <x:v>118331360774.68</x:v>
      </x:c>
    </x:row>
    <x:row r="280">
      <x:c r="A280" s="117" t="str">
        <x:v>Financeiro</x:v>
      </x:c>
      <x:c r="B280" s="117" t="str">
        <x:v>Jun 2025</x:v>
      </x:c>
      <x:c r="C280" s="117" t="str">
        <x:v>Crédito Consignado</x:v>
      </x:c>
      <x:c r="D280" s="120" t="n">
        <x:v>25642245578.589973</x:v>
      </x:c>
    </x:row>
    <x:row r="281">
      <x:c r="A281" s="117" t="str">
        <x:v>Financeiro</x:v>
      </x:c>
      <x:c r="B281" s="117" t="str">
        <x:v>Jun 2025</x:v>
      </x:c>
      <x:c r="C281" s="117" t="str">
        <x:v>Crédito Imobiliário</x:v>
      </x:c>
      <x:c r="D281" s="120" t="n">
        <x:v>3275646416.2100024</x:v>
      </x:c>
    </x:row>
    <x:row r="282">
      <x:c r="A282" s="117" t="str">
        <x:v>Financeiro</x:v>
      </x:c>
      <x:c r="B282" s="117" t="str">
        <x:v>Jun 2025</x:v>
      </x:c>
      <x:c r="C282" s="117" t="str">
        <x:v>Crédito Pessoal</x:v>
      </x:c>
      <x:c r="D282" s="120" t="n">
        <x:v>87438836479.61009</x:v>
      </x:c>
    </x:row>
    <x:row r="283">
      <x:c r="A283" s="117" t="str">
        <x:v>Financeiro</x:v>
      </x:c>
      <x:c r="B283" s="117" t="str">
        <x:v>Jun 2025</x:v>
      </x:c>
      <x:c r="C283" s="117" t="str">
        <x:v>Financiamento de Veículos</x:v>
      </x:c>
      <x:c r="D283" s="120" t="n">
        <x:v>6629700218.54258</x:v>
      </x:c>
    </x:row>
    <x:row r="284">
      <x:c r="A284" s="117" t="str">
        <x:v>Financeiro</x:v>
      </x:c>
      <x:c r="B284" s="117" t="str">
        <x:v>Jun 2025</x:v>
      </x:c>
      <x:c r="C284" s="117" t="str">
        <x:v>Multicarteira Financeiro</x:v>
      </x:c>
      <x:c r="D284" s="120" t="n">
        <x:v>40644627242.97001</x:v>
      </x:c>
    </x:row>
    <x:row r="285">
      <x:c r="A285" s="117" t="str">
        <x:v>Financeiro</x:v>
      </x:c>
      <x:c r="B285" s="117" t="str">
        <x:v>Jun 2025</x:v>
      </x:c>
      <x:c r="C285" s="117" t="str">
        <x:v>Multicarteira Outros</x:v>
      </x:c>
      <x:c r="D285" s="120" t="n">
        <x:v>32785799.5</x:v>
      </x:c>
    </x:row>
    <x:row r="286">
      <x:c r="A286" s="117" t="str">
        <x:v>Financeiro</x:v>
      </x:c>
      <x:c r="B286" s="117" t="str">
        <x:v>Jun 2025</x:v>
      </x:c>
      <x:c r="C286" s="117" t="str">
        <x:v>Não se aplica</x:v>
      </x:c>
      <x:c r="D286" s="120" t="n">
        <x:v>65891786.150000006</x:v>
      </x:c>
    </x:row>
    <x:row r="287">
      <x:c r="A287" s="117" t="str">
        <x:v>Fomento Mercantil</x:v>
      </x:c>
      <x:c r="B287" s="117" t="str">
        <x:v>Jun 2025</x:v>
      </x:c>
      <x:c r="C287" s="117" t="str">
        <x:v>Crédito Consignado</x:v>
      </x:c>
      <x:c r="D287" s="120" t="n">
        <x:v>72680003.07</x:v>
      </x:c>
    </x:row>
    <x:row r="288">
      <x:c r="A288" s="117" t="str">
        <x:v>Fomento Mercantil</x:v>
      </x:c>
      <x:c r="B288" s="117" t="str">
        <x:v>Jun 2025</x:v>
      </x:c>
      <x:c r="C288" s="117" t="str">
        <x:v>Fomento Mercantil</x:v>
      </x:c>
      <x:c r="D288" s="120" t="n">
        <x:v>69150657921.91</x:v>
      </x:c>
    </x:row>
    <x:row r="289">
      <x:c r="A289" s="117" t="str">
        <x:v>Fomento Mercantil</x:v>
      </x:c>
      <x:c r="B289" s="117" t="str">
        <x:v>Jun 2025</x:v>
      </x:c>
      <x:c r="C289" s="117" t="str">
        <x:v>Multicarteira Outros</x:v>
      </x:c>
      <x:c r="D289" s="120" t="n">
        <x:v>1351121412.8899999</x:v>
      </x:c>
    </x:row>
    <x:row r="290">
      <x:c r="A290" s="117" t="str">
        <x:v>Fomento Mercantil</x:v>
      </x:c>
      <x:c r="B290" s="117" t="str">
        <x:v>Jun 2025</x:v>
      </x:c>
      <x:c r="C290" s="117" t="str">
        <x:v>Poder Público</x:v>
      </x:c>
      <x:c r="D290" s="120" t="n">
        <x:v>23988759.43</x:v>
      </x:c>
    </x:row>
    <x:row r="291">
      <x:c r="A291" s="117" t="str">
        <x:v>Fomento Mercantil</x:v>
      </x:c>
      <x:c r="B291" s="117" t="str">
        <x:v>Jun 2025</x:v>
      </x:c>
      <x:c r="C291" s="117" t="str">
        <x:v>Recebíveis Comerciais</x:v>
      </x:c>
      <x:c r="D291" s="120" t="n">
        <x:v>23555541.66</x:v>
      </x:c>
    </x:row>
    <x:row r="292">
      <x:c r="A292" s="117" t="str">
        <x:v>Outros</x:v>
      </x:c>
      <x:c r="B292" s="117" t="str">
        <x:v>Jun 2025</x:v>
      </x:c>
      <x:c r="C292" s="117" t="str">
        <x:v>Crédito Consignado</x:v>
      </x:c>
      <x:c r="D292" s="120" t="n">
        <x:v>7224751.66</x:v>
      </x:c>
    </x:row>
    <x:row r="293">
      <x:c r="A293" s="117" t="str">
        <x:v>Outros</x:v>
      </x:c>
      <x:c r="B293" s="117" t="str">
        <x:v>Jun 2025</x:v>
      </x:c>
      <x:c r="C293" s="117" t="str">
        <x:v>Crédito Pessoal</x:v>
      </x:c>
      <x:c r="D293" s="120" t="n">
        <x:v>271526941.87</x:v>
      </x:c>
    </x:row>
    <x:row r="294">
      <x:c r="A294" s="117" t="str">
        <x:v>Outros</x:v>
      </x:c>
      <x:c r="B294" s="117" t="str">
        <x:v>Jun 2025</x:v>
      </x:c>
      <x:c r="C294" s="117" t="str">
        <x:v>Fomento Mercantil</x:v>
      </x:c>
      <x:c r="D294" s="120" t="n">
        <x:v>1000848162.3199998</x:v>
      </x:c>
    </x:row>
    <x:row r="295">
      <x:c r="A295" s="117" t="str">
        <x:v>Outros</x:v>
      </x:c>
      <x:c r="B295" s="117" t="str">
        <x:v>Jun 2025</x:v>
      </x:c>
      <x:c r="C295" s="117" t="str">
        <x:v>Multicarteira Agro, Indústria e Comércio</x:v>
      </x:c>
      <x:c r="D295" s="120" t="n">
        <x:v>120884487.57</x:v>
      </x:c>
    </x:row>
    <x:row r="296">
      <x:c r="A296" s="117" t="str">
        <x:v>Outros</x:v>
      </x:c>
      <x:c r="B296" s="117" t="str">
        <x:v>Jun 2025</x:v>
      </x:c>
      <x:c r="C296" s="117" t="str">
        <x:v>Multicarteira Outros</x:v>
      </x:c>
      <x:c r="D296" s="120" t="n">
        <x:v>241240717194.97205</x:v>
      </x:c>
    </x:row>
    <x:row r="297">
      <x:c r="A297" s="117" t="str">
        <x:v>Outros</x:v>
      </x:c>
      <x:c r="B297" s="117" t="str">
        <x:v>Jun 2025</x:v>
      </x:c>
      <x:c r="C297" s="117" t="str">
        <x:v>Multicategoria</x:v>
      </x:c>
      <x:c r="D297" s="120" t="n">
        <x:v>36520645.29</x:v>
      </x:c>
    </x:row>
    <x:row r="298">
      <x:c r="A298" s="117" t="str">
        <x:v>Outros</x:v>
      </x:c>
      <x:c r="B298" s="117" t="str">
        <x:v>Jun 2025</x:v>
      </x:c>
      <x:c r="C298" s="117" t="str">
        <x:v>Multiestratégia</x:v>
      </x:c>
      <x:c r="D298" s="120" t="n">
        <x:v>550860563.31</x:v>
      </x:c>
    </x:row>
    <x:row r="299">
      <x:c r="A299" s="117" t="str">
        <x:v>Outros</x:v>
      </x:c>
      <x:c r="B299" s="117" t="str">
        <x:v>Jun 2025</x:v>
      </x:c>
      <x:c r="C299" s="117" t="str">
        <x:v>Não se aplica</x:v>
      </x:c>
      <x:c r="D299" s="120" t="n">
        <x:v>161656863.29</x:v>
      </x:c>
    </x:row>
    <x:row r="300">
      <x:c r="A300" s="117" t="str">
        <x:v>Outros</x:v>
      </x:c>
      <x:c r="B300" s="117" t="str">
        <x:v>Jun 2025</x:v>
      </x:c>
      <x:c r="C300" s="117" t="str">
        <x:v>Poder Público</x:v>
      </x:c>
      <x:c r="D300" s="120" t="n">
        <x:v>43842937353.94998</x:v>
      </x:c>
    </x:row>
    <x:row r="301">
      <x:c r="A301" s="117" t="str">
        <x:v>Outros</x:v>
      </x:c>
      <x:c r="B301" s="117" t="str">
        <x:v>Jun 2025</x:v>
      </x:c>
      <x:c r="C301" s="117" t="str">
        <x:v>Recebíveis Comerciais</x:v>
      </x:c>
      <x:c r="D301" s="120" t="n">
        <x:v>74936058.33000001</x:v>
      </x:c>
    </x:row>
    <x:row r="302">
      <x:c r="A302" s="117" t="str">
        <x:v>Outros</x:v>
      </x:c>
      <x:c r="B302" s="117" t="str">
        <x:v>Jun 2025</x:v>
      </x:c>
      <x:c r="C302" s="117" t="str">
        <x:v>Recuperação</x:v>
      </x:c>
      <x:c r="D302" s="120" t="n">
        <x:v>5632192866.279999</x:v>
      </x:c>
    </x:row>
    <x:row r="303">
      <x:c r="A303" s="117" t="str">
        <x:v>Agro, Indústria e Comércio</x:v>
      </x:c>
      <x:c r="B303" s="117" t="str">
        <x:v>Jul 2025</x:v>
      </x:c>
      <x:c r="C303" s="117" t="str">
        <x:v>Agronegócio</x:v>
      </x:c>
      <x:c r="D303" s="120" t="n">
        <x:v>11884833831.77</x:v>
      </x:c>
    </x:row>
    <x:row r="304">
      <x:c r="A304" s="117" t="str">
        <x:v>Agro, Indústria e Comércio</x:v>
      </x:c>
      <x:c r="B304" s="117" t="str">
        <x:v>Jul 2025</x:v>
      </x:c>
      <x:c r="C304" s="117" t="str">
        <x:v>Crédito Corporativo</x:v>
      </x:c>
      <x:c r="D304" s="120" t="n">
        <x:v>3533442434.6700006</x:v>
      </x:c>
    </x:row>
    <x:row r="305">
      <x:c r="A305" s="117" t="str">
        <x:v>Agro, Indústria e Comércio</x:v>
      </x:c>
      <x:c r="B305" s="117" t="str">
        <x:v>Jul 2025</x:v>
      </x:c>
      <x:c r="C305" s="117" t="str">
        <x:v>Infraestrutura</x:v>
      </x:c>
      <x:c r="D305" s="120" t="n">
        <x:v>8775403640.356031</x:v>
      </x:c>
    </x:row>
    <x:row r="306">
      <x:c r="A306" s="117" t="str">
        <x:v>Agro, Indústria e Comércio</x:v>
      </x:c>
      <x:c r="B306" s="117" t="str">
        <x:v>Jul 2025</x:v>
      </x:c>
      <x:c r="C306" s="117" t="str">
        <x:v>Multicarteira Agro, Indústria e Comércio</x:v>
      </x:c>
      <x:c r="D306" s="120" t="n">
        <x:v>14265180633.61001</x:v>
      </x:c>
    </x:row>
    <x:row r="307">
      <x:c r="A307" s="117" t="str">
        <x:v>Agro, Indústria e Comércio</x:v>
      </x:c>
      <x:c r="B307" s="117" t="str">
        <x:v>Jul 2025</x:v>
      </x:c>
      <x:c r="C307" s="117" t="str">
        <x:v>Não se aplica</x:v>
      </x:c>
      <x:c r="D307" s="120" t="n">
        <x:v>4426216394.28</x:v>
      </x:c>
    </x:row>
    <x:row r="308">
      <x:c r="A308" s="117" t="str">
        <x:v>Agro, Indústria e Comércio</x:v>
      </x:c>
      <x:c r="B308" s="117" t="str">
        <x:v>Jul 2025</x:v>
      </x:c>
      <x:c r="C308" s="117" t="str">
        <x:v>Recebíveis Comerciais</x:v>
      </x:c>
      <x:c r="D308" s="120" t="n">
        <x:v>117664289471.41058</x:v>
      </x:c>
    </x:row>
    <x:row r="309">
      <x:c r="A309" s="117" t="str">
        <x:v>Financeiro</x:v>
      </x:c>
      <x:c r="B309" s="117" t="str">
        <x:v>Jul 2025</x:v>
      </x:c>
      <x:c r="C309" s="117" t="str">
        <x:v>Crédito Consignado</x:v>
      </x:c>
      <x:c r="D309" s="120" t="n">
        <x:v>25880834353.349987</x:v>
      </x:c>
    </x:row>
    <x:row r="310">
      <x:c r="A310" s="117" t="str">
        <x:v>Financeiro</x:v>
      </x:c>
      <x:c r="B310" s="117" t="str">
        <x:v>Jul 2025</x:v>
      </x:c>
      <x:c r="C310" s="117" t="str">
        <x:v>Crédito Imobiliário</x:v>
      </x:c>
      <x:c r="D310" s="120" t="n">
        <x:v>3320857345.17</x:v>
      </x:c>
    </x:row>
    <x:row r="311">
      <x:c r="A311" s="117" t="str">
        <x:v>Financeiro</x:v>
      </x:c>
      <x:c r="B311" s="117" t="str">
        <x:v>Jul 2025</x:v>
      </x:c>
      <x:c r="C311" s="117" t="str">
        <x:v>Crédito Pessoal</x:v>
      </x:c>
      <x:c r="D311" s="120" t="n">
        <x:v>89526591191.28004</x:v>
      </x:c>
    </x:row>
    <x:row r="312">
      <x:c r="A312" s="117" t="str">
        <x:v>Financeiro</x:v>
      </x:c>
      <x:c r="B312" s="117" t="str">
        <x:v>Jul 2025</x:v>
      </x:c>
      <x:c r="C312" s="117" t="str">
        <x:v>Financiamento de Veículos</x:v>
      </x:c>
      <x:c r="D312" s="120" t="n">
        <x:v>7555790706.289999</x:v>
      </x:c>
    </x:row>
    <x:row r="313">
      <x:c r="A313" s="117" t="str">
        <x:v>Financeiro</x:v>
      </x:c>
      <x:c r="B313" s="117" t="str">
        <x:v>Jul 2025</x:v>
      </x:c>
      <x:c r="C313" s="117" t="str">
        <x:v>Multicarteira Financeiro</x:v>
      </x:c>
      <x:c r="D313" s="120" t="n">
        <x:v>41130469524.67</x:v>
      </x:c>
    </x:row>
    <x:row r="314">
      <x:c r="A314" s="117" t="str">
        <x:v>Financeiro</x:v>
      </x:c>
      <x:c r="B314" s="117" t="str">
        <x:v>Jul 2025</x:v>
      </x:c>
      <x:c r="C314" s="117" t="str">
        <x:v>Multicarteira Outros</x:v>
      </x:c>
      <x:c r="D314" s="120" t="n">
        <x:v>38168361.2</x:v>
      </x:c>
    </x:row>
    <x:row r="315">
      <x:c r="A315" s="117" t="str">
        <x:v>Financeiro</x:v>
      </x:c>
      <x:c r="B315" s="117" t="str">
        <x:v>Jul 2025</x:v>
      </x:c>
      <x:c r="C315" s="117" t="str">
        <x:v>Não se aplica</x:v>
      </x:c>
      <x:c r="D315" s="120" t="n">
        <x:v>67390997.34</x:v>
      </x:c>
    </x:row>
    <x:row r="316">
      <x:c r="A316" s="117" t="str">
        <x:v>Fomento Mercantil</x:v>
      </x:c>
      <x:c r="B316" s="117" t="str">
        <x:v>Jul 2025</x:v>
      </x:c>
      <x:c r="C316" s="117" t="str">
        <x:v>Crédito Consignado</x:v>
      </x:c>
      <x:c r="D316" s="120" t="n">
        <x:v>77773010.12</x:v>
      </x:c>
    </x:row>
    <x:row r="317">
      <x:c r="A317" s="117" t="str">
        <x:v>Fomento Mercantil</x:v>
      </x:c>
      <x:c r="B317" s="117" t="str">
        <x:v>Jul 2025</x:v>
      </x:c>
      <x:c r="C317" s="117" t="str">
        <x:v>Fomento Mercantil</x:v>
      </x:c>
      <x:c r="D317" s="120" t="n">
        <x:v>70308405213.09996</x:v>
      </x:c>
    </x:row>
    <x:row r="318">
      <x:c r="A318" s="117" t="str">
        <x:v>Fomento Mercantil</x:v>
      </x:c>
      <x:c r="B318" s="117" t="str">
        <x:v>Jul 2025</x:v>
      </x:c>
      <x:c r="C318" s="117" t="str">
        <x:v>Multicarteira Outros</x:v>
      </x:c>
      <x:c r="D318" s="120" t="n">
        <x:v>1290669092.47</x:v>
      </x:c>
    </x:row>
    <x:row r="319">
      <x:c r="A319" s="117" t="str">
        <x:v>Fomento Mercantil</x:v>
      </x:c>
      <x:c r="B319" s="117" t="str">
        <x:v>Jul 2025</x:v>
      </x:c>
      <x:c r="C319" s="117" t="str">
        <x:v>Poder Público</x:v>
      </x:c>
      <x:c r="D319" s="120" t="n">
        <x:v>27436433.159999996</x:v>
      </x:c>
    </x:row>
    <x:row r="320">
      <x:c r="A320" s="117" t="str">
        <x:v>Fomento Mercantil</x:v>
      </x:c>
      <x:c r="B320" s="117" t="str">
        <x:v>Jul 2025</x:v>
      </x:c>
      <x:c r="C320" s="117" t="str">
        <x:v>Recebíveis Comerciais</x:v>
      </x:c>
      <x:c r="D320" s="120" t="n">
        <x:v>25171679.669999998</x:v>
      </x:c>
    </x:row>
    <x:row r="321">
      <x:c r="A321" s="117" t="str">
        <x:v>Outros</x:v>
      </x:c>
      <x:c r="B321" s="117" t="str">
        <x:v>Jul 2025</x:v>
      </x:c>
      <x:c r="C321" s="117" t="str">
        <x:v>Crédito Consignado</x:v>
      </x:c>
      <x:c r="D321" s="120" t="n">
        <x:v>7594206.64</x:v>
      </x:c>
    </x:row>
    <x:row r="322">
      <x:c r="A322" s="117" t="str">
        <x:v>Outros</x:v>
      </x:c>
      <x:c r="B322" s="117" t="str">
        <x:v>Jul 2025</x:v>
      </x:c>
      <x:c r="C322" s="117" t="str">
        <x:v>Crédito Pessoal</x:v>
      </x:c>
      <x:c r="D322" s="120" t="n">
        <x:v>307057173.15999997</x:v>
      </x:c>
    </x:row>
    <x:row r="323">
      <x:c r="A323" s="117" t="str">
        <x:v>Outros</x:v>
      </x:c>
      <x:c r="B323" s="117" t="str">
        <x:v>Jul 2025</x:v>
      </x:c>
      <x:c r="C323" s="117" t="str">
        <x:v>Fomento Mercantil</x:v>
      </x:c>
      <x:c r="D323" s="120" t="n">
        <x:v>1070419650.9199998</x:v>
      </x:c>
    </x:row>
    <x:row r="324">
      <x:c r="A324" s="117" t="str">
        <x:v>Outros</x:v>
      </x:c>
      <x:c r="B324" s="117" t="str">
        <x:v>Jul 2025</x:v>
      </x:c>
      <x:c r="C324" s="117" t="str">
        <x:v>Multicarteira Agro, Indústria e Comércio</x:v>
      </x:c>
      <x:c r="D324" s="120" t="n">
        <x:v>114126071.46</x:v>
      </x:c>
    </x:row>
    <x:row r="325">
      <x:c r="A325" s="117" t="str">
        <x:v>Outros</x:v>
      </x:c>
      <x:c r="B325" s="117" t="str">
        <x:v>Jul 2025</x:v>
      </x:c>
      <x:c r="C325" s="117" t="str">
        <x:v>Multicarteira Outros</x:v>
      </x:c>
      <x:c r="D325" s="120" t="n">
        <x:v>248363619955.50757</x:v>
      </x:c>
    </x:row>
    <x:row r="326">
      <x:c r="A326" s="117" t="str">
        <x:v>Outros</x:v>
      </x:c>
      <x:c r="B326" s="117" t="str">
        <x:v>Jul 2025</x:v>
      </x:c>
      <x:c r="C326" s="117" t="str">
        <x:v>Multicategoria</x:v>
      </x:c>
      <x:c r="D326" s="120" t="n">
        <x:v>36477632.629999995</x:v>
      </x:c>
    </x:row>
    <x:row r="327">
      <x:c r="A327" s="117" t="str">
        <x:v>Outros</x:v>
      </x:c>
      <x:c r="B327" s="117" t="str">
        <x:v>Jul 2025</x:v>
      </x:c>
      <x:c r="C327" s="117" t="str">
        <x:v>Multiestratégia</x:v>
      </x:c>
      <x:c r="D327" s="120" t="n">
        <x:v>558827014.8599999</x:v>
      </x:c>
    </x:row>
    <x:row r="328">
      <x:c r="A328" s="117" t="str">
        <x:v>Outros</x:v>
      </x:c>
      <x:c r="B328" s="117" t="str">
        <x:v>Jul 2025</x:v>
      </x:c>
      <x:c r="C328" s="117" t="str">
        <x:v>Não se aplica</x:v>
      </x:c>
      <x:c r="D328" s="120" t="n">
        <x:v>169823865.35000002</x:v>
      </x:c>
    </x:row>
    <x:row r="329">
      <x:c r="A329" s="117" t="str">
        <x:v>Outros</x:v>
      </x:c>
      <x:c r="B329" s="117" t="str">
        <x:v>Jul 2025</x:v>
      </x:c>
      <x:c r="C329" s="117" t="str">
        <x:v>Poder Público</x:v>
      </x:c>
      <x:c r="D329" s="120" t="n">
        <x:v>44361983626.92998</x:v>
      </x:c>
    </x:row>
    <x:row r="330">
      <x:c r="A330" s="117" t="str">
        <x:v>Outros</x:v>
      </x:c>
      <x:c r="B330" s="117" t="str">
        <x:v>Jul 2025</x:v>
      </x:c>
      <x:c r="C330" s="117" t="str">
        <x:v>Recebíveis Comerciais</x:v>
      </x:c>
      <x:c r="D330" s="120" t="n">
        <x:v>71876810.96000001</x:v>
      </x:c>
    </x:row>
    <x:row r="331">
      <x:c r="A331" s="117" t="str">
        <x:v>Outros</x:v>
      </x:c>
      <x:c r="B331" s="117" t="str">
        <x:v>Jul 2025</x:v>
      </x:c>
      <x:c r="C331" s="117" t="str">
        <x:v>Recuperação</x:v>
      </x:c>
      <x:c r="D331" s="120" t="n">
        <x:v>5883968177.33</x:v>
      </x:c>
    </x:row>
    <x:row r="332">
      <x:c r="A332" s="117" t="str">
        <x:v>Agro, Indústria e Comércio</x:v>
      </x:c>
      <x:c r="B332" s="117" t="str">
        <x:v>Ago 2025</x:v>
      </x:c>
      <x:c r="C332" s="117" t="str">
        <x:v>Agronegócio</x:v>
      </x:c>
      <x:c r="D332" s="120" t="n">
        <x:v>12025934805.65</x:v>
      </x:c>
    </x:row>
    <x:row r="333">
      <x:c r="A333" s="117" t="str">
        <x:v>Agro, Indústria e Comércio</x:v>
      </x:c>
      <x:c r="B333" s="117" t="str">
        <x:v>Ago 2025</x:v>
      </x:c>
      <x:c r="C333" s="117" t="str">
        <x:v>Crédito Corporativo</x:v>
      </x:c>
      <x:c r="D333" s="120" t="n">
        <x:v>3600045941.7800007</x:v>
      </x:c>
    </x:row>
    <x:row r="334">
      <x:c r="A334" s="117" t="str">
        <x:v>Agro, Indústria e Comércio</x:v>
      </x:c>
      <x:c r="B334" s="117" t="str">
        <x:v>Ago 2025</x:v>
      </x:c>
      <x:c r="C334" s="117" t="str">
        <x:v>Crédito Pessoal</x:v>
      </x:c>
      <x:c r="D334" s="120" t="n">
        <x:v>107325507.64</x:v>
      </x:c>
    </x:row>
    <x:row r="335">
      <x:c r="A335" s="117" t="str">
        <x:v>Agro, Indústria e Comércio</x:v>
      </x:c>
      <x:c r="B335" s="117" t="str">
        <x:v>Ago 2025</x:v>
      </x:c>
      <x:c r="C335" s="117" t="str">
        <x:v>Infraestrutura</x:v>
      </x:c>
      <x:c r="D335" s="120" t="n">
        <x:v>8730826269.46729</x:v>
      </x:c>
    </x:row>
    <x:row r="336">
      <x:c r="A336" s="117" t="str">
        <x:v>Agro, Indústria e Comércio</x:v>
      </x:c>
      <x:c r="B336" s="117" t="str">
        <x:v>Ago 2025</x:v>
      </x:c>
      <x:c r="C336" s="117" t="str">
        <x:v>Multicarteira Agro, Indústria e Comércio</x:v>
      </x:c>
      <x:c r="D336" s="120" t="n">
        <x:v>14883826212.52</x:v>
      </x:c>
    </x:row>
    <x:row r="337">
      <x:c r="A337" s="117" t="str">
        <x:v>Agro, Indústria e Comércio</x:v>
      </x:c>
      <x:c r="B337" s="117" t="str">
        <x:v>Ago 2025</x:v>
      </x:c>
      <x:c r="C337" s="117" t="str">
        <x:v>Não se aplica</x:v>
      </x:c>
      <x:c r="D337" s="120" t="n">
        <x:v>4542794826.730003</x:v>
      </x:c>
    </x:row>
    <x:row r="338">
      <x:c r="A338" s="117" t="str">
        <x:v>Agro, Indústria e Comércio</x:v>
      </x:c>
      <x:c r="B338" s="117" t="str">
        <x:v>Ago 2025</x:v>
      </x:c>
      <x:c r="C338" s="117" t="str">
        <x:v>Recebíveis Comerciais</x:v>
      </x:c>
      <x:c r="D338" s="120" t="n">
        <x:v>113260990446.27031</x:v>
      </x:c>
    </x:row>
    <x:row r="339">
      <x:c r="A339" s="117" t="str">
        <x:v>Financeiro</x:v>
      </x:c>
      <x:c r="B339" s="117" t="str">
        <x:v>Ago 2025</x:v>
      </x:c>
      <x:c r="C339" s="117" t="str">
        <x:v>Crédito Consignado</x:v>
      </x:c>
      <x:c r="D339" s="120" t="n">
        <x:v>25976855689.75999</x:v>
      </x:c>
    </x:row>
    <x:row r="340">
      <x:c r="A340" s="117" t="str">
        <x:v>Financeiro</x:v>
      </x:c>
      <x:c r="B340" s="117" t="str">
        <x:v>Ago 2025</x:v>
      </x:c>
      <x:c r="C340" s="117" t="str">
        <x:v>Crédito Imobiliário</x:v>
      </x:c>
      <x:c r="D340" s="120" t="n">
        <x:v>3369083766.220001</x:v>
      </x:c>
    </x:row>
    <x:row r="341">
      <x:c r="A341" s="117" t="str">
        <x:v>Financeiro</x:v>
      </x:c>
      <x:c r="B341" s="117" t="str">
        <x:v>Ago 2025</x:v>
      </x:c>
      <x:c r="C341" s="117" t="str">
        <x:v>Crédito Pessoal</x:v>
      </x:c>
      <x:c r="D341" s="120" t="n">
        <x:v>91009226353.58995</x:v>
      </x:c>
    </x:row>
    <x:row r="342">
      <x:c r="A342" s="117" t="str">
        <x:v>Financeiro</x:v>
      </x:c>
      <x:c r="B342" s="117" t="str">
        <x:v>Ago 2025</x:v>
      </x:c>
      <x:c r="C342" s="117" t="str">
        <x:v>Financiamento de Veículos</x:v>
      </x:c>
      <x:c r="D342" s="120" t="n">
        <x:v>9493027719.570312</x:v>
      </x:c>
    </x:row>
    <x:row r="343">
      <x:c r="A343" s="117" t="str">
        <x:v>Financeiro</x:v>
      </x:c>
      <x:c r="B343" s="117" t="str">
        <x:v>Ago 2025</x:v>
      </x:c>
      <x:c r="C343" s="117" t="str">
        <x:v>Multicarteira Financeiro</x:v>
      </x:c>
      <x:c r="D343" s="120" t="n">
        <x:v>41657395253.96</x:v>
      </x:c>
    </x:row>
    <x:row r="344">
      <x:c r="A344" s="117" t="str">
        <x:v>Financeiro</x:v>
      </x:c>
      <x:c r="B344" s="117" t="str">
        <x:v>Ago 2025</x:v>
      </x:c>
      <x:c r="C344" s="117" t="str">
        <x:v>Multicarteira Outros</x:v>
      </x:c>
      <x:c r="D344" s="120" t="n">
        <x:v>29707056.16</x:v>
      </x:c>
    </x:row>
    <x:row r="345">
      <x:c r="A345" s="117" t="str">
        <x:v>Financeiro</x:v>
      </x:c>
      <x:c r="B345" s="117" t="str">
        <x:v>Ago 2025</x:v>
      </x:c>
      <x:c r="C345" s="117" t="str">
        <x:v>Não se aplica</x:v>
      </x:c>
      <x:c r="D345" s="120" t="n">
        <x:v>64898306.63999999</x:v>
      </x:c>
    </x:row>
    <x:row r="346">
      <x:c r="A346" s="117" t="str">
        <x:v>Fomento Mercantil</x:v>
      </x:c>
      <x:c r="B346" s="117" t="str">
        <x:v>Ago 2025</x:v>
      </x:c>
      <x:c r="C346" s="117" t="str">
        <x:v>Crédito Consignado</x:v>
      </x:c>
      <x:c r="D346" s="120" t="n">
        <x:v>83592012.08000001</x:v>
      </x:c>
    </x:row>
    <x:row r="347">
      <x:c r="A347" s="117" t="str">
        <x:v>Fomento Mercantil</x:v>
      </x:c>
      <x:c r="B347" s="117" t="str">
        <x:v>Ago 2025</x:v>
      </x:c>
      <x:c r="C347" s="117" t="str">
        <x:v>Fomento Mercantil</x:v>
      </x:c>
      <x:c r="D347" s="120" t="n">
        <x:v>71626476960.30989</x:v>
      </x:c>
    </x:row>
    <x:row r="348">
      <x:c r="A348" s="117" t="str">
        <x:v>Fomento Mercantil</x:v>
      </x:c>
      <x:c r="B348" s="117" t="str">
        <x:v>Ago 2025</x:v>
      </x:c>
      <x:c r="C348" s="117" t="str">
        <x:v>Multicarteira Outros</x:v>
      </x:c>
      <x:c r="D348" s="120" t="n">
        <x:v>1334095186</x:v>
      </x:c>
    </x:row>
    <x:row r="349">
      <x:c r="A349" s="117" t="str">
        <x:v>Fomento Mercantil</x:v>
      </x:c>
      <x:c r="B349" s="117" t="str">
        <x:v>Ago 2025</x:v>
      </x:c>
      <x:c r="C349" s="117" t="str">
        <x:v>Poder Público</x:v>
      </x:c>
      <x:c r="D349" s="120" t="n">
        <x:v>29090018.03</x:v>
      </x:c>
    </x:row>
    <x:row r="350">
      <x:c r="A350" s="117" t="str">
        <x:v>Outros</x:v>
      </x:c>
      <x:c r="B350" s="117" t="str">
        <x:v>Ago 2025</x:v>
      </x:c>
      <x:c r="C350" s="117" t="str">
        <x:v>Crédito Consignado</x:v>
      </x:c>
      <x:c r="D350" s="120" t="n">
        <x:v>5330122.950000001</x:v>
      </x:c>
    </x:row>
    <x:row r="351">
      <x:c r="A351" s="117" t="str">
        <x:v>Outros</x:v>
      </x:c>
      <x:c r="B351" s="117" t="str">
        <x:v>Ago 2025</x:v>
      </x:c>
      <x:c r="C351" s="117" t="str">
        <x:v>Crédito Pessoal</x:v>
      </x:c>
      <x:c r="D351" s="120" t="n">
        <x:v>328262059.15999997</x:v>
      </x:c>
    </x:row>
    <x:row r="352">
      <x:c r="A352" s="117" t="str">
        <x:v>Outros</x:v>
      </x:c>
      <x:c r="B352" s="117" t="str">
        <x:v>Ago 2025</x:v>
      </x:c>
      <x:c r="C352" s="117" t="str">
        <x:v>Fomento Mercantil</x:v>
      </x:c>
      <x:c r="D352" s="120" t="n">
        <x:v>1126374465.3600001</x:v>
      </x:c>
    </x:row>
    <x:row r="353">
      <x:c r="A353" s="117" t="str">
        <x:v>Outros</x:v>
      </x:c>
      <x:c r="B353" s="117" t="str">
        <x:v>Ago 2025</x:v>
      </x:c>
      <x:c r="C353" s="117" t="str">
        <x:v>Multicarteira Agro, Indústria e Comércio</x:v>
      </x:c>
      <x:c r="D353" s="120" t="n">
        <x:v>115929592.41</x:v>
      </x:c>
    </x:row>
    <x:row r="354">
      <x:c r="A354" s="117" t="str">
        <x:v>Outros</x:v>
      </x:c>
      <x:c r="B354" s="117" t="str">
        <x:v>Ago 2025</x:v>
      </x:c>
      <x:c r="C354" s="117" t="str">
        <x:v>Multicarteira Outros</x:v>
      </x:c>
      <x:c r="D354" s="120" t="n">
        <x:v>244553197574.5575</x:v>
      </x:c>
    </x:row>
    <x:row r="355">
      <x:c r="A355" s="117" t="str">
        <x:v>Outros</x:v>
      </x:c>
      <x:c r="B355" s="117" t="str">
        <x:v>Ago 2025</x:v>
      </x:c>
      <x:c r="C355" s="117" t="str">
        <x:v>Multicategoria</x:v>
      </x:c>
      <x:c r="D355" s="120" t="n">
        <x:v>36404685.26</x:v>
      </x:c>
    </x:row>
    <x:row r="356">
      <x:c r="A356" s="117" t="str">
        <x:v>Outros</x:v>
      </x:c>
      <x:c r="B356" s="117" t="str">
        <x:v>Ago 2025</x:v>
      </x:c>
      <x:c r="C356" s="117" t="str">
        <x:v>Multiestratégia</x:v>
      </x:c>
      <x:c r="D356" s="120" t="n">
        <x:v>4695533.389999999</x:v>
      </x:c>
    </x:row>
    <x:row r="357">
      <x:c r="A357" s="117" t="str">
        <x:v>Outros</x:v>
      </x:c>
      <x:c r="B357" s="117" t="str">
        <x:v>Ago 2025</x:v>
      </x:c>
      <x:c r="C357" s="117" t="str">
        <x:v>Não se aplica</x:v>
      </x:c>
      <x:c r="D357" s="120" t="n">
        <x:v>172914220.43000004</x:v>
      </x:c>
    </x:row>
    <x:row r="358">
      <x:c r="A358" s="117" t="str">
        <x:v>Outros</x:v>
      </x:c>
      <x:c r="B358" s="117" t="str">
        <x:v>Ago 2025</x:v>
      </x:c>
      <x:c r="C358" s="117" t="str">
        <x:v>Poder Público</x:v>
      </x:c>
      <x:c r="D358" s="120" t="n">
        <x:v>44963203486.38999</x:v>
      </x:c>
    </x:row>
    <x:row r="359">
      <x:c r="A359" s="117" t="str">
        <x:v>Outros</x:v>
      </x:c>
      <x:c r="B359" s="117" t="str">
        <x:v>Ago 2025</x:v>
      </x:c>
      <x:c r="C359" s="117" t="str">
        <x:v>Recebíveis Comerciais</x:v>
      </x:c>
      <x:c r="D359" s="120" t="n">
        <x:v>69805695.78</x:v>
      </x:c>
    </x:row>
    <x:row r="360">
      <x:c r="A360" s="117" t="str">
        <x:v>Outros</x:v>
      </x:c>
      <x:c r="B360" s="117" t="str">
        <x:v>Ago 2025</x:v>
      </x:c>
      <x:c r="C360" s="117" t="str">
        <x:v>Recuperação</x:v>
      </x:c>
      <x:c r="D360" s="120" t="n">
        <x:v>5972377886.839998</x:v>
      </x:c>
    </x:row>
    <x:row r="361">
      <x:c r="A361" s="117" t="str">
        <x:v>Agro, Indústria e Comércio</x:v>
      </x:c>
      <x:c r="B361" s="117" t="str">
        <x:v>Set 2025</x:v>
      </x:c>
      <x:c r="C361" s="117" t="str">
        <x:v>Agronegócio</x:v>
      </x:c>
      <x:c r="D361" s="120" t="n">
        <x:v>11926036243.440002</x:v>
      </x:c>
    </x:row>
    <x:row r="362">
      <x:c r="A362" s="117" t="str">
        <x:v>Agro, Indústria e Comércio</x:v>
      </x:c>
      <x:c r="B362" s="117" t="str">
        <x:v>Set 2025</x:v>
      </x:c>
      <x:c r="C362" s="117" t="str">
        <x:v>Crédito Corporativo</x:v>
      </x:c>
      <x:c r="D362" s="120" t="n">
        <x:v>3681796515.639999</x:v>
      </x:c>
    </x:row>
    <x:row r="363">
      <x:c r="A363" s="117" t="str">
        <x:v>Agro, Indústria e Comércio</x:v>
      </x:c>
      <x:c r="B363" s="117" t="str">
        <x:v>Set 2025</x:v>
      </x:c>
      <x:c r="C363" s="117" t="str">
        <x:v>Crédito Pessoal</x:v>
      </x:c>
      <x:c r="D363" s="120" t="n">
        <x:v>108938197.83</x:v>
      </x:c>
    </x:row>
    <x:row r="364">
      <x:c r="A364" s="117" t="str">
        <x:v>Agro, Indústria e Comércio</x:v>
      </x:c>
      <x:c r="B364" s="117" t="str">
        <x:v>Set 2025</x:v>
      </x:c>
      <x:c r="C364" s="117" t="str">
        <x:v>Infraestrutura</x:v>
      </x:c>
      <x:c r="D364" s="120" t="n">
        <x:v>8811059295.664528</x:v>
      </x:c>
    </x:row>
    <x:row r="365">
      <x:c r="A365" s="117" t="str">
        <x:v>Agro, Indústria e Comércio</x:v>
      </x:c>
      <x:c r="B365" s="117" t="str">
        <x:v>Set 2025</x:v>
      </x:c>
      <x:c r="C365" s="117" t="str">
        <x:v>Multicarteira Agro, Indústria e Comércio</x:v>
      </x:c>
      <x:c r="D365" s="120" t="n">
        <x:v>15058324316.570004</x:v>
      </x:c>
    </x:row>
    <x:row r="366">
      <x:c r="A366" s="117" t="str">
        <x:v>Agro, Indústria e Comércio</x:v>
      </x:c>
      <x:c r="B366" s="117" t="str">
        <x:v>Set 2025</x:v>
      </x:c>
      <x:c r="C366" s="117" t="str">
        <x:v>Não se aplica</x:v>
      </x:c>
      <x:c r="D366" s="120" t="n">
        <x:v>1244709721.0400002</x:v>
      </x:c>
    </x:row>
    <x:row r="367">
      <x:c r="A367" s="117" t="str">
        <x:v>Agro, Indústria e Comércio</x:v>
      </x:c>
      <x:c r="B367" s="117" t="str">
        <x:v>Set 2025</x:v>
      </x:c>
      <x:c r="C367" s="117" t="str">
        <x:v>Recebíveis Comerciais</x:v>
      </x:c>
      <x:c r="D367" s="120" t="n">
        <x:v>110405728906.18004</x:v>
      </x:c>
    </x:row>
    <x:row r="368">
      <x:c r="A368" s="117" t="str">
        <x:v>Financeiro</x:v>
      </x:c>
      <x:c r="B368" s="117" t="str">
        <x:v>Set 2025</x:v>
      </x:c>
      <x:c r="C368" s="117" t="str">
        <x:v>Crédito Consignado</x:v>
      </x:c>
      <x:c r="D368" s="120" t="n">
        <x:v>27840858303.076504</x:v>
      </x:c>
    </x:row>
    <x:row r="369">
      <x:c r="A369" s="117" t="str">
        <x:v>Financeiro</x:v>
      </x:c>
      <x:c r="B369" s="117" t="str">
        <x:v>Set 2025</x:v>
      </x:c>
      <x:c r="C369" s="117" t="str">
        <x:v>Crédito Imobiliário</x:v>
      </x:c>
      <x:c r="D369" s="120" t="n">
        <x:v>3678701871.7999988</x:v>
      </x:c>
    </x:row>
    <x:row r="370">
      <x:c r="A370" s="117" t="str">
        <x:v>Financeiro</x:v>
      </x:c>
      <x:c r="B370" s="117" t="str">
        <x:v>Set 2025</x:v>
      </x:c>
      <x:c r="C370" s="117" t="str">
        <x:v>Crédito Pessoal</x:v>
      </x:c>
      <x:c r="D370" s="120" t="n">
        <x:v>93205175120.93056</x:v>
      </x:c>
    </x:row>
    <x:row r="371">
      <x:c r="A371" s="117" t="str">
        <x:v>Financeiro</x:v>
      </x:c>
      <x:c r="B371" s="117" t="str">
        <x:v>Set 2025</x:v>
      </x:c>
      <x:c r="C371" s="117" t="str">
        <x:v>Financiamento de Veículos</x:v>
      </x:c>
      <x:c r="D371" s="120" t="n">
        <x:v>9698123606.292892</x:v>
      </x:c>
    </x:row>
    <x:row r="372">
      <x:c r="A372" s="117" t="str">
        <x:v>Financeiro</x:v>
      </x:c>
      <x:c r="B372" s="117" t="str">
        <x:v>Set 2025</x:v>
      </x:c>
      <x:c r="C372" s="117" t="str">
        <x:v>Multicarteira Financeiro</x:v>
      </x:c>
      <x:c r="D372" s="120" t="n">
        <x:v>42497458126.28</x:v>
      </x:c>
    </x:row>
    <x:row r="373">
      <x:c r="A373" s="117" t="str">
        <x:v>Financeiro</x:v>
      </x:c>
      <x:c r="B373" s="117" t="str">
        <x:v>Set 2025</x:v>
      </x:c>
      <x:c r="C373" s="117" t="str">
        <x:v>Multicarteira Outros</x:v>
      </x:c>
      <x:c r="D373" s="120" t="n">
        <x:v>32136653.02</x:v>
      </x:c>
    </x:row>
    <x:row r="374">
      <x:c r="A374" s="117" t="str">
        <x:v>Financeiro</x:v>
      </x:c>
      <x:c r="B374" s="117" t="str">
        <x:v>Set 2025</x:v>
      </x:c>
      <x:c r="C374" s="117" t="str">
        <x:v>Não se aplica</x:v>
      </x:c>
      <x:c r="D374" s="120" t="n">
        <x:v>0</x:v>
      </x:c>
    </x:row>
    <x:row r="375">
      <x:c r="A375" s="117" t="str">
        <x:v>Fomento Mercantil</x:v>
      </x:c>
      <x:c r="B375" s="117" t="str">
        <x:v>Set 2025</x:v>
      </x:c>
      <x:c r="C375" s="117" t="str">
        <x:v>Crédito Consignado</x:v>
      </x:c>
      <x:c r="D375" s="120" t="n">
        <x:v>115554940.2</x:v>
      </x:c>
    </x:row>
    <x:row r="376">
      <x:c r="A376" s="117" t="str">
        <x:v>Fomento Mercantil</x:v>
      </x:c>
      <x:c r="B376" s="117" t="str">
        <x:v>Set 2025</x:v>
      </x:c>
      <x:c r="C376" s="117" t="str">
        <x:v>Fomento Mercantil</x:v>
      </x:c>
      <x:c r="D376" s="120" t="n">
        <x:v>75060202770.7963</x:v>
      </x:c>
    </x:row>
    <x:row r="377">
      <x:c r="A377" s="117" t="str">
        <x:v>Fomento Mercantil</x:v>
      </x:c>
      <x:c r="B377" s="117" t="str">
        <x:v>Set 2025</x:v>
      </x:c>
      <x:c r="C377" s="117" t="str">
        <x:v>Multicarteira Outros</x:v>
      </x:c>
      <x:c r="D377" s="120" t="n">
        <x:v>570746392.1</x:v>
      </x:c>
    </x:row>
    <x:row r="378">
      <x:c r="A378" s="117" t="str">
        <x:v>Fomento Mercantil</x:v>
      </x:c>
      <x:c r="B378" s="117" t="str">
        <x:v>Set 2025</x:v>
      </x:c>
      <x:c r="C378" s="117" t="str">
        <x:v>Poder Público</x:v>
      </x:c>
      <x:c r="D378" s="120" t="n">
        <x:v>30186900.77</x:v>
      </x:c>
    </x:row>
    <x:row r="379">
      <x:c r="A379" s="117" t="str">
        <x:v>Outros</x:v>
      </x:c>
      <x:c r="B379" s="117" t="str">
        <x:v>Set 2025</x:v>
      </x:c>
      <x:c r="C379" s="117" t="str">
        <x:v>Crédito Consignado</x:v>
      </x:c>
      <x:c r="D379" s="120" t="n">
        <x:v>5565634.57</x:v>
      </x:c>
    </x:row>
    <x:row r="380">
      <x:c r="A380" s="117" t="str">
        <x:v>Outros</x:v>
      </x:c>
      <x:c r="B380" s="117" t="str">
        <x:v>Set 2025</x:v>
      </x:c>
      <x:c r="C380" s="117" t="str">
        <x:v>Crédito Pessoal</x:v>
      </x:c>
      <x:c r="D380" s="120" t="n">
        <x:v>331181265.27000004</x:v>
      </x:c>
    </x:row>
    <x:row r="381">
      <x:c r="A381" s="117" t="str">
        <x:v>Outros</x:v>
      </x:c>
      <x:c r="B381" s="117" t="str">
        <x:v>Set 2025</x:v>
      </x:c>
      <x:c r="C381" s="117" t="str">
        <x:v>Fomento Mercantil</x:v>
      </x:c>
      <x:c r="D381" s="120" t="n">
        <x:v>912940251.8900001</x:v>
      </x:c>
    </x:row>
    <x:row r="382">
      <x:c r="A382" s="117" t="str">
        <x:v>Outros</x:v>
      </x:c>
      <x:c r="B382" s="117" t="str">
        <x:v>Set 2025</x:v>
      </x:c>
      <x:c r="C382" s="117" t="str">
        <x:v>Multicarteira Agro, Indústria e Comércio</x:v>
      </x:c>
      <x:c r="D382" s="120" t="n">
        <x:v>118174848.19</x:v>
      </x:c>
    </x:row>
    <x:row r="383">
      <x:c r="A383" s="117" t="str">
        <x:v>Outros</x:v>
      </x:c>
      <x:c r="B383" s="117" t="str">
        <x:v>Set 2025</x:v>
      </x:c>
      <x:c r="C383" s="117" t="str">
        <x:v>Multicarteira Outros</x:v>
      </x:c>
      <x:c r="D383" s="120" t="n">
        <x:v>253491509491.2046</x:v>
      </x:c>
    </x:row>
    <x:row r="384">
      <x:c r="A384" s="117" t="str">
        <x:v>Outros</x:v>
      </x:c>
      <x:c r="B384" s="117" t="str">
        <x:v>Set 2025</x:v>
      </x:c>
      <x:c r="C384" s="117" t="str">
        <x:v>Multicategoria</x:v>
      </x:c>
      <x:c r="D384" s="120" t="n">
        <x:v>36311342.059999995</x:v>
      </x:c>
    </x:row>
    <x:row r="385">
      <x:c r="A385" s="117" t="str">
        <x:v>Outros</x:v>
      </x:c>
      <x:c r="B385" s="117" t="str">
        <x:v>Set 2025</x:v>
      </x:c>
      <x:c r="C385" s="117" t="str">
        <x:v>Multiestratégia</x:v>
      </x:c>
      <x:c r="D385" s="120" t="n">
        <x:v>4659452.890000001</x:v>
      </x:c>
    </x:row>
    <x:row r="386">
      <x:c r="A386" s="117" t="str">
        <x:v>Outros</x:v>
      </x:c>
      <x:c r="B386" s="117" t="str">
        <x:v>Set 2025</x:v>
      </x:c>
      <x:c r="C386" s="117" t="str">
        <x:v>Não se aplica</x:v>
      </x:c>
      <x:c r="D386" s="120" t="n">
        <x:v>175373019.21</x:v>
      </x:c>
    </x:row>
    <x:row r="387">
      <x:c r="A387" s="117" t="str">
        <x:v>Outros</x:v>
      </x:c>
      <x:c r="B387" s="117" t="str">
        <x:v>Set 2025</x:v>
      </x:c>
      <x:c r="C387" s="117" t="str">
        <x:v>Poder Público</x:v>
      </x:c>
      <x:c r="D387" s="120" t="n">
        <x:v>45941905094.480034</x:v>
      </x:c>
    </x:row>
    <x:row r="388">
      <x:c r="A388" s="117" t="str">
        <x:v>Outros</x:v>
      </x:c>
      <x:c r="B388" s="117" t="str">
        <x:v>Set 2025</x:v>
      </x:c>
      <x:c r="C388" s="117" t="str">
        <x:v>Recebíveis Comerciais</x:v>
      </x:c>
      <x:c r="D388" s="120" t="n">
        <x:v>69963790.4</x:v>
      </x:c>
    </x:row>
    <x:row r="389">
      <x:c r="A389" s="117" t="str">
        <x:v>Outros</x:v>
      </x:c>
      <x:c r="B389" s="117" t="str">
        <x:v>Set 2025</x:v>
      </x:c>
      <x:c r="C389" s="117" t="str">
        <x:v>Recuperação</x:v>
      </x:c>
      <x:c r="D389" s="120" t="n">
        <x:v>5560673887.26</x:v>
      </x:c>
    </x:row>
    <x:row r="390">
      <x:c r="A390" s="117" t="str">
        <x:v>Agro, Indústria e Comércio</x:v>
      </x:c>
      <x:c r="B390" s="117" t="str">
        <x:v>Out 2025</x:v>
      </x:c>
      <x:c r="C390" s="117" t="str">
        <x:v>Agronegócio</x:v>
      </x:c>
      <x:c r="D390" s="120" t="n">
        <x:v>11561851871.93999</x:v>
      </x:c>
    </x:row>
    <x:row r="391">
      <x:c r="A391" s="117" t="str">
        <x:v>Agro, Indústria e Comércio</x:v>
      </x:c>
      <x:c r="B391" s="117" t="str">
        <x:v>Out 2025</x:v>
      </x:c>
      <x:c r="C391" s="117" t="str">
        <x:v>Crédito Corporativo</x:v>
      </x:c>
      <x:c r="D391" s="120" t="n">
        <x:v>3747952843.2</x:v>
      </x:c>
    </x:row>
    <x:row r="392">
      <x:c r="A392" s="117" t="str">
        <x:v>Agro, Indústria e Comércio</x:v>
      </x:c>
      <x:c r="B392" s="117" t="str">
        <x:v>Out 2025</x:v>
      </x:c>
      <x:c r="C392" s="117" t="str">
        <x:v>Crédito Pessoal</x:v>
      </x:c>
      <x:c r="D392" s="120" t="n">
        <x:v>0</x:v>
      </x:c>
    </x:row>
    <x:row r="393">
      <x:c r="A393" s="117" t="str">
        <x:v>Agro, Indústria e Comércio</x:v>
      </x:c>
      <x:c r="B393" s="117" t="str">
        <x:v>Out 2025</x:v>
      </x:c>
      <x:c r="C393" s="117" t="str">
        <x:v>Infraestrutura</x:v>
      </x:c>
      <x:c r="D393" s="120" t="n">
        <x:v>9065538769.460165</x:v>
      </x:c>
    </x:row>
    <x:row r="394">
      <x:c r="A394" s="117" t="str">
        <x:v>Agro, Indústria e Comércio</x:v>
      </x:c>
      <x:c r="B394" s="117" t="str">
        <x:v>Out 2025</x:v>
      </x:c>
      <x:c r="C394" s="117" t="str">
        <x:v>Multicarteira Agro, Indústria e Comércio</x:v>
      </x:c>
      <x:c r="D394" s="120" t="n">
        <x:v>15187783493.220009</x:v>
      </x:c>
    </x:row>
    <x:row r="395">
      <x:c r="A395" s="117" t="str">
        <x:v>Agro, Indústria e Comércio</x:v>
      </x:c>
      <x:c r="B395" s="117" t="str">
        <x:v>Out 2025</x:v>
      </x:c>
      <x:c r="C395" s="117" t="str">
        <x:v>Não se aplica</x:v>
      </x:c>
      <x:c r="D395" s="120" t="n">
        <x:v>1064506134.52</x:v>
      </x:c>
    </x:row>
    <x:row r="396">
      <x:c r="A396" s="117" t="str">
        <x:v>Agro, Indústria e Comércio</x:v>
      </x:c>
      <x:c r="B396" s="117" t="str">
        <x:v>Out 2025</x:v>
      </x:c>
      <x:c r="C396" s="117" t="str">
        <x:v>Recebíveis Comerciais</x:v>
      </x:c>
      <x:c r="D396" s="120" t="n">
        <x:v>109987249428.12006</x:v>
      </x:c>
    </x:row>
    <x:row r="397">
      <x:c r="A397" s="117" t="str">
        <x:v>Financeiro</x:v>
      </x:c>
      <x:c r="B397" s="117" t="str">
        <x:v>Out 2025</x:v>
      </x:c>
      <x:c r="C397" s="117" t="str">
        <x:v>Crédito Consignado</x:v>
      </x:c>
      <x:c r="D397" s="120" t="n">
        <x:v>29178674024.035835</x:v>
      </x:c>
    </x:row>
    <x:row r="398">
      <x:c r="A398" s="117" t="str">
        <x:v>Financeiro</x:v>
      </x:c>
      <x:c r="B398" s="117" t="str">
        <x:v>Out 2025</x:v>
      </x:c>
      <x:c r="C398" s="117" t="str">
        <x:v>Crédito Imobiliário</x:v>
      </x:c>
      <x:c r="D398" s="120" t="n">
        <x:v>3759532612.820001</x:v>
      </x:c>
    </x:row>
    <x:row r="399">
      <x:c r="A399" s="117" t="str">
        <x:v>Financeiro</x:v>
      </x:c>
      <x:c r="B399" s="117" t="str">
        <x:v>Out 2025</x:v>
      </x:c>
      <x:c r="C399" s="117" t="str">
        <x:v>Crédito Pessoal</x:v>
      </x:c>
      <x:c r="D399" s="120" t="n">
        <x:v>93852456952.44717</x:v>
      </x:c>
    </x:row>
    <x:row r="400">
      <x:c r="A400" s="117" t="str">
        <x:v>Financeiro</x:v>
      </x:c>
      <x:c r="B400" s="117" t="str">
        <x:v>Out 2025</x:v>
      </x:c>
      <x:c r="C400" s="117" t="str">
        <x:v>Financiamento de Veículos</x:v>
      </x:c>
      <x:c r="D400" s="120" t="n">
        <x:v>10142220436.269999</x:v>
      </x:c>
    </x:row>
    <x:row r="401">
      <x:c r="A401" s="117" t="str">
        <x:v>Financeiro</x:v>
      </x:c>
      <x:c r="B401" s="117" t="str">
        <x:v>Out 2025</x:v>
      </x:c>
      <x:c r="C401" s="117" t="str">
        <x:v>Multicarteira Financeiro</x:v>
      </x:c>
      <x:c r="D401" s="120" t="n">
        <x:v>43186179350.78</x:v>
      </x:c>
    </x:row>
    <x:row r="402">
      <x:c r="A402" s="117" t="str">
        <x:v>Financeiro</x:v>
      </x:c>
      <x:c r="B402" s="117" t="str">
        <x:v>Out 2025</x:v>
      </x:c>
      <x:c r="C402" s="117" t="str">
        <x:v>Multicarteira Outros</x:v>
      </x:c>
      <x:c r="D402" s="120" t="n">
        <x:v>72207623.14</x:v>
      </x:c>
    </x:row>
    <x:row r="403">
      <x:c r="A403" s="117" t="str">
        <x:v>Fomento Mercantil</x:v>
      </x:c>
      <x:c r="B403" s="117" t="str">
        <x:v>Out 2025</x:v>
      </x:c>
      <x:c r="C403" s="117" t="str">
        <x:v>Crédito Consignado</x:v>
      </x:c>
      <x:c r="D403" s="120" t="n">
        <x:v>146949342.27</x:v>
      </x:c>
    </x:row>
    <x:row r="404">
      <x:c r="A404" s="117" t="str">
        <x:v>Fomento Mercantil</x:v>
      </x:c>
      <x:c r="B404" s="117" t="str">
        <x:v>Out 2025</x:v>
      </x:c>
      <x:c r="C404" s="117" t="str">
        <x:v>Fomento Mercantil</x:v>
      </x:c>
      <x:c r="D404" s="120" t="n">
        <x:v>77155190547.7449</x:v>
      </x:c>
    </x:row>
    <x:row r="405">
      <x:c r="A405" s="117" t="str">
        <x:v>Fomento Mercantil</x:v>
      </x:c>
      <x:c r="B405" s="117" t="str">
        <x:v>Out 2025</x:v>
      </x:c>
      <x:c r="C405" s="117" t="str">
        <x:v>Multicarteira Outros</x:v>
      </x:c>
      <x:c r="D405" s="120" t="n">
        <x:v>579986080.7199999</x:v>
      </x:c>
    </x:row>
    <x:row r="406">
      <x:c r="A406" s="117" t="str">
        <x:v>Fomento Mercantil</x:v>
      </x:c>
      <x:c r="B406" s="117" t="str">
        <x:v>Out 2025</x:v>
      </x:c>
      <x:c r="C406" s="117" t="str">
        <x:v>Poder Público</x:v>
      </x:c>
      <x:c r="D406" s="120" t="n">
        <x:v>31489045.779999997</x:v>
      </x:c>
    </x:row>
    <x:row r="407">
      <x:c r="A407" s="117" t="str">
        <x:v>Outros</x:v>
      </x:c>
      <x:c r="B407" s="117" t="str">
        <x:v>Out 2025</x:v>
      </x:c>
      <x:c r="C407" s="117" t="str">
        <x:v>Crédito Consignado</x:v>
      </x:c>
      <x:c r="D407" s="120" t="n">
        <x:v>5713404.99</x:v>
      </x:c>
    </x:row>
    <x:row r="408">
      <x:c r="A408" s="117" t="str">
        <x:v>Outros</x:v>
      </x:c>
      <x:c r="B408" s="117" t="str">
        <x:v>Out 2025</x:v>
      </x:c>
      <x:c r="C408" s="117" t="str">
        <x:v>Crédito Pessoal</x:v>
      </x:c>
      <x:c r="D408" s="120" t="n">
        <x:v>344322421.28000003</x:v>
      </x:c>
    </x:row>
    <x:row r="409">
      <x:c r="A409" s="117" t="str">
        <x:v>Outros</x:v>
      </x:c>
      <x:c r="B409" s="117" t="str">
        <x:v>Out 2025</x:v>
      </x:c>
      <x:c r="C409" s="117" t="str">
        <x:v>Fomento Mercantil</x:v>
      </x:c>
      <x:c r="D409" s="120" t="n">
        <x:v>944707939.29</x:v>
      </x:c>
    </x:row>
    <x:row r="410">
      <x:c r="A410" s="117" t="str">
        <x:v>Outros</x:v>
      </x:c>
      <x:c r="B410" s="117" t="str">
        <x:v>Out 2025</x:v>
      </x:c>
      <x:c r="C410" s="117" t="str">
        <x:v>Multicarteira Agro, Indústria e Comércio</x:v>
      </x:c>
      <x:c r="D410" s="120" t="n">
        <x:v>120581479.85</x:v>
      </x:c>
    </x:row>
    <x:row r="411">
      <x:c r="A411" s="117" t="str">
        <x:v>Outros</x:v>
      </x:c>
      <x:c r="B411" s="117" t="str">
        <x:v>Out 2025</x:v>
      </x:c>
      <x:c r="C411" s="117" t="str">
        <x:v>Multicarteira Outros</x:v>
      </x:c>
      <x:c r="D411" s="120" t="n">
        <x:v>268149839765.4493</x:v>
      </x:c>
    </x:row>
    <x:row r="412">
      <x:c r="A412" s="117" t="str">
        <x:v>Outros</x:v>
      </x:c>
      <x:c r="B412" s="117" t="str">
        <x:v>Out 2025</x:v>
      </x:c>
      <x:c r="C412" s="117" t="str">
        <x:v>Multicategoria</x:v>
      </x:c>
      <x:c r="D412" s="120" t="n">
        <x:v>36418500.9</x:v>
      </x:c>
    </x:row>
    <x:row r="413">
      <x:c r="A413" s="117" t="str">
        <x:v>Outros</x:v>
      </x:c>
      <x:c r="B413" s="117" t="str">
        <x:v>Out 2025</x:v>
      </x:c>
      <x:c r="C413" s="117" t="str">
        <x:v>Multiestratégia</x:v>
      </x:c>
      <x:c r="D413" s="120" t="n">
        <x:v>4701119.96</x:v>
      </x:c>
    </x:row>
    <x:row r="414">
      <x:c r="A414" s="117" t="str">
        <x:v>Outros</x:v>
      </x:c>
      <x:c r="B414" s="117" t="str">
        <x:v>Out 2025</x:v>
      </x:c>
      <x:c r="C414" s="117" t="str">
        <x:v>Não se aplica</x:v>
      </x:c>
      <x:c r="D414" s="120" t="n">
        <x:v>132217439.39000002</x:v>
      </x:c>
    </x:row>
    <x:row r="415">
      <x:c r="A415" s="117" t="str">
        <x:v>Outros</x:v>
      </x:c>
      <x:c r="B415" s="117" t="str">
        <x:v>Out 2025</x:v>
      </x:c>
      <x:c r="C415" s="117" t="str">
        <x:v>Poder Público</x:v>
      </x:c>
      <x:c r="D415" s="120" t="n">
        <x:v>47126730988.60003</x:v>
      </x:c>
    </x:row>
    <x:row r="416">
      <x:c r="A416" s="117" t="str">
        <x:v>Outros</x:v>
      </x:c>
      <x:c r="B416" s="117" t="str">
        <x:v>Out 2025</x:v>
      </x:c>
      <x:c r="C416" s="117" t="str">
        <x:v>Recebíveis Comerciais</x:v>
      </x:c>
      <x:c r="D416" s="120" t="n">
        <x:v>0</x:v>
      </x:c>
    </x:row>
    <x:row r="417">
      <x:c r="A417" s="117" t="str">
        <x:v>Outros</x:v>
      </x:c>
      <x:c r="B417" s="117" t="str">
        <x:v>Out 2025</x:v>
      </x:c>
      <x:c r="C417" s="117" t="str">
        <x:v>Recuperação</x:v>
      </x:c>
      <x:c r="D417" s="120" t="n">
        <x:v>6120953201.719999</x:v>
      </x:c>
    </x:row>
    <x:row r="418">
      <x:c r="A418" s="117" t="str">
        <x:v>Agro, Indústria e Comércio</x:v>
      </x:c>
      <x:c r="B418" s="117" t="str">
        <x:v>Nov 2025</x:v>
      </x:c>
      <x:c r="C418" s="117" t="str">
        <x:v>Agronegócio</x:v>
      </x:c>
      <x:c r="D418" s="120" t="n">
        <x:v>13215809513.109995</x:v>
      </x:c>
    </x:row>
    <x:row r="419">
      <x:c r="A419" s="117" t="str">
        <x:v>Agro, Indústria e Comércio</x:v>
      </x:c>
      <x:c r="B419" s="117" t="str">
        <x:v>Nov 2025</x:v>
      </x:c>
      <x:c r="C419" s="117" t="str">
        <x:v>Crédito Corporativo</x:v>
      </x:c>
      <x:c r="D419" s="120" t="n">
        <x:v>3815741715.2599993</x:v>
      </x:c>
    </x:row>
    <x:row r="420">
      <x:c r="A420" s="117" t="str">
        <x:v>Agro, Indústria e Comércio</x:v>
      </x:c>
      <x:c r="B420" s="117" t="str">
        <x:v>Nov 2025</x:v>
      </x:c>
      <x:c r="C420" s="117" t="str">
        <x:v>Crédito Pessoal</x:v>
      </x:c>
      <x:c r="D420" s="120" t="n">
        <x:v>0</x:v>
      </x:c>
    </x:row>
    <x:row r="421">
      <x:c r="A421" s="117" t="str">
        <x:v>Agro, Indústria e Comércio</x:v>
      </x:c>
      <x:c r="B421" s="117" t="str">
        <x:v>Nov 2025</x:v>
      </x:c>
      <x:c r="C421" s="117" t="str">
        <x:v>Infraestrutura</x:v>
      </x:c>
      <x:c r="D421" s="120" t="n">
        <x:v>9173361312.23181</x:v>
      </x:c>
    </x:row>
    <x:row r="422">
      <x:c r="A422" s="117" t="str">
        <x:v>Agro, Indústria e Comércio</x:v>
      </x:c>
      <x:c r="B422" s="117" t="str">
        <x:v>Nov 2025</x:v>
      </x:c>
      <x:c r="C422" s="117" t="str">
        <x:v>Multicarteira Agro, Indústria e Comércio</x:v>
      </x:c>
      <x:c r="D422" s="120" t="n">
        <x:v>15670970080.239998</x:v>
      </x:c>
    </x:row>
    <x:row r="423">
      <x:c r="A423" s="117" t="str">
        <x:v>Agro, Indústria e Comércio</x:v>
      </x:c>
      <x:c r="B423" s="117" t="str">
        <x:v>Nov 2025</x:v>
      </x:c>
      <x:c r="C423" s="117" t="str">
        <x:v>Não se aplica</x:v>
      </x:c>
      <x:c r="D423" s="120" t="n">
        <x:v>865114367.7699999</x:v>
      </x:c>
    </x:row>
    <x:row r="424">
      <x:c r="A424" s="117" t="str">
        <x:v>Agro, Indústria e Comércio</x:v>
      </x:c>
      <x:c r="B424" s="117" t="str">
        <x:v>Nov 2025</x:v>
      </x:c>
      <x:c r="C424" s="117" t="str">
        <x:v>Recebíveis Comerciais</x:v>
      </x:c>
      <x:c r="D424" s="120" t="n">
        <x:v>106062121067.94093</x:v>
      </x:c>
    </x:row>
    <x:row r="425">
      <x:c r="A425" s="117" t="str">
        <x:v>Financeiro</x:v>
      </x:c>
      <x:c r="B425" s="117" t="str">
        <x:v>Nov 2025</x:v>
      </x:c>
      <x:c r="C425" s="117" t="str">
        <x:v>Crédito Consignado</x:v>
      </x:c>
      <x:c r="D425" s="120" t="n">
        <x:v>29807568584.09949</x:v>
      </x:c>
    </x:row>
    <x:row r="426">
      <x:c r="A426" s="117" t="str">
        <x:v>Financeiro</x:v>
      </x:c>
      <x:c r="B426" s="117" t="str">
        <x:v>Nov 2025</x:v>
      </x:c>
      <x:c r="C426" s="117" t="str">
        <x:v>Crédito Imobiliário</x:v>
      </x:c>
      <x:c r="D426" s="120" t="n">
        <x:v>3811759232.5799994</x:v>
      </x:c>
    </x:row>
    <x:row r="427">
      <x:c r="A427" s="117" t="str">
        <x:v>Financeiro</x:v>
      </x:c>
      <x:c r="B427" s="117" t="str">
        <x:v>Nov 2025</x:v>
      </x:c>
      <x:c r="C427" s="117" t="str">
        <x:v>Crédito Pessoal</x:v>
      </x:c>
      <x:c r="D427" s="120" t="n">
        <x:v>95326714508.62648</x:v>
      </x:c>
    </x:row>
    <x:row r="428">
      <x:c r="A428" s="117" t="str">
        <x:v>Financeiro</x:v>
      </x:c>
      <x:c r="B428" s="117" t="str">
        <x:v>Nov 2025</x:v>
      </x:c>
      <x:c r="C428" s="117" t="str">
        <x:v>Financiamento de Veículos</x:v>
      </x:c>
      <x:c r="D428" s="120" t="n">
        <x:v>10541963991.93041</x:v>
      </x:c>
    </x:row>
    <x:row r="429">
      <x:c r="A429" s="117" t="str">
        <x:v>Financeiro</x:v>
      </x:c>
      <x:c r="B429" s="117" t="str">
        <x:v>Nov 2025</x:v>
      </x:c>
      <x:c r="C429" s="117" t="str">
        <x:v>Multicarteira Financeiro</x:v>
      </x:c>
      <x:c r="D429" s="120" t="n">
        <x:v>44128671860.689964</x:v>
      </x:c>
    </x:row>
    <x:row r="430">
      <x:c r="A430" s="117" t="str">
        <x:v>Financeiro</x:v>
      </x:c>
      <x:c r="B430" s="117" t="str">
        <x:v>Nov 2025</x:v>
      </x:c>
      <x:c r="C430" s="117" t="str">
        <x:v>Multicarteira Outros</x:v>
      </x:c>
      <x:c r="D430" s="120" t="n">
        <x:v>117862792.39</x:v>
      </x:c>
    </x:row>
    <x:row r="431">
      <x:c r="A431" s="117" t="str">
        <x:v>Fomento Mercantil</x:v>
      </x:c>
      <x:c r="B431" s="117" t="str">
        <x:v>Nov 2025</x:v>
      </x:c>
      <x:c r="C431" s="117" t="str">
        <x:v>Crédito Consignado</x:v>
      </x:c>
      <x:c r="D431" s="120" t="n">
        <x:v>206074582.84</x:v>
      </x:c>
    </x:row>
    <x:row r="432">
      <x:c r="A432" s="117" t="str">
        <x:v>Fomento Mercantil</x:v>
      </x:c>
      <x:c r="B432" s="117" t="str">
        <x:v>Nov 2025</x:v>
      </x:c>
      <x:c r="C432" s="117" t="str">
        <x:v>Fomento Mercantil</x:v>
      </x:c>
      <x:c r="D432" s="120" t="n">
        <x:v>78924752877.51477</x:v>
      </x:c>
    </x:row>
    <x:row r="433">
      <x:c r="A433" s="117" t="str">
        <x:v>Fomento Mercantil</x:v>
      </x:c>
      <x:c r="B433" s="117" t="str">
        <x:v>Nov 2025</x:v>
      </x:c>
      <x:c r="C433" s="117" t="str">
        <x:v>Multicarteira Outros</x:v>
      </x:c>
      <x:c r="D433" s="120" t="n">
        <x:v>527893223.28</x:v>
      </x:c>
    </x:row>
    <x:row r="434">
      <x:c r="A434" s="117" t="str">
        <x:v>Fomento Mercantil</x:v>
      </x:c>
      <x:c r="B434" s="117" t="str">
        <x:v>Nov 2025</x:v>
      </x:c>
      <x:c r="C434" s="117" t="str">
        <x:v>Poder Público</x:v>
      </x:c>
      <x:c r="D434" s="120" t="n">
        <x:v>34451578.13</x:v>
      </x:c>
    </x:row>
    <x:row r="435">
      <x:c r="A435" s="117" t="str">
        <x:v>Outros</x:v>
      </x:c>
      <x:c r="B435" s="117" t="str">
        <x:v>Nov 2025</x:v>
      </x:c>
      <x:c r="C435" s="117" t="str">
        <x:v>Crédito Consignado</x:v>
      </x:c>
      <x:c r="D435" s="120" t="n">
        <x:v>10883242.8</x:v>
      </x:c>
    </x:row>
    <x:row r="436">
      <x:c r="A436" s="117" t="str">
        <x:v>Outros</x:v>
      </x:c>
      <x:c r="B436" s="117" t="str">
        <x:v>Nov 2025</x:v>
      </x:c>
      <x:c r="C436" s="117" t="str">
        <x:v>Crédito Pessoal</x:v>
      </x:c>
      <x:c r="D436" s="120" t="n">
        <x:v>31680898.77</x:v>
      </x:c>
    </x:row>
    <x:row r="437">
      <x:c r="A437" s="117" t="str">
        <x:v>Outros</x:v>
      </x:c>
      <x:c r="B437" s="117" t="str">
        <x:v>Nov 2025</x:v>
      </x:c>
      <x:c r="C437" s="117" t="str">
        <x:v>Fomento Mercantil</x:v>
      </x:c>
      <x:c r="D437" s="120" t="n">
        <x:v>1387497562.8799994</x:v>
      </x:c>
    </x:row>
    <x:row r="438">
      <x:c r="A438" s="117" t="str">
        <x:v>Outros</x:v>
      </x:c>
      <x:c r="B438" s="117" t="str">
        <x:v>Nov 2025</x:v>
      </x:c>
      <x:c r="C438" s="117" t="str">
        <x:v>Multicarteira Agro, Indústria e Comércio</x:v>
      </x:c>
      <x:c r="D438" s="120" t="n">
        <x:v>120442449.31</x:v>
      </x:c>
    </x:row>
    <x:row r="439">
      <x:c r="A439" s="117" t="str">
        <x:v>Outros</x:v>
      </x:c>
      <x:c r="B439" s="117" t="str">
        <x:v>Nov 2025</x:v>
      </x:c>
      <x:c r="C439" s="117" t="str">
        <x:v>Multicarteira Outros</x:v>
      </x:c>
      <x:c r="D439" s="120" t="n">
        <x:v>268011456345.32483</x:v>
      </x:c>
    </x:row>
    <x:row r="440">
      <x:c r="A440" s="117" t="str">
        <x:v>Outros</x:v>
      </x:c>
      <x:c r="B440" s="117" t="str">
        <x:v>Nov 2025</x:v>
      </x:c>
      <x:c r="C440" s="117" t="str">
        <x:v>Multicategoria</x:v>
      </x:c>
      <x:c r="D440" s="120" t="n">
        <x:v>35745776.36</x:v>
      </x:c>
    </x:row>
    <x:row r="441">
      <x:c r="A441" s="117" t="str">
        <x:v>Outros</x:v>
      </x:c>
      <x:c r="B441" s="117" t="str">
        <x:v>Nov 2025</x:v>
      </x:c>
      <x:c r="C441" s="117" t="str">
        <x:v>Multiestratégia</x:v>
      </x:c>
      <x:c r="D441" s="120" t="n">
        <x:v>13727958</x:v>
      </x:c>
    </x:row>
    <x:row r="442">
      <x:c r="A442" s="117" t="str">
        <x:v>Outros</x:v>
      </x:c>
      <x:c r="B442" s="117" t="str">
        <x:v>Nov 2025</x:v>
      </x:c>
      <x:c r="C442" s="117" t="str">
        <x:v>Não se aplica</x:v>
      </x:c>
      <x:c r="D442" s="120" t="n">
        <x:v>134440265.98</x:v>
      </x:c>
    </x:row>
    <x:row r="443">
      <x:c r="A443" s="117" t="str">
        <x:v>Outros</x:v>
      </x:c>
      <x:c r="B443" s="117" t="str">
        <x:v>Nov 2025</x:v>
      </x:c>
      <x:c r="C443" s="117" t="str">
        <x:v>Poder Público</x:v>
      </x:c>
      <x:c r="D443" s="120" t="n">
        <x:v>41041625164.84006</x:v>
      </x:c>
    </x:row>
    <x:row r="444">
      <x:c r="A444" s="117" t="str">
        <x:v>Outros</x:v>
      </x:c>
      <x:c r="B444" s="117" t="str">
        <x:v>Nov 2025</x:v>
      </x:c>
      <x:c r="C444" s="117" t="str">
        <x:v>Recuperação</x:v>
      </x:c>
      <x:c r="D444" s="120" t="n">
        <x:v>6218902906.150002</x:v>
      </x:c>
    </x:row>
    <x:row r="445">
      <x:c r="A445" s="117" t="str">
        <x:v>Agro, Indústria e Comércio</x:v>
      </x:c>
      <x:c r="B445" s="117" t="str">
        <x:v>Dez 2025</x:v>
      </x:c>
      <x:c r="C445" s="117" t="str">
        <x:v>Agronegócio</x:v>
      </x:c>
      <x:c r="D445" s="120" t="n">
        <x:v>13886319379.96001</x:v>
      </x:c>
    </x:row>
    <x:row r="446">
      <x:c r="A446" s="117" t="str">
        <x:v>Agro, Indústria e Comércio</x:v>
      </x:c>
      <x:c r="B446" s="117" t="str">
        <x:v>Dez 2025</x:v>
      </x:c>
      <x:c r="C446" s="117" t="str">
        <x:v>Crédito Corporativo</x:v>
      </x:c>
      <x:c r="D446" s="120" t="n">
        <x:v>3861550277.119998</x:v>
      </x:c>
    </x:row>
    <x:row r="447">
      <x:c r="A447" s="117" t="str">
        <x:v>Agro, Indústria e Comércio</x:v>
      </x:c>
      <x:c r="B447" s="117" t="str">
        <x:v>Dez 2025</x:v>
      </x:c>
      <x:c r="C447" s="117" t="str">
        <x:v>Crédito Pessoal</x:v>
      </x:c>
      <x:c r="D447" s="120" t="n">
        <x:v>0</x:v>
      </x:c>
    </x:row>
    <x:row r="448">
      <x:c r="A448" s="117" t="str">
        <x:v>Agro, Indústria e Comércio</x:v>
      </x:c>
      <x:c r="B448" s="117" t="str">
        <x:v>Dez 2025</x:v>
      </x:c>
      <x:c r="C448" s="117" t="str">
        <x:v>Infraestrutura</x:v>
      </x:c>
      <x:c r="D448" s="120" t="n">
        <x:v>9293934112.741629</x:v>
      </x:c>
    </x:row>
    <x:row r="449">
      <x:c r="A449" s="117" t="str">
        <x:v>Agro, Indústria e Comércio</x:v>
      </x:c>
      <x:c r="B449" s="117" t="str">
        <x:v>Dez 2025</x:v>
      </x:c>
      <x:c r="C449" s="117" t="str">
        <x:v>Multicarteira Agro, Indústria e Comércio</x:v>
      </x:c>
      <x:c r="D449" s="120" t="n">
        <x:v>17009613682.560001</x:v>
      </x:c>
    </x:row>
    <x:row r="450">
      <x:c r="A450" s="117" t="str">
        <x:v>Agro, Indústria e Comércio</x:v>
      </x:c>
      <x:c r="B450" s="117" t="str">
        <x:v>Dez 2025</x:v>
      </x:c>
      <x:c r="C450" s="117" t="str">
        <x:v>Não se aplica</x:v>
      </x:c>
      <x:c r="D450" s="120" t="n">
        <x:v>0</x:v>
      </x:c>
    </x:row>
    <x:row r="451">
      <x:c r="A451" s="117" t="str">
        <x:v>Agro, Indústria e Comércio</x:v>
      </x:c>
      <x:c r="B451" s="117" t="str">
        <x:v>Dez 2025</x:v>
      </x:c>
      <x:c r="C451" s="117" t="str">
        <x:v>Recebíveis Comerciais</x:v>
      </x:c>
      <x:c r="D451" s="120" t="n">
        <x:v>106688210956.73055</x:v>
      </x:c>
    </x:row>
    <x:row r="452">
      <x:c r="A452" s="117" t="str">
        <x:v>Financeiro</x:v>
      </x:c>
      <x:c r="B452" s="117" t="str">
        <x:v>Dez 2025</x:v>
      </x:c>
      <x:c r="C452" s="117" t="str">
        <x:v>Crédito Consignado</x:v>
      </x:c>
      <x:c r="D452" s="120" t="n">
        <x:v>35276838041.9731</x:v>
      </x:c>
    </x:row>
    <x:row r="453">
      <x:c r="A453" s="117" t="str">
        <x:v>Financeiro</x:v>
      </x:c>
      <x:c r="B453" s="117" t="str">
        <x:v>Dez 2025</x:v>
      </x:c>
      <x:c r="C453" s="117" t="str">
        <x:v>Crédito Imobiliário</x:v>
      </x:c>
      <x:c r="D453" s="120" t="n">
        <x:v>4147883246.8499985</x:v>
      </x:c>
    </x:row>
    <x:row r="454">
      <x:c r="A454" s="117" t="str">
        <x:v>Financeiro</x:v>
      </x:c>
      <x:c r="B454" s="117" t="str">
        <x:v>Dez 2025</x:v>
      </x:c>
      <x:c r="C454" s="117" t="str">
        <x:v>Crédito Pessoal</x:v>
      </x:c>
      <x:c r="D454" s="120" t="n">
        <x:v>95646503145.93494</x:v>
      </x:c>
    </x:row>
    <x:row r="455">
      <x:c r="A455" s="117" t="str">
        <x:v>Financeiro</x:v>
      </x:c>
      <x:c r="B455" s="117" t="str">
        <x:v>Dez 2025</x:v>
      </x:c>
      <x:c r="C455" s="117" t="str">
        <x:v>Financiamento de Veículos</x:v>
      </x:c>
      <x:c r="D455" s="120" t="n">
        <x:v>12388150610.456898</x:v>
      </x:c>
    </x:row>
    <x:row r="456">
      <x:c r="A456" s="117" t="str">
        <x:v>Financeiro</x:v>
      </x:c>
      <x:c r="B456" s="117" t="str">
        <x:v>Dez 2025</x:v>
      </x:c>
      <x:c r="C456" s="117" t="str">
        <x:v>Multicarteira Financeiro</x:v>
      </x:c>
      <x:c r="D456" s="120" t="n">
        <x:v>43374423637.85</x:v>
      </x:c>
    </x:row>
    <x:row r="457">
      <x:c r="A457" s="117" t="str">
        <x:v>Financeiro</x:v>
      </x:c>
      <x:c r="B457" s="117" t="str">
        <x:v>Dez 2025</x:v>
      </x:c>
      <x:c r="C457" s="117" t="str">
        <x:v>Multicarteira Outros</x:v>
      </x:c>
      <x:c r="D457" s="120" t="n">
        <x:v>83316014.69</x:v>
      </x:c>
    </x:row>
    <x:row r="458">
      <x:c r="A458" s="117" t="str">
        <x:v>Fomento Mercantil</x:v>
      </x:c>
      <x:c r="B458" s="117" t="str">
        <x:v>Dez 2025</x:v>
      </x:c>
      <x:c r="C458" s="117" t="str">
        <x:v>Crédito Consignado</x:v>
      </x:c>
      <x:c r="D458" s="120" t="n">
        <x:v>0</x:v>
      </x:c>
    </x:row>
    <x:row r="459">
      <x:c r="A459" s="117" t="str">
        <x:v>Fomento Mercantil</x:v>
      </x:c>
      <x:c r="B459" s="117" t="str">
        <x:v>Dez 2025</x:v>
      </x:c>
      <x:c r="C459" s="117" t="str">
        <x:v>Fomento Mercantil</x:v>
      </x:c>
      <x:c r="D459" s="120" t="n">
        <x:v>79672345762.36981</x:v>
      </x:c>
    </x:row>
    <x:row r="460">
      <x:c r="A460" s="117" t="str">
        <x:v>Fomento Mercantil</x:v>
      </x:c>
      <x:c r="B460" s="117" t="str">
        <x:v>Dez 2025</x:v>
      </x:c>
      <x:c r="C460" s="117" t="str">
        <x:v>Multicarteira Outros</x:v>
      </x:c>
      <x:c r="D460" s="120" t="n">
        <x:v>574984934.92</x:v>
      </x:c>
    </x:row>
    <x:row r="461">
      <x:c r="A461" s="117" t="str">
        <x:v>Fomento Mercantil</x:v>
      </x:c>
      <x:c r="B461" s="117" t="str">
        <x:v>Dez 2025</x:v>
      </x:c>
      <x:c r="C461" s="117" t="str">
        <x:v>Poder Público</x:v>
      </x:c>
      <x:c r="D461" s="120" t="n">
        <x:v>0</x:v>
      </x:c>
    </x:row>
    <x:row r="462">
      <x:c r="A462" s="117" t="str">
        <x:v>Outros</x:v>
      </x:c>
      <x:c r="B462" s="117" t="str">
        <x:v>Dez 2025</x:v>
      </x:c>
      <x:c r="C462" s="117" t="str">
        <x:v>Crédito Consignado</x:v>
      </x:c>
      <x:c r="D462" s="120" t="n">
        <x:v>10001165.319999998</x:v>
      </x:c>
    </x:row>
    <x:row r="463">
      <x:c r="A463" s="117" t="str">
        <x:v>Outros</x:v>
      </x:c>
      <x:c r="B463" s="117" t="str">
        <x:v>Dez 2025</x:v>
      </x:c>
      <x:c r="C463" s="117" t="str">
        <x:v>Crédito Imobiliário</x:v>
      </x:c>
      <x:c r="D463" s="120" t="n">
        <x:v>0</x:v>
      </x:c>
    </x:row>
    <x:row r="464">
      <x:c r="A464" s="117" t="str">
        <x:v>Outros</x:v>
      </x:c>
      <x:c r="B464" s="117" t="str">
        <x:v>Dez 2025</x:v>
      </x:c>
      <x:c r="C464" s="117" t="str">
        <x:v>Crédito Pessoal</x:v>
      </x:c>
      <x:c r="D464" s="120" t="n">
        <x:v>29957052.53</x:v>
      </x:c>
    </x:row>
    <x:row r="465">
      <x:c r="A465" s="117" t="str">
        <x:v>Outros</x:v>
      </x:c>
      <x:c r="B465" s="117" t="str">
        <x:v>Dez 2025</x:v>
      </x:c>
      <x:c r="C465" s="117" t="str">
        <x:v>Fomento Mercantil</x:v>
      </x:c>
      <x:c r="D465" s="120" t="n">
        <x:v>616260699.1799997</x:v>
      </x:c>
    </x:row>
    <x:row r="466">
      <x:c r="A466" s="117" t="str">
        <x:v>Outros</x:v>
      </x:c>
      <x:c r="B466" s="117" t="str">
        <x:v>Dez 2025</x:v>
      </x:c>
      <x:c r="C466" s="117" t="str">
        <x:v>Multicarteira Agro, Indústria e Comércio</x:v>
      </x:c>
      <x:c r="D466" s="120" t="n">
        <x:v>0</x:v>
      </x:c>
    </x:row>
    <x:row r="467">
      <x:c r="A467" s="117" t="str">
        <x:v>Outros</x:v>
      </x:c>
      <x:c r="B467" s="117" t="str">
        <x:v>Dez 2025</x:v>
      </x:c>
      <x:c r="C467" s="117" t="str">
        <x:v>Multicarteira Outros</x:v>
      </x:c>
      <x:c r="D467" s="120" t="n">
        <x:v>274482323207.9593</x:v>
      </x:c>
    </x:row>
    <x:row r="468">
      <x:c r="A468" s="117" t="str">
        <x:v>Outros</x:v>
      </x:c>
      <x:c r="B468" s="117" t="str">
        <x:v>Dez 2025</x:v>
      </x:c>
      <x:c r="C468" s="117" t="str">
        <x:v>Multicategoria</x:v>
      </x:c>
      <x:c r="D468" s="120" t="n">
        <x:v>0</x:v>
      </x:c>
    </x:row>
    <x:row r="469">
      <x:c r="A469" s="117" t="str">
        <x:v>Outros</x:v>
      </x:c>
      <x:c r="B469" s="117" t="str">
        <x:v>Dez 2025</x:v>
      </x:c>
      <x:c r="C469" s="117" t="str">
        <x:v>Multiestratégia</x:v>
      </x:c>
      <x:c r="D469" s="120" t="n">
        <x:v>13705769.36</x:v>
      </x:c>
    </x:row>
    <x:row r="470">
      <x:c r="A470" s="117" t="str">
        <x:v>Outros</x:v>
      </x:c>
      <x:c r="B470" s="117" t="str">
        <x:v>Dez 2025</x:v>
      </x:c>
      <x:c r="C470" s="117" t="str">
        <x:v>Não se aplica</x:v>
      </x:c>
      <x:c r="D470" s="120" t="n">
        <x:v>124380675.68</x:v>
      </x:c>
    </x:row>
    <x:row r="471">
      <x:c r="A471" s="117" t="str">
        <x:v>Outros</x:v>
      </x:c>
      <x:c r="B471" s="117" t="str">
        <x:v>Dez 2025</x:v>
      </x:c>
      <x:c r="C471" s="117" t="str">
        <x:v>Poder Público</x:v>
      </x:c>
      <x:c r="D471" s="120" t="n">
        <x:v>41710780225.849976</x:v>
      </x:c>
    </x:row>
    <x:row r="472">
      <x:c r="A472" s="117" t="str">
        <x:v>Outros</x:v>
      </x:c>
      <x:c r="B472" s="117" t="str">
        <x:v>Dez 2025</x:v>
      </x:c>
      <x:c r="C472" s="117" t="str">
        <x:v>Recuperação</x:v>
      </x:c>
      <x:c r="D472" s="120" t="n">
        <x:v>6395859456.580004</x:v>
      </x:c>
    </x:row>
    <x:row r="473">
      <x:c r="A473" s="117" t="str">
        <x:v>Agro, Indústria e Comércio</x:v>
      </x:c>
      <x:c r="B473" s="117" t="str">
        <x:v>Jan 2026</x:v>
      </x:c>
      <x:c r="C473" s="117" t="str">
        <x:v>Agronegócio</x:v>
      </x:c>
      <x:c r="D473" s="120" t="n">
        <x:v>13808844113.5</x:v>
      </x:c>
    </x:row>
    <x:row r="474">
      <x:c r="A474" s="117" t="str">
        <x:v>Agro, Indústria e Comércio</x:v>
      </x:c>
      <x:c r="B474" s="117" t="str">
        <x:v>Jan 2026</x:v>
      </x:c>
      <x:c r="C474" s="117" t="str">
        <x:v>Crédito Corporativo</x:v>
      </x:c>
      <x:c r="D474" s="120" t="n">
        <x:v>3798570212.37</x:v>
      </x:c>
    </x:row>
    <x:row r="475">
      <x:c r="A475" s="117" t="str">
        <x:v>Agro, Indústria e Comércio</x:v>
      </x:c>
      <x:c r="B475" s="117" t="str">
        <x:v>Jan 2026</x:v>
      </x:c>
      <x:c r="C475" s="117" t="str">
        <x:v>Crédito Pessoal</x:v>
      </x:c>
      <x:c r="D475" s="120" t="n">
        <x:v>534549033.69</x:v>
      </x:c>
    </x:row>
    <x:row r="476">
      <x:c r="A476" s="117" t="str">
        <x:v>Agro, Indústria e Comércio</x:v>
      </x:c>
      <x:c r="B476" s="117" t="str">
        <x:v>Jan 2026</x:v>
      </x:c>
      <x:c r="C476" s="117" t="str">
        <x:v>Infraestrutura</x:v>
      </x:c>
      <x:c r="D476" s="120" t="n">
        <x:v>9858309606.16697</x:v>
      </x:c>
    </x:row>
    <x:row r="477">
      <x:c r="A477" s="117" t="str">
        <x:v>Agro, Indústria e Comércio</x:v>
      </x:c>
      <x:c r="B477" s="117" t="str">
        <x:v>Jan 2026</x:v>
      </x:c>
      <x:c r="C477" s="117" t="str">
        <x:v>Multicarteira Agro, Indústria e Comércio</x:v>
      </x:c>
      <x:c r="D477" s="120" t="n">
        <x:v>17523496251.020004</x:v>
      </x:c>
    </x:row>
    <x:row r="478">
      <x:c r="A478" s="117" t="str">
        <x:v>Agro, Indústria e Comércio</x:v>
      </x:c>
      <x:c r="B478" s="117" t="str">
        <x:v>Jan 2026</x:v>
      </x:c>
      <x:c r="C478" s="117" t="str">
        <x:v>Recebíveis Comerciais</x:v>
      </x:c>
      <x:c r="D478" s="120" t="n">
        <x:v>106659649650.19041</x:v>
      </x:c>
    </x:row>
    <x:row r="479">
      <x:c r="A479" s="117" t="str">
        <x:v>Financeiro</x:v>
      </x:c>
      <x:c r="B479" s="117" t="str">
        <x:v>Jan 2026</x:v>
      </x:c>
      <x:c r="C479" s="117" t="str">
        <x:v>Crédito Consignado</x:v>
      </x:c>
      <x:c r="D479" s="120" t="n">
        <x:v>38028006302.6393</x:v>
      </x:c>
    </x:row>
    <x:row r="480">
      <x:c r="A480" s="117" t="str">
        <x:v>Financeiro</x:v>
      </x:c>
      <x:c r="B480" s="117" t="str">
        <x:v>Jan 2026</x:v>
      </x:c>
      <x:c r="C480" s="117" t="str">
        <x:v>Crédito Corporativo</x:v>
      </x:c>
      <x:c r="D480" s="120" t="n">
        <x:v>17685688.55</x:v>
      </x:c>
    </x:row>
    <x:row r="481">
      <x:c r="A481" s="117" t="str">
        <x:v>Financeiro</x:v>
      </x:c>
      <x:c r="B481" s="117" t="str">
        <x:v>Jan 2026</x:v>
      </x:c>
      <x:c r="C481" s="117" t="str">
        <x:v>Crédito Imobiliário</x:v>
      </x:c>
      <x:c r="D481" s="120" t="n">
        <x:v>4155125985.95</x:v>
      </x:c>
    </x:row>
    <x:row r="482">
      <x:c r="A482" s="117" t="str">
        <x:v>Financeiro</x:v>
      </x:c>
      <x:c r="B482" s="117" t="str">
        <x:v>Jan 2026</x:v>
      </x:c>
      <x:c r="C482" s="117" t="str">
        <x:v>Crédito Pessoal</x:v>
      </x:c>
      <x:c r="D482" s="120" t="n">
        <x:v>96312049232.18993</x:v>
      </x:c>
    </x:row>
    <x:row r="483">
      <x:c r="A483" s="117" t="str">
        <x:v>Financeiro</x:v>
      </x:c>
      <x:c r="B483" s="117" t="str">
        <x:v>Jan 2026</x:v>
      </x:c>
      <x:c r="C483" s="117" t="str">
        <x:v>Financiamento de Veículos</x:v>
      </x:c>
      <x:c r="D483" s="120" t="n">
        <x:v>11559684282.726059</x:v>
      </x:c>
    </x:row>
    <x:row r="484">
      <x:c r="A484" s="117" t="str">
        <x:v>Financeiro</x:v>
      </x:c>
      <x:c r="B484" s="117" t="str">
        <x:v>Jan 2026</x:v>
      </x:c>
      <x:c r="C484" s="117" t="str">
        <x:v>Multicarteira Financeiro</x:v>
      </x:c>
      <x:c r="D484" s="120" t="n">
        <x:v>43932443673.56</x:v>
      </x:c>
    </x:row>
    <x:row r="485">
      <x:c r="A485" s="117" t="str">
        <x:v>Financeiro</x:v>
      </x:c>
      <x:c r="B485" s="117" t="str">
        <x:v>Jan 2026</x:v>
      </x:c>
      <x:c r="C485" s="117" t="str">
        <x:v>Multicarteira Outros</x:v>
      </x:c>
      <x:c r="D485" s="120" t="n">
        <x:v>85119465.82</x:v>
      </x:c>
    </x:row>
    <x:row r="486">
      <x:c r="A486" s="117" t="str">
        <x:v>Fomento Mercantil</x:v>
      </x:c>
      <x:c r="B486" s="117" t="str">
        <x:v>Jan 2026</x:v>
      </x:c>
      <x:c r="C486" s="117" t="str">
        <x:v>Fomento Mercantil</x:v>
      </x:c>
      <x:c r="D486" s="120" t="n">
        <x:v>78550053819.29854</x:v>
      </x:c>
    </x:row>
    <x:row r="487">
      <x:c r="A487" s="117" t="str">
        <x:v>Fomento Mercantil</x:v>
      </x:c>
      <x:c r="B487" s="117" t="str">
        <x:v>Jan 2026</x:v>
      </x:c>
      <x:c r="C487" s="117" t="str">
        <x:v>Multicarteira Outros</x:v>
      </x:c>
      <x:c r="D487" s="120" t="n">
        <x:v>444179369.49</x:v>
      </x:c>
    </x:row>
    <x:row r="488">
      <x:c r="A488" s="117" t="str">
        <x:v>Outros</x:v>
      </x:c>
      <x:c r="B488" s="117" t="str">
        <x:v>Jan 2026</x:v>
      </x:c>
      <x:c r="C488" s="117" t="str">
        <x:v>Crédito Consignado</x:v>
      </x:c>
      <x:c r="D488" s="120" t="n">
        <x:v>0</x:v>
      </x:c>
    </x:row>
    <x:row r="489">
      <x:c r="A489" s="117" t="str">
        <x:v>Outros</x:v>
      </x:c>
      <x:c r="B489" s="117" t="str">
        <x:v>Jan 2026</x:v>
      </x:c>
      <x:c r="C489" s="117" t="str">
        <x:v>Crédito Imobiliário</x:v>
      </x:c>
      <x:c r="D489" s="120" t="n">
        <x:v>0</x:v>
      </x:c>
    </x:row>
    <x:row r="490">
      <x:c r="A490" s="117" t="str">
        <x:v>Outros</x:v>
      </x:c>
      <x:c r="B490" s="117" t="str">
        <x:v>Jan 2026</x:v>
      </x:c>
      <x:c r="C490" s="117" t="str">
        <x:v>Crédito Pessoal</x:v>
      </x:c>
      <x:c r="D490" s="120" t="n">
        <x:v>26998469.369999997</x:v>
      </x:c>
    </x:row>
    <x:row r="491">
      <x:c r="A491" s="117" t="str">
        <x:v>Outros</x:v>
      </x:c>
      <x:c r="B491" s="117" t="str">
        <x:v>Jan 2026</x:v>
      </x:c>
      <x:c r="C491" s="117" t="str">
        <x:v>Fomento Mercantil</x:v>
      </x:c>
      <x:c r="D491" s="120" t="n">
        <x:v>551115701.5600001</x:v>
      </x:c>
    </x:row>
    <x:row r="492">
      <x:c r="A492" s="117" t="str">
        <x:v>Outros</x:v>
      </x:c>
      <x:c r="B492" s="117" t="str">
        <x:v>Jan 2026</x:v>
      </x:c>
      <x:c r="C492" s="117" t="str">
        <x:v>Multicarteira Outros</x:v>
      </x:c>
      <x:c r="D492" s="120" t="n">
        <x:v>243573981042.1136</x:v>
      </x:c>
    </x:row>
    <x:row r="493">
      <x:c r="A493" s="117" t="str">
        <x:v>Outros</x:v>
      </x:c>
      <x:c r="B493" s="117" t="str">
        <x:v>Jan 2026</x:v>
      </x:c>
      <x:c r="C493" s="117" t="str">
        <x:v>Multiestratégia</x:v>
      </x:c>
      <x:c r="D493" s="120" t="n">
        <x:v>13683975.6</x:v>
      </x:c>
    </x:row>
    <x:row r="494">
      <x:c r="A494" s="117" t="str">
        <x:v>Outros</x:v>
      </x:c>
      <x:c r="B494" s="117" t="str">
        <x:v>Jan 2026</x:v>
      </x:c>
      <x:c r="C494" s="117" t="str">
        <x:v>Não se aplica</x:v>
      </x:c>
      <x:c r="D494" s="120" t="n">
        <x:v>96144873.28999999</x:v>
      </x:c>
    </x:row>
    <x:row r="495">
      <x:c r="A495" s="117" t="str">
        <x:v>Outros</x:v>
      </x:c>
      <x:c r="B495" s="117" t="str">
        <x:v>Jan 2026</x:v>
      </x:c>
      <x:c r="C495" s="117" t="str">
        <x:v>Poder Público</x:v>
      </x:c>
      <x:c r="D495" s="120" t="n">
        <x:v>40895623910.26997</x:v>
      </x:c>
    </x:row>
    <x:row r="496">
      <x:c r="A496" s="117" t="str">
        <x:v>Outros</x:v>
      </x:c>
      <x:c r="B496" s="117" t="str">
        <x:v>Jan 2026</x:v>
      </x:c>
      <x:c r="C496" s="117" t="str">
        <x:v>Recuperação</x:v>
      </x:c>
      <x:c r="D496" s="120" t="n">
        <x:v>6135230338.6034</x:v>
      </x:c>
    </x:row>
    <x:row r="497">
      <x:c r="A497" s="117" t="str">
        <x:v>Agro, Indústria e Comércio</x:v>
      </x:c>
      <x:c r="B497" s="117" t="str">
        <x:v>Fev 2026</x:v>
      </x:c>
      <x:c r="C497" s="117" t="str">
        <x:v>Agronegócio</x:v>
      </x:c>
      <x:c r="D497" s="120" t="n">
        <x:v>14084906841.660004</x:v>
      </x:c>
    </x:row>
    <x:row r="498">
      <x:c r="A498" s="117" t="str">
        <x:v>Agro, Indústria e Comércio</x:v>
      </x:c>
      <x:c r="B498" s="117" t="str">
        <x:v>Fev 2026</x:v>
      </x:c>
      <x:c r="C498" s="117" t="str">
        <x:v>Crédito Corporativo</x:v>
      </x:c>
      <x:c r="D498" s="120" t="n">
        <x:v>3795942941.3999987</x:v>
      </x:c>
    </x:row>
    <x:row r="499">
      <x:c r="A499" s="117" t="str">
        <x:v>Agro, Indústria e Comércio</x:v>
      </x:c>
      <x:c r="B499" s="117" t="str">
        <x:v>Fev 2026</x:v>
      </x:c>
      <x:c r="C499" s="117" t="str">
        <x:v>Crédito Pessoal</x:v>
      </x:c>
      <x:c r="D499" s="120" t="n">
        <x:v>545535878.77</x:v>
      </x:c>
    </x:row>
    <x:row r="500">
      <x:c r="A500" s="117" t="str">
        <x:v>Agro, Indústria e Comércio</x:v>
      </x:c>
      <x:c r="B500" s="117" t="str">
        <x:v>Fev 2026</x:v>
      </x:c>
      <x:c r="C500" s="117" t="str">
        <x:v>Infraestrutura</x:v>
      </x:c>
      <x:c r="D500" s="120" t="n">
        <x:v>10098435738.933176</x:v>
      </x:c>
    </x:row>
    <x:row r="501">
      <x:c r="A501" s="117" t="str">
        <x:v>Agro, Indústria e Comércio</x:v>
      </x:c>
      <x:c r="B501" s="117" t="str">
        <x:v>Fev 2026</x:v>
      </x:c>
      <x:c r="C501" s="117" t="str">
        <x:v>Multicarteira Agro, Indústria e Comércio</x:v>
      </x:c>
      <x:c r="D501" s="120" t="n">
        <x:v>17853501078.75</x:v>
      </x:c>
    </x:row>
    <x:row r="502">
      <x:c r="A502" s="117" t="str">
        <x:v>Agro, Indústria e Comércio</x:v>
      </x:c>
      <x:c r="B502" s="117" t="str">
        <x:v>Fev 2026</x:v>
      </x:c>
      <x:c r="C502" s="117" t="str">
        <x:v>Recebíveis Comerciais</x:v>
      </x:c>
      <x:c r="D502" s="120" t="n">
        <x:v>107491327815.35059</x:v>
      </x:c>
    </x:row>
    <x:row r="503">
      <x:c r="A503" s="117" t="str">
        <x:v>Financeiro</x:v>
      </x:c>
      <x:c r="B503" s="117" t="str">
        <x:v>Fev 2026</x:v>
      </x:c>
      <x:c r="C503" s="117" t="str">
        <x:v>Crédito Consignado</x:v>
      </x:c>
      <x:c r="D503" s="120" t="n">
        <x:v>40844055182.94501</x:v>
      </x:c>
    </x:row>
    <x:row r="504">
      <x:c r="A504" s="117" t="str">
        <x:v>Financeiro</x:v>
      </x:c>
      <x:c r="B504" s="117" t="str">
        <x:v>Fev 2026</x:v>
      </x:c>
      <x:c r="C504" s="117" t="str">
        <x:v>Crédito Corporativo</x:v>
      </x:c>
      <x:c r="D504" s="120" t="n">
        <x:v>1715962196.8700001</x:v>
      </x:c>
    </x:row>
    <x:row r="505">
      <x:c r="A505" s="117" t="str">
        <x:v>Financeiro</x:v>
      </x:c>
      <x:c r="B505" s="117" t="str">
        <x:v>Fev 2026</x:v>
      </x:c>
      <x:c r="C505" s="117" t="str">
        <x:v>Crédito Imobiliário</x:v>
      </x:c>
      <x:c r="D505" s="120" t="n">
        <x:v>4181511262.2000003</x:v>
      </x:c>
    </x:row>
    <x:row r="506">
      <x:c r="A506" s="117" t="str">
        <x:v>Financeiro</x:v>
      </x:c>
      <x:c r="B506" s="117" t="str">
        <x:v>Fev 2026</x:v>
      </x:c>
      <x:c r="C506" s="117" t="str">
        <x:v>Crédito Pessoal</x:v>
      </x:c>
      <x:c r="D506" s="120" t="n">
        <x:v>96306850313.18394</x:v>
      </x:c>
    </x:row>
    <x:row r="507">
      <x:c r="A507" s="117" t="str">
        <x:v>Financeiro</x:v>
      </x:c>
      <x:c r="B507" s="117" t="str">
        <x:v>Fev 2026</x:v>
      </x:c>
      <x:c r="C507" s="117" t="str">
        <x:v>Financiamento de Veículos</x:v>
      </x:c>
      <x:c r="D507" s="120" t="n">
        <x:v>11014873273.525959</x:v>
      </x:c>
    </x:row>
    <x:row r="508">
      <x:c r="A508" s="117" t="str">
        <x:v>Financeiro</x:v>
      </x:c>
      <x:c r="B508" s="117" t="str">
        <x:v>Fev 2026</x:v>
      </x:c>
      <x:c r="C508" s="117" t="str">
        <x:v>Multicarteira Financeiro</x:v>
      </x:c>
      <x:c r="D508" s="120" t="n">
        <x:v>40667957121.43999</x:v>
      </x:c>
    </x:row>
    <x:row r="509">
      <x:c r="A509" s="117" t="str">
        <x:v>Financeiro</x:v>
      </x:c>
      <x:c r="B509" s="117" t="str">
        <x:v>Fev 2026</x:v>
      </x:c>
      <x:c r="C509" s="117" t="str">
        <x:v>Multicarteira Outros</x:v>
      </x:c>
      <x:c r="D509" s="120" t="n">
        <x:v>86418740.25</x:v>
      </x:c>
    </x:row>
    <x:row r="510">
      <x:c r="A510" s="117" t="str">
        <x:v>Fomento Mercantil</x:v>
      </x:c>
      <x:c r="B510" s="117" t="str">
        <x:v>Fev 2026</x:v>
      </x:c>
      <x:c r="C510" s="117" t="str">
        <x:v>Fomento Mercantil</x:v>
      </x:c>
      <x:c r="D510" s="120" t="n">
        <x:v>79853776727.2615</x:v>
      </x:c>
    </x:row>
    <x:row r="511">
      <x:c r="A511" s="117" t="str">
        <x:v>Fomento Mercantil</x:v>
      </x:c>
      <x:c r="B511" s="117" t="str">
        <x:v>Fev 2026</x:v>
      </x:c>
      <x:c r="C511" s="117" t="str">
        <x:v>Multicarteira Outros</x:v>
      </x:c>
      <x:c r="D511" s="120" t="n">
        <x:v>464508869.42</x:v>
      </x:c>
    </x:row>
    <x:row r="512">
      <x:c r="A512" s="117" t="str">
        <x:v>Outros</x:v>
      </x:c>
      <x:c r="B512" s="117" t="str">
        <x:v>Fev 2026</x:v>
      </x:c>
      <x:c r="C512" s="117" t="str">
        <x:v>Crédito Imobiliário</x:v>
      </x:c>
      <x:c r="D512" s="120" t="n">
        <x:v>4263427.46</x:v>
      </x:c>
    </x:row>
    <x:row r="513">
      <x:c r="A513" s="117" t="str">
        <x:v>Outros</x:v>
      </x:c>
      <x:c r="B513" s="117" t="str">
        <x:v>Fev 2026</x:v>
      </x:c>
      <x:c r="C513" s="117" t="str">
        <x:v>Crédito Pessoal</x:v>
      </x:c>
      <x:c r="D513" s="120" t="n">
        <x:v>0</x:v>
      </x:c>
    </x:row>
    <x:row r="514">
      <x:c r="A514" s="117" t="str">
        <x:v>Outros</x:v>
      </x:c>
      <x:c r="B514" s="117" t="str">
        <x:v>Fev 2026</x:v>
      </x:c>
      <x:c r="C514" s="117" t="str">
        <x:v>Fomento Mercantil</x:v>
      </x:c>
      <x:c r="D514" s="120" t="n">
        <x:v>459567524.29999995</x:v>
      </x:c>
    </x:row>
    <x:row r="515">
      <x:c r="A515" s="117" t="str">
        <x:v>Outros</x:v>
      </x:c>
      <x:c r="B515" s="117" t="str">
        <x:v>Fev 2026</x:v>
      </x:c>
      <x:c r="C515" s="117" t="str">
        <x:v>Multicarteira Outros</x:v>
      </x:c>
      <x:c r="D515" s="120" t="n">
        <x:v>238224554345.0455</x:v>
      </x:c>
    </x:row>
    <x:row r="516">
      <x:c r="A516" s="117" t="str">
        <x:v>Outros</x:v>
      </x:c>
      <x:c r="B516" s="117" t="str">
        <x:v>Fev 2026</x:v>
      </x:c>
      <x:c r="C516" s="117" t="str">
        <x:v>Multiestratégia</x:v>
      </x:c>
      <x:c r="D516" s="120" t="n">
        <x:v>13661743.340000002</x:v>
      </x:c>
    </x:row>
    <x:row r="517">
      <x:c r="A517" s="117" t="str">
        <x:v>Outros</x:v>
      </x:c>
      <x:c r="B517" s="117" t="str">
        <x:v>Fev 2026</x:v>
      </x:c>
      <x:c r="C517" s="117" t="str">
        <x:v>Não se aplica</x:v>
      </x:c>
      <x:c r="D517" s="120" t="n">
        <x:v>93990145.81</x:v>
      </x:c>
    </x:row>
    <x:row r="518">
      <x:c r="A518" s="117" t="str">
        <x:v>Outros</x:v>
      </x:c>
      <x:c r="B518" s="117" t="str">
        <x:v>Fev 2026</x:v>
      </x:c>
      <x:c r="C518" s="117" t="str">
        <x:v>Poder Público</x:v>
      </x:c>
      <x:c r="D518" s="120" t="n">
        <x:v>42749149461.34</x:v>
      </x:c>
    </x:row>
    <x:row r="519">
      <x:c r="A519" s="117" t="str">
        <x:v>Outros</x:v>
      </x:c>
      <x:c r="B519" s="117" t="str">
        <x:v>Fev 2026</x:v>
      </x:c>
      <x:c r="C519" s="117" t="str">
        <x:v>Recuperação</x:v>
      </x:c>
      <x:c r="D519" s="120" t="n">
        <x:v>6290072883.499998</x:v>
      </x:c>
    </x:row>
    <x:row r="520">
      <x:c r="A520" s="117" t="str">
        <x:v>Agro, Indústria e Comércio</x:v>
      </x:c>
      <x:c r="B520" s="117" t="str">
        <x:v>Mar 2026</x:v>
      </x:c>
      <x:c r="C520" s="117" t="str">
        <x:v>Agronegócio</x:v>
      </x:c>
      <x:c r="D520" s="120" t="n">
        <x:v>14269181988.4297</x:v>
      </x:c>
    </x:row>
    <x:row r="521">
      <x:c r="A521" s="117" t="str">
        <x:v>Agro, Indústria e Comércio</x:v>
      </x:c>
      <x:c r="B521" s="117" t="str">
        <x:v>Mar 2026</x:v>
      </x:c>
      <x:c r="C521" s="117" t="str">
        <x:v>Crédito Corporativo</x:v>
      </x:c>
      <x:c r="D521" s="120" t="n">
        <x:v>3866277322.9800014</x:v>
      </x:c>
    </x:row>
    <x:row r="522">
      <x:c r="A522" s="117" t="str">
        <x:v>Agro, Indústria e Comércio</x:v>
      </x:c>
      <x:c r="B522" s="117" t="str">
        <x:v>Mar 2026</x:v>
      </x:c>
      <x:c r="C522" s="117" t="str">
        <x:v>Crédito Pessoal</x:v>
      </x:c>
      <x:c r="D522" s="120" t="n">
        <x:v>661889460.5999999</x:v>
      </x:c>
    </x:row>
    <x:row r="523">
      <x:c r="A523" s="117" t="str">
        <x:v>Agro, Indústria e Comércio</x:v>
      </x:c>
      <x:c r="B523" s="117" t="str">
        <x:v>Mar 2026</x:v>
      </x:c>
      <x:c r="C523" s="117" t="str">
        <x:v>Infraestrutura</x:v>
      </x:c>
      <x:c r="D523" s="120" t="n">
        <x:v>9733855623.519999</x:v>
      </x:c>
    </x:row>
    <x:row r="524">
      <x:c r="A524" s="117" t="str">
        <x:v>Agro, Indústria e Comércio</x:v>
      </x:c>
      <x:c r="B524" s="117" t="str">
        <x:v>Mar 2026</x:v>
      </x:c>
      <x:c r="C524" s="117" t="str">
        <x:v>Multicarteira Agro, Indústria e Comércio</x:v>
      </x:c>
      <x:c r="D524" s="120" t="n">
        <x:v>18519656579.16</x:v>
      </x:c>
    </x:row>
    <x:row r="525">
      <x:c r="A525" s="117" t="str">
        <x:v>Agro, Indústria e Comércio</x:v>
      </x:c>
      <x:c r="B525" s="117" t="str">
        <x:v>Mar 2026</x:v>
      </x:c>
      <x:c r="C525" s="117" t="str">
        <x:v>Recebíveis Comerciais</x:v>
      </x:c>
      <x:c r="D525" s="120" t="n">
        <x:v>108035251020.67015</x:v>
      </x:c>
    </x:row>
    <x:row r="526">
      <x:c r="A526" s="117" t="str">
        <x:v>Financeiro</x:v>
      </x:c>
      <x:c r="B526" s="117" t="str">
        <x:v>Mar 2026</x:v>
      </x:c>
      <x:c r="C526" s="117" t="str">
        <x:v>Crédito Consignado</x:v>
      </x:c>
      <x:c r="D526" s="120" t="n">
        <x:v>42781353416.58302</x:v>
      </x:c>
    </x:row>
    <x:row r="527">
      <x:c r="A527" s="117" t="str">
        <x:v>Financeiro</x:v>
      </x:c>
      <x:c r="B527" s="117" t="str">
        <x:v>Mar 2026</x:v>
      </x:c>
      <x:c r="C527" s="117" t="str">
        <x:v>Crédito Corporativo</x:v>
      </x:c>
      <x:c r="D527" s="120" t="n">
        <x:v>1761932875.29</x:v>
      </x:c>
    </x:row>
    <x:row r="528">
      <x:c r="A528" s="117" t="str">
        <x:v>Financeiro</x:v>
      </x:c>
      <x:c r="B528" s="117" t="str">
        <x:v>Mar 2026</x:v>
      </x:c>
      <x:c r="C528" s="117" t="str">
        <x:v>Crédito Imobiliário</x:v>
      </x:c>
      <x:c r="D528" s="120" t="n">
        <x:v>4252309902.87</x:v>
      </x:c>
    </x:row>
    <x:row r="529">
      <x:c r="A529" s="117" t="str">
        <x:v>Financeiro</x:v>
      </x:c>
      <x:c r="B529" s="117" t="str">
        <x:v>Mar 2026</x:v>
      </x:c>
      <x:c r="C529" s="117" t="str">
        <x:v>Crédito Pessoal</x:v>
      </x:c>
      <x:c r="D529" s="120" t="n">
        <x:v>97935999085.71146</x:v>
      </x:c>
    </x:row>
    <x:row r="530">
      <x:c r="A530" s="117" t="str">
        <x:v>Financeiro</x:v>
      </x:c>
      <x:c r="B530" s="117" t="str">
        <x:v>Mar 2026</x:v>
      </x:c>
      <x:c r="C530" s="117" t="str">
        <x:v>Financiamento de Veículos</x:v>
      </x:c>
      <x:c r="D530" s="120" t="n">
        <x:v>13396787081.580446</x:v>
      </x:c>
    </x:row>
    <x:row r="531">
      <x:c r="A531" s="117" t="str">
        <x:v>Financeiro</x:v>
      </x:c>
      <x:c r="B531" s="117" t="str">
        <x:v>Mar 2026</x:v>
      </x:c>
      <x:c r="C531" s="117" t="str">
        <x:v>Multicarteira Financeiro</x:v>
      </x:c>
      <x:c r="D531" s="120" t="n">
        <x:v>40231300349.74003</x:v>
      </x:c>
    </x:row>
    <x:row r="532">
      <x:c r="A532" s="117" t="str">
        <x:v>Financeiro</x:v>
      </x:c>
      <x:c r="B532" s="117" t="str">
        <x:v>Mar 2026</x:v>
      </x:c>
      <x:c r="C532" s="117" t="str">
        <x:v>Multicarteira Outros</x:v>
      </x:c>
      <x:c r="D532" s="120" t="n">
        <x:v>0</x:v>
      </x:c>
    </x:row>
    <x:row r="533">
      <x:c r="A533" s="117" t="str">
        <x:v>Fomento Mercantil</x:v>
      </x:c>
      <x:c r="B533" s="117" t="str">
        <x:v>Mar 2026</x:v>
      </x:c>
      <x:c r="C533" s="117" t="str">
        <x:v>Fomento Mercantil</x:v>
      </x:c>
      <x:c r="D533" s="120" t="n">
        <x:v>82499265745.30019</x:v>
      </x:c>
    </x:row>
    <x:row r="534">
      <x:c r="A534" s="117" t="str">
        <x:v>Fomento Mercantil</x:v>
      </x:c>
      <x:c r="B534" s="117" t="str">
        <x:v>Mar 2026</x:v>
      </x:c>
      <x:c r="C534" s="117" t="str">
        <x:v>Multicarteira Outros</x:v>
      </x:c>
      <x:c r="D534" s="120" t="n">
        <x:v>395767025.27</x:v>
      </x:c>
    </x:row>
    <x:row r="535">
      <x:c r="A535" s="117" t="str">
        <x:v>Outros</x:v>
      </x:c>
      <x:c r="B535" s="117" t="str">
        <x:v>Mar 2026</x:v>
      </x:c>
      <x:c r="C535" s="117" t="str">
        <x:v>Crédito Imobiliário</x:v>
      </x:c>
      <x:c r="D535" s="120" t="n">
        <x:v>4281919.6</x:v>
      </x:c>
    </x:row>
    <x:row r="536">
      <x:c r="A536" s="117" t="str">
        <x:v>Outros</x:v>
      </x:c>
      <x:c r="B536" s="117" t="str">
        <x:v>Mar 2026</x:v>
      </x:c>
      <x:c r="C536" s="117" t="str">
        <x:v>Fomento Mercantil</x:v>
      </x:c>
      <x:c r="D536" s="120" t="n">
        <x:v>200951104.7</x:v>
      </x:c>
    </x:row>
    <x:row r="537">
      <x:c r="A537" s="117" t="str">
        <x:v>Outros</x:v>
      </x:c>
      <x:c r="B537" s="117" t="str">
        <x:v>Mar 2026</x:v>
      </x:c>
      <x:c r="C537" s="117" t="str">
        <x:v>Multicarteira Outros</x:v>
      </x:c>
      <x:c r="D537" s="120" t="n">
        <x:v>252399671077.6341</x:v>
      </x:c>
    </x:row>
    <x:row r="538">
      <x:c r="A538" s="117" t="str">
        <x:v>Outros</x:v>
      </x:c>
      <x:c r="B538" s="117" t="str">
        <x:v>Mar 2026</x:v>
      </x:c>
      <x:c r="C538" s="117" t="str">
        <x:v>Multiestratégia</x:v>
      </x:c>
      <x:c r="D538" s="120" t="n">
        <x:v>13634288.55</x:v>
      </x:c>
    </x:row>
    <x:row r="539">
      <x:c r="A539" s="117" t="str">
        <x:v>Outros</x:v>
      </x:c>
      <x:c r="B539" s="117" t="str">
        <x:v>Mar 2026</x:v>
      </x:c>
      <x:c r="C539" s="117" t="str">
        <x:v>Não se aplica</x:v>
      </x:c>
      <x:c r="D539" s="120" t="n">
        <x:v>89519026.4111</x:v>
      </x:c>
    </x:row>
    <x:row r="540">
      <x:c r="A540" s="117" t="str">
        <x:v>Outros</x:v>
      </x:c>
      <x:c r="B540" s="117" t="str">
        <x:v>Mar 2026</x:v>
      </x:c>
      <x:c r="C540" s="117" t="str">
        <x:v>Poder Público</x:v>
      </x:c>
      <x:c r="D540" s="120" t="n">
        <x:v>39805629139.52389</x:v>
      </x:c>
    </x:row>
    <x:row r="541">
      <x:c r="A541" s="117" t="str">
        <x:v>Outros</x:v>
      </x:c>
      <x:c r="B541" s="117" t="str">
        <x:v>Mar 2026</x:v>
      </x:c>
      <x:c r="C541" s="117" t="str">
        <x:v>Recuperação</x:v>
      </x:c>
      <x:c r="D541" s="120" t="n">
        <x:v>6528353785.33</x:v>
      </x:c>
    </x:row>
    <x:row r="542">
      <x:c r="A542" s="117" t="str">
        <x:v>Agro, Indústria e Comércio</x:v>
      </x:c>
      <x:c r="B542" s="117" t="str">
        <x:v>Abr 2026</x:v>
      </x:c>
      <x:c r="C542" s="117" t="str">
        <x:v>Agronegócio</x:v>
      </x:c>
      <x:c r="D542" s="120" t="n">
        <x:v>14424751873.663193</x:v>
      </x:c>
    </x:row>
    <x:row r="543">
      <x:c r="A543" s="117" t="str">
        <x:v>Agro, Indústria e Comércio</x:v>
      </x:c>
      <x:c r="B543" s="117" t="str">
        <x:v>Abr 2026</x:v>
      </x:c>
      <x:c r="C543" s="117" t="str">
        <x:v>Crédito Corporativo</x:v>
      </x:c>
      <x:c r="D543" s="120" t="n">
        <x:v>3941721908.8300004</x:v>
      </x:c>
    </x:row>
    <x:row r="544">
      <x:c r="A544" s="117" t="str">
        <x:v>Agro, Indústria e Comércio</x:v>
      </x:c>
      <x:c r="B544" s="117" t="str">
        <x:v>Abr 2026</x:v>
      </x:c>
      <x:c r="C544" s="117" t="str">
        <x:v>Crédito Pessoal</x:v>
      </x:c>
      <x:c r="D544" s="120" t="n">
        <x:v>581581108.15</x:v>
      </x:c>
    </x:row>
    <x:row r="545">
      <x:c r="A545" s="117" t="str">
        <x:v>Agro, Indústria e Comércio</x:v>
      </x:c>
      <x:c r="B545" s="117" t="str">
        <x:v>Abr 2026</x:v>
      </x:c>
      <x:c r="C545" s="117" t="str">
        <x:v>Infraestrutura</x:v>
      </x:c>
      <x:c r="D545" s="120" t="n">
        <x:v>10740504898.539997</x:v>
      </x:c>
    </x:row>
    <x:row r="546">
      <x:c r="A546" s="117" t="str">
        <x:v>Agro, Indústria e Comércio</x:v>
      </x:c>
      <x:c r="B546" s="117" t="str">
        <x:v>Abr 2026</x:v>
      </x:c>
      <x:c r="C546" s="117" t="str">
        <x:v>Multicarteira Agro, Indústria e Comércio</x:v>
      </x:c>
      <x:c r="D546" s="120" t="n">
        <x:v>17964932581.66001</x:v>
      </x:c>
    </x:row>
    <x:row r="547">
      <x:c r="A547" s="117" t="str">
        <x:v>Agro, Indústria e Comércio</x:v>
      </x:c>
      <x:c r="B547" s="117" t="str">
        <x:v>Abr 2026</x:v>
      </x:c>
      <x:c r="C547" s="117" t="str">
        <x:v>Recebíveis Comerciais</x:v>
      </x:c>
      <x:c r="D547" s="120" t="n">
        <x:v>107742200604.58</x:v>
      </x:c>
    </x:row>
    <x:row r="548">
      <x:c r="A548" s="117" t="str">
        <x:v>Financeiro</x:v>
      </x:c>
      <x:c r="B548" s="117" t="str">
        <x:v>Abr 2026</x:v>
      </x:c>
      <x:c r="C548" s="117" t="str">
        <x:v>Crédito Consignado</x:v>
      </x:c>
      <x:c r="D548" s="120" t="n">
        <x:v>48422788704.99741</x:v>
      </x:c>
    </x:row>
    <x:row r="549">
      <x:c r="A549" s="117" t="str">
        <x:v>Financeiro</x:v>
      </x:c>
      <x:c r="B549" s="117" t="str">
        <x:v>Abr 2026</x:v>
      </x:c>
      <x:c r="C549" s="117" t="str">
        <x:v>Crédito Corporativo</x:v>
      </x:c>
      <x:c r="D549" s="120" t="n">
        <x:v>1798850229.8000002</x:v>
      </x:c>
    </x:row>
    <x:row r="550">
      <x:c r="A550" s="117" t="str">
        <x:v>Financeiro</x:v>
      </x:c>
      <x:c r="B550" s="117" t="str">
        <x:v>Abr 2026</x:v>
      </x:c>
      <x:c r="C550" s="117" t="str">
        <x:v>Crédito Imobiliário</x:v>
      </x:c>
      <x:c r="D550" s="120" t="n">
        <x:v>4333647274.099998</x:v>
      </x:c>
    </x:row>
    <x:row r="551">
      <x:c r="A551" s="117" t="str">
        <x:v>Financeiro</x:v>
      </x:c>
      <x:c r="B551" s="117" t="str">
        <x:v>Abr 2026</x:v>
      </x:c>
      <x:c r="C551" s="117" t="str">
        <x:v>Crédito Pessoal</x:v>
      </x:c>
      <x:c r="D551" s="120" t="n">
        <x:v>99585971307.3083</x:v>
      </x:c>
    </x:row>
    <x:row r="552">
      <x:c r="A552" s="117" t="str">
        <x:v>Financeiro</x:v>
      </x:c>
      <x:c r="B552" s="117" t="str">
        <x:v>Abr 2026</x:v>
      </x:c>
      <x:c r="C552" s="117" t="str">
        <x:v>Financiamento de Veículos</x:v>
      </x:c>
      <x:c r="D552" s="120" t="n">
        <x:v>13531126827.370302</x:v>
      </x:c>
    </x:row>
    <x:row r="553">
      <x:c r="A553" s="117" t="str">
        <x:v>Financeiro</x:v>
      </x:c>
      <x:c r="B553" s="117" t="str">
        <x:v>Abr 2026</x:v>
      </x:c>
      <x:c r="C553" s="117" t="str">
        <x:v>Multicarteira Financeiro</x:v>
      </x:c>
      <x:c r="D553" s="120" t="n">
        <x:v>40042565755.67998</x:v>
      </x:c>
    </x:row>
    <x:row r="554">
      <x:c r="A554" s="117" t="str">
        <x:v>Fomento Mercantil</x:v>
      </x:c>
      <x:c r="B554" s="117" t="str">
        <x:v>Abr 2026</x:v>
      </x:c>
      <x:c r="C554" s="117" t="str">
        <x:v>Fomento Mercantil</x:v>
      </x:c>
      <x:c r="D554" s="120" t="n">
        <x:v>84017886287.48622</x:v>
      </x:c>
    </x:row>
    <x:row r="555">
      <x:c r="A555" s="117" t="str">
        <x:v>Fomento Mercantil</x:v>
      </x:c>
      <x:c r="B555" s="117" t="str">
        <x:v>Abr 2026</x:v>
      </x:c>
      <x:c r="C555" s="117" t="str">
        <x:v>Multicarteira Outros</x:v>
      </x:c>
      <x:c r="D555" s="120" t="n">
        <x:v>284411720.88</x:v>
      </x:c>
    </x:row>
    <x:row r="556">
      <x:c r="A556" s="117" t="str">
        <x:v>Outros</x:v>
      </x:c>
      <x:c r="B556" s="117" t="str">
        <x:v>Abr 2026</x:v>
      </x:c>
      <x:c r="C556" s="117" t="str">
        <x:v>Crédito Imobiliário</x:v>
      </x:c>
      <x:c r="D556" s="120" t="n">
        <x:v>4318824.72</x:v>
      </x:c>
    </x:row>
    <x:row r="557">
      <x:c r="A557" s="117" t="str">
        <x:v>Outros</x:v>
      </x:c>
      <x:c r="B557" s="117" t="str">
        <x:v>Abr 2026</x:v>
      </x:c>
      <x:c r="C557" s="117" t="str">
        <x:v>Fomento Mercantil</x:v>
      </x:c>
      <x:c r="D557" s="120" t="n">
        <x:v>68568302.49000001</x:v>
      </x:c>
    </x:row>
    <x:row r="558">
      <x:c r="A558" s="117" t="str">
        <x:v>Outros</x:v>
      </x:c>
      <x:c r="B558" s="117" t="str">
        <x:v>Abr 2026</x:v>
      </x:c>
      <x:c r="C558" s="117" t="str">
        <x:v>Multicarteira Outros</x:v>
      </x:c>
      <x:c r="D558" s="120" t="n">
        <x:v>251153941484.87933</x:v>
      </x:c>
    </x:row>
    <x:row r="559">
      <x:c r="A559" s="117" t="str">
        <x:v>Outros</x:v>
      </x:c>
      <x:c r="B559" s="117" t="str">
        <x:v>Abr 2026</x:v>
      </x:c>
      <x:c r="C559" s="117" t="str">
        <x:v>Multiestratégia</x:v>
      </x:c>
      <x:c r="D559" s="120" t="n">
        <x:v>0</x:v>
      </x:c>
    </x:row>
    <x:row r="560">
      <x:c r="A560" s="117" t="str">
        <x:v>Outros</x:v>
      </x:c>
      <x:c r="B560" s="117" t="str">
        <x:v>Abr 2026</x:v>
      </x:c>
      <x:c r="C560" s="117" t="str">
        <x:v>Não se aplica</x:v>
      </x:c>
      <x:c r="D560" s="120" t="n">
        <x:v>48646377.000099994</x:v>
      </x:c>
    </x:row>
    <x:row r="561">
      <x:c r="A561" s="117" t="str">
        <x:v>Outros</x:v>
      </x:c>
      <x:c r="B561" s="117" t="str">
        <x:v>Abr 2026</x:v>
      </x:c>
      <x:c r="C561" s="117" t="str">
        <x:v>Poder Público</x:v>
      </x:c>
      <x:c r="D561" s="120" t="n">
        <x:v>37638047116.78689</x:v>
      </x:c>
    </x:row>
    <x:row r="562">
      <x:c r="A562" s="117" t="str">
        <x:v>Outros</x:v>
      </x:c>
      <x:c r="B562" s="117" t="str">
        <x:v>Abr 2026</x:v>
      </x:c>
      <x:c r="C562" s="117" t="str">
        <x:v>Recuperação</x:v>
      </x:c>
      <x:c r="D562" s="120" t="n">
        <x:v>6553071223.590002</x:v>
      </x:c>
    </x:row>
    <x:row r="563">
      <x:c r="A563" s="117" t="str">
        <x:v>Agro, Indústria e Comércio</x:v>
      </x:c>
      <x:c r="B563" s="117" t="str">
        <x:v>Mai 2026</x:v>
      </x:c>
      <x:c r="C563" s="117" t="str">
        <x:v>Agronegócio</x:v>
      </x:c>
      <x:c r="D563" s="120" t="n">
        <x:v>13223219238.134886</x:v>
      </x:c>
    </x:row>
    <x:row r="564">
      <x:c r="A564" s="117" t="str">
        <x:v>Agro, Indústria e Comércio</x:v>
      </x:c>
      <x:c r="B564" s="117" t="str">
        <x:v>Mai 2026</x:v>
      </x:c>
      <x:c r="C564" s="117" t="str">
        <x:v>Crédito Corporativo</x:v>
      </x:c>
      <x:c r="D564" s="120" t="n">
        <x:v>3150597842.7999997</x:v>
      </x:c>
    </x:row>
    <x:row r="565">
      <x:c r="A565" s="117" t="str">
        <x:v>Agro, Indústria e Comércio</x:v>
      </x:c>
      <x:c r="B565" s="117" t="str">
        <x:v>Mai 2026</x:v>
      </x:c>
      <x:c r="C565" s="117" t="str">
        <x:v>Crédito Pessoal</x:v>
      </x:c>
      <x:c r="D565" s="120" t="n">
        <x:v>567408596.86</x:v>
      </x:c>
    </x:row>
    <x:row r="566">
      <x:c r="A566" s="117" t="str">
        <x:v>Agro, Indústria e Comércio</x:v>
      </x:c>
      <x:c r="B566" s="117" t="str">
        <x:v>Mai 2026</x:v>
      </x:c>
      <x:c r="C566" s="117" t="str">
        <x:v>Infraestrutura</x:v>
      </x:c>
      <x:c r="D566" s="120" t="n">
        <x:v>11158714388.07</x:v>
      </x:c>
    </x:row>
    <x:row r="567">
      <x:c r="A567" s="117" t="str">
        <x:v>Agro, Indústria e Comércio</x:v>
      </x:c>
      <x:c r="B567" s="117" t="str">
        <x:v>Mai 2026</x:v>
      </x:c>
      <x:c r="C567" s="117" t="str">
        <x:v>Multicarteira Agro, Indústria e Comércio</x:v>
      </x:c>
      <x:c r="D567" s="120" t="n">
        <x:v>17908250451.520008</x:v>
      </x:c>
    </x:row>
    <x:row r="568">
      <x:c r="A568" s="117" t="str">
        <x:v>Agro, Indústria e Comércio</x:v>
      </x:c>
      <x:c r="B568" s="117" t="str">
        <x:v>Mai 2026</x:v>
      </x:c>
      <x:c r="C568" s="117" t="str">
        <x:v>Recebíveis Comerciais</x:v>
      </x:c>
      <x:c r="D568" s="120" t="n">
        <x:v>108061928900.55998</x:v>
      </x:c>
    </x:row>
    <x:row r="569">
      <x:c r="A569" s="117" t="str">
        <x:v>Financeiro</x:v>
      </x:c>
      <x:c r="B569" s="117" t="str">
        <x:v>Mai 2026</x:v>
      </x:c>
      <x:c r="C569" s="117" t="str">
        <x:v>Crédito Consignado</x:v>
      </x:c>
      <x:c r="D569" s="120" t="n">
        <x:v>50849047662.60322</x:v>
      </x:c>
    </x:row>
    <x:row r="570">
      <x:c r="A570" s="117" t="str">
        <x:v>Financeiro</x:v>
      </x:c>
      <x:c r="B570" s="117" t="str">
        <x:v>Mai 2026</x:v>
      </x:c>
      <x:c r="C570" s="117" t="str">
        <x:v>Crédito Corporativo</x:v>
      </x:c>
      <x:c r="D570" s="120" t="n">
        <x:v>1836029965.8</x:v>
      </x:c>
    </x:row>
    <x:row r="571">
      <x:c r="A571" s="117" t="str">
        <x:v>Financeiro</x:v>
      </x:c>
      <x:c r="B571" s="117" t="str">
        <x:v>Mai 2026</x:v>
      </x:c>
      <x:c r="C571" s="117" t="str">
        <x:v>Crédito Imobiliário</x:v>
      </x:c>
      <x:c r="D571" s="120" t="n">
        <x:v>4479902863.500001</x:v>
      </x:c>
    </x:row>
    <x:row r="572">
      <x:c r="A572" s="117" t="str">
        <x:v>Financeiro</x:v>
      </x:c>
      <x:c r="B572" s="117" t="str">
        <x:v>Mai 2026</x:v>
      </x:c>
      <x:c r="C572" s="117" t="str">
        <x:v>Crédito Pessoal</x:v>
      </x:c>
      <x:c r="D572" s="120" t="n">
        <x:v>100016536998.20706</x:v>
      </x:c>
    </x:row>
    <x:row r="573">
      <x:c r="A573" s="117" t="str">
        <x:v>Financeiro</x:v>
      </x:c>
      <x:c r="B573" s="117" t="str">
        <x:v>Mai 2026</x:v>
      </x:c>
      <x:c r="C573" s="117" t="str">
        <x:v>Financiamento de Veículos</x:v>
      </x:c>
      <x:c r="D573" s="120" t="n">
        <x:v>13592136683.56086</x:v>
      </x:c>
    </x:row>
    <x:row r="574">
      <x:c r="A574" s="117" t="str">
        <x:v>Financeiro</x:v>
      </x:c>
      <x:c r="B574" s="117" t="str">
        <x:v>Mai 2026</x:v>
      </x:c>
      <x:c r="C574" s="117" t="str">
        <x:v>Multicarteira Financeiro</x:v>
      </x:c>
      <x:c r="D574" s="120" t="n">
        <x:v>42406792102.768936</x:v>
      </x:c>
    </x:row>
    <x:row r="575">
      <x:c r="A575" s="117" t="str">
        <x:v>Fomento Mercantil</x:v>
      </x:c>
      <x:c r="B575" s="117" t="str">
        <x:v>Mai 2026</x:v>
      </x:c>
      <x:c r="C575" s="117" t="str">
        <x:v>Fomento Mercantil</x:v>
      </x:c>
      <x:c r="D575" s="120" t="n">
        <x:v>85515903568.22466</x:v>
      </x:c>
    </x:row>
    <x:row r="576">
      <x:c r="A576" s="117" t="str">
        <x:v>Fomento Mercantil</x:v>
      </x:c>
      <x:c r="B576" s="117" t="str">
        <x:v>Mai 2026</x:v>
      </x:c>
      <x:c r="C576" s="117" t="str">
        <x:v>Multicarteira Outros</x:v>
      </x:c>
      <x:c r="D576" s="120" t="n">
        <x:v>238743134.43</x:v>
      </x:c>
    </x:row>
    <x:row r="577">
      <x:c r="A577" s="117" t="str">
        <x:v>Outros</x:v>
      </x:c>
      <x:c r="B577" s="117" t="str">
        <x:v>Mai 2026</x:v>
      </x:c>
      <x:c r="C577" s="117" t="str">
        <x:v>Crédito Imobiliário</x:v>
      </x:c>
      <x:c r="D577" s="120" t="n">
        <x:v>4342620.13</x:v>
      </x:c>
    </x:row>
    <x:row r="578">
      <x:c r="A578" s="117" t="str">
        <x:v>Outros</x:v>
      </x:c>
      <x:c r="B578" s="117" t="str">
        <x:v>Mai 2026</x:v>
      </x:c>
      <x:c r="C578" s="117" t="str">
        <x:v>Fomento Mercantil</x:v>
      </x:c>
      <x:c r="D578" s="120" t="n">
        <x:v>0</x:v>
      </x:c>
    </x:row>
    <x:row r="579">
      <x:c r="A579" s="117" t="str">
        <x:v>Outros</x:v>
      </x:c>
      <x:c r="B579" s="117" t="str">
        <x:v>Mai 2026</x:v>
      </x:c>
      <x:c r="C579" s="117" t="str">
        <x:v>Multicarteira Outros</x:v>
      </x:c>
      <x:c r="D579" s="120" t="n">
        <x:v>255985020262.2241</x:v>
      </x:c>
    </x:row>
    <x:row r="580">
      <x:c r="A580" s="117" t="str">
        <x:v>Outros</x:v>
      </x:c>
      <x:c r="B580" s="117" t="str">
        <x:v>Mai 2026</x:v>
      </x:c>
      <x:c r="C580" s="117" t="str">
        <x:v>Não se aplica</x:v>
      </x:c>
      <x:c r="D580" s="120" t="n">
        <x:v>47558981.937599994</x:v>
      </x:c>
    </x:row>
    <x:row r="581">
      <x:c r="A581" s="117" t="str">
        <x:v>Outros</x:v>
      </x:c>
      <x:c r="B581" s="117" t="str">
        <x:v>Mai 2026</x:v>
      </x:c>
      <x:c r="C581" s="117" t="str">
        <x:v>Poder Público</x:v>
      </x:c>
      <x:c r="D581" s="120" t="n">
        <x:v>35409354241.732346</x:v>
      </x:c>
    </x:row>
    <x:row r="582">
      <x:c r="A582" s="118" t="str">
        <x:v>Outros</x:v>
      </x:c>
      <x:c r="B582" s="118" t="str">
        <x:v>Mai 2026</x:v>
      </x:c>
      <x:c r="C582" s="118" t="str">
        <x:v>Recuperação</x:v>
      </x:c>
      <x:c r="D582" s="121" t="n">
        <x:v>6636966655.110001</x:v>
      </x:c>
    </x:row>
  </x:sheetData>
  <x:mergeCells>
    <x:mergeCell ref="A1:D1"/>
    <x:mergeCell ref="F1:J4"/>
  </x:mergeCells>
  <x:pageMargins left="0.7" right="0.7" top="0.75" bottom="0.75" header="0.3" footer="0.3"/>
  <x:tableParts count="1">
    <x:tablePart xmlns:r="http://schemas.openxmlformats.org/officeDocument/2006/relationships" r:id="R27cfea243d7e405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5" hidden="0" customWidth="1"/>
    <x:col min="3" max="3" width="20" hidden="0" customWidth="1"/>
  </x:cols>
  <x:sheetData>
    <x:row r="1" ht="28" customHeight="1">
      <x:c r="A1" s="4" t="str">
        <x:v>Volume captado em ofertas de FIDC por subscritor</x:v>
      </x:c>
      <x:c r="B1" s="4" t="str">
        <x:v>Volume captado em ofertas de FIDC por subscritor</x:v>
      </x:c>
      <x:c r="C1" s="4" t="str">
        <x:v>Volume captado em ofertas de FIDC por subscritor</x:v>
      </x:c>
      <x:c r="E1" s="99" t="str">
        <x:v>O gráfico devolve volume acumulado por mês e tipo de subscritor. Em Mai 2026, a soma acumulada observada é R$ 163,16 bi; o card do mês mostra R$ 5,29 bi. https://app.powerbi.com/view?r=eyJrIjoiM2M2NzVmOWItMzI0Yi00MTE1LWI5ZmYtZTM0ZWM4ZDUwODNlIiwidCI6Ijk3OTM3M2VkLWQxMzAtNDU4NS1iNTY5LTNjM2NlNjE0MTIyNyJ9</x:v>
      </x:c>
      <x:c r="F1" s="99" t="str">
        <x:v>O gráfico devolve volume acumulado por mês e tipo de subscritor. Em Mai 2026, a soma acumulada observada é R$ 163,16 bi; o card do mês mostra R$ 5,29 bi. https://app.powerbi.com/view?r=eyJrIjoiM2M2NzVmOWItMzI0Yi00MTE1LWI5ZmYtZTM0ZWM4ZDUwODNlIiwidCI6Ijk3OTM3M2VkLWQxMzAtNDU4NS1iNTY5LTNjM2NlNjE0MTIyNyJ9</x:v>
      </x:c>
      <x:c r="G1" s="99" t="str">
        <x:v>O gráfico devolve volume acumulado por mês e tipo de subscritor. Em Mai 2026, a soma acumulada observada é R$ 163,16 bi; o card do mês mostra R$ 5,29 bi. https://app.powerbi.com/view?r=eyJrIjoiM2M2NzVmOWItMzI0Yi00MTE1LWI5ZmYtZTM0ZWM4ZDUwODNlIiwidCI6Ijk3OTM3M2VkLWQxMzAtNDU4NS1iNTY5LTNjM2NlNjE0MTIyNyJ9</x:v>
      </x:c>
      <x:c r="H1" s="99" t="str">
        <x:v>O gráfico devolve volume acumulado por mês e tipo de subscritor. Em Mai 2026, a soma acumulada observada é R$ 163,16 bi; o card do mês mostra R$ 5,29 bi. https://app.powerbi.com/view?r=eyJrIjoiM2M2NzVmOWItMzI0Yi00MTE1LWI5ZmYtZTM0ZWM4ZDUwODNlIiwidCI6Ijk3OTM3M2VkLWQxMzAtNDU4NS1iNTY5LTNjM2NlNjE0MTIyNyJ9</x:v>
      </x:c>
      <x:c r="I1" s="99" t="str">
        <x:v>O gráfico devolve volume acumulado por mês e tipo de subscritor. Em Mai 2026, a soma acumulada observada é R$ 163,16 bi; o card do mês mostra R$ 5,29 bi. https://app.powerbi.com/view?r=eyJrIjoiM2M2NzVmOWItMzI0Yi00MTE1LWI5ZmYtZTM0ZWM4ZDUwODNlIiwidCI6Ijk3OTM3M2VkLWQxMzAtNDU4NS1iNTY5LTNjM2NlNjE0MTIyNyJ9</x:v>
      </x:c>
    </x:row>
    <x:row r="2" ht="26" customHeight="1">
      <x:c r="A2" s="110" t="str">
        <x:v>Período</x:v>
      </x:c>
      <x:c r="B2" s="111" t="str">
        <x:v>Tipo de subscritor</x:v>
      </x:c>
      <x:c r="C2" s="112" t="str">
        <x:v>Volume acumulado</x:v>
      </x:c>
      <x:c r="E2" s="99" t="str">
        <x:v>O gráfico devolve volume acumulado por mês e tipo de subscritor. Em Mai 2026, a soma acumulada observada é R$ 163,16 bi; o card do mês mostra R$ 5,29 bi. https://app.powerbi.com/view?r=eyJrIjoiM2M2NzVmOWItMzI0Yi00MTE1LWI5ZmYtZTM0ZWM4ZDUwODNlIiwidCI6Ijk3OTM3M2VkLWQxMzAtNDU4NS1iNTY5LTNjM2NlNjE0MTIyNyJ9</x:v>
      </x:c>
      <x:c r="F2" s="99" t="str">
        <x:v>O gráfico devolve volume acumulado por mês e tipo de subscritor. Em Mai 2026, a soma acumulada observada é R$ 163,16 bi; o card do mês mostra R$ 5,29 bi. https://app.powerbi.com/view?r=eyJrIjoiM2M2NzVmOWItMzI0Yi00MTE1LWI5ZmYtZTM0ZWM4ZDUwODNlIiwidCI6Ijk3OTM3M2VkLWQxMzAtNDU4NS1iNTY5LTNjM2NlNjE0MTIyNyJ9</x:v>
      </x:c>
      <x:c r="G2" s="99" t="str">
        <x:v>O gráfico devolve volume acumulado por mês e tipo de subscritor. Em Mai 2026, a soma acumulada observada é R$ 163,16 bi; o card do mês mostra R$ 5,29 bi. https://app.powerbi.com/view?r=eyJrIjoiM2M2NzVmOWItMzI0Yi00MTE1LWI5ZmYtZTM0ZWM4ZDUwODNlIiwidCI6Ijk3OTM3M2VkLWQxMzAtNDU4NS1iNTY5LTNjM2NlNjE0MTIyNyJ9</x:v>
      </x:c>
      <x:c r="H2" s="99" t="str">
        <x:v>O gráfico devolve volume acumulado por mês e tipo de subscritor. Em Mai 2026, a soma acumulada observada é R$ 163,16 bi; o card do mês mostra R$ 5,29 bi. https://app.powerbi.com/view?r=eyJrIjoiM2M2NzVmOWItMzI0Yi00MTE1LWI5ZmYtZTM0ZWM4ZDUwODNlIiwidCI6Ijk3OTM3M2VkLWQxMzAtNDU4NS1iNTY5LTNjM2NlNjE0MTIyNyJ9</x:v>
      </x:c>
      <x:c r="I2" s="99" t="str">
        <x:v>O gráfico devolve volume acumulado por mês e tipo de subscritor. Em Mai 2026, a soma acumulada observada é R$ 163,16 bi; o card do mês mostra R$ 5,29 bi. https://app.powerbi.com/view?r=eyJrIjoiM2M2NzVmOWItMzI0Yi00MTE1LWI5ZmYtZTM0ZWM4ZDUwODNlIiwidCI6Ijk3OTM3M2VkLWQxMzAtNDU4NS1iNTY5LTNjM2NlNjE0MTIyNyJ9</x:v>
      </x:c>
    </x:row>
    <x:row r="3">
      <x:c r="A3" s="116" t="str">
        <x:v>Out 2024</x:v>
      </x:c>
      <x:c r="B3" s="116" t="str">
        <x:v>Demais investidores institucionais</x:v>
      </x:c>
      <x:c r="C3" s="119" t="n">
        <x:v>400260322.118828</x:v>
      </x:c>
      <x:c r="E3" s="99" t="str">
        <x:v>O gráfico devolve volume acumulado por mês e tipo de subscritor. Em Mai 2026, a soma acumulada observada é R$ 163,16 bi; o card do mês mostra R$ 5,29 bi. https://app.powerbi.com/view?r=eyJrIjoiM2M2NzVmOWItMzI0Yi00MTE1LWI5ZmYtZTM0ZWM4ZDUwODNlIiwidCI6Ijk3OTM3M2VkLWQxMzAtNDU4NS1iNTY5LTNjM2NlNjE0MTIyNyJ9</x:v>
      </x:c>
      <x:c r="F3" s="99" t="str">
        <x:v>O gráfico devolve volume acumulado por mês e tipo de subscritor. Em Mai 2026, a soma acumulada observada é R$ 163,16 bi; o card do mês mostra R$ 5,29 bi. https://app.powerbi.com/view?r=eyJrIjoiM2M2NzVmOWItMzI0Yi00MTE1LWI5ZmYtZTM0ZWM4ZDUwODNlIiwidCI6Ijk3OTM3M2VkLWQxMzAtNDU4NS1iNTY5LTNjM2NlNjE0MTIyNyJ9</x:v>
      </x:c>
      <x:c r="G3" s="99" t="str">
        <x:v>O gráfico devolve volume acumulado por mês e tipo de subscritor. Em Mai 2026, a soma acumulada observada é R$ 163,16 bi; o card do mês mostra R$ 5,29 bi. https://app.powerbi.com/view?r=eyJrIjoiM2M2NzVmOWItMzI0Yi00MTE1LWI5ZmYtZTM0ZWM4ZDUwODNlIiwidCI6Ijk3OTM3M2VkLWQxMzAtNDU4NS1iNTY5LTNjM2NlNjE0MTIyNyJ9</x:v>
      </x:c>
      <x:c r="H3" s="99" t="str">
        <x:v>O gráfico devolve volume acumulado por mês e tipo de subscritor. Em Mai 2026, a soma acumulada observada é R$ 163,16 bi; o card do mês mostra R$ 5,29 bi. https://app.powerbi.com/view?r=eyJrIjoiM2M2NzVmOWItMzI0Yi00MTE1LWI5ZmYtZTM0ZWM4ZDUwODNlIiwidCI6Ijk3OTM3M2VkLWQxMzAtNDU4NS1iNTY5LTNjM2NlNjE0MTIyNyJ9</x:v>
      </x:c>
      <x:c r="I3" s="99" t="str">
        <x:v>O gráfico devolve volume acumulado por mês e tipo de subscritor. Em Mai 2026, a soma acumulada observada é R$ 163,16 bi; o card do mês mostra R$ 5,29 bi. https://app.powerbi.com/view?r=eyJrIjoiM2M2NzVmOWItMzI0Yi00MTE1LWI5ZmYtZTM0ZWM4ZDUwODNlIiwidCI6Ijk3OTM3M2VkLWQxMzAtNDU4NS1iNTY5LTNjM2NlNjE0MTIyNyJ9</x:v>
      </x:c>
    </x:row>
    <x:row r="4">
      <x:c r="A4" s="117" t="str">
        <x:v>Out 2024</x:v>
      </x:c>
      <x:c r="B4" s="117" t="str">
        <x:v>Fundos de Investimento</x:v>
      </x:c>
      <x:c r="C4" s="120" t="n">
        <x:v>4621343191.517166</x:v>
      </x:c>
      <x:c r="E4" s="99" t="str">
        <x:v>O gráfico devolve volume acumulado por mês e tipo de subscritor. Em Mai 2026, a soma acumulada observada é R$ 163,16 bi; o card do mês mostra R$ 5,29 bi. https://app.powerbi.com/view?r=eyJrIjoiM2M2NzVmOWItMzI0Yi00MTE1LWI5ZmYtZTM0ZWM4ZDUwODNlIiwidCI6Ijk3OTM3M2VkLWQxMzAtNDU4NS1iNTY5LTNjM2NlNjE0MTIyNyJ9</x:v>
      </x:c>
      <x:c r="F4" s="99" t="str">
        <x:v>O gráfico devolve volume acumulado por mês e tipo de subscritor. Em Mai 2026, a soma acumulada observada é R$ 163,16 bi; o card do mês mostra R$ 5,29 bi. https://app.powerbi.com/view?r=eyJrIjoiM2M2NzVmOWItMzI0Yi00MTE1LWI5ZmYtZTM0ZWM4ZDUwODNlIiwidCI6Ijk3OTM3M2VkLWQxMzAtNDU4NS1iNTY5LTNjM2NlNjE0MTIyNyJ9</x:v>
      </x:c>
      <x:c r="G4" s="99" t="str">
        <x:v>O gráfico devolve volume acumulado por mês e tipo de subscritor. Em Mai 2026, a soma acumulada observada é R$ 163,16 bi; o card do mês mostra R$ 5,29 bi. https://app.powerbi.com/view?r=eyJrIjoiM2M2NzVmOWItMzI0Yi00MTE1LWI5ZmYtZTM0ZWM4ZDUwODNlIiwidCI6Ijk3OTM3M2VkLWQxMzAtNDU4NS1iNTY5LTNjM2NlNjE0MTIyNyJ9</x:v>
      </x:c>
      <x:c r="H4" s="99" t="str">
        <x:v>O gráfico devolve volume acumulado por mês e tipo de subscritor. Em Mai 2026, a soma acumulada observada é R$ 163,16 bi; o card do mês mostra R$ 5,29 bi. https://app.powerbi.com/view?r=eyJrIjoiM2M2NzVmOWItMzI0Yi00MTE1LWI5ZmYtZTM0ZWM4ZDUwODNlIiwidCI6Ijk3OTM3M2VkLWQxMzAtNDU4NS1iNTY5LTNjM2NlNjE0MTIyNyJ9</x:v>
      </x:c>
      <x:c r="I4" s="99" t="str">
        <x:v>O gráfico devolve volume acumulado por mês e tipo de subscritor. Em Mai 2026, a soma acumulada observada é R$ 163,16 bi; o card do mês mostra R$ 5,29 bi. https://app.powerbi.com/view?r=eyJrIjoiM2M2NzVmOWItMzI0Yi00MTE1LWI5ZmYtZTM0ZWM4ZDUwODNlIiwidCI6Ijk3OTM3M2VkLWQxMzAtNDU4NS1iNTY5LTNjM2NlNjE0MTIyNyJ9</x:v>
      </x:c>
    </x:row>
    <x:row r="5">
      <x:c r="A5" s="117" t="str">
        <x:v>Out 2024</x:v>
      </x:c>
      <x:c r="B5" s="117" t="str">
        <x:v>Intermediários e demais participantes ligados à oferta</x:v>
      </x:c>
      <x:c r="C5" s="120" t="n">
        <x:v>1304677179.11093</x:v>
      </x:c>
    </x:row>
    <x:row r="6">
      <x:c r="A6" s="117" t="str">
        <x:v>Out 2024</x:v>
      </x:c>
      <x:c r="B6" s="117" t="str">
        <x:v>Investidores estrangeiros</x:v>
      </x:c>
      <x:c r="C6" s="120" t="n">
        <x:v>6221409.986876</x:v>
      </x:c>
    </x:row>
    <x:row r="7">
      <x:c r="A7" s="117" t="str">
        <x:v>Out 2024</x:v>
      </x:c>
      <x:c r="B7" s="117" t="str">
        <x:v>Pessoas físicas</x:v>
      </x:c>
      <x:c r="C7" s="120" t="n">
        <x:v>552287012.753232</x:v>
      </x:c>
    </x:row>
    <x:row r="8">
      <x:c r="A8" s="117" t="str">
        <x:v>Nov 2024</x:v>
      </x:c>
      <x:c r="B8" s="117" t="str">
        <x:v>Demais investidores institucionais</x:v>
      </x:c>
      <x:c r="C8" s="120" t="n">
        <x:v>3130284807.354376</x:v>
      </x:c>
    </x:row>
    <x:row r="9">
      <x:c r="A9" s="117" t="str">
        <x:v>Nov 2024</x:v>
      </x:c>
      <x:c r="B9" s="117" t="str">
        <x:v>Fundos de Investimento</x:v>
      </x:c>
      <x:c r="C9" s="120" t="n">
        <x:v>10456447742.408855</x:v>
      </x:c>
    </x:row>
    <x:row r="10">
      <x:c r="A10" s="117" t="str">
        <x:v>Nov 2024</x:v>
      </x:c>
      <x:c r="B10" s="117" t="str">
        <x:v>Intermediários e demais participantes ligados à oferta</x:v>
      </x:c>
      <x:c r="C10" s="120" t="n">
        <x:v>3558416079.11093</x:v>
      </x:c>
    </x:row>
    <x:row r="11">
      <x:c r="A11" s="117" t="str">
        <x:v>Nov 2024</x:v>
      </x:c>
      <x:c r="B11" s="117" t="str">
        <x:v>Investidores estrangeiros</x:v>
      </x:c>
      <x:c r="C11" s="120" t="n">
        <x:v>111429947.256876</x:v>
      </x:c>
    </x:row>
    <x:row r="12">
      <x:c r="A12" s="117" t="str">
        <x:v>Nov 2024</x:v>
      </x:c>
      <x:c r="B12" s="117" t="str">
        <x:v>Pessoas físicas</x:v>
      </x:c>
      <x:c r="C12" s="120" t="n">
        <x:v>769842377.72323</x:v>
      </x:c>
    </x:row>
    <x:row r="13">
      <x:c r="A13" s="117" t="str">
        <x:v>Dez 2024</x:v>
      </x:c>
      <x:c r="B13" s="117" t="str">
        <x:v>Demais investidores institucionais</x:v>
      </x:c>
      <x:c r="C13" s="120" t="n">
        <x:v>3571683793.740408</x:v>
      </x:c>
    </x:row>
    <x:row r="14">
      <x:c r="A14" s="117" t="str">
        <x:v>Dez 2024</x:v>
      </x:c>
      <x:c r="B14" s="117" t="str">
        <x:v>Fundos de Investimento</x:v>
      </x:c>
      <x:c r="C14" s="120" t="n">
        <x:v>18587757149.724335</x:v>
      </x:c>
    </x:row>
    <x:row r="15">
      <x:c r="A15" s="117" t="str">
        <x:v>Dez 2024</x:v>
      </x:c>
      <x:c r="B15" s="117" t="str">
        <x:v>Intermediários e demais participantes ligados à oferta</x:v>
      </x:c>
      <x:c r="C15" s="120" t="n">
        <x:v>6675669551.07999</x:v>
      </x:c>
    </x:row>
    <x:row r="16">
      <x:c r="A16" s="117" t="str">
        <x:v>Dez 2024</x:v>
      </x:c>
      <x:c r="B16" s="117" t="str">
        <x:v>Investidores estrangeiros</x:v>
      </x:c>
      <x:c r="C16" s="120" t="n">
        <x:v>294411417.256876</x:v>
      </x:c>
    </x:row>
    <x:row r="17">
      <x:c r="A17" s="117" t="str">
        <x:v>Dez 2024</x:v>
      </x:c>
      <x:c r="B17" s="117" t="str">
        <x:v>Pessoas físicas</x:v>
      </x:c>
      <x:c r="C17" s="120" t="n">
        <x:v>1394641288.99423</x:v>
      </x:c>
    </x:row>
    <x:row r="18">
      <x:c r="A18" s="117" t="str">
        <x:v>Jan 2025</x:v>
      </x:c>
      <x:c r="B18" s="117" t="str">
        <x:v>Demais investidores institucionais</x:v>
      </x:c>
      <x:c r="C18" s="120" t="n">
        <x:v>3862551752.420508</x:v>
      </x:c>
    </x:row>
    <x:row r="19">
      <x:c r="A19" s="117" t="str">
        <x:v>Jan 2025</x:v>
      </x:c>
      <x:c r="B19" s="117" t="str">
        <x:v>Fundos de Investimento</x:v>
      </x:c>
      <x:c r="C19" s="120" t="n">
        <x:v>20903703735.484314</x:v>
      </x:c>
    </x:row>
    <x:row r="20">
      <x:c r="A20" s="117" t="str">
        <x:v>Jan 2025</x:v>
      </x:c>
      <x:c r="B20" s="117" t="str">
        <x:v>Intermediários e demais participantes ligados à oferta</x:v>
      </x:c>
      <x:c r="C20" s="120" t="n">
        <x:v>7485635225.526694</x:v>
      </x:c>
    </x:row>
    <x:row r="21">
      <x:c r="A21" s="117" t="str">
        <x:v>Jan 2025</x:v>
      </x:c>
      <x:c r="B21" s="117" t="str">
        <x:v>Investidores estrangeiros</x:v>
      </x:c>
      <x:c r="C21" s="120" t="n">
        <x:v>302620771.07743984</x:v>
      </x:c>
    </x:row>
    <x:row r="22">
      <x:c r="A22" s="117" t="str">
        <x:v>Jan 2025</x:v>
      </x:c>
      <x:c r="B22" s="117" t="str">
        <x:v>Pessoas físicas</x:v>
      </x:c>
      <x:c r="C22" s="120" t="n">
        <x:v>1490978093.84145</x:v>
      </x:c>
    </x:row>
    <x:row r="23">
      <x:c r="A23" s="117" t="str">
        <x:v>Fev 2025</x:v>
      </x:c>
      <x:c r="B23" s="117" t="str">
        <x:v>Demais investidores institucionais</x:v>
      </x:c>
      <x:c r="C23" s="120" t="n">
        <x:v>4101364711.417128</x:v>
      </x:c>
    </x:row>
    <x:row r="24">
      <x:c r="A24" s="117" t="str">
        <x:v>Fev 2025</x:v>
      </x:c>
      <x:c r="B24" s="117" t="str">
        <x:v>Fundos de Investimento</x:v>
      </x:c>
      <x:c r="C24" s="120" t="n">
        <x:v>24626558864.136673</x:v>
      </x:c>
    </x:row>
    <x:row r="25">
      <x:c r="A25" s="117" t="str">
        <x:v>Fev 2025</x:v>
      </x:c>
      <x:c r="B25" s="117" t="str">
        <x:v>Intermediários e demais participantes ligados à oferta</x:v>
      </x:c>
      <x:c r="C25" s="120" t="n">
        <x:v>9542764231.630695</x:v>
      </x:c>
    </x:row>
    <x:row r="26">
      <x:c r="A26" s="117" t="str">
        <x:v>Fev 2025</x:v>
      </x:c>
      <x:c r="B26" s="117" t="str">
        <x:v>Investidores estrangeiros</x:v>
      </x:c>
      <x:c r="C26" s="120" t="n">
        <x:v>306382206.82252437</x:v>
      </x:c>
    </x:row>
    <x:row r="27">
      <x:c r="A27" s="117" t="str">
        <x:v>Fev 2025</x:v>
      </x:c>
      <x:c r="B27" s="117" t="str">
        <x:v>Pessoas físicas</x:v>
      </x:c>
      <x:c r="C27" s="120" t="n">
        <x:v>1674109862.52095</x:v>
      </x:c>
    </x:row>
    <x:row r="28">
      <x:c r="A28" s="117" t="str">
        <x:v>Mar 2025</x:v>
      </x:c>
      <x:c r="B28" s="117" t="str">
        <x:v>Demais investidores institucionais</x:v>
      </x:c>
      <x:c r="C28" s="120" t="n">
        <x:v>4380576416.262228</x:v>
      </x:c>
    </x:row>
    <x:row r="29">
      <x:c r="A29" s="117" t="str">
        <x:v>Mar 2025</x:v>
      </x:c>
      <x:c r="B29" s="117" t="str">
        <x:v>Fundos de Investimento</x:v>
      </x:c>
      <x:c r="C29" s="120" t="n">
        <x:v>27324953625.513535</x:v>
      </x:c>
    </x:row>
    <x:row r="30">
      <x:c r="A30" s="117" t="str">
        <x:v>Mar 2025</x:v>
      </x:c>
      <x:c r="B30" s="117" t="str">
        <x:v>Intermediários e demais participantes ligados à oferta</x:v>
      </x:c>
      <x:c r="C30" s="120" t="n">
        <x:v>11914396204.234806</x:v>
      </x:c>
    </x:row>
    <x:row r="31">
      <x:c r="A31" s="117" t="str">
        <x:v>Mar 2025</x:v>
      </x:c>
      <x:c r="B31" s="117" t="str">
        <x:v>Investidores estrangeiros</x:v>
      </x:c>
      <x:c r="C31" s="120" t="n">
        <x:v>346699086.82252437</x:v>
      </x:c>
    </x:row>
    <x:row r="32">
      <x:c r="A32" s="117" t="str">
        <x:v>Mar 2025</x:v>
      </x:c>
      <x:c r="B32" s="117" t="str">
        <x:v>Pessoas físicas</x:v>
      </x:c>
      <x:c r="C32" s="120" t="n">
        <x:v>2085804545.818165</x:v>
      </x:c>
    </x:row>
    <x:row r="33">
      <x:c r="A33" s="117" t="str">
        <x:v>Abr 2025</x:v>
      </x:c>
      <x:c r="B33" s="117" t="str">
        <x:v>Demais investidores institucionais</x:v>
      </x:c>
      <x:c r="C33" s="120" t="n">
        <x:v>4539710956.025458</x:v>
      </x:c>
    </x:row>
    <x:row r="34">
      <x:c r="A34" s="117" t="str">
        <x:v>Abr 2025</x:v>
      </x:c>
      <x:c r="B34" s="117" t="str">
        <x:v>Fundos de Investimento</x:v>
      </x:c>
      <x:c r="C34" s="120" t="n">
        <x:v>33076321084.245686</x:v>
      </x:c>
    </x:row>
    <x:row r="35">
      <x:c r="A35" s="117" t="str">
        <x:v>Abr 2025</x:v>
      </x:c>
      <x:c r="B35" s="117" t="str">
        <x:v>Intermediários e demais participantes ligados à oferta</x:v>
      </x:c>
      <x:c r="C35" s="120" t="n">
        <x:v>14598376907.091614</x:v>
      </x:c>
    </x:row>
    <x:row r="36">
      <x:c r="A36" s="117" t="str">
        <x:v>Abr 2025</x:v>
      </x:c>
      <x:c r="B36" s="117" t="str">
        <x:v>Investidores estrangeiros</x:v>
      </x:c>
      <x:c r="C36" s="120" t="n">
        <x:v>387015966.82252437</x:v>
      </x:c>
    </x:row>
    <x:row r="37">
      <x:c r="A37" s="117" t="str">
        <x:v>Abr 2025</x:v>
      </x:c>
      <x:c r="B37" s="117" t="str">
        <x:v>Pessoas físicas</x:v>
      </x:c>
      <x:c r="C37" s="120" t="n">
        <x:v>2555852308.819667</x:v>
      </x:c>
    </x:row>
    <x:row r="38">
      <x:c r="A38" s="117" t="str">
        <x:v>Mai 2025</x:v>
      </x:c>
      <x:c r="B38" s="117" t="str">
        <x:v>Demais investidores institucionais</x:v>
      </x:c>
      <x:c r="C38" s="120" t="n">
        <x:v>4917711464.574322</x:v>
      </x:c>
    </x:row>
    <x:row r="39">
      <x:c r="A39" s="117" t="str">
        <x:v>Mai 2025</x:v>
      </x:c>
      <x:c r="B39" s="117" t="str">
        <x:v>Fundos de Investimento</x:v>
      </x:c>
      <x:c r="C39" s="120" t="n">
        <x:v>37675071357.37697</x:v>
      </x:c>
    </x:row>
    <x:row r="40">
      <x:c r="A40" s="117" t="str">
        <x:v>Mai 2025</x:v>
      </x:c>
      <x:c r="B40" s="117" t="str">
        <x:v>Intermediários e demais participantes ligados à oferta</x:v>
      </x:c>
      <x:c r="C40" s="120" t="n">
        <x:v>15014376907.091614</x:v>
      </x:c>
    </x:row>
    <x:row r="41">
      <x:c r="A41" s="117" t="str">
        <x:v>Mai 2025</x:v>
      </x:c>
      <x:c r="B41" s="117" t="str">
        <x:v>Investidores estrangeiros</x:v>
      </x:c>
      <x:c r="C41" s="120" t="n">
        <x:v>387015966.82252437</x:v>
      </x:c>
    </x:row>
    <x:row r="42">
      <x:c r="A42" s="117" t="str">
        <x:v>Mai 2025</x:v>
      </x:c>
      <x:c r="B42" s="117" t="str">
        <x:v>Pessoas físicas</x:v>
      </x:c>
      <x:c r="C42" s="120" t="n">
        <x:v>3048794473.945127</x:v>
      </x:c>
    </x:row>
    <x:row r="43">
      <x:c r="A43" s="117" t="str">
        <x:v>Jun 2025</x:v>
      </x:c>
      <x:c r="B43" s="117" t="str">
        <x:v>Demais investidores institucionais</x:v>
      </x:c>
      <x:c r="C43" s="120" t="n">
        <x:v>6376058848.499823</x:v>
      </x:c>
    </x:row>
    <x:row r="44">
      <x:c r="A44" s="117" t="str">
        <x:v>Jun 2025</x:v>
      </x:c>
      <x:c r="B44" s="117" t="str">
        <x:v>Fundos de Investimento</x:v>
      </x:c>
      <x:c r="C44" s="120" t="n">
        <x:v>42234515552.89227</x:v>
      </x:c>
    </x:row>
    <x:row r="45">
      <x:c r="A45" s="117" t="str">
        <x:v>Jun 2025</x:v>
      </x:c>
      <x:c r="B45" s="117" t="str">
        <x:v>Intermediários e demais participantes ligados à oferta</x:v>
      </x:c>
      <x:c r="C45" s="120" t="n">
        <x:v>18582868549.419247</x:v>
      </x:c>
    </x:row>
    <x:row r="46">
      <x:c r="A46" s="117" t="str">
        <x:v>Jun 2025</x:v>
      </x:c>
      <x:c r="B46" s="117" t="str">
        <x:v>Investidores estrangeiros</x:v>
      </x:c>
      <x:c r="C46" s="120" t="n">
        <x:v>387477648.70071036</x:v>
      </x:c>
    </x:row>
    <x:row r="47">
      <x:c r="A47" s="117" t="str">
        <x:v>Jun 2025</x:v>
      </x:c>
      <x:c r="B47" s="117" t="str">
        <x:v>Pessoas físicas</x:v>
      </x:c>
      <x:c r="C47" s="120" t="n">
        <x:v>3944915308.114294</x:v>
      </x:c>
    </x:row>
    <x:row r="48">
      <x:c r="A48" s="117" t="str">
        <x:v>Jul 2025</x:v>
      </x:c>
      <x:c r="B48" s="117" t="str">
        <x:v>Demais investidores institucionais</x:v>
      </x:c>
      <x:c r="C48" s="120" t="n">
        <x:v>6529849060.987823</x:v>
      </x:c>
    </x:row>
    <x:row r="49">
      <x:c r="A49" s="117" t="str">
        <x:v>Jul 2025</x:v>
      </x:c>
      <x:c r="B49" s="117" t="str">
        <x:v>Fundos de Investimento</x:v>
      </x:c>
      <x:c r="C49" s="120" t="n">
        <x:v>47071048636.200806</x:v>
      </x:c>
    </x:row>
    <x:row r="50">
      <x:c r="A50" s="117" t="str">
        <x:v>Jul 2025</x:v>
      </x:c>
      <x:c r="B50" s="117" t="str">
        <x:v>Intermediários e demais participantes ligados à oferta</x:v>
      </x:c>
      <x:c r="C50" s="120" t="n">
        <x:v>18874868549.419247</x:v>
      </x:c>
    </x:row>
    <x:row r="51">
      <x:c r="A51" s="117" t="str">
        <x:v>Jul 2025</x:v>
      </x:c>
      <x:c r="B51" s="117" t="str">
        <x:v>Investidores estrangeiros</x:v>
      </x:c>
      <x:c r="C51" s="120" t="n">
        <x:v>405789648.70071036</x:v>
      </x:c>
    </x:row>
    <x:row r="52">
      <x:c r="A52" s="117" t="str">
        <x:v>Jul 2025</x:v>
      </x:c>
      <x:c r="B52" s="117" t="str">
        <x:v>Pessoas físicas</x:v>
      </x:c>
      <x:c r="C52" s="120" t="n">
        <x:v>4417921033.067889</x:v>
      </x:c>
    </x:row>
    <x:row r="53">
      <x:c r="A53" s="117" t="str">
        <x:v>Ago 2025</x:v>
      </x:c>
      <x:c r="B53" s="117" t="str">
        <x:v>Demais investidores institucionais</x:v>
      </x:c>
      <x:c r="C53" s="120" t="n">
        <x:v>7071087324.9597225</x:v>
      </x:c>
    </x:row>
    <x:row r="54">
      <x:c r="A54" s="117" t="str">
        <x:v>Ago 2025</x:v>
      </x:c>
      <x:c r="B54" s="117" t="str">
        <x:v>Fundos de Investimento</x:v>
      </x:c>
      <x:c r="C54" s="120" t="n">
        <x:v>49888577978.969635</x:v>
      </x:c>
    </x:row>
    <x:row r="55">
      <x:c r="A55" s="117" t="str">
        <x:v>Ago 2025</x:v>
      </x:c>
      <x:c r="B55" s="117" t="str">
        <x:v>Intermediários e demais participantes ligados à oferta</x:v>
      </x:c>
      <x:c r="C55" s="120" t="n">
        <x:v>20920774929.419247</x:v>
      </x:c>
    </x:row>
    <x:row r="56">
      <x:c r="A56" s="117" t="str">
        <x:v>Ago 2025</x:v>
      </x:c>
      <x:c r="B56" s="117" t="str">
        <x:v>Investidores estrangeiros</x:v>
      </x:c>
      <x:c r="C56" s="120" t="n">
        <x:v>408869538.7662969</x:v>
      </x:c>
    </x:row>
    <x:row r="57">
      <x:c r="A57" s="117" t="str">
        <x:v>Ago 2025</x:v>
      </x:c>
      <x:c r="B57" s="117" t="str">
        <x:v>Pessoas físicas</x:v>
      </x:c>
      <x:c r="C57" s="120" t="n">
        <x:v>4895884799.0790615</x:v>
      </x:c>
    </x:row>
    <x:row r="58">
      <x:c r="A58" s="117" t="str">
        <x:v>Set 2025</x:v>
      </x:c>
      <x:c r="B58" s="117" t="str">
        <x:v>Demais investidores institucionais</x:v>
      </x:c>
      <x:c r="C58" s="120" t="n">
        <x:v>7652809208.543955</x:v>
      </x:c>
    </x:row>
    <x:row r="59">
      <x:c r="A59" s="117" t="str">
        <x:v>Set 2025</x:v>
      </x:c>
      <x:c r="B59" s="117" t="str">
        <x:v>Fundos de Investimento</x:v>
      </x:c>
      <x:c r="C59" s="120" t="n">
        <x:v>56534528111.44827</x:v>
      </x:c>
    </x:row>
    <x:row r="60">
      <x:c r="A60" s="117" t="str">
        <x:v>Set 2025</x:v>
      </x:c>
      <x:c r="B60" s="117" t="str">
        <x:v>Intermediários e demais participantes ligados à oferta</x:v>
      </x:c>
      <x:c r="C60" s="120" t="n">
        <x:v>21908590356.041542</x:v>
      </x:c>
    </x:row>
    <x:row r="61">
      <x:c r="A61" s="117" t="str">
        <x:v>Set 2025</x:v>
      </x:c>
      <x:c r="B61" s="117" t="str">
        <x:v>Investidores estrangeiros</x:v>
      </x:c>
      <x:c r="C61" s="120" t="n">
        <x:v>408887368.38425</x:v>
      </x:c>
    </x:row>
    <x:row r="62">
      <x:c r="A62" s="117" t="str">
        <x:v>Set 2025</x:v>
      </x:c>
      <x:c r="B62" s="117" t="str">
        <x:v>Pessoas físicas</x:v>
      </x:c>
      <x:c r="C62" s="120" t="n">
        <x:v>5504535696.096787</x:v>
      </x:c>
    </x:row>
    <x:row r="63">
      <x:c r="A63" s="117" t="str">
        <x:v>Out 2025</x:v>
      </x:c>
      <x:c r="B63" s="117" t="str">
        <x:v>Demais investidores institucionais</x:v>
      </x:c>
      <x:c r="C63" s="120" t="n">
        <x:v>8318199559.392295</x:v>
      </x:c>
    </x:row>
    <x:row r="64">
      <x:c r="A64" s="117" t="str">
        <x:v>Out 2025</x:v>
      </x:c>
      <x:c r="B64" s="117" t="str">
        <x:v>Fundos de Investimento</x:v>
      </x:c>
      <x:c r="C64" s="120" t="n">
        <x:v>63836177090.548744</x:v>
      </x:c>
    </x:row>
    <x:row r="65">
      <x:c r="A65" s="117" t="str">
        <x:v>Out 2025</x:v>
      </x:c>
      <x:c r="B65" s="117" t="str">
        <x:v>Intermediários e demais participantes ligados à oferta</x:v>
      </x:c>
      <x:c r="C65" s="120" t="n">
        <x:v>22826728652.09854</x:v>
      </x:c>
    </x:row>
    <x:row r="66">
      <x:c r="A66" s="117" t="str">
        <x:v>Out 2025</x:v>
      </x:c>
      <x:c r="B66" s="117" t="str">
        <x:v>Investidores estrangeiros</x:v>
      </x:c>
      <x:c r="C66" s="120" t="n">
        <x:v>409458990.57695</x:v>
      </x:c>
    </x:row>
    <x:row r="67">
      <x:c r="A67" s="117" t="str">
        <x:v>Out 2025</x:v>
      </x:c>
      <x:c r="B67" s="117" t="str">
        <x:v>Pessoas físicas</x:v>
      </x:c>
      <x:c r="C67" s="120" t="n">
        <x:v>6328156767.210829</x:v>
      </x:c>
    </x:row>
    <x:row r="68">
      <x:c r="A68" s="117" t="str">
        <x:v>Nov 2025</x:v>
      </x:c>
      <x:c r="B68" s="117" t="str">
        <x:v>Demais investidores institucionais</x:v>
      </x:c>
      <x:c r="C68" s="120" t="n">
        <x:v>8566727991.970609</x:v>
      </x:c>
    </x:row>
    <x:row r="69">
      <x:c r="A69" s="117" t="str">
        <x:v>Nov 2025</x:v>
      </x:c>
      <x:c r="B69" s="117" t="str">
        <x:v>Fundos de Investimento</x:v>
      </x:c>
      <x:c r="C69" s="120" t="n">
        <x:v>68940906829.85559</x:v>
      </x:c>
    </x:row>
    <x:row r="70">
      <x:c r="A70" s="117" t="str">
        <x:v>Nov 2025</x:v>
      </x:c>
      <x:c r="B70" s="117" t="str">
        <x:v>Intermediários e demais participantes ligados à oferta</x:v>
      </x:c>
      <x:c r="C70" s="120" t="n">
        <x:v>24032906856.59854</x:v>
      </x:c>
    </x:row>
    <x:row r="71">
      <x:c r="A71" s="117" t="str">
        <x:v>Nov 2025</x:v>
      </x:c>
      <x:c r="B71" s="117" t="str">
        <x:v>Investidores estrangeiros</x:v>
      </x:c>
      <x:c r="C71" s="120" t="n">
        <x:v>484255524.57695</x:v>
      </x:c>
    </x:row>
    <x:row r="72">
      <x:c r="A72" s="117" t="str">
        <x:v>Nov 2025</x:v>
      </x:c>
      <x:c r="B72" s="117" t="str">
        <x:v>Pessoas físicas</x:v>
      </x:c>
      <x:c r="C72" s="120" t="n">
        <x:v>6426156987.8167305</x:v>
      </x:c>
    </x:row>
    <x:row r="73">
      <x:c r="A73" s="117" t="str">
        <x:v>Dez 2025</x:v>
      </x:c>
      <x:c r="B73" s="117" t="str">
        <x:v>Demais investidores institucionais</x:v>
      </x:c>
      <x:c r="C73" s="120" t="n">
        <x:v>9494785189.080723</x:v>
      </x:c>
    </x:row>
    <x:row r="74">
      <x:c r="A74" s="117" t="str">
        <x:v>Dez 2025</x:v>
      </x:c>
      <x:c r="B74" s="117" t="str">
        <x:v>Fundos de Investimento</x:v>
      </x:c>
      <x:c r="C74" s="120" t="n">
        <x:v>79266396134.4771</x:v>
      </x:c>
    </x:row>
    <x:row r="75">
      <x:c r="A75" s="117" t="str">
        <x:v>Dez 2025</x:v>
      </x:c>
      <x:c r="B75" s="117" t="str">
        <x:v>Intermediários e demais participantes ligados à oferta</x:v>
      </x:c>
      <x:c r="C75" s="120" t="n">
        <x:v>25447499798.89854</x:v>
      </x:c>
    </x:row>
    <x:row r="76">
      <x:c r="A76" s="117" t="str">
        <x:v>Dez 2025</x:v>
      </x:c>
      <x:c r="B76" s="117" t="str">
        <x:v>Investidores estrangeiros</x:v>
      </x:c>
      <x:c r="C76" s="120" t="n">
        <x:v>485339857.09545</x:v>
      </x:c>
    </x:row>
    <x:row r="77">
      <x:c r="A77" s="117" t="str">
        <x:v>Dez 2025</x:v>
      </x:c>
      <x:c r="B77" s="117" t="str">
        <x:v>Pessoas físicas</x:v>
      </x:c>
      <x:c r="C77" s="120" t="n">
        <x:v>6815248313.947149</x:v>
      </x:c>
    </x:row>
    <x:row r="78">
      <x:c r="A78" s="117" t="str">
        <x:v>Jan 2026</x:v>
      </x:c>
      <x:c r="B78" s="117" t="str">
        <x:v>Demais investidores institucionais</x:v>
      </x:c>
      <x:c r="C78" s="120" t="n">
        <x:v>9883659343.505442</x:v>
      </x:c>
    </x:row>
    <x:row r="79">
      <x:c r="A79" s="117" t="str">
        <x:v>Jan 2026</x:v>
      </x:c>
      <x:c r="B79" s="117" t="str">
        <x:v>Fundos de Investimento</x:v>
      </x:c>
      <x:c r="C79" s="120" t="n">
        <x:v>84192518753.85329</x:v>
      </x:c>
    </x:row>
    <x:row r="80">
      <x:c r="A80" s="117" t="str">
        <x:v>Jan 2026</x:v>
      </x:c>
      <x:c r="B80" s="117" t="str">
        <x:v>Intermediários e demais participantes ligados à oferta</x:v>
      </x:c>
      <x:c r="C80" s="120" t="n">
        <x:v>26887184407.76068</x:v>
      </x:c>
    </x:row>
    <x:row r="81">
      <x:c r="A81" s="117" t="str">
        <x:v>Jan 2026</x:v>
      </x:c>
      <x:c r="B81" s="117" t="str">
        <x:v>Investidores estrangeiros</x:v>
      </x:c>
      <x:c r="C81" s="120" t="n">
        <x:v>496424156.39865</x:v>
      </x:c>
    </x:row>
    <x:row r="82">
      <x:c r="A82" s="117" t="str">
        <x:v>Jan 2026</x:v>
      </x:c>
      <x:c r="B82" s="117" t="str">
        <x:v>Pessoas físicas</x:v>
      </x:c>
      <x:c r="C82" s="120" t="n">
        <x:v>7038259428.066254</x:v>
      </x:c>
    </x:row>
    <x:row r="83">
      <x:c r="A83" s="117" t="str">
        <x:v>Fev 2026</x:v>
      </x:c>
      <x:c r="B83" s="117" t="str">
        <x:v>Demais investidores institucionais</x:v>
      </x:c>
      <x:c r="C83" s="120" t="n">
        <x:v>10239477429.93263</x:v>
      </x:c>
    </x:row>
    <x:row r="84">
      <x:c r="A84" s="117" t="str">
        <x:v>Fev 2026</x:v>
      </x:c>
      <x:c r="B84" s="117" t="str">
        <x:v>Fundos de Investimento</x:v>
      </x:c>
      <x:c r="C84" s="120" t="n">
        <x:v>89238864921.16434</x:v>
      </x:c>
    </x:row>
    <x:row r="85">
      <x:c r="A85" s="117" t="str">
        <x:v>Fev 2026</x:v>
      </x:c>
      <x:c r="B85" s="117" t="str">
        <x:v>Intermediários e demais participantes ligados à oferta</x:v>
      </x:c>
      <x:c r="C85" s="120" t="n">
        <x:v>27436200241.660683</x:v>
      </x:c>
    </x:row>
    <x:row r="86">
      <x:c r="A86" s="117" t="str">
        <x:v>Fev 2026</x:v>
      </x:c>
      <x:c r="B86" s="117" t="str">
        <x:v>Investidores estrangeiros</x:v>
      </x:c>
      <x:c r="C86" s="120" t="n">
        <x:v>544104783.39755</x:v>
      </x:c>
    </x:row>
    <x:row r="87">
      <x:c r="A87" s="117" t="str">
        <x:v>Fev 2026</x:v>
      </x:c>
      <x:c r="B87" s="117" t="str">
        <x:v>Pessoas físicas</x:v>
      </x:c>
      <x:c r="C87" s="120" t="n">
        <x:v>7321676606.335363</x:v>
      </x:c>
    </x:row>
    <x:row r="88">
      <x:c r="A88" s="117" t="str">
        <x:v>Mar 2026</x:v>
      </x:c>
      <x:c r="B88" s="117" t="str">
        <x:v>Demais investidores institucionais</x:v>
      </x:c>
      <x:c r="C88" s="120" t="n">
        <x:v>11263406502.44232</x:v>
      </x:c>
    </x:row>
    <x:row r="89">
      <x:c r="A89" s="117" t="str">
        <x:v>Mar 2026</x:v>
      </x:c>
      <x:c r="B89" s="117" t="str">
        <x:v>Fundos de Investimento</x:v>
      </x:c>
      <x:c r="C89" s="120" t="n">
        <x:v>94677832058.08011</x:v>
      </x:c>
    </x:row>
    <x:row r="90">
      <x:c r="A90" s="117" t="str">
        <x:v>Mar 2026</x:v>
      </x:c>
      <x:c r="B90" s="117" t="str">
        <x:v>Intermediários e demais participantes ligados à oferta</x:v>
      </x:c>
      <x:c r="C90" s="120" t="n">
        <x:v>28591590608.460686</x:v>
      </x:c>
    </x:row>
    <x:row r="91">
      <x:c r="A91" s="117" t="str">
        <x:v>Mar 2026</x:v>
      </x:c>
      <x:c r="B91" s="117" t="str">
        <x:v>Investidores estrangeiros</x:v>
      </x:c>
      <x:c r="C91" s="120" t="n">
        <x:v>627866113.3975499</x:v>
      </x:c>
    </x:row>
    <x:row r="92">
      <x:c r="A92" s="117" t="str">
        <x:v>Mar 2026</x:v>
      </x:c>
      <x:c r="B92" s="117" t="str">
        <x:v>Pessoas físicas</x:v>
      </x:c>
      <x:c r="C92" s="120" t="n">
        <x:v>7738914566.402456</x:v>
      </x:c>
    </x:row>
    <x:row r="93">
      <x:c r="A93" s="117" t="str">
        <x:v>Abr 2026</x:v>
      </x:c>
      <x:c r="B93" s="117" t="str">
        <x:v>Demais investidores institucionais</x:v>
      </x:c>
      <x:c r="C93" s="120" t="n">
        <x:v>12197229758.99976</x:v>
      </x:c>
    </x:row>
    <x:row r="94">
      <x:c r="A94" s="117" t="str">
        <x:v>Abr 2026</x:v>
      </x:c>
      <x:c r="B94" s="117" t="str">
        <x:v>Fundos de Investimento</x:v>
      </x:c>
      <x:c r="C94" s="120" t="n">
        <x:v>104360918797.10353</x:v>
      </x:c>
    </x:row>
    <x:row r="95">
      <x:c r="A95" s="117" t="str">
        <x:v>Abr 2026</x:v>
      </x:c>
      <x:c r="B95" s="117" t="str">
        <x:v>Intermediários e demais participantes ligados à oferta</x:v>
      </x:c>
      <x:c r="C95" s="120" t="n">
        <x:v>32458292109.460686</x:v>
      </x:c>
    </x:row>
    <x:row r="96">
      <x:c r="A96" s="117" t="str">
        <x:v>Abr 2026</x:v>
      </x:c>
      <x:c r="B96" s="117" t="str">
        <x:v>Investidores estrangeiros</x:v>
      </x:c>
      <x:c r="C96" s="120" t="n">
        <x:v>639066113.3975499</x:v>
      </x:c>
    </x:row>
    <x:row r="97">
      <x:c r="A97" s="117" t="str">
        <x:v>Abr 2026</x:v>
      </x:c>
      <x:c r="B97" s="117" t="str">
        <x:v>Pessoas físicas</x:v>
      </x:c>
      <x:c r="C97" s="120" t="n">
        <x:v>8212805006.468057</x:v>
      </x:c>
    </x:row>
    <x:row r="98">
      <x:c r="A98" s="117" t="str">
        <x:v>Mai 2026</x:v>
      </x:c>
      <x:c r="B98" s="117" t="str">
        <x:v>Demais investidores institucionais</x:v>
      </x:c>
      <x:c r="C98" s="120" t="n">
        <x:v>12906497818.15252</x:v>
      </x:c>
    </x:row>
    <x:row r="99">
      <x:c r="A99" s="117" t="str">
        <x:v>Mai 2026</x:v>
      </x:c>
      <x:c r="B99" s="117" t="str">
        <x:v>Fundos de Investimento</x:v>
      </x:c>
      <x:c r="C99" s="120" t="n">
        <x:v>107987229844.96481</x:v>
      </x:c>
    </x:row>
    <x:row r="100">
      <x:c r="A100" s="117" t="str">
        <x:v>Mai 2026</x:v>
      </x:c>
      <x:c r="B100" s="117" t="str">
        <x:v>Intermediários e demais participantes ligados à oferta</x:v>
      </x:c>
      <x:c r="C100" s="120" t="n">
        <x:v>33103138109.460686</x:v>
      </x:c>
    </x:row>
    <x:row r="101">
      <x:c r="A101" s="117" t="str">
        <x:v>Mai 2026</x:v>
      </x:c>
      <x:c r="B101" s="117" t="str">
        <x:v>Investidores estrangeiros</x:v>
      </x:c>
      <x:c r="C101" s="120" t="n">
        <x:v>639066113.3975499</x:v>
      </x:c>
    </x:row>
    <x:row r="102">
      <x:c r="A102" s="118" t="str">
        <x:v>Mai 2026</x:v>
      </x:c>
      <x:c r="B102" s="118" t="str">
        <x:v>Pessoas físicas</x:v>
      </x:c>
      <x:c r="C102" s="121" t="n">
        <x:v>8521467309.465197</x:v>
      </x:c>
    </x:row>
  </x:sheetData>
  <x:mergeCells>
    <x:mergeCell ref="A1:C1"/>
    <x:mergeCell ref="E1:I4"/>
  </x:mergeCells>
  <x:pageMargins left="0.7" right="0.7" top="0.75" bottom="0.75" header="0.3" footer="0.3"/>
  <x:tableParts count="1">
    <x:tablePart xmlns:r="http://schemas.openxmlformats.org/officeDocument/2006/relationships" r:id="R218dae2a9c1d48b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55" hidden="0" customWidth="1"/>
    <x:col min="4" max="4" width="62" hidden="0" customWidth="1"/>
    <x:col min="5" max="5" width="24" hidden="0" customWidth="1"/>
    <x:col min="6" max="6" width="44" hidden="0" customWidth="1"/>
  </x:cols>
  <x:sheetData>
    <x:row r="1" ht="28" customHeight="1">
      <x:c r="A1" s="4" t="str">
        <x:v>Investigação técnica — fatos observados e implicações</x:v>
      </x:c>
      <x:c r="B1" s="4" t="str">
        <x:v>Investigação técnica — fatos observados e implicações</x:v>
      </x:c>
      <x:c r="C1" s="4" t="str">
        <x:v>Investigação técnica — fatos observados e implicações</x:v>
      </x:c>
      <x:c r="D1" s="4" t="str">
        <x:v>Investigação técnica — fatos observados e implicações</x:v>
      </x:c>
      <x:c r="E1" s="4" t="str">
        <x:v>Investigação técnica — fatos observados e implicações</x:v>
      </x:c>
      <x:c r="F1" s="4" t="str">
        <x:v>Investigação técnica — fatos observados e implicações</x:v>
      </x:c>
    </x:row>
    <x:row r="2" ht="26" customHeight="1">
      <x:c r="A2" s="110" t="str">
        <x:v>Seção</x:v>
      </x:c>
      <x:c r="B2" s="111" t="str">
        <x:v>Item</x:v>
      </x:c>
      <x:c r="C2" s="111" t="str">
        <x:v>Evidência observada</x:v>
      </x:c>
      <x:c r="D2" s="111" t="str">
        <x:v>URL exata</x:v>
      </x:c>
      <x:c r="E2" s="111" t="str">
        <x:v>Acesso / formato</x:v>
      </x:c>
      <x:c r="F2" s="112" t="str">
        <x:v>Implicação</x:v>
      </x:c>
    </x:row>
    <x:row r="3" ht="52" customHeight="1">
      <x:c r="A3" s="131" t="str">
        <x:v>1. Estrutura</x:v>
      </x:c>
      <x:c r="B3" s="131" t="str">
        <x:v>Renderização</x:v>
      </x:c>
      <x:c r="C3" s="131" t="str">
        <x:v>Página React/JS com iframe; não há tabelas HTML estáticas com os dados.</x:v>
      </x:c>
      <x:c r="D3" s="131" t="str">
        <x:v>https://data.anbima.com.br/publicacoes/fundos-de-investimento/dashboard-de-fidcs</x:v>
      </x:c>
      <x:c r="E3" s="131" t="str">
        <x:v>HTML + iframe</x:v>
      </x:c>
      <x:c r="F3" s="131" t="str">
        <x:v>O conteúdo econômico vem do Power BI.</x:v>
      </x:c>
    </x:row>
    <x:row r="4" ht="52" customHeight="1">
      <x:c r="A4" s="132" t="str">
        <x:v>1. Estrutura</x:v>
      </x:c>
      <x:c r="B4" s="132" t="str">
        <x:v>Embed exato</x:v>
      </x:c>
      <x:c r="C4" s="132" t="str">
        <x:v>https://app.powerbi.com/view?r=eyJrIjoiM2M2NzVmOWItMzI0Yi00MTE1LWI5ZmYtZTM0ZWM4ZDUwODNlIiwidCI6Ijk3OTM3M2VkLWQxMzAtNDU4NS1iNTY5LTNjM2NlNjE0MTIyNyJ9</x:v>
      </x:c>
      <x:c r="D4" s="132" t="str">
        <x:v>https://app.powerbi.com/view?r=eyJrIjoiM2M2NzVmOWItMzI0Yi00MTE1LWI5ZmYtZTM0ZWM4ZDUwODNlIiwidCI6Ijk3OTM3M2VkLWQxMzAtNDU4NS1iNTY5LTNjM2NlNjE0MTIyNyJ9</x:v>
      </x:c>
      <x:c r="E4" s="132" t="str">
        <x:v>Power BI Publish to web</x:v>
      </x:c>
      <x:c r="F4" s="132" t="str">
        <x:v>Token r contém resource key e tenant id.</x:v>
      </x:c>
    </x:row>
    <x:row r="5" ht="52" customHeight="1">
      <x:c r="A5" s="132" t="str">
        <x:v>1. Estrutura</x:v>
      </x:c>
      <x:c r="B5" s="132" t="str">
        <x:v>IDs</x:v>
      </x:c>
      <x:c r="C5" s="132" t="str">
        <x:v>ResourceKey 3c675f9b-324b-4115-b9ff-e34ec8d5083e; tenant 979373ed-d130-4585-b569-3c3ce6141227; modelId 817524; reportId 842439.</x:v>
      </x:c>
      <x:c r="D5" s="132" t="str">
        <x:v>https://app.powerbi.com/view?r=eyJrIjoiM2M2NzVmOWItMzI0Yi00MTE1LWI5ZmYtZTM0ZWM4ZDUwODNlIiwidCI6Ijk3OTM3M2VkLWQxMzAtNDU4NS1iNTY5LTNjM2NlNjE0MTIyNyJ9</x:v>
      </x:c>
      <x:c r="E5" s="132" t="str">
        <x:v>Metadados JSON</x:v>
      </x:c>
      <x:c r="F5" s="132" t="str">
        <x:v>IDs suficientes para reproduzir consultas públicas hoje.</x:v>
      </x:c>
    </x:row>
    <x:row r="6" ht="52" customHeight="1">
      <x:c r="A6" s="132" t="str">
        <x:v>1. Estrutura</x:v>
      </x:c>
      <x:c r="B6" s="132" t="str">
        <x:v>CMS</x:v>
      </x:c>
      <x:c r="C6" s="132" t="str">
        <x:v>Strapi retorna iframe, conteúdo editorial e metadados.</x:v>
      </x:c>
      <x:c r="D6" s="132" t="str">
        <x:v>https://data-strapi.prd.anbima.com.br/api/dashboards?filters%5Btemplate%5D%5Bslug%5D%5B%24eq%5D=dashboard-de-fidcs&amp;locale=pt-BR&amp;populate=template.attachment</x:v>
      </x:c>
      <x:c r="E6" s="132" t="str">
        <x:v>JSON público</x:v>
      </x:c>
      <x:c r="F6" s="132" t="str">
        <x:v>attachment.data=null e alternative_file_url=null.</x:v>
      </x:c>
    </x:row>
    <x:row r="7" ht="52" customHeight="1">
      <x:c r="A7" s="132" t="str">
        <x:v>2. Rede</x:v>
      </x:c>
      <x:c r="B7" s="132" t="str">
        <x:v>Carregamento</x:v>
      </x:c>
      <x:c r="C7" s="132" t="str">
        <x:v>GET modelsAndExploration e GET conceptualschema; POST querydata para os visuais.</x:v>
      </x:c>
      <x:c r="D7" s="132" t="str">
        <x:v>https://wabi-brazil-south-d-primary-api.analysis.windows.net</x:v>
      </x:c>
      <x:c r="E7" s="132" t="str">
        <x:v>JSON/DSR comprimido</x:v>
      </x:c>
      <x:c r="F7" s="132" t="str">
        <x:v>Dados agregados chegam antes de serem desenhados.</x:v>
      </x:c>
    </x:row>
    <x:row r="8" ht="52" customHeight="1">
      <x:c r="A8" s="132" t="str">
        <x:v>2. Rede</x:v>
      </x:c>
      <x:c r="B8" s="132" t="str">
        <x:v>Interação</x:v>
      </x:c>
      <x:c r="C8" s="132" t="str">
        <x:v>Inventário de querydata: 29 observações no carregamento; 54 após 'Tipo investidor'; 80 após trocar agregação para 'Ano'.</x:v>
      </x:c>
      <x:c r="D8" s="132" t="str">
        <x:v>https://wabi-brazil-south-d-primary-api.analysis.windows.net/public/reports/querydata?synchronous=true</x:v>
      </x:c>
      <x:c r="E8" s="132" t="str">
        <x:v>POST XHR</x:v>
      </x:c>
      <x:c r="F8" s="132" t="str">
        <x:v>Filtros disparam novas consultas ao mesmo endpoint.</x:v>
      </x:c>
    </x:row>
    <x:row r="9" ht="52" customHeight="1">
      <x:c r="A9" s="132" t="str">
        <x:v>2. Rede</x:v>
      </x:c>
      <x:c r="B9" s="132" t="str">
        <x:v>Headers</x:v>
      </x:c>
      <x:c r="C9" s="132" t="str">
        <x:v>Accept, ActivityId, RequestId, X-PowerBI-ResourceKey; POST também Content-Type: application/json.</x:v>
      </x:c>
      <x:c r="D9" s="132" t="str">
        <x:v>https://wabi-brazil-south-d-primary-api.analysis.windows.net/public/reports/querydata?synchronous=true</x:v>
      </x:c>
      <x:c r="E9" s="132" t="str">
        <x:v>Sem Authorization Bearer</x:v>
      </x:c>
      <x:c r="F9" s="132" t="str">
        <x:v>ResourceKey é o controle técnico do relatório público.</x:v>
      </x:c>
    </x:row>
    <x:row r="10" ht="52" customHeight="1">
      <x:c r="A10" s="132" t="str">
        <x:v>2. Rede</x:v>
      </x:c>
      <x:c r="B10" s="132" t="str">
        <x:v>Formato</x:v>
      </x:c>
      <x:c r="C10" s="132" t="str">
        <x:v>querydata responde corpo JSON em Content-Type text/plain, gzip, protocolo DSR com dicionários e máscaras.</x:v>
      </x:c>
      <x:c r="D10" s="132" t="str">
        <x:v>https://wabi-brazil-south-d-primary-api.analysis.windows.net/public/reports/querydata?synchronous=true</x:v>
      </x:c>
      <x:c r="E10" s="132" t="str">
        <x:v>JSON codificado</x:v>
      </x:c>
      <x:c r="F10" s="132" t="str">
        <x:v>Precisa decodificação; não é CSV bruto.</x:v>
      </x:c>
    </x:row>
    <x:row r="11" ht="52" customHeight="1">
      <x:c r="A11" s="132" t="str">
        <x:v>2. Rede</x:v>
      </x:c>
      <x:c r="B11" s="132" t="str">
        <x:v>Terceiros</x:v>
      </x:c>
      <x:c r="C11" s="132" t="str">
        <x:v>Microsoft Power BI/PowerApps, Azure Analysis Services, Visual Studio telemetry e AppSource.</x:v>
      </x:c>
      <x:c r="D11" s="132" t="str">
        <x:v>https://content.powerapps.com/</x:v>
      </x:c>
      <x:c r="E11" s="132" t="str">
        <x:v>JS/CSS/JSON/XHR</x:v>
      </x:c>
      <x:c r="F11" s="132" t="str">
        <x:v>Dados do visual trafegam em domínios Microsoft.</x:v>
      </x:c>
    </x:row>
    <x:row r="12" ht="52" customHeight="1">
      <x:c r="A12" s="132" t="str">
        <x:v>3. Acesso</x:v>
      </x:c>
      <x:c r="B12" s="132" t="str">
        <x:v>Dashboard</x:v>
      </x:c>
      <x:c r="C12" s="132" t="str">
        <x:v>Público; abre sem login.</x:v>
      </x:c>
      <x:c r="D12" s="132" t="str">
        <x:v>https://data.anbima.com.br/publicacoes/fundos-de-investimento/dashboard-de-fidcs</x:v>
      </x:c>
      <x:c r="E12" s="132" t="str">
        <x:v>HTTP 200</x:v>
      </x:c>
      <x:c r="F12" s="132" t="str">
        <x:v>A página não exige credencial ANBIMA.</x:v>
      </x:c>
    </x:row>
    <x:row r="13" ht="52" customHeight="1">
      <x:c r="A13" s="132" t="str">
        <x:v>3. Acesso</x:v>
      </x:c>
      <x:c r="B13" s="132" t="str">
        <x:v>Power BI</x:v>
      </x:c>
      <x:c r="C13" s="132" t="str">
        <x:v>GET do modelo retorna 401 sem X-PowerBI-ResourceKey e 200 com a chave; cookies não foram necessários na reprodução.</x:v>
      </x:c>
      <x:c r="D13" s="132" t="str">
        <x:v>https://wabi-brazil-south-d-primary-api.analysis.windows.net/public/reports/3c675f9b-324b-4115-b9ff-e34ec8d5083e/modelsAndExploration?preferReadOnlySession=true</x:v>
      </x:c>
      <x:c r="E13" s="132" t="str">
        <x:v>ResourceKey</x:v>
      </x:c>
      <x:c r="F13" s="132" t="str">
        <x:v>Publicação é anônima, mas não sem identificador.</x:v>
      </x:c>
    </x:row>
    <x:row r="14" ht="52" customHeight="1">
      <x:c r="A14" s="132" t="str">
        <x:v>3. Acesso</x:v>
      </x:c>
      <x:c r="B14" s="132" t="str">
        <x:v>Cookies</x:v>
      </x:c>
      <x:c r="C14" s="132" t="str">
        <x:v>app.powerbi.com definiu WFESessionId e ARRAffinity; consultas foram reproduzidas sem reenviá-los.</x:v>
      </x:c>
      <x:c r="D14" s="132" t="str">
        <x:v>https://app.powerbi.com/view?r=eyJrIjoiM2M2NzVmOWItMzI0Yi00MTE1LWI5ZmYtZTM0ZWM4ZDUwODNlIiwidCI6Ijk3OTM3M2VkLWQxMzAtNDU4NS1iNTY5LTNjM2NlNjE0MTIyNyJ9</x:v>
      </x:c>
      <x:c r="E14" s="132" t="str">
        <x:v>Set-Cookie</x:v>
      </x:c>
      <x:c r="F14" s="132" t="str">
        <x:v>Cookies não são o mecanismo essencial de autorização observado.</x:v>
      </x:c>
    </x:row>
    <x:row r="15" ht="52" customHeight="1">
      <x:c r="A15" s="132" t="str">
        <x:v>3. Acesso</x:v>
      </x:c>
      <x:c r="B15" s="132" t="str">
        <x:v>Download</x:v>
      </x:c>
      <x:c r="C15" s="132" t="str">
        <x:v>Não foi encontrado botão/link XLS/CSV; o CMS confirma ausência de attachment e alternative_file_url.</x:v>
      </x:c>
      <x:c r="D15" s="132" t="str">
        <x:v>https://data-strapi.prd.anbima.com.br/api/dashboards?filters%5Btemplate%5D%5Bslug%5D%5B%24eq%5D=dashboard-de-fidcs&amp;locale=pt-BR&amp;populate=template.attachment</x:v>
      </x:c>
      <x:c r="E15" s="132" t="str">
        <x:v>null</x:v>
      </x:c>
      <x:c r="F15" s="132" t="str">
        <x:v>Não existe caminho de download público estável neste item.</x:v>
      </x:c>
    </x:row>
    <x:row r="16" ht="52" customHeight="1">
      <x:c r="A16" s="132" t="str">
        <x:v>4. Atualização</x:v>
      </x:c>
      <x:c r="B16" s="132" t="str">
        <x:v>Referência</x:v>
      </x:c>
      <x:c r="C16" s="132" t="str">
        <x:v>Dashboard exibe Data de Referência: 31/05/2026.</x:v>
      </x:c>
      <x:c r="D16" s="132" t="str">
        <x:v>https://app.powerbi.com/view?r=eyJrIjoiM2M2NzVmOWItMzI0Yi00MTE1LWI5ZmYtZTM0ZWM4ZDUwODNlIiwidCI6Ijk3OTM3M2VkLWQxMzAtNDU4NS1iNTY5LTNjM2NlNjE0MTIyNyJ9</x:v>
      </x:c>
      <x:c r="E16" s="132" t="str">
        <x:v>Texto do visual</x:v>
      </x:c>
      <x:c r="F16" s="132" t="str">
        <x:v>Periodicidade do visual é mensal.</x:v>
      </x:c>
    </x:row>
    <x:row r="17" ht="52" customHeight="1">
      <x:c r="A17" s="132" t="str">
        <x:v>4. Atualização</x:v>
      </x:c>
      <x:c r="B17" s="132" t="str">
        <x:v>Metadados</x:v>
      </x:c>
      <x:c r="C17" s="132" t="str">
        <x:v>LastRefreshTime 2026-06-18T20:23:31.543; report lastUpdatedTime 2026-06-18T20:23:30.34.</x:v>
      </x:c>
      <x:c r="D17" s="132" t="str">
        <x:v>https://wabi-brazil-south-d-primary-api.analysis.windows.net/public/reports/3c675f9b-324b-4115-b9ff-e34ec8d5083e/modelsAndExploration?preferReadOnlySession=true</x:v>
      </x:c>
      <x:c r="E17" s="132" t="str">
        <x:v>JSON</x:v>
      </x:c>
      <x:c r="F17" s="132" t="str">
        <x:v>O conjunto foi atualizado em 18/06/2026.</x:v>
      </x:c>
    </x:row>
    <x:row r="18" ht="52" customHeight="1">
      <x:c r="A18" s="132" t="str">
        <x:v>4. Atualização</x:v>
      </x:c>
      <x:c r="B18" s="132" t="str">
        <x:v>Mecanismo</x:v>
      </x:c>
      <x:c r="C18" s="132" t="str">
        <x:v>directQueryMode=false; modelo importado; refreshEnabled=false no metadado público.</x:v>
      </x:c>
      <x:c r="D18" s="132" t="str">
        <x:v>https://wabi-brazil-south-d-primary-api.analysis.windows.net/public/reports/3c675f9b-324b-4115-b9ff-e34ec8d5083e/modelsAndExploration?preferReadOnlySession=true</x:v>
      </x:c>
      <x:c r="E18" s="132" t="str">
        <x:v>Import mode</x:v>
      </x:c>
      <x:c r="F18" s="132" t="str">
        <x:v>Não é consulta horária/live. A origem pode ter pipeline externo, não observável.</x:v>
      </x:c>
    </x:row>
    <x:row r="19" ht="52" customHeight="1">
      <x:c r="A19" s="132" t="str">
        <x:v>5. Dados</x:v>
      </x:c>
      <x:c r="B19" s="132" t="str">
        <x:v>Histórico observado</x:v>
      </x:c>
      <x:c r="C19" s="132" t="str">
        <x:v>Out/2024 a Mai/2026, 20 pontos mensais nas consultas padrão.</x:v>
      </x:c>
      <x:c r="D19" s="132" t="str">
        <x:v>https://app.powerbi.com/view?r=eyJrIjoiM2M2NzVmOWItMzI0Yi00MTE1LWI5ZmYtZTM0ZWM4ZDUwODNlIiwidCI6Ijk3OTM3M2VkLWQxMzAtNDU4NS1iNTY5LTNjM2NlNjE0MTIyNyJ9</x:v>
      </x:c>
      <x:c r="E19" s="132" t="str">
        <x:v>Agregado mensal</x:v>
      </x:c>
      <x:c r="F19" s="132" t="str">
        <x:v>Não foi observado histórico anterior no modelo público.</x:v>
      </x:c>
    </x:row>
    <x:row r="20" ht="52" customHeight="1">
      <x:c r="A20" s="132" t="str">
        <x:v>5. Dados</x:v>
      </x:c>
      <x:c r="B20" s="132" t="str">
        <x:v>Campos</x:v>
      </x:c>
      <x:c r="C20" s="132" t="str">
        <x:v>Fundo/classe/subclasse, CNPJs, PL, competência, tipo ANBIMA, foco, condomínio, responsabilidade, restrição, administrador, gestor, cotistas e ofertas.</x:v>
      </x:c>
      <x:c r="D20" s="132" t="str">
        <x:v>https://wabi-brazil-south-d-primary-api.analysis.windows.net/public/reports/conceptualschema</x:v>
      </x:c>
      <x:c r="E20" s="132" t="str">
        <x:v>Schema JSON</x:v>
      </x:c>
      <x:c r="F20" s="132" t="str">
        <x:v>Cobertura coincide com os indicadores anunciados.</x:v>
      </x:c>
    </x:row>
    <x:row r="21" ht="52" customHeight="1">
      <x:c r="A21" s="132" t="str">
        <x:v>5. Dados</x:v>
      </x:c>
      <x:c r="B21" s="132" t="str">
        <x:v>Granularidade interna</x:v>
      </x:c>
      <x:c r="C21" s="132" t="str">
        <x:v>Dados_FIDC é fundo/classe/subclasse × competência; visual retorna agregações mensais por categoria.</x:v>
      </x:c>
      <x:c r="D21" s="132" t="str">
        <x:v>https://wabi-brazil-south-d-primary-api.analysis.windows.net/public/reports/conceptualschema</x:v>
      </x:c>
      <x:c r="E21" s="132" t="str">
        <x:v>Modelo semântico</x:v>
      </x:c>
      <x:c r="F21" s="132" t="str">
        <x:v>Consulta pública não expõe automaticamente todas as linhas subjacentes.</x:v>
      </x:c>
    </x:row>
    <x:row r="22" ht="52" customHeight="1">
      <x:c r="A22" s="132" t="str">
        <x:v>6. Viabilidade</x:v>
      </x:c>
      <x:c r="B22" s="132" t="str">
        <x:v>Replicação</x:v>
      </x:c>
      <x:c r="C22" s="132" t="str">
        <x:v>Sim, tecnicamente: metadados + queries do visual + POST querydata reproduzem os agregados sem abrir o BI.</x:v>
      </x:c>
      <x:c r="D22" s="132" t="str">
        <x:v>https://wabi-brazil-south-d-primary-api.analysis.windows.net/public/reports/querydata?synchronous=true</x:v>
      </x:c>
      <x:c r="E22" s="132" t="str">
        <x:v>PoC validado</x:v>
      </x:c>
      <x:c r="F22" s="132" t="str">
        <x:v>Funciona hoje, mas é endpoint interno e sem contrato.</x:v>
      </x:c>
    </x:row>
    <x:row r="23" ht="52" customHeight="1">
      <x:c r="A23" s="132" t="str">
        <x:v>6. Viabilidade</x:v>
      </x:c>
      <x:c r="B23" s="132" t="str">
        <x:v>Limites</x:v>
      </x:c>
      <x:c r="C23" s="132" t="str">
        <x:v>DataReduction.Window.Count=1000 nas consultas do visual; nenhum rate limit público foi documentado.</x:v>
      </x:c>
      <x:c r="D23" s="132" t="str">
        <x:v>https://app.powerbi.com/view?r=eyJrIjoiM2M2NzVmOWItMzI0Yi00MTE1LWI5ZmYtZTM0ZWM4ZDUwODNlIiwidCI6Ijk3OTM3M2VkLWQxMzAtNDU4NS1iNTY5LTNjM2NlNjE0MTIyNyJ9</x:v>
      </x:c>
      <x:c r="E23" s="132" t="str">
        <x:v>Consulta semântica</x:v>
      </x:c>
      <x:c r="F23" s="132" t="str">
        <x:v>Limite é do visual, não garantia de paginação geral.</x:v>
      </x:c>
    </x:row>
    <x:row r="24" ht="52" customHeight="1">
      <x:c r="A24" s="132" t="str">
        <x:v>6. Viabilidade</x:v>
      </x:c>
      <x:c r="B24" s="132" t="str">
        <x:v>Termos</x:v>
      </x:c>
      <x:c r="C24" s="132" t="str">
        <x:v>Termos ANBIMA 2.2–2.4 vedam acesso à programação/banco, engenharia reversa, spiders e mineração automatizada.</x:v>
      </x:c>
      <x:c r="D24" s="132" t="str">
        <x:v>https://www.anbima.com.br/pt_br/termos-de-uso.htm</x:v>
      </x:c>
      <x:c r="E24" s="132" t="str">
        <x:v>Termos atualizados 01/07/2026</x:v>
      </x:c>
      <x:c r="F24" s="132" t="str">
        <x:v>Não operacionalizar scraping/reverse engineering sem autorização jurídica.</x:v>
      </x:c>
    </x:row>
    <x:row r="25" ht="52" customHeight="1">
      <x:c r="A25" s="132" t="str">
        <x:v>7. Conclusão</x:v>
      </x:c>
      <x:c r="B25" s="132" t="str">
        <x:v>Caminho robusto</x:v>
      </x:c>
      <x:c r="C25" s="132" t="str">
        <x:v>ANBIMA Feed v2 + pacote Fundos Estruturados; usar APIs específicas para segmentação e preços.</x:v>
      </x:c>
      <x:c r="D25" s="132" t="str">
        <x:v>https://developers.anbima.com.br/en/api-de-fundos-v2-rcvm-175/</x:v>
      </x:c>
      <x:c r="E25" s="132" t="str">
        <x:v>OAuth2 + contrato</x:v>
      </x:c>
      <x:c r="F25" s="132" t="str">
        <x:v>Recomendado para produção.</x:v>
      </x:c>
    </x:row>
    <x:row r="26" ht="52" customHeight="1">
      <x:c r="A26" s="133" t="str">
        <x:v>7. Conclusão</x:v>
      </x:c>
      <x:c r="B26" s="133" t="str">
        <x:v>Gap de paridade</x:v>
      </x:c>
      <x:c r="C26" s="133" t="str">
        <x:v>Ofertas por subscritor e algumas classificações do dashboard podem exigir pacote/endpoint adicional ou consolidação própria.</x:v>
      </x:c>
      <x:c r="D26" s="133" t="str">
        <x:v>https://feed.anbima.com.br/</x:v>
      </x:c>
      <x:c r="E26" s="133" t="str">
        <x:v>API contratual</x:v>
      </x:c>
      <x:c r="F26" s="133" t="str">
        <x:v>Validar escopo comercial antes da contratação.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c900f78d57e04a9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6" hidden="0" customWidth="1"/>
    <x:col min="3" max="3" width="70" hidden="0" customWidth="1"/>
    <x:col min="4" max="4" width="31" hidden="0" customWidth="1"/>
    <x:col min="5" max="5" width="44" hidden="0" customWidth="1"/>
    <x:col min="6" max="6" width="25" hidden="0" customWidth="1"/>
    <x:col min="7" max="7" width="27" hidden="0" customWidth="1"/>
    <x:col min="8" max="8" width="36" hidden="0" customWidth="1"/>
    <x:col min="9" max="9" width="62" hidden="0" customWidth="1"/>
  </x:cols>
  <x:sheetData>
    <x:row r="1" ht="28" customHeight="1">
      <x:c r="A1" s="4" t="str">
        <x:v>Inventário de chamadas e endpoints</x:v>
      </x:c>
      <x:c r="B1" s="4" t="str">
        <x:v>Inventário de chamadas e endpoints</x:v>
      </x:c>
      <x:c r="C1" s="4" t="str">
        <x:v>Inventário de chamadas e endpoints</x:v>
      </x:c>
      <x:c r="D1" s="4" t="str">
        <x:v>Inventário de chamadas e endpoints</x:v>
      </x:c>
      <x:c r="E1" s="4" t="str">
        <x:v>Inventário de chamadas e endpoints</x:v>
      </x:c>
      <x:c r="F1" s="4" t="str">
        <x:v>Inventário de chamadas e endpoints</x:v>
      </x:c>
      <x:c r="G1" s="4" t="str">
        <x:v>Inventário de chamadas e endpoints</x:v>
      </x:c>
      <x:c r="H1" s="4" t="str">
        <x:v>Inventário de chamadas e endpoints</x:v>
      </x:c>
      <x:c r="I1" s="4" t="str">
        <x:v>Inventário de chamadas e endpoints</x:v>
      </x:c>
    </x:row>
    <x:row r="2" ht="26" customHeight="1">
      <x:c r="A2" s="110" t="str">
        <x:v>Método</x:v>
      </x:c>
      <x:c r="B2" s="111" t="str">
        <x:v>Domínio</x:v>
      </x:c>
      <x:c r="C2" s="111" t="str">
        <x:v>Path</x:v>
      </x:c>
      <x:c r="D2" s="111" t="str">
        <x:v>Finalidade</x:v>
      </x:c>
      <x:c r="E2" s="111" t="str">
        <x:v>Headers relevantes</x:v>
      </x:c>
      <x:c r="F2" s="111" t="str">
        <x:v>Autenticação</x:v>
      </x:c>
      <x:c r="G2" s="111" t="str">
        <x:v>Resposta</x:v>
      </x:c>
      <x:c r="H2" s="111" t="str">
        <x:v>Observação</x:v>
      </x:c>
      <x:c r="I2" s="112" t="str">
        <x:v>Fonte</x:v>
      </x:c>
    </x:row>
    <x:row r="3" ht="58" customHeight="1">
      <x:c r="A3" s="131" t="str">
        <x:v>GET</x:v>
      </x:c>
      <x:c r="B3" s="131" t="str">
        <x:v>data.anbima.com.br</x:v>
      </x:c>
      <x:c r="C3" s="131" t="str">
        <x:v>/publicacoes/fundos-de-investimento/dashboard-de-fidcs</x:v>
      </x:c>
      <x:c r="D3" s="131" t="str">
        <x:v>Shell da página</x:v>
      </x:c>
      <x:c r="E3" s="131" t="str">
        <x:v>Nenhum</x:v>
      </x:c>
      <x:c r="F3" s="131" t="str">
        <x:v>Público</x:v>
      </x:c>
      <x:c r="G3" s="131" t="str">
        <x:v>text/html</x:v>
      </x:c>
      <x:c r="H3" s="131" t="str">
        <x:v>200; Last-Modified 06/07/2026 (frontend)</x:v>
      </x:c>
      <x:c r="I3" s="131" t="str">
        <x:v>https://data.anbima.com.br/publicacoes/fundos-de-investimento/dashboard-de-fidcs</x:v>
      </x:c>
    </x:row>
    <x:row r="4" ht="58" customHeight="1">
      <x:c r="A4" s="132" t="str">
        <x:v>GET</x:v>
      </x:c>
      <x:c r="B4" s="132" t="str">
        <x:v>data-strapi.prd.anbima.com.br</x:v>
      </x:c>
      <x:c r="C4" s="132" t="str">
        <x:v>/api/dashboards?...slug=dashboard-de-fidcs...</x:v>
      </x:c>
      <x:c r="D4" s="132" t="str">
        <x:v>Conteúdo e embed</x:v>
      </x:c>
      <x:c r="E4" s="132" t="str">
        <x:v>Nenhum</x:v>
      </x:c>
      <x:c r="F4" s="132" t="str">
        <x:v>Público</x:v>
      </x:c>
      <x:c r="G4" s="132" t="str">
        <x:v>application/json</x:v>
      </x:c>
      <x:c r="H4" s="132" t="str">
        <x:v>200; attachment null</x:v>
      </x:c>
      <x:c r="I4" s="132" t="str">
        <x:v>https://data-strapi.prd.anbima.com.br/api/dashboards?filters%5Btemplate%5D%5Bslug%5D%5B%24eq%5D=dashboard-de-fidcs&amp;locale=pt-BR&amp;populate=template.attachment</x:v>
      </x:c>
    </x:row>
    <x:row r="5" ht="58" customHeight="1">
      <x:c r="A5" s="132" t="str">
        <x:v>GET</x:v>
      </x:c>
      <x:c r="B5" s="132" t="str">
        <x:v>app.powerbi.com</x:v>
      </x:c>
      <x:c r="C5" s="132" t="str">
        <x:v>/view?r=...</x:v>
      </x:c>
      <x:c r="D5" s="132" t="str">
        <x:v>Bootstrap do relatório</x:v>
      </x:c>
      <x:c r="E5" s="132" t="str">
        <x:v>Nenhum</x:v>
      </x:c>
      <x:c r="F5" s="132" t="str">
        <x:v>Público</x:v>
      </x:c>
      <x:c r="G5" s="132" t="str">
        <x:v>text/html</x:v>
      </x:c>
      <x:c r="H5" s="132" t="str">
        <x:v>200; no-cache; cookies de afinidade</x:v>
      </x:c>
      <x:c r="I5" s="132" t="str">
        <x:v>https://app.powerbi.com/view?r=eyJrIjoiM2M2NzVmOWItMzI0Yi00MTE1LWI5ZmYtZTM0ZWM4ZDUwODNlIiwidCI6Ijk3OTM3M2VkLWQxMzAtNDU4NS1iNTY5LTNjM2NlNjE0MTIyNyJ9</x:v>
      </x:c>
    </x:row>
    <x:row r="6" ht="58" customHeight="1">
      <x:c r="A6" s="132" t="str">
        <x:v>GET</x:v>
      </x:c>
      <x:c r="B6" s="132" t="str">
        <x:v>wabi-brazil-south-d-primary-api.analysis.windows.net</x:v>
      </x:c>
      <x:c r="C6" s="132" t="str">
        <x:v>/public/reports/3c675f9b-324b-4115-b9ff-e34ec8d5083e/modelsAndExploration?preferReadOnlySession=true</x:v>
      </x:c>
      <x:c r="D6" s="132" t="str">
        <x:v>Modelo, páginas, queries e refresh</x:v>
      </x:c>
      <x:c r="E6" s="132" t="str">
        <x:v>ActivityId; RequestId; X-PowerBI-ResourceKey</x:v>
      </x:c>
      <x:c r="F6" s="132" t="str">
        <x:v>ResourceKey</x:v>
      </x:c>
      <x:c r="G6" s="132" t="str">
        <x:v>application/json gzip</x:v>
      </x:c>
      <x:c r="H6" s="132" t="str">
        <x:v>200 com chave; 401 sem chave</x:v>
      </x:c>
      <x:c r="I6" s="132" t="str">
        <x:v>https://wabi-brazil-south-d-primary-api.analysis.windows.net/public/reports/3c675f9b-324b-4115-b9ff-e34ec8d5083e/modelsAndExploration?preferReadOnlySession=true</x:v>
      </x:c>
    </x:row>
    <x:row r="7" ht="58" customHeight="1">
      <x:c r="A7" s="132" t="str">
        <x:v>GET</x:v>
      </x:c>
      <x:c r="B7" s="132" t="str">
        <x:v>wabi-brazil-south-d-primary-api.analysis.windows.net</x:v>
      </x:c>
      <x:c r="C7" s="132" t="str">
        <x:v>/public/reports/conceptualschema</x:v>
      </x:c>
      <x:c r="D7" s="132" t="str">
        <x:v>Tabelas, campos e medidas</x:v>
      </x:c>
      <x:c r="E7" s="132" t="str">
        <x:v>ActivityId; RequestId; X-PowerBI-ResourceKey</x:v>
      </x:c>
      <x:c r="F7" s="132" t="str">
        <x:v>ResourceKey</x:v>
      </x:c>
      <x:c r="G7" s="132" t="str">
        <x:v>application/json gzip</x:v>
      </x:c>
      <x:c r="H7" s="132" t="str">
        <x:v>200</x:v>
      </x:c>
      <x:c r="I7" s="132" t="str">
        <x:v>https://wabi-brazil-south-d-primary-api.analysis.windows.net/public/reports/conceptualschema</x:v>
      </x:c>
    </x:row>
    <x:row r="8" ht="58" customHeight="1">
      <x:c r="A8" s="132" t="str">
        <x:v>POST</x:v>
      </x:c>
      <x:c r="B8" s="132" t="str">
        <x:v>wabi-brazil-south-d-primary-api.analysis.windows.net</x:v>
      </x:c>
      <x:c r="C8" s="132" t="str">
        <x:v>/public/reports/querydata?synchronous=true</x:v>
      </x:c>
      <x:c r="D8" s="132" t="str">
        <x:v>Dados de cada visual</x:v>
      </x:c>
      <x:c r="E8" s="132" t="str">
        <x:v>ActivityId; RequestId; X-PowerBI-ResourceKey; Content-Type</x:v>
      </x:c>
      <x:c r="F8" s="132" t="str">
        <x:v>ResourceKey</x:v>
      </x:c>
      <x:c r="G8" s="132" t="str">
        <x:v>JSON em text/plain gzip</x:v>
      </x:c>
      <x:c r="H8" s="132" t="str">
        <x:v>200; DSR; body contém modelId e SemanticQuery</x:v>
      </x:c>
      <x:c r="I8" s="132" t="str">
        <x:v>https://wabi-brazil-south-d-primary-api.analysis.windows.net/public/reports/querydata?synchronous=true</x:v>
      </x:c>
    </x:row>
    <x:row r="9" ht="58" customHeight="1">
      <x:c r="A9" s="132" t="str">
        <x:v>GET</x:v>
      </x:c>
      <x:c r="B9" s="132" t="str">
        <x:v>wabi-brazil-south-d-primary-api.analysis.windows.net</x:v>
      </x:c>
      <x:c r="C9" s="132" t="str">
        <x:v>/public/reports/resourcePackage/{id}/{path}</x:v>
      </x:c>
      <x:c r="D9" s="132" t="str">
        <x:v>Imagens do relatório</x:v>
      </x:c>
      <x:c r="E9" s="132" t="str">
        <x:v>X-PowerBI-ResourceKey</x:v>
      </x:c>
      <x:c r="F9" s="132" t="str">
        <x:v>ResourceKey</x:v>
      </x:c>
      <x:c r="G9" s="132" t="str">
        <x:v>image/png</x:v>
      </x:c>
      <x:c r="H9" s="132" t="str">
        <x:v>200</x:v>
      </x:c>
      <x:c r="I9" s="132" t="str">
        <x:v>Domínio Microsoft observado</x:v>
      </x:c>
    </x:row>
    <x:row r="10" ht="58" customHeight="1">
      <x:c r="A10" s="132" t="str">
        <x:v>POST</x:v>
      </x:c>
      <x:c r="B10" s="132" t="str">
        <x:v>api.anbima.com.br</x:v>
      </x:c>
      <x:c r="C10" s="132" t="str">
        <x:v>/oauth/access-token</x:v>
      </x:c>
      <x:c r="D10" s="132" t="str">
        <x:v>Token ANBIMA Feed</x:v>
      </x:c>
      <x:c r="E10" s="132" t="str">
        <x:v>Authorization: Basic base64(client_id:secret)</x:v>
      </x:c>
      <x:c r="F10" s="132" t="str">
        <x:v>Credencial</x:v>
      </x:c>
      <x:c r="G10" s="132" t="str">
        <x:v>application/json</x:v>
      </x:c>
      <x:c r="H10" s="132" t="str">
        <x:v>access_token válido por ~3600s</x:v>
      </x:c>
      <x:c r="I10" s="132" t="str">
        <x:v>https://developers.anbima.com.br/pt/documentacao/autenticacao/</x:v>
      </x:c>
    </x:row>
    <x:row r="11" ht="58" customHeight="1">
      <x:c r="A11" s="132" t="str">
        <x:v>GET</x:v>
      </x:c>
      <x:c r="B11" s="132" t="str">
        <x:v>api.anbima.com.br</x:v>
      </x:c>
      <x:c r="C11" s="132" t="str">
        <x:v>/feed/fundos/v2/fundos?tipo-fundo=FIDC&amp;size=1000</x:v>
      </x:c>
      <x:c r="D11" s="132" t="str">
        <x:v>Lista de FIDCs</x:v>
      </x:c>
      <x:c r="E11" s="132" t="str">
        <x:v>client_id; access_token</x:v>
      </x:c>
      <x:c r="F11" s="132" t="str">
        <x:v>OAuth2 + pacote</x:v>
      </x:c>
      <x:c r="G11" s="132" t="str">
        <x:v>application/json</x:v>
      </x:c>
      <x:c r="H11" s="132" t="str">
        <x:v>401 sem client_id; máx. 1.000/página</x:v>
      </x:c>
      <x:c r="I11" s="132" t="str">
        <x:v>https://developers.anbima.com.br/en/api-de-fundos-v2-rcvm-175/</x:v>
      </x:c>
    </x:row>
    <x:row r="12" ht="58" customHeight="1">
      <x:c r="A12" s="132" t="str">
        <x:v>GET</x:v>
      </x:c>
      <x:c r="B12" s="132" t="str">
        <x:v>api.anbima.com.br</x:v>
      </x:c>
      <x:c r="C12" s="132" t="str">
        <x:v>/feed/fundos/v2/fundos/{classe_ou_subclasse}/serie-historica</x:v>
      </x:c>
      <x:c r="D12" s="132" t="str">
        <x:v>PL e cota por classe/subclasse</x:v>
      </x:c>
      <x:c r="E12" s="132" t="str">
        <x:v>client_id; access_token</x:v>
      </x:c>
      <x:c r="F12" s="132" t="str">
        <x:v>OAuth2 + pacote</x:v>
      </x:c>
      <x:c r="G12" s="132" t="str">
        <x:v>application/json</x:v>
      </x:c>
      <x:c r="H12" s="132" t="str">
        <x:v>Até 5 anos por consulta</x:v>
      </x:c>
      <x:c r="I12" s="132" t="str">
        <x:v>https://developers.anbima.com.br/en/api-de-fundos-v2-rcvm-175/</x:v>
      </x:c>
    </x:row>
    <x:row r="13" ht="58" customHeight="1">
      <x:c r="A13" s="132" t="str">
        <x:v>GET</x:v>
      </x:c>
      <x:c r="B13" s="132" t="str">
        <x:v>api.anbima.com.br</x:v>
      </x:c>
      <x:c r="C13" s="132" t="str">
        <x:v>/feed/fundos/v2/fundos/segmento-investidor/{classe_ou_subclasse}/patrimonio-liquido</x:v>
      </x:c>
      <x:c r="D13" s="132" t="str">
        <x:v>PL percentual por segmento</x:v>
      </x:c>
      <x:c r="E13" s="132" t="str">
        <x:v>client_id; access_token</x:v>
      </x:c>
      <x:c r="F13" s="132" t="str">
        <x:v>Exclusivo aderentes ART</x:v>
      </x:c>
      <x:c r="G13" s="132" t="str">
        <x:v>application/json</x:v>
      </x:c>
      <x:c r="H13" s="132" t="str">
        <x:v>Mensal por classe/subclasse</x:v>
      </x:c>
      <x:c r="I13" s="132" t="str">
        <x:v>https://developers.anbima.com.br/en/api-de-fundos-v2-rcvm-175/</x:v>
      </x:c>
    </x:row>
    <x:row r="14" ht="58" customHeight="1">
      <x:c r="A14" s="132" t="str">
        <x:v>GET</x:v>
      </x:c>
      <x:c r="B14" s="132" t="str">
        <x:v>api.anbima.com.br</x:v>
      </x:c>
      <x:c r="C14" s="132" t="str">
        <x:v>/feed/fundos/v2/fundos/instituicoes</x:v>
      </x:c>
      <x:c r="D14" s="132" t="str">
        <x:v>Prestadores/instituições</x:v>
      </x:c>
      <x:c r="E14" s="132" t="str">
        <x:v>client_id; access_token</x:v>
      </x:c>
      <x:c r="F14" s="132" t="str">
        <x:v>OAuth2 + pacote</x:v>
      </x:c>
      <x:c r="G14" s="132" t="str">
        <x:v>application/json</x:v>
      </x:c>
      <x:c r="H14" s="132" t="str">
        <x:v>Máx. 1.000/página</x:v>
      </x:c>
      <x:c r="I14" s="132" t="str">
        <x:v>https://developers.anbima.com.br/en/api-de-fundos-v2-rcvm-175/</x:v>
      </x:c>
    </x:row>
    <x:row r="15" ht="58" customHeight="1">
      <x:c r="A15" s="133" t="str">
        <x:v>GET</x:v>
      </x:c>
      <x:c r="B15" s="133" t="str">
        <x:v>api.anbima.com.br</x:v>
      </x:c>
      <x:c r="C15" s="133" t="str">
        <x:v>/feed/precos-indices/v1/fidc/mercado-secundario</x:v>
      </x:c>
      <x:c r="D15" s="133" t="str">
        <x:v>Preço/PU/taxas de FIDC</x:v>
      </x:c>
      <x:c r="E15" s="133" t="str">
        <x:v>client_id; access_token</x:v>
      </x:c>
      <x:c r="F15" s="133" t="str">
        <x:v>OAuth2 + Precificação FIDC</x:v>
      </x:c>
      <x:c r="G15" s="133" t="str">
        <x:v>application/json</x:v>
      </x:c>
      <x:c r="H15" s="133" t="str">
        <x:v>Diário após 20h; 401 sem client_id</x:v>
      </x:c>
      <x:c r="I15" s="133" t="str">
        <x:v>https://developers.anbima.com.br/pt/documentacao/precos-indices/apis-de-precos/fidc/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860c960c44944c5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66" hidden="0" customWidth="1"/>
    <x:col min="3" max="3" width="46" hidden="0" customWidth="1"/>
    <x:col min="4" max="4" width="24" hidden="0" customWidth="1"/>
    <x:col min="5" max="5" width="14" hidden="0" customWidth="1"/>
    <x:col min="6" max="6" width="34" hidden="0" customWidth="1"/>
    <x:col min="7" max="7" width="26" hidden="0" customWidth="1"/>
    <x:col min="8" max="8" width="60" hidden="0" customWidth="1"/>
  </x:cols>
  <x:sheetData>
    <x:row r="1" ht="28" customHeight="1">
      <x:c r="A1" s="4" t="str">
        <x:v>ANBIMA Feed — alternativa oficial e sustentável</x:v>
      </x:c>
      <x:c r="B1" s="4" t="str">
        <x:v>ANBIMA Feed — alternativa oficial e sustentável</x:v>
      </x:c>
      <x:c r="C1" s="4" t="str">
        <x:v>ANBIMA Feed — alternativa oficial e sustentável</x:v>
      </x:c>
      <x:c r="D1" s="4" t="str">
        <x:v>ANBIMA Feed — alternativa oficial e sustentável</x:v>
      </x:c>
      <x:c r="E1" s="4" t="str">
        <x:v>ANBIMA Feed — alternativa oficial e sustentável</x:v>
      </x:c>
      <x:c r="F1" s="4" t="str">
        <x:v>ANBIMA Feed — alternativa oficial e sustentável</x:v>
      </x:c>
      <x:c r="G1" s="4" t="str">
        <x:v>ANBIMA Feed — alternativa oficial e sustentável</x:v>
      </x:c>
      <x:c r="H1" s="4" t="str">
        <x:v>ANBIMA Feed — alternativa oficial e sustentável</x:v>
      </x:c>
    </x:row>
    <x:row r="2" ht="26" customHeight="1">
      <x:c r="A2" s="110" t="str">
        <x:v>Produto</x:v>
      </x:c>
      <x:c r="B2" s="111" t="str">
        <x:v>Endpoint</x:v>
      </x:c>
      <x:c r="C2" s="111" t="str">
        <x:v>Campos/cobertura</x:v>
      </x:c>
      <x:c r="D2" s="111" t="str">
        <x:v>Granularidade</x:v>
      </x:c>
      <x:c r="E2" s="111" t="str">
        <x:v>Formato</x:v>
      </x:c>
      <x:c r="F2" s="111" t="str">
        <x:v>Acesso</x:v>
      </x:c>
      <x:c r="G2" s="111" t="str">
        <x:v>Limite</x:v>
      </x:c>
      <x:c r="H2" s="112" t="str">
        <x:v>Status</x:v>
      </x:c>
    </x:row>
    <x:row r="3" ht="54" customHeight="1">
      <x:c r="A3" s="131" t="str">
        <x:v>Fundos v2 — lista</x:v>
      </x:c>
      <x:c r="B3" s="131" t="str">
        <x:v>GET /feed/fundos/v2/fundos?tipo-fundo=FIDC</x:v>
      </x:c>
      <x:c r="C3" s="131" t="str">
        <x:v>Fundo, classe, subclasse, situação, categorias</x:v>
      </x:c>
      <x:c r="D3" s="131" t="str">
        <x:v>Cadastro</x:v>
      </x:c>
      <x:c r="E3" s="131" t="str">
        <x:v>JSON</x:v>
      </x:c>
      <x:c r="F3" s="131" t="str">
        <x:v>OAuth2 + Fundos Estruturados</x:v>
      </x:c>
      <x:c r="G3" s="131" t="str">
        <x:v>1.000/página</x:v>
      </x:c>
      <x:c r="H3" s="131" t="str">
        <x:v>Produção</x:v>
      </x:c>
    </x:row>
    <x:row r="4" ht="54" customHeight="1">
      <x:c r="A4" s="132" t="str">
        <x:v>Fundos v2 — detalhes</x:v>
      </x:c>
      <x:c r="B4" s="132" t="str">
        <x:v>GET /feed/fundos/v2/fundos/{código}</x:v>
      </x:c>
      <x:c r="C4" s="132" t="str">
        <x:v>Dados cadastrais e prestadores</x:v>
      </x:c>
      <x:c r="D4" s="132" t="str">
        <x:v>Por fundo/classe/subclasse</x:v>
      </x:c>
      <x:c r="E4" s="132" t="str">
        <x:v>JSON</x:v>
      </x:c>
      <x:c r="F4" s="132" t="str">
        <x:v>OAuth2 + pacote</x:v>
      </x:c>
      <x:c r="G4" s="132" t="str">
        <x:v>Sem limite publicado na página</x:v>
      </x:c>
      <x:c r="H4" s="132" t="str">
        <x:v>Produção</x:v>
      </x:c>
    </x:row>
    <x:row r="5" ht="54" customHeight="1">
      <x:c r="A5" s="132" t="str">
        <x:v>Fundos v2 — série</x:v>
      </x:c>
      <x:c r="B5" s="132" t="str">
        <x:v>GET /feed/fundos/v2/fundos/{classe/subclasse}/serie-historica</x:v>
      </x:c>
      <x:c r="C5" s="132" t="str">
        <x:v>PL, cota, aplicações, resgates, cotistas</x:v>
      </x:c>
      <x:c r="D5" s="132" t="str">
        <x:v>Diária</x:v>
      </x:c>
      <x:c r="E5" s="132" t="str">
        <x:v>JSON</x:v>
      </x:c>
      <x:c r="F5" s="132" t="str">
        <x:v>OAuth2 + pacote</x:v>
      </x:c>
      <x:c r="G5" s="132" t="str">
        <x:v>Máx. 5 anos por consulta</x:v>
      </x:c>
      <x:c r="H5" s="132" t="str">
        <x:v>Produção</x:v>
      </x:c>
    </x:row>
    <x:row r="6" ht="54" customHeight="1">
      <x:c r="A6" s="132" t="str">
        <x:v>Fundos v2 — lote</x:v>
      </x:c>
      <x:c r="B6" s="132" t="str">
        <x:v>GET /feed/fundos/v2/fundos/serie-historica/lote</x:v>
      </x:c>
      <x:c r="C6" s="132" t="str">
        <x:v>Mesmos dados periódicos em lote</x:v>
      </x:c>
      <x:c r="D6" s="132" t="str">
        <x:v>Diária, ao longo do dia</x:v>
      </x:c>
      <x:c r="E6" s="132" t="str">
        <x:v>JSON</x:v>
      </x:c>
      <x:c r="F6" s="132" t="str">
        <x:v>OAuth2 + pacote</x:v>
      </x:c>
      <x:c r="G6" s="132" t="str">
        <x:v>1.000/bloco; cursor</x:v>
      </x:c>
      <x:c r="H6" s="132" t="str">
        <x:v>Produção</x:v>
      </x:c>
    </x:row>
    <x:row r="7" ht="54" customHeight="1">
      <x:c r="A7" s="132" t="str">
        <x:v>Segmento investidor</x:v>
      </x:c>
      <x:c r="B7" s="132" t="str">
        <x:v>GET /feed/fundos/v2/fundos/segmento-investidor/{classe/subclasse}/patrimonio-liquido</x:v>
      </x:c>
      <x:c r="C7" s="132" t="str">
        <x:v>Distribuição percentual do PL por segmento</x:v>
      </x:c>
      <x:c r="D7" s="132" t="str">
        <x:v>Mensal</x:v>
      </x:c>
      <x:c r="E7" s="132" t="str">
        <x:v>JSON</x:v>
      </x:c>
      <x:c r="F7" s="132" t="str">
        <x:v>Exclusivo aderentes Gestão/Admin ART</x:v>
      </x:c>
      <x:c r="G7" s="132" t="str">
        <x:v>Por código; mês opcional</x:v>
      </x:c>
      <x:c r="H7" s="132" t="str">
        <x:v>Restrito</x:v>
      </x:c>
    </x:row>
    <x:row r="8" ht="54" customHeight="1">
      <x:c r="A8" s="132" t="str">
        <x:v>Instituições</x:v>
      </x:c>
      <x:c r="B8" s="132" t="str">
        <x:v>GET /feed/fundos/v2/fundos/instituicoes</x:v>
      </x:c>
      <x:c r="C8" s="132" t="str">
        <x:v>Prestadores vinculados a fundos ativos</x:v>
      </x:c>
      <x:c r="D8" s="132" t="str">
        <x:v>Atualização cadastral</x:v>
      </x:c>
      <x:c r="E8" s="132" t="str">
        <x:v>JSON</x:v>
      </x:c>
      <x:c r="F8" s="132" t="str">
        <x:v>OAuth2 + pacote</x:v>
      </x:c>
      <x:c r="G8" s="132" t="str">
        <x:v>1.000/página</x:v>
      </x:c>
      <x:c r="H8" s="132" t="str">
        <x:v>Produção</x:v>
      </x:c>
    </x:row>
    <x:row r="9" ht="54" customHeight="1">
      <x:c r="A9" s="133" t="str">
        <x:v>Precificação FIDC</x:v>
      </x:c>
      <x:c r="B9" s="133" t="str">
        <x:v>GET /feed/precos-indices/v1/fidc/mercado-secundario</x:v>
      </x:c>
      <x:c r="C9" s="133" t="str">
        <x:v>Taxas compra/venda/indicativa e PUs</x:v>
      </x:c>
      <x:c r="D9" s="133" t="str">
        <x:v>Diária após 20h</x:v>
      </x:c>
      <x:c r="E9" s="133" t="str">
        <x:v>JSON</x:v>
      </x:c>
      <x:c r="F9" s="133" t="str">
        <x:v>OAuth2 + Precificação FIDC</x:v>
      </x:c>
      <x:c r="G9" s="133" t="str">
        <x:v>Não publicado</x:v>
      </x:c>
      <x:c r="H9" s="133" t="str">
        <x:v>Produção</x:v>
      </x:c>
    </x:row>
    <x:row r="12" ht="22" customHeight="1">
      <x:c r="A12" s="135" t="str">
        <x:v>Preço e condições observadas em 10/07/2026</x:v>
      </x:c>
      <x:c r="B12" s="135" t="str">
        <x:v>Preço e condições observadas em 10/07/2026</x:v>
      </x:c>
      <x:c r="C12" s="135" t="str">
        <x:v>Preço e condições observadas em 10/07/2026</x:v>
      </x:c>
      <x:c r="D12" s="135" t="str">
        <x:v>Preço e condições observadas em 10/07/2026</x:v>
      </x:c>
      <x:c r="E12" s="135" t="str">
        <x:v>Preço e condições observadas em 10/07/2026</x:v>
      </x:c>
      <x:c r="F12" s="135" t="str">
        <x:v>Preço e condições observadas em 10/07/2026</x:v>
      </x:c>
      <x:c r="G12" s="135" t="str">
        <x:v>Preço e condições observadas em 10/07/2026</x:v>
      </x:c>
      <x:c r="H12" s="135" t="str">
        <x:v>Preço e condições observadas em 10/07/2026</x:v>
      </x:c>
    </x:row>
    <x:row r="13" ht="26" customHeight="1">
      <x:c r="A13" s="110" t="str">
        <x:v>Pacote</x:v>
      </x:c>
      <x:c r="B13" s="111" t="str">
        <x:v>Plano Usuário Final</x:v>
      </x:c>
      <x:c r="C13" s="111" t="str">
        <x:v>Distribuição fixa</x:v>
      </x:c>
      <x:c r="D13" s="111" t="str">
        <x:v>Distribuição variável</x:v>
      </x:c>
      <x:c r="E13" s="111" t="str">
        <x:v>Parceiro Feed</x:v>
      </x:c>
      <x:c r="F13" s="111" t="str">
        <x:v>Associados</x:v>
      </x:c>
      <x:c r="G13" s="111" t="str">
        <x:v>Uso</x:v>
      </x:c>
      <x:c r="H13" s="112" t="str">
        <x:v>Fonte</x:v>
      </x:c>
    </x:row>
    <x:row r="14">
      <x:c r="A14" s="131" t="str">
        <x:v>Fundos Estruturados</x:v>
      </x:c>
      <x:c r="B14" s="138" t="n">
        <x:v>1144.16</x:v>
      </x:c>
      <x:c r="C14" s="138" t="n">
        <x:v>1144.16</x:v>
      </x:c>
      <x:c r="D14" s="138" t="n">
        <x:v>11.44</x:v>
      </x:c>
      <x:c r="E14" s="138" t="n">
        <x:v>13729.98</x:v>
      </x:c>
      <x:c r="F14" s="131" t="str">
        <x:v>Gratuito</x:v>
      </x:c>
      <x:c r="G14" s="131" t="str">
        <x:v>Base interna / relatórios</x:v>
      </x:c>
      <x:c r="H14" s="131" t="str">
        <x:v>https://feed.anbima.com.br/</x:v>
      </x:c>
    </x:row>
    <x:row r="15">
      <x:c r="A15" s="132" t="str">
        <x:v>Precificação de FIDCs</x:v>
      </x:c>
      <x:c r="B15" s="139" t="n">
        <x:v>686.5</x:v>
      </x:c>
      <x:c r="C15" s="139" t="n">
        <x:v>686.5</x:v>
      </x:c>
      <x:c r="D15" s="139" t="n">
        <x:v>6.86</x:v>
      </x:c>
      <x:c r="E15" s="139" t="n">
        <x:v>8237.99</x:v>
      </x:c>
      <x:c r="F15" s="132" t="str">
        <x:v>Gratuito</x:v>
      </x:c>
      <x:c r="G15" s="132" t="str">
        <x:v>Preços e taxas secundárias</x:v>
      </x:c>
      <x:c r="H15" s="132" t="str">
        <x:v>https://feed.anbima.com.br/</x:v>
      </x:c>
    </x:row>
    <x:row r="16">
      <x:c r="A16" s="133" t="str">
        <x:v>Observação</x:v>
      </x:c>
      <x:c r="B16" s="133"/>
      <x:c r="C16" s="133"/>
      <x:c r="D16" s="133"/>
      <x:c r="E16" s="133"/>
      <x:c r="F16" s="133"/>
      <x:c r="G16" s="133" t="str">
        <x:v>Preços públicos podem mudar; validar proposta comercial.</x:v>
      </x:c>
      <x:c r="H16" s="133" t="str">
        <x:v>https://feed.anbima.com.br/</x:v>
      </x:c>
    </x:row>
    <x:row r="18">
      <x:c r="A18" s="99" t="str">
        <x:v>Autenticação: POST https://api.anbima.com.br/oauth/access-token com Basic base64(client_id:client_secret); chamadas usam headers client_id e access_token. Sandbox usa dados fixos/fictícios; produção exige credencial e permissão do pacote. A API v1 de fundos estruturados aparece na documentação histórica, mas o endpoint testado retornou 404 em 10/07/2026; usar v2.</x:v>
      </x:c>
      <x:c r="B18" s="99" t="str">
        <x:v>Autenticação: POST https://api.anbima.com.br/oauth/access-token com Basic base64(client_id:client_secret); chamadas usam headers client_id e access_token. Sandbox usa dados fixos/fictícios; produção exige credencial e permissão do pacote. A API v1 de fundos estruturados aparece na documentação histórica, mas o endpoint testado retornou 404 em 10/07/2026; usar v2.</x:v>
      </x:c>
      <x:c r="C18" s="99" t="str">
        <x:v>Autenticação: POST https://api.anbima.com.br/oauth/access-token com Basic base64(client_id:client_secret); chamadas usam headers client_id e access_token. Sandbox usa dados fixos/fictícios; produção exige credencial e permissão do pacote. A API v1 de fundos estruturados aparece na documentação histórica, mas o endpoint testado retornou 404 em 10/07/2026; usar v2.</x:v>
      </x:c>
      <x:c r="D18" s="99" t="str">
        <x:v>Autenticação: POST https://api.anbima.com.br/oauth/access-token com Basic base64(client_id:client_secret); chamadas usam headers client_id e access_token. Sandbox usa dados fixos/fictícios; produção exige credencial e permissão do pacote. A API v1 de fundos estruturados aparece na documentação histórica, mas o endpoint testado retornou 404 em 10/07/2026; usar v2.</x:v>
      </x:c>
      <x:c r="E18" s="99" t="str">
        <x:v>Autenticação: POST https://api.anbima.com.br/oauth/access-token com Basic base64(client_id:client_secret); chamadas usam headers client_id e access_token. Sandbox usa dados fixos/fictícios; produção exige credencial e permissão do pacote. A API v1 de fundos estruturados aparece na documentação histórica, mas o endpoint testado retornou 404 em 10/07/2026; usar v2.</x:v>
      </x:c>
      <x:c r="F18" s="99" t="str">
        <x:v>Autenticação: POST https://api.anbima.com.br/oauth/access-token com Basic base64(client_id:client_secret); chamadas usam headers client_id e access_token. Sandbox usa dados fixos/fictícios; produção exige credencial e permissão do pacote. A API v1 de fundos estruturados aparece na documentação histórica, mas o endpoint testado retornou 404 em 10/07/2026; usar v2.</x:v>
      </x:c>
      <x:c r="G18" s="99" t="str">
        <x:v>Autenticação: POST https://api.anbima.com.br/oauth/access-token com Basic base64(client_id:client_secret); chamadas usam headers client_id e access_token. Sandbox usa dados fixos/fictícios; produção exige credencial e permissão do pacote. A API v1 de fundos estruturados aparece na documentação histórica, mas o endpoint testado retornou 404 em 10/07/2026; usar v2.</x:v>
      </x:c>
      <x:c r="H18" s="99" t="str">
        <x:v>Autenticação: POST https://api.anbima.com.br/oauth/access-token com Basic base64(client_id:client_secret); chamadas usam headers client_id e access_token. Sandbox usa dados fixos/fictícios; produção exige credencial e permissão do pacote. A API v1 de fundos estruturados aparece na documentação histórica, mas o endpoint testado retornou 404 em 10/07/2026; usar v2.</x:v>
      </x:c>
    </x:row>
    <x:row r="19">
      <x:c r="A19" s="99" t="str">
        <x:v>Autenticação: POST https://api.anbima.com.br/oauth/access-token com Basic base64(client_id:client_secret); chamadas usam headers client_id e access_token. Sandbox usa dados fixos/fictícios; produção exige credencial e permissão do pacote. A API v1 de fundos estruturados aparece na documentação histórica, mas o endpoint testado retornou 404 em 10/07/2026; usar v2.</x:v>
      </x:c>
      <x:c r="B19" s="99" t="str">
        <x:v>Autenticação: POST https://api.anbima.com.br/oauth/access-token com Basic base64(client_id:client_secret); chamadas usam headers client_id e access_token. Sandbox usa dados fixos/fictícios; produção exige credencial e permissão do pacote. A API v1 de fundos estruturados aparece na documentação histórica, mas o endpoint testado retornou 404 em 10/07/2026; usar v2.</x:v>
      </x:c>
      <x:c r="C19" s="99" t="str">
        <x:v>Autenticação: POST https://api.anbima.com.br/oauth/access-token com Basic base64(client_id:client_secret); chamadas usam headers client_id e access_token. Sandbox usa dados fixos/fictícios; produção exige credencial e permissão do pacote. A API v1 de fundos estruturados aparece na documentação histórica, mas o endpoint testado retornou 404 em 10/07/2026; usar v2.</x:v>
      </x:c>
      <x:c r="D19" s="99" t="str">
        <x:v>Autenticação: POST https://api.anbima.com.br/oauth/access-token com Basic base64(client_id:client_secret); chamadas usam headers client_id e access_token. Sandbox usa dados fixos/fictícios; produção exige credencial e permissão do pacote. A API v1 de fundos estruturados aparece na documentação histórica, mas o endpoint testado retornou 404 em 10/07/2026; usar v2.</x:v>
      </x:c>
      <x:c r="E19" s="99" t="str">
        <x:v>Autenticação: POST https://api.anbima.com.br/oauth/access-token com Basic base64(client_id:client_secret); chamadas usam headers client_id e access_token. Sandbox usa dados fixos/fictícios; produção exige credencial e permissão do pacote. A API v1 de fundos estruturados aparece na documentação histórica, mas o endpoint testado retornou 404 em 10/07/2026; usar v2.</x:v>
      </x:c>
      <x:c r="F19" s="99" t="str">
        <x:v>Autenticação: POST https://api.anbima.com.br/oauth/access-token com Basic base64(client_id:client_secret); chamadas usam headers client_id e access_token. Sandbox usa dados fixos/fictícios; produção exige credencial e permissão do pacote. A API v1 de fundos estruturados aparece na documentação histórica, mas o endpoint testado retornou 404 em 10/07/2026; usar v2.</x:v>
      </x:c>
      <x:c r="G19" s="99" t="str">
        <x:v>Autenticação: POST https://api.anbima.com.br/oauth/access-token com Basic base64(client_id:client_secret); chamadas usam headers client_id e access_token. Sandbox usa dados fixos/fictícios; produção exige credencial e permissão do pacote. A API v1 de fundos estruturados aparece na documentação histórica, mas o endpoint testado retornou 404 em 10/07/2026; usar v2.</x:v>
      </x:c>
      <x:c r="H19" s="99" t="str">
        <x:v>Autenticação: POST https://api.anbima.com.br/oauth/access-token com Basic base64(client_id:client_secret); chamadas usam headers client_id e access_token. Sandbox usa dados fixos/fictícios; produção exige credencial e permissão do pacote. A API v1 de fundos estruturados aparece na documentação histórica, mas o endpoint testado retornou 404 em 10/07/2026; usar v2.</x:v>
      </x:c>
    </x:row>
    <x:row r="20">
      <x:c r="A20" s="99" t="str">
        <x:v>Autenticação: POST https://api.anbima.com.br/oauth/access-token com Basic base64(client_id:client_secret); chamadas usam headers client_id e access_token. Sandbox usa dados fixos/fictícios; produção exige credencial e permissão do pacote. A API v1 de fundos estruturados aparece na documentação histórica, mas o endpoint testado retornou 404 em 10/07/2026; usar v2.</x:v>
      </x:c>
      <x:c r="B20" s="99" t="str">
        <x:v>Autenticação: POST https://api.anbima.com.br/oauth/access-token com Basic base64(client_id:client_secret); chamadas usam headers client_id e access_token. Sandbox usa dados fixos/fictícios; produção exige credencial e permissão do pacote. A API v1 de fundos estruturados aparece na documentação histórica, mas o endpoint testado retornou 404 em 10/07/2026; usar v2.</x:v>
      </x:c>
      <x:c r="C20" s="99" t="str">
        <x:v>Autenticação: POST https://api.anbima.com.br/oauth/access-token com Basic base64(client_id:client_secret); chamadas usam headers client_id e access_token. Sandbox usa dados fixos/fictícios; produção exige credencial e permissão do pacote. A API v1 de fundos estruturados aparece na documentação histórica, mas o endpoint testado retornou 404 em 10/07/2026; usar v2.</x:v>
      </x:c>
      <x:c r="D20" s="99" t="str">
        <x:v>Autenticação: POST https://api.anbima.com.br/oauth/access-token com Basic base64(client_id:client_secret); chamadas usam headers client_id e access_token. Sandbox usa dados fixos/fictícios; produção exige credencial e permissão do pacote. A API v1 de fundos estruturados aparece na documentação histórica, mas o endpoint testado retornou 404 em 10/07/2026; usar v2.</x:v>
      </x:c>
      <x:c r="E20" s="99" t="str">
        <x:v>Autenticação: POST https://api.anbima.com.br/oauth/access-token com Basic base64(client_id:client_secret); chamadas usam headers client_id e access_token. Sandbox usa dados fixos/fictícios; produção exige credencial e permissão do pacote. A API v1 de fundos estruturados aparece na documentação histórica, mas o endpoint testado retornou 404 em 10/07/2026; usar v2.</x:v>
      </x:c>
      <x:c r="F20" s="99" t="str">
        <x:v>Autenticação: POST https://api.anbima.com.br/oauth/access-token com Basic base64(client_id:client_secret); chamadas usam headers client_id e access_token. Sandbox usa dados fixos/fictícios; produção exige credencial e permissão do pacote. A API v1 de fundos estruturados aparece na documentação histórica, mas o endpoint testado retornou 404 em 10/07/2026; usar v2.</x:v>
      </x:c>
      <x:c r="G20" s="99" t="str">
        <x:v>Autenticação: POST https://api.anbima.com.br/oauth/access-token com Basic base64(client_id:client_secret); chamadas usam headers client_id e access_token. Sandbox usa dados fixos/fictícios; produção exige credencial e permissão do pacote. A API v1 de fundos estruturados aparece na documentação histórica, mas o endpoint testado retornou 404 em 10/07/2026; usar v2.</x:v>
      </x:c>
      <x:c r="H20" s="99" t="str">
        <x:v>Autenticação: POST https://api.anbima.com.br/oauth/access-token com Basic base64(client_id:client_secret); chamadas usam headers client_id e access_token. Sandbox usa dados fixos/fictícios; produção exige credencial e permissão do pacote. A API v1 de fundos estruturados aparece na documentação histórica, mas o endpoint testado retornou 404 em 10/07/2026; usar v2.</x:v>
      </x:c>
    </x:row>
    <x:row r="21">
      <x:c r="A21" s="99" t="str">
        <x:v>Autenticação: POST https://api.anbima.com.br/oauth/access-token com Basic base64(client_id:client_secret); chamadas usam headers client_id e access_token. Sandbox usa dados fixos/fictícios; produção exige credencial e permissão do pacote. A API v1 de fundos estruturados aparece na documentação histórica, mas o endpoint testado retornou 404 em 10/07/2026; usar v2.</x:v>
      </x:c>
      <x:c r="B21" s="99" t="str">
        <x:v>Autenticação: POST https://api.anbima.com.br/oauth/access-token com Basic base64(client_id:client_secret); chamadas usam headers client_id e access_token. Sandbox usa dados fixos/fictícios; produção exige credencial e permissão do pacote. A API v1 de fundos estruturados aparece na documentação histórica, mas o endpoint testado retornou 404 em 10/07/2026; usar v2.</x:v>
      </x:c>
      <x:c r="C21" s="99" t="str">
        <x:v>Autenticação: POST https://api.anbima.com.br/oauth/access-token com Basic base64(client_id:client_secret); chamadas usam headers client_id e access_token. Sandbox usa dados fixos/fictícios; produção exige credencial e permissão do pacote. A API v1 de fundos estruturados aparece na documentação histórica, mas o endpoint testado retornou 404 em 10/07/2026; usar v2.</x:v>
      </x:c>
      <x:c r="D21" s="99" t="str">
        <x:v>Autenticação: POST https://api.anbima.com.br/oauth/access-token com Basic base64(client_id:client_secret); chamadas usam headers client_id e access_token. Sandbox usa dados fixos/fictícios; produção exige credencial e permissão do pacote. A API v1 de fundos estruturados aparece na documentação histórica, mas o endpoint testado retornou 404 em 10/07/2026; usar v2.</x:v>
      </x:c>
      <x:c r="E21" s="99" t="str">
        <x:v>Autenticação: POST https://api.anbima.com.br/oauth/access-token com Basic base64(client_id:client_secret); chamadas usam headers client_id e access_token. Sandbox usa dados fixos/fictícios; produção exige credencial e permissão do pacote. A API v1 de fundos estruturados aparece na documentação histórica, mas o endpoint testado retornou 404 em 10/07/2026; usar v2.</x:v>
      </x:c>
      <x:c r="F21" s="99" t="str">
        <x:v>Autenticação: POST https://api.anbima.com.br/oauth/access-token com Basic base64(client_id:client_secret); chamadas usam headers client_id e access_token. Sandbox usa dados fixos/fictícios; produção exige credencial e permissão do pacote. A API v1 de fundos estruturados aparece na documentação histórica, mas o endpoint testado retornou 404 em 10/07/2026; usar v2.</x:v>
      </x:c>
      <x:c r="G21" s="99" t="str">
        <x:v>Autenticação: POST https://api.anbima.com.br/oauth/access-token com Basic base64(client_id:client_secret); chamadas usam headers client_id e access_token. Sandbox usa dados fixos/fictícios; produção exige credencial e permissão do pacote. A API v1 de fundos estruturados aparece na documentação histórica, mas o endpoint testado retornou 404 em 10/07/2026; usar v2.</x:v>
      </x:c>
      <x:c r="H21" s="99" t="str">
        <x:v>Autenticação: POST https://api.anbima.com.br/oauth/access-token com Basic base64(client_id:client_secret); chamadas usam headers client_id e access_token. Sandbox usa dados fixos/fictícios; produção exige credencial e permissão do pacote. A API v1 de fundos estruturados aparece na documentação histórica, mas o endpoint testado retornou 404 em 10/07/2026; usar v2.</x:v>
      </x:c>
    </x:row>
  </x:sheetData>
  <x:mergeCells>
    <x:mergeCell ref="A1:H1"/>
    <x:mergeCell ref="A12:H12"/>
    <x:mergeCell ref="A18:H21"/>
  </x:mergeCells>
  <x:pageMargins left="0.7" right="0.7" top="0.75" bottom="0.75" header="0.3" footer="0.3"/>
  <x:legacyDrawing xmlns:r="http://schemas.openxmlformats.org/officeDocument/2006/relationships" r:id="Rf167ca2322204082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45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8" customHeight="1">
      <x:c r="A1" s="4" t="str">
        <x:v>Catálogo do modelo semântico público</x:v>
      </x:c>
      <x:c r="B1" s="4" t="str">
        <x:v>Catálogo do modelo semântico público</x:v>
      </x:c>
      <x:c r="C1" s="4" t="str">
        <x:v>Catálogo do modelo semântico público</x:v>
      </x:c>
      <x:c r="D1" s="4" t="str">
        <x:v>Catálogo do modelo semântico público</x:v>
      </x:c>
      <x:c r="E1" s="4" t="str">
        <x:v>Catálogo do modelo semântico público</x:v>
      </x:c>
      <x:c r="G1" s="99" t="str">
        <x:v>Entidades principais: Dados_FIDC (33 campos), Dados_FIDC_Segmento_Investidor (9), Valor_Encerrado/Valor_Encerrado_Subscritores, medidas e calendário. DataType do schema: 1 texto; 3 numérico; 4 data/hora. Endpoint: https://wabi-brazil-south-d-primary-api.analysis.windows.net/public/reports/conceptualschema</x:v>
      </x:c>
      <x:c r="H1" s="99" t="str">
        <x:v>Entidades principais: Dados_FIDC (33 campos), Dados_FIDC_Segmento_Investidor (9), Valor_Encerrado/Valor_Encerrado_Subscritores, medidas e calendário. DataType do schema: 1 texto; 3 numérico; 4 data/hora. Endpoint: https://wabi-brazil-south-d-primary-api.analysis.windows.net/public/reports/conceptualschema</x:v>
      </x:c>
      <x:c r="I1" s="99" t="str">
        <x:v>Entidades principais: Dados_FIDC (33 campos), Dados_FIDC_Segmento_Investidor (9), Valor_Encerrado/Valor_Encerrado_Subscritores, medidas e calendário. DataType do schema: 1 texto; 3 numérico; 4 data/hora. Endpoint: https://wabi-brazil-south-d-primary-api.analysis.windows.net/public/reports/conceptualschema</x:v>
      </x:c>
      <x:c r="J1" s="99" t="str">
        <x:v>Entidades principais: Dados_FIDC (33 campos), Dados_FIDC_Segmento_Investidor (9), Valor_Encerrado/Valor_Encerrado_Subscritores, medidas e calendário. DataType do schema: 1 texto; 3 numérico; 4 data/hora. Endpoint: https://wabi-brazil-south-d-primary-api.analysis.windows.net/public/reports/conceptualschema</x:v>
      </x:c>
      <x:c r="K1" s="99" t="str">
        <x:v>Entidades principais: Dados_FIDC (33 campos), Dados_FIDC_Segmento_Investidor (9), Valor_Encerrado/Valor_Encerrado_Subscritores, medidas e calendário. DataType do schema: 1 texto; 3 numérico; 4 data/hora. Endpoint: https://wabi-brazil-south-d-primary-api.analysis.windows.net/public/reports/conceptualschema</x:v>
      </x:c>
    </x:row>
    <x:row r="2" ht="26" customHeight="1">
      <x:c r="A2" s="110" t="str">
        <x:v>Entidade</x:v>
      </x:c>
      <x:c r="B2" s="111" t="str">
        <x:v>Campo</x:v>
      </x:c>
      <x:c r="C2" s="111" t="str">
        <x:v>Tipo lógico</x:v>
      </x:c>
      <x:c r="D2" s="111" t="str">
        <x:v>DataType</x:v>
      </x:c>
      <x:c r="E2" s="112" t="str">
        <x:v>Origem</x:v>
      </x:c>
      <x:c r="G2" s="99" t="str">
        <x:v>Entidades principais: Dados_FIDC (33 campos), Dados_FIDC_Segmento_Investidor (9), Valor_Encerrado/Valor_Encerrado_Subscritores, medidas e calendário. DataType do schema: 1 texto; 3 numérico; 4 data/hora. Endpoint: https://wabi-brazil-south-d-primary-api.analysis.windows.net/public/reports/conceptualschema</x:v>
      </x:c>
      <x:c r="H2" s="99" t="str">
        <x:v>Entidades principais: Dados_FIDC (33 campos), Dados_FIDC_Segmento_Investidor (9), Valor_Encerrado/Valor_Encerrado_Subscritores, medidas e calendário. DataType do schema: 1 texto; 3 numérico; 4 data/hora. Endpoint: https://wabi-brazil-south-d-primary-api.analysis.windows.net/public/reports/conceptualschema</x:v>
      </x:c>
      <x:c r="I2" s="99" t="str">
        <x:v>Entidades principais: Dados_FIDC (33 campos), Dados_FIDC_Segmento_Investidor (9), Valor_Encerrado/Valor_Encerrado_Subscritores, medidas e calendário. DataType do schema: 1 texto; 3 numérico; 4 data/hora. Endpoint: https://wabi-brazil-south-d-primary-api.analysis.windows.net/public/reports/conceptualschema</x:v>
      </x:c>
      <x:c r="J2" s="99" t="str">
        <x:v>Entidades principais: Dados_FIDC (33 campos), Dados_FIDC_Segmento_Investidor (9), Valor_Encerrado/Valor_Encerrado_Subscritores, medidas e calendário. DataType do schema: 1 texto; 3 numérico; 4 data/hora. Endpoint: https://wabi-brazil-south-d-primary-api.analysis.windows.net/public/reports/conceptualschema</x:v>
      </x:c>
      <x:c r="K2" s="99" t="str">
        <x:v>Entidades principais: Dados_FIDC (33 campos), Dados_FIDC_Segmento_Investidor (9), Valor_Encerrado/Valor_Encerrado_Subscritores, medidas e calendário. DataType do schema: 1 texto; 3 numérico; 4 data/hora. Endpoint: https://wabi-brazil-south-d-primary-api.analysis.windows.net/public/reports/conceptualschema</x:v>
      </x:c>
    </x:row>
    <x:row r="3">
      <x:c r="A3" s="116" t="str">
        <x:v>Dim_Data</x:v>
      </x:c>
      <x:c r="B3" s="116" t="str">
        <x:v>Data</x:v>
      </x:c>
      <x:c r="C3" s="116" t="str">
        <x:v>column</x:v>
      </x:c>
      <x:c r="D3" s="116" t="str"/>
      <x:c r="E3" s="116" t="str">
        <x:v>Power BI conceptualschema</x:v>
      </x:c>
      <x:c r="G3" s="99" t="str">
        <x:v>Entidades principais: Dados_FIDC (33 campos), Dados_FIDC_Segmento_Investidor (9), Valor_Encerrado/Valor_Encerrado_Subscritores, medidas e calendário. DataType do schema: 1 texto; 3 numérico; 4 data/hora. Endpoint: https://wabi-brazil-south-d-primary-api.analysis.windows.net/public/reports/conceptualschema</x:v>
      </x:c>
      <x:c r="H3" s="99" t="str">
        <x:v>Entidades principais: Dados_FIDC (33 campos), Dados_FIDC_Segmento_Investidor (9), Valor_Encerrado/Valor_Encerrado_Subscritores, medidas e calendário. DataType do schema: 1 texto; 3 numérico; 4 data/hora. Endpoint: https://wabi-brazil-south-d-primary-api.analysis.windows.net/public/reports/conceptualschema</x:v>
      </x:c>
      <x:c r="I3" s="99" t="str">
        <x:v>Entidades principais: Dados_FIDC (33 campos), Dados_FIDC_Segmento_Investidor (9), Valor_Encerrado/Valor_Encerrado_Subscritores, medidas e calendário. DataType do schema: 1 texto; 3 numérico; 4 data/hora. Endpoint: https://wabi-brazil-south-d-primary-api.analysis.windows.net/public/reports/conceptualschema</x:v>
      </x:c>
      <x:c r="J3" s="99" t="str">
        <x:v>Entidades principais: Dados_FIDC (33 campos), Dados_FIDC_Segmento_Investidor (9), Valor_Encerrado/Valor_Encerrado_Subscritores, medidas e calendário. DataType do schema: 1 texto; 3 numérico; 4 data/hora. Endpoint: https://wabi-brazil-south-d-primary-api.analysis.windows.net/public/reports/conceptualschema</x:v>
      </x:c>
      <x:c r="K3" s="99" t="str">
        <x:v>Entidades principais: Dados_FIDC (33 campos), Dados_FIDC_Segmento_Investidor (9), Valor_Encerrado/Valor_Encerrado_Subscritores, medidas e calendário. DataType do schema: 1 texto; 3 numérico; 4 data/hora. Endpoint: https://wabi-brazil-south-d-primary-api.analysis.windows.net/public/reports/conceptualschema</x:v>
      </x:c>
    </x:row>
    <x:row r="4">
      <x:c r="A4" s="117" t="str">
        <x:v>Dim_Data</x:v>
      </x:c>
      <x:c r="B4" s="117" t="str">
        <x:v>Num_Ano</x:v>
      </x:c>
      <x:c r="C4" s="117" t="str">
        <x:v>column</x:v>
      </x:c>
      <x:c r="D4" s="117" t="str"/>
      <x:c r="E4" s="117" t="str">
        <x:v>Power BI conceptualschema</x:v>
      </x:c>
      <x:c r="G4" s="99" t="str">
        <x:v>Entidades principais: Dados_FIDC (33 campos), Dados_FIDC_Segmento_Investidor (9), Valor_Encerrado/Valor_Encerrado_Subscritores, medidas e calendário. DataType do schema: 1 texto; 3 numérico; 4 data/hora. Endpoint: https://wabi-brazil-south-d-primary-api.analysis.windows.net/public/reports/conceptualschema</x:v>
      </x:c>
      <x:c r="H4" s="99" t="str">
        <x:v>Entidades principais: Dados_FIDC (33 campos), Dados_FIDC_Segmento_Investidor (9), Valor_Encerrado/Valor_Encerrado_Subscritores, medidas e calendário. DataType do schema: 1 texto; 3 numérico; 4 data/hora. Endpoint: https://wabi-brazil-south-d-primary-api.analysis.windows.net/public/reports/conceptualschema</x:v>
      </x:c>
      <x:c r="I4" s="99" t="str">
        <x:v>Entidades principais: Dados_FIDC (33 campos), Dados_FIDC_Segmento_Investidor (9), Valor_Encerrado/Valor_Encerrado_Subscritores, medidas e calendário. DataType do schema: 1 texto; 3 numérico; 4 data/hora. Endpoint: https://wabi-brazil-south-d-primary-api.analysis.windows.net/public/reports/conceptualschema</x:v>
      </x:c>
      <x:c r="J4" s="99" t="str">
        <x:v>Entidades principais: Dados_FIDC (33 campos), Dados_FIDC_Segmento_Investidor (9), Valor_Encerrado/Valor_Encerrado_Subscritores, medidas e calendário. DataType do schema: 1 texto; 3 numérico; 4 data/hora. Endpoint: https://wabi-brazil-south-d-primary-api.analysis.windows.net/public/reports/conceptualschema</x:v>
      </x:c>
      <x:c r="K4" s="99" t="str">
        <x:v>Entidades principais: Dados_FIDC (33 campos), Dados_FIDC_Segmento_Investidor (9), Valor_Encerrado/Valor_Encerrado_Subscritores, medidas e calendário. DataType do schema: 1 texto; 3 numérico; 4 data/hora. Endpoint: https://wabi-brazil-south-d-primary-api.analysis.windows.net/public/reports/conceptualschema</x:v>
      </x:c>
    </x:row>
    <x:row r="5">
      <x:c r="A5" s="117" t="str">
        <x:v>Dim_Data</x:v>
      </x:c>
      <x:c r="B5" s="117" t="str">
        <x:v>Data_InicioDoAno</x:v>
      </x:c>
      <x:c r="C5" s="117" t="str">
        <x:v>column</x:v>
      </x:c>
      <x:c r="D5" s="117" t="str"/>
      <x:c r="E5" s="117" t="str">
        <x:v>Power BI conceptualschema</x:v>
      </x:c>
      <x:c r="G5" s="99" t="str">
        <x:v>Entidades principais: Dados_FIDC (33 campos), Dados_FIDC_Segmento_Investidor (9), Valor_Encerrado/Valor_Encerrado_Subscritores, medidas e calendário. DataType do schema: 1 texto; 3 numérico; 4 data/hora. Endpoint: https://wabi-brazil-south-d-primary-api.analysis.windows.net/public/reports/conceptualschema</x:v>
      </x:c>
      <x:c r="H5" s="99" t="str">
        <x:v>Entidades principais: Dados_FIDC (33 campos), Dados_FIDC_Segmento_Investidor (9), Valor_Encerrado/Valor_Encerrado_Subscritores, medidas e calendário. DataType do schema: 1 texto; 3 numérico; 4 data/hora. Endpoint: https://wabi-brazil-south-d-primary-api.analysis.windows.net/public/reports/conceptualschema</x:v>
      </x:c>
      <x:c r="I5" s="99" t="str">
        <x:v>Entidades principais: Dados_FIDC (33 campos), Dados_FIDC_Segmento_Investidor (9), Valor_Encerrado/Valor_Encerrado_Subscritores, medidas e calendário. DataType do schema: 1 texto; 3 numérico; 4 data/hora. Endpoint: https://wabi-brazil-south-d-primary-api.analysis.windows.net/public/reports/conceptualschema</x:v>
      </x:c>
      <x:c r="J5" s="99" t="str">
        <x:v>Entidades principais: Dados_FIDC (33 campos), Dados_FIDC_Segmento_Investidor (9), Valor_Encerrado/Valor_Encerrado_Subscritores, medidas e calendário. DataType do schema: 1 texto; 3 numérico; 4 data/hora. Endpoint: https://wabi-brazil-south-d-primary-api.analysis.windows.net/public/reports/conceptualschema</x:v>
      </x:c>
      <x:c r="K5" s="99" t="str">
        <x:v>Entidades principais: Dados_FIDC (33 campos), Dados_FIDC_Segmento_Investidor (9), Valor_Encerrado/Valor_Encerrado_Subscritores, medidas e calendário. DataType do schema: 1 texto; 3 numérico; 4 data/hora. Endpoint: https://wabi-brazil-south-d-primary-api.analysis.windows.net/public/reports/conceptualschema</x:v>
      </x:c>
    </x:row>
    <x:row r="6">
      <x:c r="A6" s="117" t="str">
        <x:v>Dim_Data</x:v>
      </x:c>
      <x:c r="B6" s="117" t="str">
        <x:v>Data_FimDoAno</x:v>
      </x:c>
      <x:c r="C6" s="117" t="str">
        <x:v>column</x:v>
      </x:c>
      <x:c r="D6" s="117" t="str"/>
      <x:c r="E6" s="117" t="str">
        <x:v>Power BI conceptualschema</x:v>
      </x:c>
    </x:row>
    <x:row r="7">
      <x:c r="A7" s="117" t="str">
        <x:v>Dim_Data</x:v>
      </x:c>
      <x:c r="B7" s="117" t="str">
        <x:v>Num_Mes</x:v>
      </x:c>
      <x:c r="C7" s="117" t="str">
        <x:v>column</x:v>
      </x:c>
      <x:c r="D7" s="117" t="str"/>
      <x:c r="E7" s="117" t="str">
        <x:v>Power BI conceptualschema</x:v>
      </x:c>
    </x:row>
    <x:row r="8">
      <x:c r="A8" s="117" t="str">
        <x:v>Dim_Data</x:v>
      </x:c>
      <x:c r="B8" s="117" t="str">
        <x:v>Data_InicioDoMes</x:v>
      </x:c>
      <x:c r="C8" s="117" t="str">
        <x:v>column</x:v>
      </x:c>
      <x:c r="D8" s="117" t="str"/>
      <x:c r="E8" s="117" t="str">
        <x:v>Power BI conceptualschema</x:v>
      </x:c>
    </x:row>
    <x:row r="9">
      <x:c r="A9" s="117" t="str">
        <x:v>Dim_Data</x:v>
      </x:c>
      <x:c r="B9" s="117" t="str">
        <x:v>Data_FimDoMes</x:v>
      </x:c>
      <x:c r="C9" s="117" t="str">
        <x:v>column</x:v>
      </x:c>
      <x:c r="D9" s="117" t="str"/>
      <x:c r="E9" s="117" t="str">
        <x:v>Power BI conceptualschema</x:v>
      </x:c>
    </x:row>
    <x:row r="10">
      <x:c r="A10" s="117" t="str">
        <x:v>Dim_Data</x:v>
      </x:c>
      <x:c r="B10" s="117" t="str">
        <x:v>Num_QtdeDiaNoMes</x:v>
      </x:c>
      <x:c r="C10" s="117" t="str">
        <x:v>column</x:v>
      </x:c>
      <x:c r="D10" s="117" t="str"/>
      <x:c r="E10" s="117" t="str">
        <x:v>Power BI conceptualschema</x:v>
      </x:c>
    </x:row>
    <x:row r="11">
      <x:c r="A11" s="117" t="str">
        <x:v>Dim_Data</x:v>
      </x:c>
      <x:c r="B11" s="117" t="str">
        <x:v>Num_DiaDoMes</x:v>
      </x:c>
      <x:c r="C11" s="117" t="str">
        <x:v>column</x:v>
      </x:c>
      <x:c r="D11" s="117" t="str"/>
      <x:c r="E11" s="117" t="str">
        <x:v>Power BI conceptualschema</x:v>
      </x:c>
    </x:row>
    <x:row r="12">
      <x:c r="A12" s="117" t="str">
        <x:v>Dim_Data</x:v>
      </x:c>
      <x:c r="B12" s="117" t="str">
        <x:v>Desc_DiaDaSemana</x:v>
      </x:c>
      <x:c r="C12" s="117" t="str">
        <x:v>column</x:v>
      </x:c>
      <x:c r="D12" s="117" t="str"/>
      <x:c r="E12" s="117" t="str">
        <x:v>Power BI conceptualschema</x:v>
      </x:c>
    </x:row>
    <x:row r="13">
      <x:c r="A13" s="117" t="str">
        <x:v>Dim_Data</x:v>
      </x:c>
      <x:c r="B13" s="117" t="str">
        <x:v>Num_DiaDaSemana</x:v>
      </x:c>
      <x:c r="C13" s="117" t="str">
        <x:v>column</x:v>
      </x:c>
      <x:c r="D13" s="117" t="str"/>
      <x:c r="E13" s="117" t="str">
        <x:v>Power BI conceptualschema</x:v>
      </x:c>
    </x:row>
    <x:row r="14">
      <x:c r="A14" s="117" t="str">
        <x:v>Dim_Data</x:v>
      </x:c>
      <x:c r="B14" s="117" t="str">
        <x:v>Num_DiaDoAno</x:v>
      </x:c>
      <x:c r="C14" s="117" t="str">
        <x:v>column</x:v>
      </x:c>
      <x:c r="D14" s="117" t="str"/>
      <x:c r="E14" s="117" t="str">
        <x:v>Power BI conceptualschema</x:v>
      </x:c>
    </x:row>
    <x:row r="15">
      <x:c r="A15" s="117" t="str">
        <x:v>Dim_Data</x:v>
      </x:c>
      <x:c r="B15" s="117" t="str">
        <x:v>Desc_Mes</x:v>
      </x:c>
      <x:c r="C15" s="117" t="str">
        <x:v>column</x:v>
      </x:c>
      <x:c r="D15" s="117" t="str"/>
      <x:c r="E15" s="117" t="str">
        <x:v>Power BI conceptualschema</x:v>
      </x:c>
    </x:row>
    <x:row r="16">
      <x:c r="A16" s="117" t="str">
        <x:v>Dim_Data</x:v>
      </x:c>
      <x:c r="B16" s="117" t="str">
        <x:v>Num_Trimestre</x:v>
      </x:c>
      <x:c r="C16" s="117" t="str">
        <x:v>column</x:v>
      </x:c>
      <x:c r="D16" s="117" t="str"/>
      <x:c r="E16" s="117" t="str">
        <x:v>Power BI conceptualschema</x:v>
      </x:c>
    </x:row>
    <x:row r="17">
      <x:c r="A17" s="117" t="str">
        <x:v>Dim_Data</x:v>
      </x:c>
      <x:c r="B17" s="117" t="str">
        <x:v>Data_InicioDoTrimestre</x:v>
      </x:c>
      <x:c r="C17" s="117" t="str">
        <x:v>column</x:v>
      </x:c>
      <x:c r="D17" s="117" t="str"/>
      <x:c r="E17" s="117" t="str">
        <x:v>Power BI conceptualschema</x:v>
      </x:c>
    </x:row>
    <x:row r="18">
      <x:c r="A18" s="117" t="str">
        <x:v>Dim_Data</x:v>
      </x:c>
      <x:c r="B18" s="117" t="str">
        <x:v>Data_FimDoTrimestre</x:v>
      </x:c>
      <x:c r="C18" s="117" t="str">
        <x:v>column</x:v>
      </x:c>
      <x:c r="D18" s="117" t="str"/>
      <x:c r="E18" s="117" t="str">
        <x:v>Power BI conceptualschema</x:v>
      </x:c>
    </x:row>
    <x:row r="19">
      <x:c r="A19" s="117" t="str">
        <x:v>Dim_Data</x:v>
      </x:c>
      <x:c r="B19" s="117" t="str">
        <x:v>Num_SemanaNoAno</x:v>
      </x:c>
      <x:c r="C19" s="117" t="str">
        <x:v>column</x:v>
      </x:c>
      <x:c r="D19" s="117" t="str"/>
      <x:c r="E19" s="117" t="str">
        <x:v>Power BI conceptualschema</x:v>
      </x:c>
    </x:row>
    <x:row r="20">
      <x:c r="A20" s="117" t="str">
        <x:v>Dim_Data</x:v>
      </x:c>
      <x:c r="B20" s="117" t="str">
        <x:v>Num_SemanaNoMes</x:v>
      </x:c>
      <x:c r="C20" s="117" t="str">
        <x:v>column</x:v>
      </x:c>
      <x:c r="D20" s="117" t="str"/>
      <x:c r="E20" s="117" t="str">
        <x:v>Power BI conceptualschema</x:v>
      </x:c>
    </x:row>
    <x:row r="21">
      <x:c r="A21" s="117" t="str">
        <x:v>Dim_Data</x:v>
      </x:c>
      <x:c r="B21" s="117" t="str">
        <x:v>Data_InicioDaSemana</x:v>
      </x:c>
      <x:c r="C21" s="117" t="str">
        <x:v>column</x:v>
      </x:c>
      <x:c r="D21" s="117" t="str"/>
      <x:c r="E21" s="117" t="str">
        <x:v>Power BI conceptualschema</x:v>
      </x:c>
    </x:row>
    <x:row r="22">
      <x:c r="A22" s="117" t="str">
        <x:v>Dim_Data</x:v>
      </x:c>
      <x:c r="B22" s="117" t="str">
        <x:v>Data_FimDaSemana</x:v>
      </x:c>
      <x:c r="C22" s="117" t="str">
        <x:v>column</x:v>
      </x:c>
      <x:c r="D22" s="117" t="str"/>
      <x:c r="E22" s="117" t="str">
        <x:v>Power BI conceptualschema</x:v>
      </x:c>
    </x:row>
    <x:row r="23">
      <x:c r="A23" s="117" t="str">
        <x:v>Dim_Data</x:v>
      </x:c>
      <x:c r="B23" s="117" t="str">
        <x:v>Idade_Dias</x:v>
      </x:c>
      <x:c r="C23" s="117" t="str">
        <x:v>column</x:v>
      </x:c>
      <x:c r="D23" s="117" t="str"/>
      <x:c r="E23" s="117" t="str">
        <x:v>Power BI conceptualschema</x:v>
      </x:c>
    </x:row>
    <x:row r="24">
      <x:c r="A24" s="117" t="str">
        <x:v>Dim_Data</x:v>
      </x:c>
      <x:c r="B24" s="117" t="str">
        <x:v>Idade_Ano</x:v>
      </x:c>
      <x:c r="C24" s="117" t="str">
        <x:v>column</x:v>
      </x:c>
      <x:c r="D24" s="117" t="str"/>
      <x:c r="E24" s="117" t="str">
        <x:v>Power BI conceptualschema</x:v>
      </x:c>
    </x:row>
    <x:row r="25">
      <x:c r="A25" s="117" t="str">
        <x:v>Dim_Data</x:v>
      </x:c>
      <x:c r="B25" s="117" t="str">
        <x:v>Idade_Trimestre</x:v>
      </x:c>
      <x:c r="C25" s="117" t="str">
        <x:v>column</x:v>
      </x:c>
      <x:c r="D25" s="117" t="str"/>
      <x:c r="E25" s="117" t="str">
        <x:v>Power BI conceptualschema</x:v>
      </x:c>
    </x:row>
    <x:row r="26">
      <x:c r="A26" s="117" t="str">
        <x:v>Dim_Data</x:v>
      </x:c>
      <x:c r="B26" s="117" t="str">
        <x:v>Idade_Mes</x:v>
      </x:c>
      <x:c r="C26" s="117" t="str">
        <x:v>column</x:v>
      </x:c>
      <x:c r="D26" s="117" t="str"/>
      <x:c r="E26" s="117" t="str">
        <x:v>Power BI conceptualschema</x:v>
      </x:c>
    </x:row>
    <x:row r="27">
      <x:c r="A27" s="117" t="str">
        <x:v>Dim_Data</x:v>
      </x:c>
      <x:c r="B27" s="117" t="str">
        <x:v>Desc_AnoMes</x:v>
      </x:c>
      <x:c r="C27" s="117" t="str">
        <x:v>column</x:v>
      </x:c>
      <x:c r="D27" s="117" t="str"/>
      <x:c r="E27" s="117" t="str">
        <x:v>Power BI conceptualschema</x:v>
      </x:c>
    </x:row>
    <x:row r="28">
      <x:c r="A28" s="117" t="str">
        <x:v>Dim_Data</x:v>
      </x:c>
      <x:c r="B28" s="117" t="str">
        <x:v>Desc_AnoMes_v2</x:v>
      </x:c>
      <x:c r="C28" s="117" t="str">
        <x:v>column</x:v>
      </x:c>
      <x:c r="D28" s="117" t="str"/>
      <x:c r="E28" s="117" t="str">
        <x:v>Power BI conceptualschema</x:v>
      </x:c>
    </x:row>
    <x:row r="29">
      <x:c r="A29" s="117" t="str">
        <x:v>Dim_Data</x:v>
      </x:c>
      <x:c r="B29" s="117" t="str">
        <x:v>Desc_AnoMes_v3</x:v>
      </x:c>
      <x:c r="C29" s="117" t="str">
        <x:v>column</x:v>
      </x:c>
      <x:c r="D29" s="117" t="str"/>
      <x:c r="E29" s="117" t="str">
        <x:v>Power BI conceptualschema</x:v>
      </x:c>
    </x:row>
    <x:row r="30">
      <x:c r="A30" s="117" t="str">
        <x:v>Dim_Data</x:v>
      </x:c>
      <x:c r="B30" s="117" t="str">
        <x:v>Ordem_AnoMes</x:v>
      </x:c>
      <x:c r="C30" s="117" t="str">
        <x:v>column</x:v>
      </x:c>
      <x:c r="D30" s="117" t="str"/>
      <x:c r="E30" s="117" t="str">
        <x:v>Power BI conceptualschema</x:v>
      </x:c>
    </x:row>
    <x:row r="31">
      <x:c r="A31" s="117" t="str">
        <x:v>Dim_Data</x:v>
      </x:c>
      <x:c r="B31" s="117" t="str">
        <x:v>Ordem_AnoTrimestre</x:v>
      </x:c>
      <x:c r="C31" s="117" t="str">
        <x:v>column</x:v>
      </x:c>
      <x:c r="D31" s="117" t="str"/>
      <x:c r="E31" s="117" t="str">
        <x:v>Power BI conceptualschema</x:v>
      </x:c>
    </x:row>
    <x:row r="32">
      <x:c r="A32" s="117" t="str">
        <x:v>Dim_Data</x:v>
      </x:c>
      <x:c r="B32" s="117" t="str">
        <x:v>Mes</x:v>
      </x:c>
      <x:c r="C32" s="117" t="str">
        <x:v>column</x:v>
      </x:c>
      <x:c r="D32" s="117" t="str"/>
      <x:c r="E32" s="117" t="str">
        <x:v>Power BI conceptualschema</x:v>
      </x:c>
    </x:row>
    <x:row r="33">
      <x:c r="A33" s="117" t="str">
        <x:v>Dim_Data</x:v>
      </x:c>
      <x:c r="B33" s="117" t="str">
        <x:v>Num_Semestre</x:v>
      </x:c>
      <x:c r="C33" s="117" t="str">
        <x:v>column</x:v>
      </x:c>
      <x:c r="D33" s="117" t="str"/>
      <x:c r="E33" s="117" t="str">
        <x:v>Power BI conceptualschema</x:v>
      </x:c>
    </x:row>
    <x:row r="34">
      <x:c r="A34" s="117" t="str">
        <x:v>Dim_Data</x:v>
      </x:c>
      <x:c r="B34" s="117" t="str">
        <x:v>Desc_SemestreAno</x:v>
      </x:c>
      <x:c r="C34" s="117" t="str">
        <x:v>column</x:v>
      </x:c>
      <x:c r="D34" s="117" t="str"/>
      <x:c r="E34" s="117" t="str">
        <x:v>Power BI conceptualschema</x:v>
      </x:c>
    </x:row>
    <x:row r="35">
      <x:c r="A35" s="117" t="str">
        <x:v>Dim_Data</x:v>
      </x:c>
      <x:c r="B35" s="117" t="str">
        <x:v>Semestre</x:v>
      </x:c>
      <x:c r="C35" s="117" t="str">
        <x:v>column</x:v>
      </x:c>
      <x:c r="D35" s="117" t="str"/>
      <x:c r="E35" s="117" t="str">
        <x:v>Power BI conceptualschema</x:v>
      </x:c>
    </x:row>
    <x:row r="36">
      <x:c r="A36" s="117" t="str">
        <x:v>Dim_Data</x:v>
      </x:c>
      <x:c r="B36" s="117" t="str">
        <x:v>Desc_TrimestreAno</x:v>
      </x:c>
      <x:c r="C36" s="117" t="str">
        <x:v>column</x:v>
      </x:c>
      <x:c r="D36" s="117" t="str"/>
      <x:c r="E36" s="117" t="str">
        <x:v>Power BI conceptualschema</x:v>
      </x:c>
    </x:row>
    <x:row r="37">
      <x:c r="A37" s="117" t="str">
        <x:v>Dim_Data</x:v>
      </x:c>
      <x:c r="B37" s="117" t="str">
        <x:v>Ordem_AnoSemestre</x:v>
      </x:c>
      <x:c r="C37" s="117" t="str">
        <x:v>column</x:v>
      </x:c>
      <x:c r="D37" s="117" t="str"/>
      <x:c r="E37" s="117" t="str">
        <x:v>Power BI conceptualschema</x:v>
      </x:c>
    </x:row>
    <x:row r="38">
      <x:c r="A38" s="117" t="str">
        <x:v>Dim_Data</x:v>
      </x:c>
      <x:c r="B38" s="117" t="str">
        <x:v>Flag_Ate_Mes_Atual</x:v>
      </x:c>
      <x:c r="C38" s="117" t="str">
        <x:v>column</x:v>
      </x:c>
      <x:c r="D38" s="117" t="str"/>
      <x:c r="E38" s="117" t="str">
        <x:v>Power BI conceptualschema</x:v>
      </x:c>
    </x:row>
    <x:row r="39">
      <x:c r="A39" s="117" t="str">
        <x:v>Dim_Data</x:v>
      </x:c>
      <x:c r="B39" s="117" t="str">
        <x:v>Flag_Current_YTD_Data_Max</x:v>
      </x:c>
      <x:c r="C39" s="117" t="str">
        <x:v>column</x:v>
      </x:c>
      <x:c r="D39" s="117" t="str"/>
      <x:c r="E39" s="117" t="str">
        <x:v>Power BI conceptualschema</x:v>
      </x:c>
    </x:row>
    <x:row r="40">
      <x:c r="A40" s="117" t="str">
        <x:v>Dim_Data</x:v>
      </x:c>
      <x:c r="B40" s="117" t="str">
        <x:v>Flag_Previous_YTD_Data_Max</x:v>
      </x:c>
      <x:c r="C40" s="117" t="str">
        <x:v>column</x:v>
      </x:c>
      <x:c r="D40" s="117" t="str"/>
      <x:c r="E40" s="117" t="str">
        <x:v>Power BI conceptualschema</x:v>
      </x:c>
    </x:row>
    <x:row r="41">
      <x:c r="A41" s="117" t="str">
        <x:v>Dim_Data</x:v>
      </x:c>
      <x:c r="B41" s="117" t="str">
        <x:v>Mes ID</x:v>
      </x:c>
      <x:c r="C41" s="117" t="str">
        <x:v>column</x:v>
      </x:c>
      <x:c r="D41" s="117" t="str"/>
      <x:c r="E41" s="117" t="str">
        <x:v>Power BI conceptualschema</x:v>
      </x:c>
    </x:row>
    <x:row r="42">
      <x:c r="A42" s="117" t="str">
        <x:v>Dim_Data</x:v>
      </x:c>
      <x:c r="B42" s="117" t="str">
        <x:v>id_tempo</x:v>
      </x:c>
      <x:c r="C42" s="117" t="str">
        <x:v>column</x:v>
      </x:c>
      <x:c r="D42" s="117" t="str"/>
      <x:c r="E42" s="117" t="str">
        <x:v>Power BI conceptualschema</x:v>
      </x:c>
    </x:row>
    <x:row r="43">
      <x:c r="A43" s="117" t="str">
        <x:v>Dim_Data</x:v>
      </x:c>
      <x:c r="B43" s="117" t="str">
        <x:v>Filt_dat</x:v>
      </x:c>
      <x:c r="C43" s="117" t="str">
        <x:v>column</x:v>
      </x:c>
      <x:c r="D43" s="117" t="str"/>
      <x:c r="E43" s="117" t="str">
        <x:v>Power BI conceptualschema</x:v>
      </x:c>
    </x:row>
    <x:row r="44">
      <x:c r="A44" s="117" t="str">
        <x:v>Dim_Data</x:v>
      </x:c>
      <x:c r="B44" s="117" t="str">
        <x:v>Trimestre</x:v>
      </x:c>
      <x:c r="C44" s="117" t="str">
        <x:v>column</x:v>
      </x:c>
      <x:c r="D44" s="117" t="str"/>
      <x:c r="E44" s="117" t="str">
        <x:v>Power BI conceptualschema</x:v>
      </x:c>
    </x:row>
    <x:row r="45">
      <x:c r="A45" s="117" t="str">
        <x:v>Dim_Data</x:v>
      </x:c>
      <x:c r="B45" s="117" t="str">
        <x:v>Filtro Ano Padrão</x:v>
      </x:c>
      <x:c r="C45" s="117" t="str">
        <x:v>column</x:v>
      </x:c>
      <x:c r="D45" s="117" t="str"/>
      <x:c r="E45" s="117" t="str">
        <x:v>Power BI conceptualschema</x:v>
      </x:c>
    </x:row>
    <x:row r="46">
      <x:c r="A46" s="117" t="str">
        <x:v>DateTableTemplate_a65f0c9e-9981-4f07-bc97-8641bfab7f7d</x:v>
      </x:c>
      <x:c r="B46" s="117" t="str">
        <x:v>Date</x:v>
      </x:c>
      <x:c r="C46" s="117" t="str">
        <x:v>column</x:v>
      </x:c>
      <x:c r="D46" s="117" t="str"/>
      <x:c r="E46" s="117" t="str">
        <x:v>Power BI conceptualschema</x:v>
      </x:c>
    </x:row>
    <x:row r="47">
      <x:c r="A47" s="117" t="str">
        <x:v>DateTableTemplate_a65f0c9e-9981-4f07-bc97-8641bfab7f7d</x:v>
      </x:c>
      <x:c r="B47" s="117" t="str">
        <x:v>Ano</x:v>
      </x:c>
      <x:c r="C47" s="117" t="str">
        <x:v>column</x:v>
      </x:c>
      <x:c r="D47" s="117" t="str"/>
      <x:c r="E47" s="117" t="str">
        <x:v>Power BI conceptualschema</x:v>
      </x:c>
    </x:row>
    <x:row r="48">
      <x:c r="A48" s="117" t="str">
        <x:v>DateTableTemplate_a65f0c9e-9981-4f07-bc97-8641bfab7f7d</x:v>
      </x:c>
      <x:c r="B48" s="117" t="str">
        <x:v>MonthNo</x:v>
      </x:c>
      <x:c r="C48" s="117" t="str">
        <x:v>column</x:v>
      </x:c>
      <x:c r="D48" s="117" t="str"/>
      <x:c r="E48" s="117" t="str">
        <x:v>Power BI conceptualschema</x:v>
      </x:c>
    </x:row>
    <x:row r="49">
      <x:c r="A49" s="117" t="str">
        <x:v>DateTableTemplate_a65f0c9e-9981-4f07-bc97-8641bfab7f7d</x:v>
      </x:c>
      <x:c r="B49" s="117" t="str">
        <x:v>Mês</x:v>
      </x:c>
      <x:c r="C49" s="117" t="str">
        <x:v>column</x:v>
      </x:c>
      <x:c r="D49" s="117" t="str"/>
      <x:c r="E49" s="117" t="str">
        <x:v>Power BI conceptualschema</x:v>
      </x:c>
    </x:row>
    <x:row r="50">
      <x:c r="A50" s="117" t="str">
        <x:v>DateTableTemplate_a65f0c9e-9981-4f07-bc97-8641bfab7f7d</x:v>
      </x:c>
      <x:c r="B50" s="117" t="str">
        <x:v>QuarterNo</x:v>
      </x:c>
      <x:c r="C50" s="117" t="str">
        <x:v>column</x:v>
      </x:c>
      <x:c r="D50" s="117" t="str"/>
      <x:c r="E50" s="117" t="str">
        <x:v>Power BI conceptualschema</x:v>
      </x:c>
    </x:row>
    <x:row r="51">
      <x:c r="A51" s="117" t="str">
        <x:v>DateTableTemplate_a65f0c9e-9981-4f07-bc97-8641bfab7f7d</x:v>
      </x:c>
      <x:c r="B51" s="117" t="str">
        <x:v>Trimestre</x:v>
      </x:c>
      <x:c r="C51" s="117" t="str">
        <x:v>column</x:v>
      </x:c>
      <x:c r="D51" s="117" t="str"/>
      <x:c r="E51" s="117" t="str">
        <x:v>Power BI conceptualschema</x:v>
      </x:c>
    </x:row>
    <x:row r="52">
      <x:c r="A52" s="117" t="str">
        <x:v>DateTableTemplate_a65f0c9e-9981-4f07-bc97-8641bfab7f7d</x:v>
      </x:c>
      <x:c r="B52" s="117" t="str">
        <x:v>Dia</x:v>
      </x:c>
      <x:c r="C52" s="117" t="str">
        <x:v>column</x:v>
      </x:c>
      <x:c r="D52" s="117" t="str"/>
      <x:c r="E52" s="117" t="str">
        <x:v>Power BI conceptualschema</x:v>
      </x:c>
    </x:row>
    <x:row r="53">
      <x:c r="A53" s="117" t="str">
        <x:v>LocalDateTable_74685db5-69aa-49a6-af70-b571da6efe44</x:v>
      </x:c>
      <x:c r="B53" s="117" t="str">
        <x:v>Date</x:v>
      </x:c>
      <x:c r="C53" s="117" t="str">
        <x:v>column</x:v>
      </x:c>
      <x:c r="D53" s="117" t="str"/>
      <x:c r="E53" s="117" t="str">
        <x:v>Power BI conceptualschema</x:v>
      </x:c>
    </x:row>
    <x:row r="54">
      <x:c r="A54" s="117" t="str">
        <x:v>LocalDateTable_74685db5-69aa-49a6-af70-b571da6efe44</x:v>
      </x:c>
      <x:c r="B54" s="117" t="str">
        <x:v>Ano</x:v>
      </x:c>
      <x:c r="C54" s="117" t="str">
        <x:v>column</x:v>
      </x:c>
      <x:c r="D54" s="117" t="str"/>
      <x:c r="E54" s="117" t="str">
        <x:v>Power BI conceptualschema</x:v>
      </x:c>
    </x:row>
    <x:row r="55">
      <x:c r="A55" s="117" t="str">
        <x:v>LocalDateTable_74685db5-69aa-49a6-af70-b571da6efe44</x:v>
      </x:c>
      <x:c r="B55" s="117" t="str">
        <x:v>MonthNo</x:v>
      </x:c>
      <x:c r="C55" s="117" t="str">
        <x:v>column</x:v>
      </x:c>
      <x:c r="D55" s="117" t="str"/>
      <x:c r="E55" s="117" t="str">
        <x:v>Power BI conceptualschema</x:v>
      </x:c>
    </x:row>
    <x:row r="56">
      <x:c r="A56" s="117" t="str">
        <x:v>LocalDateTable_74685db5-69aa-49a6-af70-b571da6efe44</x:v>
      </x:c>
      <x:c r="B56" s="117" t="str">
        <x:v>Mês</x:v>
      </x:c>
      <x:c r="C56" s="117" t="str">
        <x:v>column</x:v>
      </x:c>
      <x:c r="D56" s="117" t="str"/>
      <x:c r="E56" s="117" t="str">
        <x:v>Power BI conceptualschema</x:v>
      </x:c>
    </x:row>
    <x:row r="57">
      <x:c r="A57" s="117" t="str">
        <x:v>LocalDateTable_74685db5-69aa-49a6-af70-b571da6efe44</x:v>
      </x:c>
      <x:c r="B57" s="117" t="str">
        <x:v>QuarterNo</x:v>
      </x:c>
      <x:c r="C57" s="117" t="str">
        <x:v>column</x:v>
      </x:c>
      <x:c r="D57" s="117" t="str"/>
      <x:c r="E57" s="117" t="str">
        <x:v>Power BI conceptualschema</x:v>
      </x:c>
    </x:row>
    <x:row r="58">
      <x:c r="A58" s="117" t="str">
        <x:v>LocalDateTable_74685db5-69aa-49a6-af70-b571da6efe44</x:v>
      </x:c>
      <x:c r="B58" s="117" t="str">
        <x:v>Trimestre</x:v>
      </x:c>
      <x:c r="C58" s="117" t="str">
        <x:v>column</x:v>
      </x:c>
      <x:c r="D58" s="117" t="str"/>
      <x:c r="E58" s="117" t="str">
        <x:v>Power BI conceptualschema</x:v>
      </x:c>
    </x:row>
    <x:row r="59">
      <x:c r="A59" s="117" t="str">
        <x:v>LocalDateTable_74685db5-69aa-49a6-af70-b571da6efe44</x:v>
      </x:c>
      <x:c r="B59" s="117" t="str">
        <x:v>Dia</x:v>
      </x:c>
      <x:c r="C59" s="117" t="str">
        <x:v>column</x:v>
      </x:c>
      <x:c r="D59" s="117" t="str"/>
      <x:c r="E59" s="117" t="str">
        <x:v>Power BI conceptualschema</x:v>
      </x:c>
    </x:row>
    <x:row r="60">
      <x:c r="A60" s="117" t="str">
        <x:v>LocalDateTable_c19bf263-89d8-40c0-bde5-2c4a374ae106</x:v>
      </x:c>
      <x:c r="B60" s="117" t="str">
        <x:v>Date</x:v>
      </x:c>
      <x:c r="C60" s="117" t="str">
        <x:v>column</x:v>
      </x:c>
      <x:c r="D60" s="117" t="str"/>
      <x:c r="E60" s="117" t="str">
        <x:v>Power BI conceptualschema</x:v>
      </x:c>
    </x:row>
    <x:row r="61">
      <x:c r="A61" s="117" t="str">
        <x:v>LocalDateTable_c19bf263-89d8-40c0-bde5-2c4a374ae106</x:v>
      </x:c>
      <x:c r="B61" s="117" t="str">
        <x:v>Ano</x:v>
      </x:c>
      <x:c r="C61" s="117" t="str">
        <x:v>column</x:v>
      </x:c>
      <x:c r="D61" s="117" t="str"/>
      <x:c r="E61" s="117" t="str">
        <x:v>Power BI conceptualschema</x:v>
      </x:c>
    </x:row>
    <x:row r="62">
      <x:c r="A62" s="117" t="str">
        <x:v>LocalDateTable_c19bf263-89d8-40c0-bde5-2c4a374ae106</x:v>
      </x:c>
      <x:c r="B62" s="117" t="str">
        <x:v>MonthNo</x:v>
      </x:c>
      <x:c r="C62" s="117" t="str">
        <x:v>column</x:v>
      </x:c>
      <x:c r="D62" s="117" t="str"/>
      <x:c r="E62" s="117" t="str">
        <x:v>Power BI conceptualschema</x:v>
      </x:c>
    </x:row>
    <x:row r="63">
      <x:c r="A63" s="117" t="str">
        <x:v>LocalDateTable_c19bf263-89d8-40c0-bde5-2c4a374ae106</x:v>
      </x:c>
      <x:c r="B63" s="117" t="str">
        <x:v>Mês</x:v>
      </x:c>
      <x:c r="C63" s="117" t="str">
        <x:v>column</x:v>
      </x:c>
      <x:c r="D63" s="117" t="str"/>
      <x:c r="E63" s="117" t="str">
        <x:v>Power BI conceptualschema</x:v>
      </x:c>
    </x:row>
    <x:row r="64">
      <x:c r="A64" s="117" t="str">
        <x:v>LocalDateTable_c19bf263-89d8-40c0-bde5-2c4a374ae106</x:v>
      </x:c>
      <x:c r="B64" s="117" t="str">
        <x:v>QuarterNo</x:v>
      </x:c>
      <x:c r="C64" s="117" t="str">
        <x:v>column</x:v>
      </x:c>
      <x:c r="D64" s="117" t="str"/>
      <x:c r="E64" s="117" t="str">
        <x:v>Power BI conceptualschema</x:v>
      </x:c>
    </x:row>
    <x:row r="65">
      <x:c r="A65" s="117" t="str">
        <x:v>LocalDateTable_c19bf263-89d8-40c0-bde5-2c4a374ae106</x:v>
      </x:c>
      <x:c r="B65" s="117" t="str">
        <x:v>Trimestre</x:v>
      </x:c>
      <x:c r="C65" s="117" t="str">
        <x:v>column</x:v>
      </x:c>
      <x:c r="D65" s="117" t="str"/>
      <x:c r="E65" s="117" t="str">
        <x:v>Power BI conceptualschema</x:v>
      </x:c>
    </x:row>
    <x:row r="66">
      <x:c r="A66" s="117" t="str">
        <x:v>LocalDateTable_c19bf263-89d8-40c0-bde5-2c4a374ae106</x:v>
      </x:c>
      <x:c r="B66" s="117" t="str">
        <x:v>Dia</x:v>
      </x:c>
      <x:c r="C66" s="117" t="str">
        <x:v>column</x:v>
      </x:c>
      <x:c r="D66" s="117" t="str"/>
      <x:c r="E66" s="117" t="str">
        <x:v>Power BI conceptualschema</x:v>
      </x:c>
    </x:row>
    <x:row r="67">
      <x:c r="A67" s="117" t="str">
        <x:v>LocalDateTable_f8f8ede5-0b58-47f5-b795-d9e6a9bf42a8</x:v>
      </x:c>
      <x:c r="B67" s="117" t="str">
        <x:v>Date</x:v>
      </x:c>
      <x:c r="C67" s="117" t="str">
        <x:v>column</x:v>
      </x:c>
      <x:c r="D67" s="117" t="str"/>
      <x:c r="E67" s="117" t="str">
        <x:v>Power BI conceptualschema</x:v>
      </x:c>
    </x:row>
    <x:row r="68">
      <x:c r="A68" s="117" t="str">
        <x:v>LocalDateTable_f8f8ede5-0b58-47f5-b795-d9e6a9bf42a8</x:v>
      </x:c>
      <x:c r="B68" s="117" t="str">
        <x:v>Ano</x:v>
      </x:c>
      <x:c r="C68" s="117" t="str">
        <x:v>column</x:v>
      </x:c>
      <x:c r="D68" s="117" t="str"/>
      <x:c r="E68" s="117" t="str">
        <x:v>Power BI conceptualschema</x:v>
      </x:c>
    </x:row>
    <x:row r="69">
      <x:c r="A69" s="117" t="str">
        <x:v>LocalDateTable_f8f8ede5-0b58-47f5-b795-d9e6a9bf42a8</x:v>
      </x:c>
      <x:c r="B69" s="117" t="str">
        <x:v>MonthNo</x:v>
      </x:c>
      <x:c r="C69" s="117" t="str">
        <x:v>column</x:v>
      </x:c>
      <x:c r="D69" s="117" t="str"/>
      <x:c r="E69" s="117" t="str">
        <x:v>Power BI conceptualschema</x:v>
      </x:c>
    </x:row>
    <x:row r="70">
      <x:c r="A70" s="117" t="str">
        <x:v>LocalDateTable_f8f8ede5-0b58-47f5-b795-d9e6a9bf42a8</x:v>
      </x:c>
      <x:c r="B70" s="117" t="str">
        <x:v>Mês</x:v>
      </x:c>
      <x:c r="C70" s="117" t="str">
        <x:v>column</x:v>
      </x:c>
      <x:c r="D70" s="117" t="str"/>
      <x:c r="E70" s="117" t="str">
        <x:v>Power BI conceptualschema</x:v>
      </x:c>
    </x:row>
    <x:row r="71">
      <x:c r="A71" s="117" t="str">
        <x:v>LocalDateTable_f8f8ede5-0b58-47f5-b795-d9e6a9bf42a8</x:v>
      </x:c>
      <x:c r="B71" s="117" t="str">
        <x:v>QuarterNo</x:v>
      </x:c>
      <x:c r="C71" s="117" t="str">
        <x:v>column</x:v>
      </x:c>
      <x:c r="D71" s="117" t="str"/>
      <x:c r="E71" s="117" t="str">
        <x:v>Power BI conceptualschema</x:v>
      </x:c>
    </x:row>
    <x:row r="72">
      <x:c r="A72" s="117" t="str">
        <x:v>LocalDateTable_f8f8ede5-0b58-47f5-b795-d9e6a9bf42a8</x:v>
      </x:c>
      <x:c r="B72" s="117" t="str">
        <x:v>Trimestre</x:v>
      </x:c>
      <x:c r="C72" s="117" t="str">
        <x:v>column</x:v>
      </x:c>
      <x:c r="D72" s="117" t="str"/>
      <x:c r="E72" s="117" t="str">
        <x:v>Power BI conceptualschema</x:v>
      </x:c>
    </x:row>
    <x:row r="73">
      <x:c r="A73" s="117" t="str">
        <x:v>LocalDateTable_f8f8ede5-0b58-47f5-b795-d9e6a9bf42a8</x:v>
      </x:c>
      <x:c r="B73" s="117" t="str">
        <x:v>Dia</x:v>
      </x:c>
      <x:c r="C73" s="117" t="str">
        <x:v>column</x:v>
      </x:c>
      <x:c r="D73" s="117" t="str"/>
      <x:c r="E73" s="117" t="str">
        <x:v>Power BI conceptualschema</x:v>
      </x:c>
    </x:row>
    <x:row r="74">
      <x:c r="A74" s="117" t="str">
        <x:v>LocalDateTable_b24d3287-83a0-4584-87cc-68aa99faa755</x:v>
      </x:c>
      <x:c r="B74" s="117" t="str">
        <x:v>Date</x:v>
      </x:c>
      <x:c r="C74" s="117" t="str">
        <x:v>column</x:v>
      </x:c>
      <x:c r="D74" s="117" t="str"/>
      <x:c r="E74" s="117" t="str">
        <x:v>Power BI conceptualschema</x:v>
      </x:c>
    </x:row>
    <x:row r="75">
      <x:c r="A75" s="117" t="str">
        <x:v>LocalDateTable_b24d3287-83a0-4584-87cc-68aa99faa755</x:v>
      </x:c>
      <x:c r="B75" s="117" t="str">
        <x:v>Ano</x:v>
      </x:c>
      <x:c r="C75" s="117" t="str">
        <x:v>column</x:v>
      </x:c>
      <x:c r="D75" s="117" t="str"/>
      <x:c r="E75" s="117" t="str">
        <x:v>Power BI conceptualschema</x:v>
      </x:c>
    </x:row>
    <x:row r="76">
      <x:c r="A76" s="117" t="str">
        <x:v>LocalDateTable_b24d3287-83a0-4584-87cc-68aa99faa755</x:v>
      </x:c>
      <x:c r="B76" s="117" t="str">
        <x:v>MonthNo</x:v>
      </x:c>
      <x:c r="C76" s="117" t="str">
        <x:v>column</x:v>
      </x:c>
      <x:c r="D76" s="117" t="str"/>
      <x:c r="E76" s="117" t="str">
        <x:v>Power BI conceptualschema</x:v>
      </x:c>
    </x:row>
    <x:row r="77">
      <x:c r="A77" s="117" t="str">
        <x:v>LocalDateTable_b24d3287-83a0-4584-87cc-68aa99faa755</x:v>
      </x:c>
      <x:c r="B77" s="117" t="str">
        <x:v>Mês</x:v>
      </x:c>
      <x:c r="C77" s="117" t="str">
        <x:v>column</x:v>
      </x:c>
      <x:c r="D77" s="117" t="str"/>
      <x:c r="E77" s="117" t="str">
        <x:v>Power BI conceptualschema</x:v>
      </x:c>
    </x:row>
    <x:row r="78">
      <x:c r="A78" s="117" t="str">
        <x:v>LocalDateTable_b24d3287-83a0-4584-87cc-68aa99faa755</x:v>
      </x:c>
      <x:c r="B78" s="117" t="str">
        <x:v>QuarterNo</x:v>
      </x:c>
      <x:c r="C78" s="117" t="str">
        <x:v>column</x:v>
      </x:c>
      <x:c r="D78" s="117" t="str"/>
      <x:c r="E78" s="117" t="str">
        <x:v>Power BI conceptualschema</x:v>
      </x:c>
    </x:row>
    <x:row r="79">
      <x:c r="A79" s="117" t="str">
        <x:v>LocalDateTable_b24d3287-83a0-4584-87cc-68aa99faa755</x:v>
      </x:c>
      <x:c r="B79" s="117" t="str">
        <x:v>Trimestre</x:v>
      </x:c>
      <x:c r="C79" s="117" t="str">
        <x:v>column</x:v>
      </x:c>
      <x:c r="D79" s="117" t="str"/>
      <x:c r="E79" s="117" t="str">
        <x:v>Power BI conceptualschema</x:v>
      </x:c>
    </x:row>
    <x:row r="80">
      <x:c r="A80" s="117" t="str">
        <x:v>LocalDateTable_b24d3287-83a0-4584-87cc-68aa99faa755</x:v>
      </x:c>
      <x:c r="B80" s="117" t="str">
        <x:v>Dia</x:v>
      </x:c>
      <x:c r="C80" s="117" t="str">
        <x:v>column</x:v>
      </x:c>
      <x:c r="D80" s="117" t="str"/>
      <x:c r="E80" s="117" t="str">
        <x:v>Power BI conceptualschema</x:v>
      </x:c>
    </x:row>
    <x:row r="81">
      <x:c r="A81" s="117" t="str">
        <x:v>LocalDateTable_6ae1c340-744e-4891-89b3-f515a24d9800</x:v>
      </x:c>
      <x:c r="B81" s="117" t="str">
        <x:v>Date</x:v>
      </x:c>
      <x:c r="C81" s="117" t="str">
        <x:v>column</x:v>
      </x:c>
      <x:c r="D81" s="117" t="str"/>
      <x:c r="E81" s="117" t="str">
        <x:v>Power BI conceptualschema</x:v>
      </x:c>
    </x:row>
    <x:row r="82">
      <x:c r="A82" s="117" t="str">
        <x:v>LocalDateTable_6ae1c340-744e-4891-89b3-f515a24d9800</x:v>
      </x:c>
      <x:c r="B82" s="117" t="str">
        <x:v>Ano</x:v>
      </x:c>
      <x:c r="C82" s="117" t="str">
        <x:v>column</x:v>
      </x:c>
      <x:c r="D82" s="117" t="str"/>
      <x:c r="E82" s="117" t="str">
        <x:v>Power BI conceptualschema</x:v>
      </x:c>
    </x:row>
    <x:row r="83">
      <x:c r="A83" s="117" t="str">
        <x:v>LocalDateTable_6ae1c340-744e-4891-89b3-f515a24d9800</x:v>
      </x:c>
      <x:c r="B83" s="117" t="str">
        <x:v>MonthNo</x:v>
      </x:c>
      <x:c r="C83" s="117" t="str">
        <x:v>column</x:v>
      </x:c>
      <x:c r="D83" s="117" t="str"/>
      <x:c r="E83" s="117" t="str">
        <x:v>Power BI conceptualschema</x:v>
      </x:c>
    </x:row>
    <x:row r="84">
      <x:c r="A84" s="117" t="str">
        <x:v>LocalDateTable_6ae1c340-744e-4891-89b3-f515a24d9800</x:v>
      </x:c>
      <x:c r="B84" s="117" t="str">
        <x:v>Mês</x:v>
      </x:c>
      <x:c r="C84" s="117" t="str">
        <x:v>column</x:v>
      </x:c>
      <x:c r="D84" s="117" t="str"/>
      <x:c r="E84" s="117" t="str">
        <x:v>Power BI conceptualschema</x:v>
      </x:c>
    </x:row>
    <x:row r="85">
      <x:c r="A85" s="117" t="str">
        <x:v>LocalDateTable_6ae1c340-744e-4891-89b3-f515a24d9800</x:v>
      </x:c>
      <x:c r="B85" s="117" t="str">
        <x:v>QuarterNo</x:v>
      </x:c>
      <x:c r="C85" s="117" t="str">
        <x:v>column</x:v>
      </x:c>
      <x:c r="D85" s="117" t="str"/>
      <x:c r="E85" s="117" t="str">
        <x:v>Power BI conceptualschema</x:v>
      </x:c>
    </x:row>
    <x:row r="86">
      <x:c r="A86" s="117" t="str">
        <x:v>LocalDateTable_6ae1c340-744e-4891-89b3-f515a24d9800</x:v>
      </x:c>
      <x:c r="B86" s="117" t="str">
        <x:v>Trimestre</x:v>
      </x:c>
      <x:c r="C86" s="117" t="str">
        <x:v>column</x:v>
      </x:c>
      <x:c r="D86" s="117" t="str"/>
      <x:c r="E86" s="117" t="str">
        <x:v>Power BI conceptualschema</x:v>
      </x:c>
    </x:row>
    <x:row r="87">
      <x:c r="A87" s="117" t="str">
        <x:v>LocalDateTable_6ae1c340-744e-4891-89b3-f515a24d9800</x:v>
      </x:c>
      <x:c r="B87" s="117" t="str">
        <x:v>Dia</x:v>
      </x:c>
      <x:c r="C87" s="117" t="str">
        <x:v>column</x:v>
      </x:c>
      <x:c r="D87" s="117" t="str"/>
      <x:c r="E87" s="117" t="str">
        <x:v>Power BI conceptualschema</x:v>
      </x:c>
    </x:row>
    <x:row r="88">
      <x:c r="A88" s="117" t="str">
        <x:v>LocalDateTable_1820e338-c436-412a-80e3-9c2cef9d9adb</x:v>
      </x:c>
      <x:c r="B88" s="117" t="str">
        <x:v>Date</x:v>
      </x:c>
      <x:c r="C88" s="117" t="str">
        <x:v>column</x:v>
      </x:c>
      <x:c r="D88" s="117" t="str"/>
      <x:c r="E88" s="117" t="str">
        <x:v>Power BI conceptualschema</x:v>
      </x:c>
    </x:row>
    <x:row r="89">
      <x:c r="A89" s="117" t="str">
        <x:v>LocalDateTable_1820e338-c436-412a-80e3-9c2cef9d9adb</x:v>
      </x:c>
      <x:c r="B89" s="117" t="str">
        <x:v>Ano</x:v>
      </x:c>
      <x:c r="C89" s="117" t="str">
        <x:v>column</x:v>
      </x:c>
      <x:c r="D89" s="117" t="str"/>
      <x:c r="E89" s="117" t="str">
        <x:v>Power BI conceptualschema</x:v>
      </x:c>
    </x:row>
    <x:row r="90">
      <x:c r="A90" s="117" t="str">
        <x:v>LocalDateTable_1820e338-c436-412a-80e3-9c2cef9d9adb</x:v>
      </x:c>
      <x:c r="B90" s="117" t="str">
        <x:v>MonthNo</x:v>
      </x:c>
      <x:c r="C90" s="117" t="str">
        <x:v>column</x:v>
      </x:c>
      <x:c r="D90" s="117" t="str"/>
      <x:c r="E90" s="117" t="str">
        <x:v>Power BI conceptualschema</x:v>
      </x:c>
    </x:row>
    <x:row r="91">
      <x:c r="A91" s="117" t="str">
        <x:v>LocalDateTable_1820e338-c436-412a-80e3-9c2cef9d9adb</x:v>
      </x:c>
      <x:c r="B91" s="117" t="str">
        <x:v>Mês</x:v>
      </x:c>
      <x:c r="C91" s="117" t="str">
        <x:v>column</x:v>
      </x:c>
      <x:c r="D91" s="117" t="str"/>
      <x:c r="E91" s="117" t="str">
        <x:v>Power BI conceptualschema</x:v>
      </x:c>
    </x:row>
    <x:row r="92">
      <x:c r="A92" s="117" t="str">
        <x:v>LocalDateTable_1820e338-c436-412a-80e3-9c2cef9d9adb</x:v>
      </x:c>
      <x:c r="B92" s="117" t="str">
        <x:v>QuarterNo</x:v>
      </x:c>
      <x:c r="C92" s="117" t="str">
        <x:v>column</x:v>
      </x:c>
      <x:c r="D92" s="117" t="str"/>
      <x:c r="E92" s="117" t="str">
        <x:v>Power BI conceptualschema</x:v>
      </x:c>
    </x:row>
    <x:row r="93">
      <x:c r="A93" s="117" t="str">
        <x:v>LocalDateTable_1820e338-c436-412a-80e3-9c2cef9d9adb</x:v>
      </x:c>
      <x:c r="B93" s="117" t="str">
        <x:v>Trimestre</x:v>
      </x:c>
      <x:c r="C93" s="117" t="str">
        <x:v>column</x:v>
      </x:c>
      <x:c r="D93" s="117" t="str"/>
      <x:c r="E93" s="117" t="str">
        <x:v>Power BI conceptualschema</x:v>
      </x:c>
    </x:row>
    <x:row r="94">
      <x:c r="A94" s="117" t="str">
        <x:v>LocalDateTable_1820e338-c436-412a-80e3-9c2cef9d9adb</x:v>
      </x:c>
      <x:c r="B94" s="117" t="str">
        <x:v>Dia</x:v>
      </x:c>
      <x:c r="C94" s="117" t="str">
        <x:v>column</x:v>
      </x:c>
      <x:c r="D94" s="117" t="str"/>
      <x:c r="E94" s="117" t="str">
        <x:v>Power BI conceptualschema</x:v>
      </x:c>
    </x:row>
    <x:row r="95">
      <x:c r="A95" s="117" t="str">
        <x:v>LocalDateTable_4a3818b4-3c3d-46b5-b50a-cc8fe13c668f</x:v>
      </x:c>
      <x:c r="B95" s="117" t="str">
        <x:v>Date</x:v>
      </x:c>
      <x:c r="C95" s="117" t="str">
        <x:v>column</x:v>
      </x:c>
      <x:c r="D95" s="117" t="str"/>
      <x:c r="E95" s="117" t="str">
        <x:v>Power BI conceptualschema</x:v>
      </x:c>
    </x:row>
    <x:row r="96">
      <x:c r="A96" s="117" t="str">
        <x:v>LocalDateTable_4a3818b4-3c3d-46b5-b50a-cc8fe13c668f</x:v>
      </x:c>
      <x:c r="B96" s="117" t="str">
        <x:v>Ano</x:v>
      </x:c>
      <x:c r="C96" s="117" t="str">
        <x:v>column</x:v>
      </x:c>
      <x:c r="D96" s="117" t="str"/>
      <x:c r="E96" s="117" t="str">
        <x:v>Power BI conceptualschema</x:v>
      </x:c>
    </x:row>
    <x:row r="97">
      <x:c r="A97" s="117" t="str">
        <x:v>LocalDateTable_4a3818b4-3c3d-46b5-b50a-cc8fe13c668f</x:v>
      </x:c>
      <x:c r="B97" s="117" t="str">
        <x:v>MonthNo</x:v>
      </x:c>
      <x:c r="C97" s="117" t="str">
        <x:v>column</x:v>
      </x:c>
      <x:c r="D97" s="117" t="str"/>
      <x:c r="E97" s="117" t="str">
        <x:v>Power BI conceptualschema</x:v>
      </x:c>
    </x:row>
    <x:row r="98">
      <x:c r="A98" s="117" t="str">
        <x:v>LocalDateTable_4a3818b4-3c3d-46b5-b50a-cc8fe13c668f</x:v>
      </x:c>
      <x:c r="B98" s="117" t="str">
        <x:v>Mês</x:v>
      </x:c>
      <x:c r="C98" s="117" t="str">
        <x:v>column</x:v>
      </x:c>
      <x:c r="D98" s="117" t="str"/>
      <x:c r="E98" s="117" t="str">
        <x:v>Power BI conceptualschema</x:v>
      </x:c>
    </x:row>
    <x:row r="99">
      <x:c r="A99" s="117" t="str">
        <x:v>LocalDateTable_4a3818b4-3c3d-46b5-b50a-cc8fe13c668f</x:v>
      </x:c>
      <x:c r="B99" s="117" t="str">
        <x:v>QuarterNo</x:v>
      </x:c>
      <x:c r="C99" s="117" t="str">
        <x:v>column</x:v>
      </x:c>
      <x:c r="D99" s="117" t="str"/>
      <x:c r="E99" s="117" t="str">
        <x:v>Power BI conceptualschema</x:v>
      </x:c>
    </x:row>
    <x:row r="100">
      <x:c r="A100" s="117" t="str">
        <x:v>LocalDateTable_4a3818b4-3c3d-46b5-b50a-cc8fe13c668f</x:v>
      </x:c>
      <x:c r="B100" s="117" t="str">
        <x:v>Trimestre</x:v>
      </x:c>
      <x:c r="C100" s="117" t="str">
        <x:v>column</x:v>
      </x:c>
      <x:c r="D100" s="117" t="str"/>
      <x:c r="E100" s="117" t="str">
        <x:v>Power BI conceptualschema</x:v>
      </x:c>
    </x:row>
    <x:row r="101">
      <x:c r="A101" s="117" t="str">
        <x:v>LocalDateTable_4a3818b4-3c3d-46b5-b50a-cc8fe13c668f</x:v>
      </x:c>
      <x:c r="B101" s="117" t="str">
        <x:v>Dia</x:v>
      </x:c>
      <x:c r="C101" s="117" t="str">
        <x:v>column</x:v>
      </x:c>
      <x:c r="D101" s="117" t="str"/>
      <x:c r="E101" s="117" t="str">
        <x:v>Power BI conceptualschema</x:v>
      </x:c>
    </x:row>
    <x:row r="102">
      <x:c r="A102" s="117" t="str">
        <x:v>LocalDateTable_3a51f24f-ef14-44aa-b25c-85c6a408f252</x:v>
      </x:c>
      <x:c r="B102" s="117" t="str">
        <x:v>Date</x:v>
      </x:c>
      <x:c r="C102" s="117" t="str">
        <x:v>column</x:v>
      </x:c>
      <x:c r="D102" s="117" t="str"/>
      <x:c r="E102" s="117" t="str">
        <x:v>Power BI conceptualschema</x:v>
      </x:c>
    </x:row>
    <x:row r="103">
      <x:c r="A103" s="117" t="str">
        <x:v>LocalDateTable_3a51f24f-ef14-44aa-b25c-85c6a408f252</x:v>
      </x:c>
      <x:c r="B103" s="117" t="str">
        <x:v>Ano</x:v>
      </x:c>
      <x:c r="C103" s="117" t="str">
        <x:v>column</x:v>
      </x:c>
      <x:c r="D103" s="117" t="str"/>
      <x:c r="E103" s="117" t="str">
        <x:v>Power BI conceptualschema</x:v>
      </x:c>
    </x:row>
    <x:row r="104">
      <x:c r="A104" s="117" t="str">
        <x:v>LocalDateTable_3a51f24f-ef14-44aa-b25c-85c6a408f252</x:v>
      </x:c>
      <x:c r="B104" s="117" t="str">
        <x:v>MonthNo</x:v>
      </x:c>
      <x:c r="C104" s="117" t="str">
        <x:v>column</x:v>
      </x:c>
      <x:c r="D104" s="117" t="str"/>
      <x:c r="E104" s="117" t="str">
        <x:v>Power BI conceptualschema</x:v>
      </x:c>
    </x:row>
    <x:row r="105">
      <x:c r="A105" s="117" t="str">
        <x:v>LocalDateTable_3a51f24f-ef14-44aa-b25c-85c6a408f252</x:v>
      </x:c>
      <x:c r="B105" s="117" t="str">
        <x:v>Mês</x:v>
      </x:c>
      <x:c r="C105" s="117" t="str">
        <x:v>column</x:v>
      </x:c>
      <x:c r="D105" s="117" t="str"/>
      <x:c r="E105" s="117" t="str">
        <x:v>Power BI conceptualschema</x:v>
      </x:c>
    </x:row>
    <x:row r="106">
      <x:c r="A106" s="117" t="str">
        <x:v>LocalDateTable_3a51f24f-ef14-44aa-b25c-85c6a408f252</x:v>
      </x:c>
      <x:c r="B106" s="117" t="str">
        <x:v>QuarterNo</x:v>
      </x:c>
      <x:c r="C106" s="117" t="str">
        <x:v>column</x:v>
      </x:c>
      <x:c r="D106" s="117" t="str"/>
      <x:c r="E106" s="117" t="str">
        <x:v>Power BI conceptualschema</x:v>
      </x:c>
    </x:row>
    <x:row r="107">
      <x:c r="A107" s="117" t="str">
        <x:v>LocalDateTable_3a51f24f-ef14-44aa-b25c-85c6a408f252</x:v>
      </x:c>
      <x:c r="B107" s="117" t="str">
        <x:v>Trimestre</x:v>
      </x:c>
      <x:c r="C107" s="117" t="str">
        <x:v>column</x:v>
      </x:c>
      <x:c r="D107" s="117" t="str"/>
      <x:c r="E107" s="117" t="str">
        <x:v>Power BI conceptualschema</x:v>
      </x:c>
    </x:row>
    <x:row r="108">
      <x:c r="A108" s="117" t="str">
        <x:v>LocalDateTable_3a51f24f-ef14-44aa-b25c-85c6a408f252</x:v>
      </x:c>
      <x:c r="B108" s="117" t="str">
        <x:v>Dia</x:v>
      </x:c>
      <x:c r="C108" s="117" t="str">
        <x:v>column</x:v>
      </x:c>
      <x:c r="D108" s="117" t="str"/>
      <x:c r="E108" s="117" t="str">
        <x:v>Power BI conceptualschema</x:v>
      </x:c>
    </x:row>
    <x:row r="109">
      <x:c r="A109" s="117" t="str">
        <x:v>LocalDateTable_16239a2a-7005-4185-acb6-489beabc8d0b</x:v>
      </x:c>
      <x:c r="B109" s="117" t="str">
        <x:v>Date</x:v>
      </x:c>
      <x:c r="C109" s="117" t="str">
        <x:v>column</x:v>
      </x:c>
      <x:c r="D109" s="117" t="str"/>
      <x:c r="E109" s="117" t="str">
        <x:v>Power BI conceptualschema</x:v>
      </x:c>
    </x:row>
    <x:row r="110">
      <x:c r="A110" s="117" t="str">
        <x:v>LocalDateTable_16239a2a-7005-4185-acb6-489beabc8d0b</x:v>
      </x:c>
      <x:c r="B110" s="117" t="str">
        <x:v>Ano</x:v>
      </x:c>
      <x:c r="C110" s="117" t="str">
        <x:v>column</x:v>
      </x:c>
      <x:c r="D110" s="117" t="str"/>
      <x:c r="E110" s="117" t="str">
        <x:v>Power BI conceptualschema</x:v>
      </x:c>
    </x:row>
    <x:row r="111">
      <x:c r="A111" s="117" t="str">
        <x:v>LocalDateTable_16239a2a-7005-4185-acb6-489beabc8d0b</x:v>
      </x:c>
      <x:c r="B111" s="117" t="str">
        <x:v>MonthNo</x:v>
      </x:c>
      <x:c r="C111" s="117" t="str">
        <x:v>column</x:v>
      </x:c>
      <x:c r="D111" s="117" t="str"/>
      <x:c r="E111" s="117" t="str">
        <x:v>Power BI conceptualschema</x:v>
      </x:c>
    </x:row>
    <x:row r="112">
      <x:c r="A112" s="117" t="str">
        <x:v>LocalDateTable_16239a2a-7005-4185-acb6-489beabc8d0b</x:v>
      </x:c>
      <x:c r="B112" s="117" t="str">
        <x:v>Mês</x:v>
      </x:c>
      <x:c r="C112" s="117" t="str">
        <x:v>column</x:v>
      </x:c>
      <x:c r="D112" s="117" t="str"/>
      <x:c r="E112" s="117" t="str">
        <x:v>Power BI conceptualschema</x:v>
      </x:c>
    </x:row>
    <x:row r="113">
      <x:c r="A113" s="117" t="str">
        <x:v>LocalDateTable_16239a2a-7005-4185-acb6-489beabc8d0b</x:v>
      </x:c>
      <x:c r="B113" s="117" t="str">
        <x:v>QuarterNo</x:v>
      </x:c>
      <x:c r="C113" s="117" t="str">
        <x:v>column</x:v>
      </x:c>
      <x:c r="D113" s="117" t="str"/>
      <x:c r="E113" s="117" t="str">
        <x:v>Power BI conceptualschema</x:v>
      </x:c>
    </x:row>
    <x:row r="114">
      <x:c r="A114" s="117" t="str">
        <x:v>LocalDateTable_16239a2a-7005-4185-acb6-489beabc8d0b</x:v>
      </x:c>
      <x:c r="B114" s="117" t="str">
        <x:v>Trimestre</x:v>
      </x:c>
      <x:c r="C114" s="117" t="str">
        <x:v>column</x:v>
      </x:c>
      <x:c r="D114" s="117" t="str"/>
      <x:c r="E114" s="117" t="str">
        <x:v>Power BI conceptualschema</x:v>
      </x:c>
    </x:row>
    <x:row r="115">
      <x:c r="A115" s="117" t="str">
        <x:v>LocalDateTable_16239a2a-7005-4185-acb6-489beabc8d0b</x:v>
      </x:c>
      <x:c r="B115" s="117" t="str">
        <x:v>Dia</x:v>
      </x:c>
      <x:c r="C115" s="117" t="str">
        <x:v>column</x:v>
      </x:c>
      <x:c r="D115" s="117" t="str"/>
      <x:c r="E115" s="117" t="str">
        <x:v>Power BI conceptualschema</x:v>
      </x:c>
    </x:row>
    <x:row r="116">
      <x:c r="A116" s="117" t="str">
        <x:v>FAT_VOLUME_OPERACOES_DATAS</x:v>
      </x:c>
      <x:c r="B116" s="117" t="str">
        <x:v>Data</x:v>
      </x:c>
      <x:c r="C116" s="117" t="str">
        <x:v>column</x:v>
      </x:c>
      <x:c r="D116" s="117" t="str"/>
      <x:c r="E116" s="117" t="str">
        <x:v>Power BI conceptualschema</x:v>
      </x:c>
    </x:row>
    <x:row r="117">
      <x:c r="A117" s="117" t="str">
        <x:v>Dados_FIDC</x:v>
      </x:c>
      <x:c r="B117" s="117" t="str">
        <x:v>num_cnpj_fundo</x:v>
      </x:c>
      <x:c r="C117" s="117" t="str">
        <x:v>column</x:v>
      </x:c>
      <x:c r="D117" s="117" t="str"/>
      <x:c r="E117" s="117" t="str">
        <x:v>Power BI conceptualschema</x:v>
      </x:c>
    </x:row>
    <x:row r="118">
      <x:c r="A118" s="117" t="str">
        <x:v>Dados_FIDC</x:v>
      </x:c>
      <x:c r="B118" s="117" t="str">
        <x:v>cod_fundo</x:v>
      </x:c>
      <x:c r="C118" s="117" t="str">
        <x:v>column</x:v>
      </x:c>
      <x:c r="D118" s="117" t="str"/>
      <x:c r="E118" s="117" t="str">
        <x:v>Power BI conceptualschema</x:v>
      </x:c>
    </x:row>
    <x:row r="119">
      <x:c r="A119" s="117" t="str">
        <x:v>Dados_FIDC</x:v>
      </x:c>
      <x:c r="B119" s="117" t="str">
        <x:v>cod_classe</x:v>
      </x:c>
      <x:c r="C119" s="117" t="str">
        <x:v>column</x:v>
      </x:c>
      <x:c r="D119" s="117" t="str"/>
      <x:c r="E119" s="117" t="str">
        <x:v>Power BI conceptualschema</x:v>
      </x:c>
    </x:row>
    <x:row r="120">
      <x:c r="A120" s="117" t="str">
        <x:v>Dados_FIDC</x:v>
      </x:c>
      <x:c r="B120" s="117" t="str">
        <x:v>cod_subclasse</x:v>
      </x:c>
      <x:c r="C120" s="117" t="str">
        <x:v>column</x:v>
      </x:c>
      <x:c r="D120" s="117" t="str"/>
      <x:c r="E120" s="117" t="str">
        <x:v>Power BI conceptualschema</x:v>
      </x:c>
    </x:row>
    <x:row r="121">
      <x:c r="A121" s="117" t="str">
        <x:v>Dados_FIDC</x:v>
      </x:c>
      <x:c r="B121" s="117" t="str">
        <x:v>dat_inicio_atividade_subclasse</x:v>
      </x:c>
      <x:c r="C121" s="117" t="str">
        <x:v>column</x:v>
      </x:c>
      <x:c r="D121" s="117" t="str"/>
      <x:c r="E121" s="117" t="str">
        <x:v>Power BI conceptualschema</x:v>
      </x:c>
    </x:row>
    <x:row r="122">
      <x:c r="A122" s="117" t="str">
        <x:v>Dados_FIDC</x:v>
      </x:c>
      <x:c r="B122" s="117" t="str">
        <x:v>dsc_periodicidade_envio_pl_cota</x:v>
      </x:c>
      <x:c r="C122" s="117" t="str">
        <x:v>column</x:v>
      </x:c>
      <x:c r="D122" s="117" t="str"/>
      <x:c r="E122" s="117" t="str">
        <x:v>Power BI conceptualschema</x:v>
      </x:c>
    </x:row>
    <x:row r="123">
      <x:c r="A123" s="117" t="str">
        <x:v>Dados_FIDC</x:v>
      </x:c>
      <x:c r="B123" s="117" t="str">
        <x:v>dsc_tipo_investidor</x:v>
      </x:c>
      <x:c r="C123" s="117" t="str">
        <x:v>column</x:v>
      </x:c>
      <x:c r="D123" s="117" t="str"/>
      <x:c r="E123" s="117" t="str">
        <x:v>Power BI conceptualschema</x:v>
      </x:c>
    </x:row>
    <x:row r="124">
      <x:c r="A124" s="117" t="str">
        <x:v>Dados_FIDC</x:v>
      </x:c>
      <x:c r="B124" s="117" t="str">
        <x:v>dsc_restricao_investimento</x:v>
      </x:c>
      <x:c r="C124" s="117" t="str">
        <x:v>column</x:v>
      </x:c>
      <x:c r="D124" s="117" t="str"/>
      <x:c r="E124" s="117" t="str">
        <x:v>Power BI conceptualschema</x:v>
      </x:c>
    </x:row>
    <x:row r="125">
      <x:c r="A125" s="117" t="str">
        <x:v>Dados_FIDC</x:v>
      </x:c>
      <x:c r="B125" s="117" t="str">
        <x:v>flg_responsabilidade_limitada</x:v>
      </x:c>
      <x:c r="C125" s="117" t="str">
        <x:v>column</x:v>
      </x:c>
      <x:c r="D125" s="117" t="str"/>
      <x:c r="E125" s="117" t="str">
        <x:v>Power BI conceptualschema</x:v>
      </x:c>
    </x:row>
    <x:row r="126">
      <x:c r="A126" s="117" t="str">
        <x:v>Dados_FIDC</x:v>
      </x:c>
      <x:c r="B126" s="117" t="str">
        <x:v>dsc_forma_condominio</x:v>
      </x:c>
      <x:c r="C126" s="117" t="str">
        <x:v>column</x:v>
      </x:c>
      <x:c r="D126" s="117" t="str"/>
      <x:c r="E126" s="117" t="str">
        <x:v>Power BI conceptualschema</x:v>
      </x:c>
    </x:row>
    <x:row r="127">
      <x:c r="A127" s="117" t="str">
        <x:v>Dados_FIDC</x:v>
      </x:c>
      <x:c r="B127" s="117" t="str">
        <x:v>flg_agregacao_classe</x:v>
      </x:c>
      <x:c r="C127" s="117" t="str">
        <x:v>column</x:v>
      </x:c>
      <x:c r="D127" s="117" t="str"/>
      <x:c r="E127" s="117" t="str">
        <x:v>Power BI conceptualschema</x:v>
      </x:c>
    </x:row>
    <x:row r="128">
      <x:c r="A128" s="117" t="str">
        <x:v>Dados_FIDC</x:v>
      </x:c>
      <x:c r="B128" s="117" t="str">
        <x:v>num_cnpj_administrador</x:v>
      </x:c>
      <x:c r="C128" s="117" t="str">
        <x:v>column</x:v>
      </x:c>
      <x:c r="D128" s="117" t="str"/>
      <x:c r="E128" s="117" t="str">
        <x:v>Power BI conceptualschema</x:v>
      </x:c>
    </x:row>
    <x:row r="129">
      <x:c r="A129" s="117" t="str">
        <x:v>Dados_FIDC</x:v>
      </x:c>
      <x:c r="B129" s="117" t="str">
        <x:v>num_cnpj_gestor</x:v>
      </x:c>
      <x:c r="C129" s="117" t="str">
        <x:v>column</x:v>
      </x:c>
      <x:c r="D129" s="117" t="str"/>
      <x:c r="E129" s="117" t="str">
        <x:v>Power BI conceptualschema</x:v>
      </x:c>
    </x:row>
    <x:row r="130">
      <x:c r="A130" s="117" t="str">
        <x:v>Dados_FIDC</x:v>
      </x:c>
      <x:c r="B130" s="117" t="str">
        <x:v>vlr_patrimonio_liquido</x:v>
      </x:c>
      <x:c r="C130" s="117" t="str">
        <x:v>column</x:v>
      </x:c>
      <x:c r="D130" s="117" t="str"/>
      <x:c r="E130" s="117" t="str">
        <x:v>Power BI conceptualschema</x:v>
      </x:c>
    </x:row>
    <x:row r="131">
      <x:c r="A131" s="117" t="str">
        <x:v>Dados_FIDC</x:v>
      </x:c>
      <x:c r="B131" s="117" t="str">
        <x:v>dat_competencia</x:v>
      </x:c>
      <x:c r="C131" s="117" t="str">
        <x:v>column</x:v>
      </x:c>
      <x:c r="D131" s="117" t="str"/>
      <x:c r="E131" s="117" t="str">
        <x:v>Power BI conceptualschema</x:v>
      </x:c>
    </x:row>
    <x:row r="132">
      <x:c r="A132" s="117" t="str">
        <x:v>Dados_FIDC</x:v>
      </x:c>
      <x:c r="B132" s="117" t="str">
        <x:v>mes_competencia</x:v>
      </x:c>
      <x:c r="C132" s="117" t="str">
        <x:v>column</x:v>
      </x:c>
      <x:c r="D132" s="117" t="str"/>
      <x:c r="E132" s="117" t="str">
        <x:v>Power BI conceptualschema</x:v>
      </x:c>
    </x:row>
    <x:row r="133">
      <x:c r="A133" s="117" t="str">
        <x:v>Dados_FIDC</x:v>
      </x:c>
      <x:c r="B133" s="117" t="str">
        <x:v>ano_competencia</x:v>
      </x:c>
      <x:c r="C133" s="117" t="str">
        <x:v>column</x:v>
      </x:c>
      <x:c r="D133" s="117" t="str"/>
      <x:c r="E133" s="117" t="str">
        <x:v>Power BI conceptualschema</x:v>
      </x:c>
    </x:row>
    <x:row r="134">
      <x:c r="A134" s="117" t="str">
        <x:v>Dados_FIDC</x:v>
      </x:c>
      <x:c r="B134" s="117" t="str">
        <x:v>num_trimestre</x:v>
      </x:c>
      <x:c r="C134" s="117" t="str">
        <x:v>column</x:v>
      </x:c>
      <x:c r="D134" s="117" t="str"/>
      <x:c r="E134" s="117" t="str">
        <x:v>Power BI conceptualschema</x:v>
      </x:c>
    </x:row>
    <x:row r="135">
      <x:c r="A135" s="117" t="str">
        <x:v>Dados_FIDC</x:v>
      </x:c>
      <x:c r="B135" s="117" t="str">
        <x:v>num_semestre</x:v>
      </x:c>
      <x:c r="C135" s="117" t="str">
        <x:v>column</x:v>
      </x:c>
      <x:c r="D135" s="117" t="str"/>
      <x:c r="E135" s="117" t="str">
        <x:v>Power BI conceptualschema</x:v>
      </x:c>
    </x:row>
    <x:row r="136">
      <x:c r="A136" s="117" t="str">
        <x:v>Dados_FIDC</x:v>
      </x:c>
      <x:c r="B136" s="117" t="str">
        <x:v>dta_processamento</x:v>
      </x:c>
      <x:c r="C136" s="117" t="str">
        <x:v>column</x:v>
      </x:c>
      <x:c r="D136" s="117" t="str"/>
      <x:c r="E136" s="117" t="str">
        <x:v>Power BI conceptualschema</x:v>
      </x:c>
    </x:row>
    <x:row r="137">
      <x:c r="A137" s="117" t="str">
        <x:v>Dados_FIDC</x:v>
      </x:c>
      <x:c r="B137" s="117" t="str">
        <x:v>dsc_composicao_fundo</x:v>
      </x:c>
      <x:c r="C137" s="117" t="str">
        <x:v>column</x:v>
      </x:c>
      <x:c r="D137" s="117" t="str"/>
      <x:c r="E137" s="117" t="str">
        <x:v>Power BI conceptualschema</x:v>
      </x:c>
    </x:row>
    <x:row r="138">
      <x:c r="A138" s="117" t="str">
        <x:v>Dados_FIDC</x:v>
      </x:c>
      <x:c r="B138" s="117" t="str">
        <x:v>nom_nome_comercial_administrador</x:v>
      </x:c>
      <x:c r="C138" s="117" t="str">
        <x:v>column</x:v>
      </x:c>
      <x:c r="D138" s="117" t="str"/>
      <x:c r="E138" s="117" t="str">
        <x:v>Power BI conceptualschema</x:v>
      </x:c>
    </x:row>
    <x:row r="139">
      <x:c r="A139" s="117" t="str">
        <x:v>Dados_FIDC</x:v>
      </x:c>
      <x:c r="B139" s="117" t="str">
        <x:v>nom_nome_comercial_gestor</x:v>
      </x:c>
      <x:c r="C139" s="117" t="str">
        <x:v>column</x:v>
      </x:c>
      <x:c r="D139" s="117" t="str"/>
      <x:c r="E139" s="117" t="str">
        <x:v>Power BI conceptualschema</x:v>
      </x:c>
    </x:row>
    <x:row r="140">
      <x:c r="A140" s="117" t="str">
        <x:v>Dados_FIDC</x:v>
      </x:c>
      <x:c r="B140" s="117" t="str">
        <x:v>dsc_tipo_anbima</x:v>
      </x:c>
      <x:c r="C140" s="117" t="str">
        <x:v>column</x:v>
      </x:c>
      <x:c r="D140" s="117" t="str"/>
      <x:c r="E140" s="117" t="str">
        <x:v>Power BI conceptualschema</x:v>
      </x:c>
    </x:row>
    <x:row r="141">
      <x:c r="A141" s="117" t="str">
        <x:v>Dados_FIDC</x:v>
      </x:c>
      <x:c r="B141" s="117" t="str">
        <x:v>nom_nivel_1_categoria</x:v>
      </x:c>
      <x:c r="C141" s="117" t="str">
        <x:v>column</x:v>
      </x:c>
      <x:c r="D141" s="117" t="str"/>
      <x:c r="E141" s="117" t="str">
        <x:v>Power BI conceptualschema</x:v>
      </x:c>
    </x:row>
    <x:row r="142">
      <x:c r="A142" s="117" t="str">
        <x:v>Dados_FIDC</x:v>
      </x:c>
      <x:c r="B142" s="117" t="str">
        <x:v>nom_nivel_2_categoria</x:v>
      </x:c>
      <x:c r="C142" s="117" t="str">
        <x:v>column</x:v>
      </x:c>
      <x:c r="D142" s="117" t="str"/>
      <x:c r="E142" s="117" t="str">
        <x:v>Power BI conceptualschema</x:v>
      </x:c>
    </x:row>
    <x:row r="143">
      <x:c r="A143" s="117" t="str">
        <x:v>Dados_FIDC</x:v>
      </x:c>
      <x:c r="B143" s="117" t="str">
        <x:v>nom_nivel_3_subcategoria</x:v>
      </x:c>
      <x:c r="C143" s="117" t="str">
        <x:v>column</x:v>
      </x:c>
      <x:c r="D143" s="117" t="str"/>
      <x:c r="E143" s="117" t="str">
        <x:v>Power BI conceptualschema</x:v>
      </x:c>
    </x:row>
    <x:row r="144">
      <x:c r="A144" s="117" t="str">
        <x:v>Dados_FIDC</x:v>
      </x:c>
      <x:c r="B144" s="117" t="str">
        <x:v>dsc_foco_atuacao</x:v>
      </x:c>
      <x:c r="C144" s="117" t="str">
        <x:v>column</x:v>
      </x:c>
      <x:c r="D144" s="117" t="str"/>
      <x:c r="E144" s="117" t="str">
        <x:v>Power BI conceptualschema</x:v>
      </x:c>
    </x:row>
    <x:row r="145">
      <x:c r="A145" s="117" t="str">
        <x:v>Dados_FIDC</x:v>
      </x:c>
      <x:c r="B145" s="117" t="str">
        <x:v>Ordem Resp</x:v>
      </x:c>
      <x:c r="C145" s="117" t="str">
        <x:v>column</x:v>
      </x:c>
      <x:c r="D145" s="117" t="str"/>
      <x:c r="E145" s="117" t="str">
        <x:v>Power BI conceptualschema</x:v>
      </x:c>
    </x:row>
    <x:row r="146">
      <x:c r="A146" s="117" t="str">
        <x:v>Dados_FIDC</x:v>
      </x:c>
      <x:c r="B146" s="117" t="str">
        <x:v>Responsabilidade Limitada</x:v>
      </x:c>
      <x:c r="C146" s="117" t="str">
        <x:v>column</x:v>
      </x:c>
      <x:c r="D146" s="117" t="str"/>
      <x:c r="E146" s="117" t="str">
        <x:v>Power BI conceptualschema</x:v>
      </x:c>
    </x:row>
    <x:row r="147">
      <x:c r="A147" s="117" t="str">
        <x:v>Dados_FIDC</x:v>
      </x:c>
      <x:c r="B147" s="117" t="str">
        <x:v>dsc_segmento_investidor</x:v>
      </x:c>
      <x:c r="C147" s="117" t="str">
        <x:v>column</x:v>
      </x:c>
      <x:c r="D147" s="117" t="str"/>
      <x:c r="E147" s="117" t="str">
        <x:v>Power BI conceptualschema</x:v>
      </x:c>
    </x:row>
    <x:row r="148">
      <x:c r="A148" s="117" t="str">
        <x:v>Dados_FIDC</x:v>
      </x:c>
      <x:c r="B148" s="117" t="str">
        <x:v>num_total_cotista</x:v>
      </x:c>
      <x:c r="C148" s="117" t="str">
        <x:v>column</x:v>
      </x:c>
      <x:c r="D148" s="117" t="str"/>
      <x:c r="E148" s="117" t="str">
        <x:v>Power BI conceptualschema</x:v>
      </x:c>
    </x:row>
    <x:row r="149">
      <x:c r="A149" s="117" t="str">
        <x:v>Dados_FIDC</x:v>
      </x:c>
      <x:c r="B149" s="117" t="str">
        <x:v>id_dim_fundo</x:v>
      </x:c>
      <x:c r="C149" s="117" t="str">
        <x:v>column</x:v>
      </x:c>
      <x:c r="D149" s="117" t="str"/>
      <x:c r="E149" s="117" t="str">
        <x:v>Power BI conceptualschema</x:v>
      </x:c>
    </x:row>
    <x:row r="150">
      <x:c r="A150" s="117" t="str">
        <x:v>Valor_Encerrado</x:v>
      </x:c>
      <x:c r="B150" s="117" t="str">
        <x:v>ano</x:v>
      </x:c>
      <x:c r="C150" s="117" t="str">
        <x:v>column</x:v>
      </x:c>
      <x:c r="D150" s="117" t="str"/>
      <x:c r="E150" s="117" t="str">
        <x:v>Power BI conceptualschema</x:v>
      </x:c>
    </x:row>
    <x:row r="151">
      <x:c r="A151" s="117" t="str">
        <x:v>Valor_Encerrado</x:v>
      </x:c>
      <x:c r="B151" s="117" t="str">
        <x:v>ano_mes</x:v>
      </x:c>
      <x:c r="C151" s="117" t="str">
        <x:v>column</x:v>
      </x:c>
      <x:c r="D151" s="117" t="str"/>
      <x:c r="E151" s="117" t="str">
        <x:v>Power BI conceptualschema</x:v>
      </x:c>
    </x:row>
    <x:row r="152">
      <x:c r="A152" s="117" t="str">
        <x:v>Valor_Encerrado</x:v>
      </x:c>
      <x:c r="B152" s="117" t="str">
        <x:v>tipo_ativo</x:v>
      </x:c>
      <x:c r="C152" s="117" t="str">
        <x:v>column</x:v>
      </x:c>
      <x:c r="D152" s="117" t="str"/>
      <x:c r="E152" s="117" t="str">
        <x:v>Power BI conceptualschema</x:v>
      </x:c>
    </x:row>
    <x:row r="153">
      <x:c r="A153" s="117" t="str">
        <x:v>Valor_Encerrado</x:v>
      </x:c>
      <x:c r="B153" s="117" t="str">
        <x:v>tvm</x:v>
      </x:c>
      <x:c r="C153" s="117" t="str">
        <x:v>column</x:v>
      </x:c>
      <x:c r="D153" s="117" t="str"/>
      <x:c r="E153" s="117" t="str">
        <x:v>Power BI conceptualschema</x:v>
      </x:c>
    </x:row>
    <x:row r="154">
      <x:c r="A154" s="117" t="str">
        <x:v>Valor_Encerrado</x:v>
      </x:c>
      <x:c r="B154" s="117" t="str">
        <x:v>rito</x:v>
      </x:c>
      <x:c r="C154" s="117" t="str">
        <x:v>column</x:v>
      </x:c>
      <x:c r="D154" s="117" t="str"/>
      <x:c r="E154" s="117" t="str">
        <x:v>Power BI conceptualschema</x:v>
      </x:c>
    </x:row>
    <x:row r="155">
      <x:c r="A155" s="117" t="str">
        <x:v>Valor_Encerrado</x:v>
      </x:c>
      <x:c r="B155" s="117" t="str">
        <x:v>status_da_oferta</x:v>
      </x:c>
      <x:c r="C155" s="117" t="str">
        <x:v>column</x:v>
      </x:c>
      <x:c r="D155" s="117" t="str"/>
      <x:c r="E155" s="117" t="str">
        <x:v>Power BI conceptualschema</x:v>
      </x:c>
    </x:row>
    <x:row r="156">
      <x:c r="A156" s="117" t="str">
        <x:v>Valor_Encerrado</x:v>
      </x:c>
      <x:c r="B156" s="117" t="str">
        <x:v>numero_operacoes</x:v>
      </x:c>
      <x:c r="C156" s="117" t="str">
        <x:v>column</x:v>
      </x:c>
      <x:c r="D156" s="117" t="str"/>
      <x:c r="E156" s="117" t="str">
        <x:v>Power BI conceptualschema</x:v>
      </x:c>
    </x:row>
    <x:row r="157">
      <x:c r="A157" s="117" t="str">
        <x:v>Valor_Encerrado</x:v>
      </x:c>
      <x:c r="B157" s="117" t="str">
        <x:v>soma_valor_total_encerrado</x:v>
      </x:c>
      <x:c r="C157" s="117" t="str">
        <x:v>column</x:v>
      </x:c>
      <x:c r="D157" s="117" t="str"/>
      <x:c r="E157" s="117" t="str">
        <x:v>Power BI conceptualschema</x:v>
      </x:c>
    </x:row>
    <x:row r="158">
      <x:c r="A158" s="117" t="str">
        <x:v>Valor_Encerrado</x:v>
      </x:c>
      <x:c r="B158" s="117" t="str">
        <x:v>Ano Mes</x:v>
      </x:c>
      <x:c r="C158" s="117" t="str">
        <x:v>column</x:v>
      </x:c>
      <x:c r="D158" s="117" t="str"/>
      <x:c r="E158" s="117" t="str">
        <x:v>Power BI conceptualschema</x:v>
      </x:c>
    </x:row>
    <x:row r="159">
      <x:c r="A159" s="117" t="str">
        <x:v>Valor_Encerrado</x:v>
      </x:c>
      <x:c r="B159" s="117" t="str">
        <x:v>operacoes</x:v>
      </x:c>
      <x:c r="C159" s="117" t="str">
        <x:v>column</x:v>
      </x:c>
      <x:c r="D159" s="117" t="str"/>
      <x:c r="E159" s="117" t="str">
        <x:v>Power BI conceptualschema</x:v>
      </x:c>
    </x:row>
    <x:row r="160">
      <x:c r="A160" s="117" t="str">
        <x:v>Valor_Encerrado</x:v>
      </x:c>
      <x:c r="B160" s="117" t="str">
        <x:v>valor_encerrado_fidc</x:v>
      </x:c>
      <x:c r="C160" s="117" t="str">
        <x:v>measure</x:v>
      </x:c>
      <x:c r="D160" s="117" t="str"/>
      <x:c r="E160" s="117" t="str">
        <x:v>Power BI conceptualschema</x:v>
      </x:c>
    </x:row>
    <x:row r="161">
      <x:c r="A161" s="117" t="str">
        <x:v>Valor_Encerrado</x:v>
      </x:c>
      <x:c r="B161" s="117" t="str">
        <x:v>N_operacoes_encerrado_fidc</x:v>
      </x:c>
      <x:c r="C161" s="117" t="str">
        <x:v>measure</x:v>
      </x:c>
      <x:c r="D161" s="117" t="str"/>
      <x:c r="E161" s="117" t="str">
        <x:v>Power BI conceptualschema</x:v>
      </x:c>
    </x:row>
    <x:row r="162">
      <x:c r="A162" s="117" t="str">
        <x:v>Valor_Encerrado</x:v>
      </x:c>
      <x:c r="B162" s="117" t="str">
        <x:v>N_operacoes_encerrado_industria</x:v>
      </x:c>
      <x:c r="C162" s="117" t="str">
        <x:v>measure</x:v>
      </x:c>
      <x:c r="D162" s="117" t="str"/>
      <x:c r="E162" s="117" t="str">
        <x:v>Power BI conceptualschema</x:v>
      </x:c>
    </x:row>
    <x:row r="163">
      <x:c r="A163" s="117" t="str">
        <x:v>Valor_Encerrado</x:v>
      </x:c>
      <x:c r="B163" s="117" t="str">
        <x:v>valor_encerrado_industria</x:v>
      </x:c>
      <x:c r="C163" s="117" t="str">
        <x:v>measure</x:v>
      </x:c>
      <x:c r="D163" s="117" t="str"/>
      <x:c r="E163" s="117" t="str">
        <x:v>Power BI conceptualschema</x:v>
      </x:c>
    </x:row>
    <x:row r="164">
      <x:c r="A164" s="117" t="str">
        <x:v>Medidas FIDC</x:v>
      </x:c>
      <x:c r="B164" s="117" t="str">
        <x:v>Column</x:v>
      </x:c>
      <x:c r="C164" s="117" t="str">
        <x:v>column</x:v>
      </x:c>
      <x:c r="D164" s="117" t="str"/>
      <x:c r="E164" s="117" t="str">
        <x:v>Power BI conceptualschema</x:v>
      </x:c>
    </x:row>
    <x:row r="165">
      <x:c r="A165" s="117" t="str">
        <x:v>Medidas FIDC</x:v>
      </x:c>
      <x:c r="B165" s="117" t="str">
        <x:v>Legenda Adm</x:v>
      </x:c>
      <x:c r="C165" s="117" t="str">
        <x:v>column</x:v>
      </x:c>
      <x:c r="D165" s="117" t="str"/>
      <x:c r="E165" s="117" t="str">
        <x:v>Power BI conceptualschema</x:v>
      </x:c>
    </x:row>
    <x:row r="166">
      <x:c r="A166" s="117" t="str">
        <x:v>Medidas FIDC</x:v>
      </x:c>
      <x:c r="B166" s="117" t="str">
        <x:v>Legenda Gestor</x:v>
      </x:c>
      <x:c r="C166" s="117" t="str">
        <x:v>column</x:v>
      </x:c>
      <x:c r="D166" s="117" t="str"/>
      <x:c r="E166" s="117" t="str">
        <x:v>Power BI conceptualschema</x:v>
      </x:c>
    </x:row>
    <x:row r="167">
      <x:c r="A167" s="117" t="str">
        <x:v>Medidas FIDC</x:v>
      </x:c>
      <x:c r="B167" s="117" t="str">
        <x:v>Qtd_Classe_Fidc</x:v>
      </x:c>
      <x:c r="C167" s="117" t="str">
        <x:v>measure</x:v>
      </x:c>
      <x:c r="D167" s="117" t="str"/>
      <x:c r="E167" s="117" t="str">
        <x:v>Power BI conceptualschema</x:v>
      </x:c>
    </x:row>
    <x:row r="168">
      <x:c r="A168" s="117" t="str">
        <x:v>Medidas FIDC</x:v>
      </x:c>
      <x:c r="B168" s="117" t="str">
        <x:v>Qtd_Subclasse_Fidc</x:v>
      </x:c>
      <x:c r="C168" s="117" t="str">
        <x:v>measure</x:v>
      </x:c>
      <x:c r="D168" s="117" t="str"/>
      <x:c r="E168" s="117" t="str">
        <x:v>Power BI conceptualschema</x:v>
      </x:c>
    </x:row>
    <x:row r="169">
      <x:c r="A169" s="117" t="str">
        <x:v>Medidas FIDC</x:v>
      </x:c>
      <x:c r="B169" s="117" t="str">
        <x:v>Num_Cotista_Fidc</x:v>
      </x:c>
      <x:c r="C169" s="117" t="str">
        <x:v>measure</x:v>
      </x:c>
      <x:c r="D169" s="117" t="str"/>
      <x:c r="E169" s="117" t="str">
        <x:v>Power BI conceptualschema</x:v>
      </x:c>
    </x:row>
    <x:row r="170">
      <x:c r="A170" s="117" t="str">
        <x:v>Medidas FIDC</x:v>
      </x:c>
      <x:c r="B170" s="117" t="str">
        <x:v>Qtd_Forma_Cond_Abrt</x:v>
      </x:c>
      <x:c r="C170" s="117" t="str">
        <x:v>measure</x:v>
      </x:c>
      <x:c r="D170" s="117" t="str"/>
      <x:c r="E170" s="117" t="str">
        <x:v>Power BI conceptualschema</x:v>
      </x:c>
    </x:row>
    <x:row r="171">
      <x:c r="A171" s="117" t="str">
        <x:v>Medidas FIDC</x:v>
      </x:c>
      <x:c r="B171" s="117" t="str">
        <x:v>Qtd_Forma_Cond_Fech</x:v>
      </x:c>
      <x:c r="C171" s="117" t="str">
        <x:v>measure</x:v>
      </x:c>
      <x:c r="D171" s="117" t="str"/>
      <x:c r="E171" s="117" t="str">
        <x:v>Power BI conceptualschema</x:v>
      </x:c>
    </x:row>
    <x:row r="172">
      <x:c r="A172" s="117" t="str">
        <x:v>Medidas FIDC</x:v>
      </x:c>
      <x:c r="B172" s="117" t="str">
        <x:v>Qtd_Adm</x:v>
      </x:c>
      <x:c r="C172" s="117" t="str">
        <x:v>measure</x:v>
      </x:c>
      <x:c r="D172" s="117" t="str"/>
      <x:c r="E172" s="117" t="str">
        <x:v>Power BI conceptualschema</x:v>
      </x:c>
    </x:row>
    <x:row r="173">
      <x:c r="A173" s="117" t="str">
        <x:v>Medidas FIDC</x:v>
      </x:c>
      <x:c r="B173" s="117" t="str">
        <x:v>Qtd_Gestor</x:v>
      </x:c>
      <x:c r="C173" s="117" t="str">
        <x:v>measure</x:v>
      </x:c>
      <x:c r="D173" s="117" t="str"/>
      <x:c r="E173" s="117" t="str">
        <x:v>Power BI conceptualschema</x:v>
      </x:c>
    </x:row>
    <x:row r="174">
      <x:c r="A174" s="117" t="str">
        <x:v>Medidas FIDC</x:v>
      </x:c>
      <x:c r="B174" s="117" t="str">
        <x:v>PL_FIDC_Fecha</x:v>
      </x:c>
      <x:c r="C174" s="117" t="str">
        <x:v>measure</x:v>
      </x:c>
      <x:c r="D174" s="117" t="str"/>
      <x:c r="E174" s="117" t="str">
        <x:v>Power BI conceptualschema</x:v>
      </x:c>
    </x:row>
    <x:row r="175">
      <x:c r="A175" s="117" t="str">
        <x:v>Medidas FIDC</x:v>
      </x:c>
      <x:c r="B175" s="117" t="str">
        <x:v>PL_FIDC_Fecha_Card</x:v>
      </x:c>
      <x:c r="C175" s="117" t="str">
        <x:v>measure</x:v>
      </x:c>
      <x:c r="D175" s="117" t="str"/>
      <x:c r="E175" s="117" t="str">
        <x:v>Power BI conceptualschema</x:v>
      </x:c>
    </x:row>
    <x:row r="176">
      <x:c r="A176" s="117" t="str">
        <x:v>Medidas FIDC</x:v>
      </x:c>
      <x:c r="B176" s="117" t="str">
        <x:v>Fidc_Tp_Agro</x:v>
      </x:c>
      <x:c r="C176" s="117" t="str">
        <x:v>measure</x:v>
      </x:c>
      <x:c r="D176" s="117" t="str"/>
      <x:c r="E176" s="117" t="str">
        <x:v>Power BI conceptualschema</x:v>
      </x:c>
    </x:row>
    <x:row r="177">
      <x:c r="A177" s="117" t="str">
        <x:v>Medidas FIDC</x:v>
      </x:c>
      <x:c r="B177" s="117" t="str">
        <x:v>Fidc_Tp_Financeiro</x:v>
      </x:c>
      <x:c r="C177" s="117" t="str">
        <x:v>measure</x:v>
      </x:c>
      <x:c r="D177" s="117" t="str"/>
      <x:c r="E177" s="117" t="str">
        <x:v>Power BI conceptualschema</x:v>
      </x:c>
    </x:row>
    <x:row r="178">
      <x:c r="A178" s="117" t="str">
        <x:v>Medidas FIDC</x:v>
      </x:c>
      <x:c r="B178" s="117" t="str">
        <x:v>Fidc_Tp_Fomento</x:v>
      </x:c>
      <x:c r="C178" s="117" t="str">
        <x:v>measure</x:v>
      </x:c>
      <x:c r="D178" s="117" t="str"/>
      <x:c r="E178" s="117" t="str">
        <x:v>Power BI conceptualschema</x:v>
      </x:c>
    </x:row>
    <x:row r="179">
      <x:c r="A179" s="117" t="str">
        <x:v>Medidas FIDC</x:v>
      </x:c>
      <x:c r="B179" s="117" t="str">
        <x:v>Fidc_Tp_Outros</x:v>
      </x:c>
      <x:c r="C179" s="117" t="str">
        <x:v>measure</x:v>
      </x:c>
      <x:c r="D179" s="117" t="str"/>
      <x:c r="E179" s="117" t="str">
        <x:v>Power BI conceptualschema</x:v>
      </x:c>
    </x:row>
    <x:row r="180">
      <x:c r="A180" s="117" t="str">
        <x:v>Medidas FIDC</x:v>
      </x:c>
      <x:c r="B180" s="117" t="str">
        <x:v>PL_FIDC_Fecha_Graf</x:v>
      </x:c>
      <x:c r="C180" s="117" t="str">
        <x:v>measure</x:v>
      </x:c>
      <x:c r="D180" s="117" t="str"/>
      <x:c r="E180" s="117" t="str">
        <x:v>Power BI conceptualschema</x:v>
      </x:c>
    </x:row>
    <x:row r="181">
      <x:c r="A181" s="117" t="str">
        <x:v>Medidas FIDC</x:v>
      </x:c>
      <x:c r="B181" s="117" t="str">
        <x:v>Qtd_Classe_Fidc_Graf</x:v>
      </x:c>
      <x:c r="C181" s="117" t="str">
        <x:v>measure</x:v>
      </x:c>
      <x:c r="D181" s="117" t="str"/>
      <x:c r="E181" s="117" t="str">
        <x:v>Power BI conceptualschema</x:v>
      </x:c>
    </x:row>
    <x:row r="182">
      <x:c r="A182" s="117" t="str">
        <x:v>Dados_Total_Industria</x:v>
      </x:c>
      <x:c r="B182" s="117" t="str">
        <x:v>num_cnpj_fundo</x:v>
      </x:c>
      <x:c r="C182" s="117" t="str">
        <x:v>column</x:v>
      </x:c>
      <x:c r="D182" s="117" t="str"/>
      <x:c r="E182" s="117" t="str">
        <x:v>Power BI conceptualschema</x:v>
      </x:c>
    </x:row>
    <x:row r="183">
      <x:c r="A183" s="117" t="str">
        <x:v>Dados_Total_Industria</x:v>
      </x:c>
      <x:c r="B183" s="117" t="str">
        <x:v>cod_fundo</x:v>
      </x:c>
      <x:c r="C183" s="117" t="str">
        <x:v>column</x:v>
      </x:c>
      <x:c r="D183" s="117" t="str"/>
      <x:c r="E183" s="117" t="str">
        <x:v>Power BI conceptualschema</x:v>
      </x:c>
    </x:row>
    <x:row r="184">
      <x:c r="A184" s="117" t="str">
        <x:v>Dados_Total_Industria</x:v>
      </x:c>
      <x:c r="B184" s="117" t="str">
        <x:v>cod_classe</x:v>
      </x:c>
      <x:c r="C184" s="117" t="str">
        <x:v>column</x:v>
      </x:c>
      <x:c r="D184" s="117" t="str"/>
      <x:c r="E184" s="117" t="str">
        <x:v>Power BI conceptualschema</x:v>
      </x:c>
    </x:row>
    <x:row r="185">
      <x:c r="A185" s="117" t="str">
        <x:v>Dados_Total_Industria</x:v>
      </x:c>
      <x:c r="B185" s="117" t="str">
        <x:v>cod_subclasse</x:v>
      </x:c>
      <x:c r="C185" s="117" t="str">
        <x:v>column</x:v>
      </x:c>
      <x:c r="D185" s="117" t="str"/>
      <x:c r="E185" s="117" t="str">
        <x:v>Power BI conceptualschema</x:v>
      </x:c>
    </x:row>
    <x:row r="186">
      <x:c r="A186" s="117" t="str">
        <x:v>Dados_Total_Industria</x:v>
      </x:c>
      <x:c r="B186" s="117" t="str">
        <x:v>vlr_patrimonio_liquido</x:v>
      </x:c>
      <x:c r="C186" s="117" t="str">
        <x:v>column</x:v>
      </x:c>
      <x:c r="D186" s="117" t="str"/>
      <x:c r="E186" s="117" t="str">
        <x:v>Power BI conceptualschema</x:v>
      </x:c>
    </x:row>
    <x:row r="187">
      <x:c r="A187" s="117" t="str">
        <x:v>Dados_Total_Industria</x:v>
      </x:c>
      <x:c r="B187" s="117" t="str">
        <x:v>num_total_cotistas</x:v>
      </x:c>
      <x:c r="C187" s="117" t="str">
        <x:v>column</x:v>
      </x:c>
      <x:c r="D187" s="117" t="str"/>
      <x:c r="E187" s="117" t="str">
        <x:v>Power BI conceptualschema</x:v>
      </x:c>
    </x:row>
    <x:row r="188">
      <x:c r="A188" s="117" t="str">
        <x:v>Dados_Total_Industria</x:v>
      </x:c>
      <x:c r="B188" s="117" t="str">
        <x:v>dat_competencia</x:v>
      </x:c>
      <x:c r="C188" s="117" t="str">
        <x:v>column</x:v>
      </x:c>
      <x:c r="D188" s="117" t="str"/>
      <x:c r="E188" s="117" t="str">
        <x:v>Power BI conceptualschema</x:v>
      </x:c>
    </x:row>
    <x:row r="189">
      <x:c r="A189" s="117" t="str">
        <x:v>Dados_Total_Industria</x:v>
      </x:c>
      <x:c r="B189" s="117" t="str">
        <x:v>mes_competencia</x:v>
      </x:c>
      <x:c r="C189" s="117" t="str">
        <x:v>column</x:v>
      </x:c>
      <x:c r="D189" s="117" t="str"/>
      <x:c r="E189" s="117" t="str">
        <x:v>Power BI conceptualschema</x:v>
      </x:c>
    </x:row>
    <x:row r="190">
      <x:c r="A190" s="117" t="str">
        <x:v>Dados_Total_Industria</x:v>
      </x:c>
      <x:c r="B190" s="117" t="str">
        <x:v>ano_competencia</x:v>
      </x:c>
      <x:c r="C190" s="117" t="str">
        <x:v>column</x:v>
      </x:c>
      <x:c r="D190" s="117" t="str"/>
      <x:c r="E190" s="117" t="str">
        <x:v>Power BI conceptualschema</x:v>
      </x:c>
    </x:row>
    <x:row r="191">
      <x:c r="A191" s="117" t="str">
        <x:v>Dados_Total_Industria</x:v>
      </x:c>
      <x:c r="B191" s="117" t="str">
        <x:v>num_trimestre</x:v>
      </x:c>
      <x:c r="C191" s="117" t="str">
        <x:v>column</x:v>
      </x:c>
      <x:c r="D191" s="117" t="str"/>
      <x:c r="E191" s="117" t="str">
        <x:v>Power BI conceptualschema</x:v>
      </x:c>
    </x:row>
    <x:row r="192">
      <x:c r="A192" s="117" t="str">
        <x:v>Dados_Total_Industria</x:v>
      </x:c>
      <x:c r="B192" s="117" t="str">
        <x:v>num_semestre</x:v>
      </x:c>
      <x:c r="C192" s="117" t="str">
        <x:v>column</x:v>
      </x:c>
      <x:c r="D192" s="117" t="str"/>
      <x:c r="E192" s="117" t="str">
        <x:v>Power BI conceptualschema</x:v>
      </x:c>
    </x:row>
    <x:row r="193">
      <x:c r="A193" s="117" t="str">
        <x:v>Dados_Total_Industria</x:v>
      </x:c>
      <x:c r="B193" s="117" t="str">
        <x:v>dta_processamento</x:v>
      </x:c>
      <x:c r="C193" s="117" t="str">
        <x:v>column</x:v>
      </x:c>
      <x:c r="D193" s="117" t="str"/>
      <x:c r="E193" s="117" t="str">
        <x:v>Power BI conceptualschema</x:v>
      </x:c>
    </x:row>
    <x:row r="194">
      <x:c r="A194" s="117" t="str">
        <x:v>Dados_Total_Industria</x:v>
      </x:c>
      <x:c r="B194" s="117" t="str">
        <x:v>Fechamento_Cards_Indust</x:v>
      </x:c>
      <x:c r="C194" s="117" t="str">
        <x:v>column</x:v>
      </x:c>
      <x:c r="D194" s="117" t="str"/>
      <x:c r="E194" s="117" t="str">
        <x:v>Power BI conceptualschema</x:v>
      </x:c>
    </x:row>
    <x:row r="195">
      <x:c r="A195" s="117" t="str">
        <x:v>Dados_Total_Industria</x:v>
      </x:c>
      <x:c r="B195" s="117" t="str">
        <x:v>dsc_forma_condominio</x:v>
      </x:c>
      <x:c r="C195" s="117" t="str">
        <x:v>column</x:v>
      </x:c>
      <x:c r="D195" s="117" t="str"/>
      <x:c r="E195" s="117" t="str">
        <x:v>Power BI conceptualschema</x:v>
      </x:c>
    </x:row>
    <x:row r="196">
      <x:c r="A196" s="117" t="str">
        <x:v>Dados_Total_Industria</x:v>
      </x:c>
      <x:c r="B196" s="117" t="str">
        <x:v>id_fundo</x:v>
      </x:c>
      <x:c r="C196" s="117" t="str">
        <x:v>column</x:v>
      </x:c>
      <x:c r="D196" s="117" t="str"/>
      <x:c r="E196" s="117" t="str">
        <x:v>Power BI conceptualschema</x:v>
      </x:c>
    </x:row>
    <x:row r="197">
      <x:c r="A197" s="117" t="str">
        <x:v>Dados_Total_Industria</x:v>
      </x:c>
      <x:c r="B197" s="117" t="str">
        <x:v>dsc_composicao_fundo</x:v>
      </x:c>
      <x:c r="C197" s="117" t="str">
        <x:v>column</x:v>
      </x:c>
      <x:c r="D197" s="117" t="str"/>
      <x:c r="E197" s="117" t="str">
        <x:v>Power BI conceptualschema</x:v>
      </x:c>
    </x:row>
    <x:row r="198">
      <x:c r="A198" s="117" t="str">
        <x:v>Dados_Total_Industria</x:v>
      </x:c>
      <x:c r="B198" s="117" t="str">
        <x:v>dsc_segmento_investidor</x:v>
      </x:c>
      <x:c r="C198" s="117" t="str">
        <x:v>column</x:v>
      </x:c>
      <x:c r="D198" s="117" t="str"/>
      <x:c r="E198" s="117" t="str">
        <x:v>Power BI conceptualschema</x:v>
      </x:c>
    </x:row>
    <x:row r="199">
      <x:c r="A199" s="117" t="str">
        <x:v>Dados_Total_Industria</x:v>
      </x:c>
      <x:c r="B199" s="117" t="str">
        <x:v>dsc_tipo_anbima</x:v>
      </x:c>
      <x:c r="C199" s="117" t="str">
        <x:v>column</x:v>
      </x:c>
      <x:c r="D199" s="117" t="str"/>
      <x:c r="E199" s="117" t="str">
        <x:v>Power BI conceptualschema</x:v>
      </x:c>
    </x:row>
    <x:row r="200">
      <x:c r="A200" s="117" t="str">
        <x:v>Dados_Total_Industria</x:v>
      </x:c>
      <x:c r="B200" s="117" t="str">
        <x:v>nom_nivel_1_categoria</x:v>
      </x:c>
      <x:c r="C200" s="117" t="str">
        <x:v>column</x:v>
      </x:c>
      <x:c r="D200" s="117" t="str"/>
      <x:c r="E200" s="117" t="str">
        <x:v>Power BI conceptualschema</x:v>
      </x:c>
    </x:row>
    <x:row r="201">
      <x:c r="A201" s="117" t="str">
        <x:v>Dados_Total_Industria</x:v>
      </x:c>
      <x:c r="B201" s="117" t="str">
        <x:v>nom_nivel_2_categoria</x:v>
      </x:c>
      <x:c r="C201" s="117" t="str">
        <x:v>column</x:v>
      </x:c>
      <x:c r="D201" s="117" t="str"/>
      <x:c r="E201" s="117" t="str">
        <x:v>Power BI conceptualschema</x:v>
      </x:c>
    </x:row>
    <x:row r="202">
      <x:c r="A202" s="117" t="str">
        <x:v>Dados_Total_Industria</x:v>
      </x:c>
      <x:c r="B202" s="117" t="str">
        <x:v>nom_nivel_3_subcategoria</x:v>
      </x:c>
      <x:c r="C202" s="117" t="str">
        <x:v>column</x:v>
      </x:c>
      <x:c r="D202" s="117" t="str"/>
      <x:c r="E202" s="117" t="str">
        <x:v>Power BI conceptualschema</x:v>
      </x:c>
    </x:row>
    <x:row r="203">
      <x:c r="A203" s="117" t="str">
        <x:v>Dados_Total_Industria</x:v>
      </x:c>
      <x:c r="B203" s="117" t="str">
        <x:v>dsc_foco_atuacao</x:v>
      </x:c>
      <x:c r="C203" s="117" t="str">
        <x:v>column</x:v>
      </x:c>
      <x:c r="D203" s="117" t="str"/>
      <x:c r="E203" s="117" t="str">
        <x:v>Power BI conceptualschema</x:v>
      </x:c>
    </x:row>
    <x:row r="204">
      <x:c r="A204" s="117" t="str">
        <x:v>LocalDateTable_be61235a-bbc7-4e6f-9971-b6bf82e5adf4</x:v>
      </x:c>
      <x:c r="B204" s="117" t="str">
        <x:v>Date</x:v>
      </x:c>
      <x:c r="C204" s="117" t="str">
        <x:v>column</x:v>
      </x:c>
      <x:c r="D204" s="117" t="str"/>
      <x:c r="E204" s="117" t="str">
        <x:v>Power BI conceptualschema</x:v>
      </x:c>
    </x:row>
    <x:row r="205">
      <x:c r="A205" s="117" t="str">
        <x:v>LocalDateTable_be61235a-bbc7-4e6f-9971-b6bf82e5adf4</x:v>
      </x:c>
      <x:c r="B205" s="117" t="str">
        <x:v>Ano</x:v>
      </x:c>
      <x:c r="C205" s="117" t="str">
        <x:v>column</x:v>
      </x:c>
      <x:c r="D205" s="117" t="str"/>
      <x:c r="E205" s="117" t="str">
        <x:v>Power BI conceptualschema</x:v>
      </x:c>
    </x:row>
    <x:row r="206">
      <x:c r="A206" s="117" t="str">
        <x:v>LocalDateTable_be61235a-bbc7-4e6f-9971-b6bf82e5adf4</x:v>
      </x:c>
      <x:c r="B206" s="117" t="str">
        <x:v>MonthNo</x:v>
      </x:c>
      <x:c r="C206" s="117" t="str">
        <x:v>column</x:v>
      </x:c>
      <x:c r="D206" s="117" t="str"/>
      <x:c r="E206" s="117" t="str">
        <x:v>Power BI conceptualschema</x:v>
      </x:c>
    </x:row>
    <x:row r="207">
      <x:c r="A207" s="117" t="str">
        <x:v>LocalDateTable_be61235a-bbc7-4e6f-9971-b6bf82e5adf4</x:v>
      </x:c>
      <x:c r="B207" s="117" t="str">
        <x:v>Mês</x:v>
      </x:c>
      <x:c r="C207" s="117" t="str">
        <x:v>column</x:v>
      </x:c>
      <x:c r="D207" s="117" t="str"/>
      <x:c r="E207" s="117" t="str">
        <x:v>Power BI conceptualschema</x:v>
      </x:c>
    </x:row>
    <x:row r="208">
      <x:c r="A208" s="117" t="str">
        <x:v>LocalDateTable_be61235a-bbc7-4e6f-9971-b6bf82e5adf4</x:v>
      </x:c>
      <x:c r="B208" s="117" t="str">
        <x:v>QuarterNo</x:v>
      </x:c>
      <x:c r="C208" s="117" t="str">
        <x:v>column</x:v>
      </x:c>
      <x:c r="D208" s="117" t="str"/>
      <x:c r="E208" s="117" t="str">
        <x:v>Power BI conceptualschema</x:v>
      </x:c>
    </x:row>
    <x:row r="209">
      <x:c r="A209" s="117" t="str">
        <x:v>LocalDateTable_be61235a-bbc7-4e6f-9971-b6bf82e5adf4</x:v>
      </x:c>
      <x:c r="B209" s="117" t="str">
        <x:v>Trimestre</x:v>
      </x:c>
      <x:c r="C209" s="117" t="str">
        <x:v>column</x:v>
      </x:c>
      <x:c r="D209" s="117" t="str"/>
      <x:c r="E209" s="117" t="str">
        <x:v>Power BI conceptualschema</x:v>
      </x:c>
    </x:row>
    <x:row r="210">
      <x:c r="A210" s="117" t="str">
        <x:v>LocalDateTable_be61235a-bbc7-4e6f-9971-b6bf82e5adf4</x:v>
      </x:c>
      <x:c r="B210" s="117" t="str">
        <x:v>Dia</x:v>
      </x:c>
      <x:c r="C210" s="117" t="str">
        <x:v>column</x:v>
      </x:c>
      <x:c r="D210" s="117" t="str"/>
      <x:c r="E210" s="117" t="str">
        <x:v>Power BI conceptualschema</x:v>
      </x:c>
    </x:row>
    <x:row r="211">
      <x:c r="A211" s="117" t="str">
        <x:v>LocalDateTable_e662fe1d-3f1b-4200-b9d9-a81feddc778d</x:v>
      </x:c>
      <x:c r="B211" s="117" t="str">
        <x:v>Date</x:v>
      </x:c>
      <x:c r="C211" s="117" t="str">
        <x:v>column</x:v>
      </x:c>
      <x:c r="D211" s="117" t="str"/>
      <x:c r="E211" s="117" t="str">
        <x:v>Power BI conceptualschema</x:v>
      </x:c>
    </x:row>
    <x:row r="212">
      <x:c r="A212" s="117" t="str">
        <x:v>LocalDateTable_e662fe1d-3f1b-4200-b9d9-a81feddc778d</x:v>
      </x:c>
      <x:c r="B212" s="117" t="str">
        <x:v>Ano</x:v>
      </x:c>
      <x:c r="C212" s="117" t="str">
        <x:v>column</x:v>
      </x:c>
      <x:c r="D212" s="117" t="str"/>
      <x:c r="E212" s="117" t="str">
        <x:v>Power BI conceptualschema</x:v>
      </x:c>
    </x:row>
    <x:row r="213">
      <x:c r="A213" s="117" t="str">
        <x:v>LocalDateTable_e662fe1d-3f1b-4200-b9d9-a81feddc778d</x:v>
      </x:c>
      <x:c r="B213" s="117" t="str">
        <x:v>MonthNo</x:v>
      </x:c>
      <x:c r="C213" s="117" t="str">
        <x:v>column</x:v>
      </x:c>
      <x:c r="D213" s="117" t="str"/>
      <x:c r="E213" s="117" t="str">
        <x:v>Power BI conceptualschema</x:v>
      </x:c>
    </x:row>
    <x:row r="214">
      <x:c r="A214" s="117" t="str">
        <x:v>LocalDateTable_e662fe1d-3f1b-4200-b9d9-a81feddc778d</x:v>
      </x:c>
      <x:c r="B214" s="117" t="str">
        <x:v>Mês</x:v>
      </x:c>
      <x:c r="C214" s="117" t="str">
        <x:v>column</x:v>
      </x:c>
      <x:c r="D214" s="117" t="str"/>
      <x:c r="E214" s="117" t="str">
        <x:v>Power BI conceptualschema</x:v>
      </x:c>
    </x:row>
    <x:row r="215">
      <x:c r="A215" s="117" t="str">
        <x:v>LocalDateTable_e662fe1d-3f1b-4200-b9d9-a81feddc778d</x:v>
      </x:c>
      <x:c r="B215" s="117" t="str">
        <x:v>QuarterNo</x:v>
      </x:c>
      <x:c r="C215" s="117" t="str">
        <x:v>column</x:v>
      </x:c>
      <x:c r="D215" s="117" t="str"/>
      <x:c r="E215" s="117" t="str">
        <x:v>Power BI conceptualschema</x:v>
      </x:c>
    </x:row>
    <x:row r="216">
      <x:c r="A216" s="117" t="str">
        <x:v>LocalDateTable_e662fe1d-3f1b-4200-b9d9-a81feddc778d</x:v>
      </x:c>
      <x:c r="B216" s="117" t="str">
        <x:v>Trimestre</x:v>
      </x:c>
      <x:c r="C216" s="117" t="str">
        <x:v>column</x:v>
      </x:c>
      <x:c r="D216" s="117" t="str"/>
      <x:c r="E216" s="117" t="str">
        <x:v>Power BI conceptualschema</x:v>
      </x:c>
    </x:row>
    <x:row r="217">
      <x:c r="A217" s="117" t="str">
        <x:v>LocalDateTable_e662fe1d-3f1b-4200-b9d9-a81feddc778d</x:v>
      </x:c>
      <x:c r="B217" s="117" t="str">
        <x:v>Dia</x:v>
      </x:c>
      <x:c r="C217" s="117" t="str">
        <x:v>column</x:v>
      </x:c>
      <x:c r="D217" s="117" t="str"/>
      <x:c r="E217" s="117" t="str">
        <x:v>Power BI conceptualschema</x:v>
      </x:c>
    </x:row>
    <x:row r="218">
      <x:c r="A218" s="117" t="str">
        <x:v>LocalDateTable_037da5d1-fea5-4e03-bc29-103c0c2600d8</x:v>
      </x:c>
      <x:c r="B218" s="117" t="str">
        <x:v>Date</x:v>
      </x:c>
      <x:c r="C218" s="117" t="str">
        <x:v>column</x:v>
      </x:c>
      <x:c r="D218" s="117" t="str"/>
      <x:c r="E218" s="117" t="str">
        <x:v>Power BI conceptualschema</x:v>
      </x:c>
    </x:row>
    <x:row r="219">
      <x:c r="A219" s="117" t="str">
        <x:v>LocalDateTable_037da5d1-fea5-4e03-bc29-103c0c2600d8</x:v>
      </x:c>
      <x:c r="B219" s="117" t="str">
        <x:v>Ano</x:v>
      </x:c>
      <x:c r="C219" s="117" t="str">
        <x:v>column</x:v>
      </x:c>
      <x:c r="D219" s="117" t="str"/>
      <x:c r="E219" s="117" t="str">
        <x:v>Power BI conceptualschema</x:v>
      </x:c>
    </x:row>
    <x:row r="220">
      <x:c r="A220" s="117" t="str">
        <x:v>LocalDateTable_037da5d1-fea5-4e03-bc29-103c0c2600d8</x:v>
      </x:c>
      <x:c r="B220" s="117" t="str">
        <x:v>MonthNo</x:v>
      </x:c>
      <x:c r="C220" s="117" t="str">
        <x:v>column</x:v>
      </x:c>
      <x:c r="D220" s="117" t="str"/>
      <x:c r="E220" s="117" t="str">
        <x:v>Power BI conceptualschema</x:v>
      </x:c>
    </x:row>
    <x:row r="221">
      <x:c r="A221" s="117" t="str">
        <x:v>LocalDateTable_037da5d1-fea5-4e03-bc29-103c0c2600d8</x:v>
      </x:c>
      <x:c r="B221" s="117" t="str">
        <x:v>Mês</x:v>
      </x:c>
      <x:c r="C221" s="117" t="str">
        <x:v>column</x:v>
      </x:c>
      <x:c r="D221" s="117" t="str"/>
      <x:c r="E221" s="117" t="str">
        <x:v>Power BI conceptualschema</x:v>
      </x:c>
    </x:row>
    <x:row r="222">
      <x:c r="A222" s="117" t="str">
        <x:v>LocalDateTable_037da5d1-fea5-4e03-bc29-103c0c2600d8</x:v>
      </x:c>
      <x:c r="B222" s="117" t="str">
        <x:v>QuarterNo</x:v>
      </x:c>
      <x:c r="C222" s="117" t="str">
        <x:v>column</x:v>
      </x:c>
      <x:c r="D222" s="117" t="str"/>
      <x:c r="E222" s="117" t="str">
        <x:v>Power BI conceptualschema</x:v>
      </x:c>
    </x:row>
    <x:row r="223">
      <x:c r="A223" s="117" t="str">
        <x:v>LocalDateTable_037da5d1-fea5-4e03-bc29-103c0c2600d8</x:v>
      </x:c>
      <x:c r="B223" s="117" t="str">
        <x:v>Trimestre</x:v>
      </x:c>
      <x:c r="C223" s="117" t="str">
        <x:v>column</x:v>
      </x:c>
      <x:c r="D223" s="117" t="str"/>
      <x:c r="E223" s="117" t="str">
        <x:v>Power BI conceptualschema</x:v>
      </x:c>
    </x:row>
    <x:row r="224">
      <x:c r="A224" s="117" t="str">
        <x:v>LocalDateTable_037da5d1-fea5-4e03-bc29-103c0c2600d8</x:v>
      </x:c>
      <x:c r="B224" s="117" t="str">
        <x:v>Dia</x:v>
      </x:c>
      <x:c r="C224" s="117" t="str">
        <x:v>column</x:v>
      </x:c>
      <x:c r="D224" s="117" t="str"/>
      <x:c r="E224" s="117" t="str">
        <x:v>Power BI conceptualschema</x:v>
      </x:c>
    </x:row>
    <x:row r="225">
      <x:c r="A225" s="117" t="str">
        <x:v>LocalDateTable_11408089-3fc6-42ce-9a30-228af2bd7b22</x:v>
      </x:c>
      <x:c r="B225" s="117" t="str">
        <x:v>Date</x:v>
      </x:c>
      <x:c r="C225" s="117" t="str">
        <x:v>column</x:v>
      </x:c>
      <x:c r="D225" s="117" t="str"/>
      <x:c r="E225" s="117" t="str">
        <x:v>Power BI conceptualschema</x:v>
      </x:c>
    </x:row>
    <x:row r="226">
      <x:c r="A226" s="117" t="str">
        <x:v>LocalDateTable_11408089-3fc6-42ce-9a30-228af2bd7b22</x:v>
      </x:c>
      <x:c r="B226" s="117" t="str">
        <x:v>Ano</x:v>
      </x:c>
      <x:c r="C226" s="117" t="str">
        <x:v>column</x:v>
      </x:c>
      <x:c r="D226" s="117" t="str"/>
      <x:c r="E226" s="117" t="str">
        <x:v>Power BI conceptualschema</x:v>
      </x:c>
    </x:row>
    <x:row r="227">
      <x:c r="A227" s="117" t="str">
        <x:v>LocalDateTable_11408089-3fc6-42ce-9a30-228af2bd7b22</x:v>
      </x:c>
      <x:c r="B227" s="117" t="str">
        <x:v>MonthNo</x:v>
      </x:c>
      <x:c r="C227" s="117" t="str">
        <x:v>column</x:v>
      </x:c>
      <x:c r="D227" s="117" t="str"/>
      <x:c r="E227" s="117" t="str">
        <x:v>Power BI conceptualschema</x:v>
      </x:c>
    </x:row>
    <x:row r="228">
      <x:c r="A228" s="117" t="str">
        <x:v>LocalDateTable_11408089-3fc6-42ce-9a30-228af2bd7b22</x:v>
      </x:c>
      <x:c r="B228" s="117" t="str">
        <x:v>Mês</x:v>
      </x:c>
      <x:c r="C228" s="117" t="str">
        <x:v>column</x:v>
      </x:c>
      <x:c r="D228" s="117" t="str"/>
      <x:c r="E228" s="117" t="str">
        <x:v>Power BI conceptualschema</x:v>
      </x:c>
    </x:row>
    <x:row r="229">
      <x:c r="A229" s="117" t="str">
        <x:v>LocalDateTable_11408089-3fc6-42ce-9a30-228af2bd7b22</x:v>
      </x:c>
      <x:c r="B229" s="117" t="str">
        <x:v>QuarterNo</x:v>
      </x:c>
      <x:c r="C229" s="117" t="str">
        <x:v>column</x:v>
      </x:c>
      <x:c r="D229" s="117" t="str"/>
      <x:c r="E229" s="117" t="str">
        <x:v>Power BI conceptualschema</x:v>
      </x:c>
    </x:row>
    <x:row r="230">
      <x:c r="A230" s="117" t="str">
        <x:v>LocalDateTable_11408089-3fc6-42ce-9a30-228af2bd7b22</x:v>
      </x:c>
      <x:c r="B230" s="117" t="str">
        <x:v>Trimestre</x:v>
      </x:c>
      <x:c r="C230" s="117" t="str">
        <x:v>column</x:v>
      </x:c>
      <x:c r="D230" s="117" t="str"/>
      <x:c r="E230" s="117" t="str">
        <x:v>Power BI conceptualschema</x:v>
      </x:c>
    </x:row>
    <x:row r="231">
      <x:c r="A231" s="117" t="str">
        <x:v>LocalDateTable_11408089-3fc6-42ce-9a30-228af2bd7b22</x:v>
      </x:c>
      <x:c r="B231" s="117" t="str">
        <x:v>Dia</x:v>
      </x:c>
      <x:c r="C231" s="117" t="str">
        <x:v>column</x:v>
      </x:c>
      <x:c r="D231" s="117" t="str"/>
      <x:c r="E231" s="117" t="str">
        <x:v>Power BI conceptualschema</x:v>
      </x:c>
    </x:row>
    <x:row r="232">
      <x:c r="A232" s="117" t="str">
        <x:v>Medidas Industria</x:v>
      </x:c>
      <x:c r="B232" s="117" t="str">
        <x:v>Column</x:v>
      </x:c>
      <x:c r="C232" s="117" t="str">
        <x:v>column</x:v>
      </x:c>
      <x:c r="D232" s="117" t="str"/>
      <x:c r="E232" s="117" t="str">
        <x:v>Power BI conceptualschema</x:v>
      </x:c>
    </x:row>
    <x:row r="233">
      <x:c r="A233" s="117" t="str">
        <x:v>Medidas Industria</x:v>
      </x:c>
      <x:c r="B233" s="117" t="str">
        <x:v>%_PL_Total</x:v>
      </x:c>
      <x:c r="C233" s="117" t="str">
        <x:v>measure</x:v>
      </x:c>
      <x:c r="D233" s="117" t="str"/>
      <x:c r="E233" s="117" t="str">
        <x:v>Power BI conceptualschema</x:v>
      </x:c>
    </x:row>
    <x:row r="234">
      <x:c r="A234" s="117" t="str">
        <x:v>Medidas Industria</x:v>
      </x:c>
      <x:c r="B234" s="117" t="str">
        <x:v>%_Num_Classe_Total</x:v>
      </x:c>
      <x:c r="C234" s="117" t="str">
        <x:v>measure</x:v>
      </x:c>
      <x:c r="D234" s="117" t="str"/>
      <x:c r="E234" s="117" t="str">
        <x:v>Power BI conceptualschema</x:v>
      </x:c>
    </x:row>
    <x:row r="235">
      <x:c r="A235" s="117" t="str">
        <x:v>Medidas Industria</x:v>
      </x:c>
      <x:c r="B235" s="117" t="str">
        <x:v>Num_Cotista_Industria</x:v>
      </x:c>
      <x:c r="C235" s="117" t="str">
        <x:v>measure</x:v>
      </x:c>
      <x:c r="D235" s="117" t="str"/>
      <x:c r="E235" s="117" t="str">
        <x:v>Power BI conceptualschema</x:v>
      </x:c>
    </x:row>
    <x:row r="236">
      <x:c r="A236" s="117" t="str">
        <x:v>Medidas Industria</x:v>
      </x:c>
      <x:c r="B236" s="117" t="str">
        <x:v>%_Num_Subclasse_Total</x:v>
      </x:c>
      <x:c r="C236" s="117" t="str">
        <x:v>measure</x:v>
      </x:c>
      <x:c r="D236" s="117" t="str"/>
      <x:c r="E236" s="117" t="str">
        <x:v>Power BI conceptualschema</x:v>
      </x:c>
    </x:row>
    <x:row r="237">
      <x:c r="A237" s="117" t="str">
        <x:v>Medidas Industria</x:v>
      </x:c>
      <x:c r="B237" s="117" t="str">
        <x:v>%_Contas_Total</x:v>
      </x:c>
      <x:c r="C237" s="117" t="str">
        <x:v>measure</x:v>
      </x:c>
      <x:c r="D237" s="117" t="str"/>
      <x:c r="E237" s="117" t="str">
        <x:v>Power BI conceptualschema</x:v>
      </x:c>
    </x:row>
    <x:row r="238">
      <x:c r="A238" s="117" t="str">
        <x:v>Medidas Industria</x:v>
      </x:c>
      <x:c r="B238" s="117" t="str">
        <x:v>%_Num_Classe_Total_Abrt</x:v>
      </x:c>
      <x:c r="C238" s="117" t="str">
        <x:v>measure</x:v>
      </x:c>
      <x:c r="D238" s="117" t="str"/>
      <x:c r="E238" s="117" t="str">
        <x:v>Power BI conceptualschema</x:v>
      </x:c>
    </x:row>
    <x:row r="239">
      <x:c r="A239" s="117" t="str">
        <x:v>Medidas Industria</x:v>
      </x:c>
      <x:c r="B239" s="117" t="str">
        <x:v>%_Num_Classe_Total_Fech</x:v>
      </x:c>
      <x:c r="C239" s="117" t="str">
        <x:v>measure</x:v>
      </x:c>
      <x:c r="D239" s="117" t="str"/>
      <x:c r="E239" s="117" t="str">
        <x:v>Power BI conceptualschema</x:v>
      </x:c>
    </x:row>
    <x:row r="240">
      <x:c r="A240" s="117" t="str">
        <x:v>Medidas Industria</x:v>
      </x:c>
      <x:c r="B240" s="117" t="str">
        <x:v>Pl_Industria_Fech</x:v>
      </x:c>
      <x:c r="C240" s="117" t="str">
        <x:v>measure</x:v>
      </x:c>
      <x:c r="D240" s="117" t="str"/>
      <x:c r="E240" s="117" t="str">
        <x:v>Power BI conceptualschema</x:v>
      </x:c>
    </x:row>
    <x:row r="241">
      <x:c r="A241" s="117" t="str">
        <x:v>Medidas Industria</x:v>
      </x:c>
      <x:c r="B241" s="117" t="str">
        <x:v>Qtd_Classe_Industria</x:v>
      </x:c>
      <x:c r="C241" s="117" t="str">
        <x:v>measure</x:v>
      </x:c>
      <x:c r="D241" s="117" t="str"/>
      <x:c r="E241" s="117" t="str">
        <x:v>Power BI conceptualschema</x:v>
      </x:c>
    </x:row>
    <x:row r="242">
      <x:c r="A242" s="117" t="str">
        <x:v>Medidas Industria</x:v>
      </x:c>
      <x:c r="B242" s="117" t="str">
        <x:v>Qtd_Subclasse_Industria</x:v>
      </x:c>
      <x:c r="C242" s="117" t="str">
        <x:v>measure</x:v>
      </x:c>
      <x:c r="D242" s="117" t="str"/>
      <x:c r="E242" s="117" t="str">
        <x:v>Power BI conceptualschema</x:v>
      </x:c>
    </x:row>
    <x:row r="243">
      <x:c r="A243" s="117" t="str">
        <x:v>Medidas Industria</x:v>
      </x:c>
      <x:c r="B243" s="117" t="str">
        <x:v>Classe_Industria_Categoria_DNC</x:v>
      </x:c>
      <x:c r="C243" s="117" t="str">
        <x:v>measure</x:v>
      </x:c>
      <x:c r="D243" s="117" t="str"/>
      <x:c r="E243" s="117" t="str">
        <x:v>Power BI conceptualschema</x:v>
      </x:c>
    </x:row>
    <x:row r="244">
      <x:c r="A244" s="117" t="str">
        <x:v>Medidas Industria</x:v>
      </x:c>
      <x:c r="B244" s="117" t="str">
        <x:v>Subclasse_Industria_Categoria_DNC</x:v>
      </x:c>
      <x:c r="C244" s="117" t="str">
        <x:v>measure</x:v>
      </x:c>
      <x:c r="D244" s="117" t="str"/>
      <x:c r="E244" s="117" t="str">
        <x:v>Power BI conceptualschema</x:v>
      </x:c>
    </x:row>
    <x:row r="245">
      <x:c r="A245" s="117" t="str">
        <x:v>Par_Temporal</x:v>
      </x:c>
      <x:c r="B245" s="117" t="str">
        <x:v>Data</x:v>
      </x:c>
      <x:c r="C245" s="117" t="str">
        <x:v>column</x:v>
      </x:c>
      <x:c r="D245" s="117" t="str"/>
      <x:c r="E245" s="117" t="str">
        <x:v>Power BI conceptualschema</x:v>
      </x:c>
    </x:row>
    <x:row r="246">
      <x:c r="A246" s="117" t="str">
        <x:v>Par_Temporal</x:v>
      </x:c>
      <x:c r="B246" s="117" t="str">
        <x:v>Parâmetro Campos</x:v>
      </x:c>
      <x:c r="C246" s="117" t="str">
        <x:v>column</x:v>
      </x:c>
      <x:c r="D246" s="117" t="str"/>
      <x:c r="E246" s="117" t="str">
        <x:v>Power BI conceptualschema</x:v>
      </x:c>
    </x:row>
    <x:row r="247">
      <x:c r="A247" s="117" t="str">
        <x:v>Par_Temporal</x:v>
      </x:c>
      <x:c r="B247" s="117" t="str">
        <x:v>Parâmetro Pedido</x:v>
      </x:c>
      <x:c r="C247" s="117" t="str">
        <x:v>column</x:v>
      </x:c>
      <x:c r="D247" s="117" t="str"/>
      <x:c r="E247" s="117" t="str">
        <x:v>Power BI conceptualschema</x:v>
      </x:c>
    </x:row>
    <x:row r="248">
      <x:c r="A248" s="117" t="str">
        <x:v>Dados_FIDC_Segmento_Investidor</x:v>
      </x:c>
      <x:c r="B248" s="117" t="str">
        <x:v>cod_fundo</x:v>
      </x:c>
      <x:c r="C248" s="117" t="str">
        <x:v>column</x:v>
      </x:c>
      <x:c r="D248" s="117" t="str"/>
      <x:c r="E248" s="117" t="str">
        <x:v>Power BI conceptualschema</x:v>
      </x:c>
    </x:row>
    <x:row r="249">
      <x:c r="A249" s="117" t="str">
        <x:v>Dados_FIDC_Segmento_Investidor</x:v>
      </x:c>
      <x:c r="B249" s="117" t="str">
        <x:v>cod_classe</x:v>
      </x:c>
      <x:c r="C249" s="117" t="str">
        <x:v>column</x:v>
      </x:c>
      <x:c r="D249" s="117" t="str"/>
      <x:c r="E249" s="117" t="str">
        <x:v>Power BI conceptualschema</x:v>
      </x:c>
    </x:row>
    <x:row r="250">
      <x:c r="A250" s="117" t="str">
        <x:v>Dados_FIDC_Segmento_Investidor</x:v>
      </x:c>
      <x:c r="B250" s="117" t="str">
        <x:v>dat_competencia</x:v>
      </x:c>
      <x:c r="C250" s="117" t="str">
        <x:v>column</x:v>
      </x:c>
      <x:c r="D250" s="117" t="str"/>
      <x:c r="E250" s="117" t="str">
        <x:v>Power BI conceptualschema</x:v>
      </x:c>
    </x:row>
    <x:row r="251">
      <x:c r="A251" s="117" t="str">
        <x:v>Dados_FIDC_Segmento_Investidor</x:v>
      </x:c>
      <x:c r="B251" s="117" t="str">
        <x:v>num_total_cotista</x:v>
      </x:c>
      <x:c r="C251" s="117" t="str">
        <x:v>column</x:v>
      </x:c>
      <x:c r="D251" s="117" t="str"/>
      <x:c r="E251" s="117" t="str">
        <x:v>Power BI conceptualschema</x:v>
      </x:c>
    </x:row>
    <x:row r="252">
      <x:c r="A252" s="117" t="str">
        <x:v>Dados_FIDC_Segmento_Investidor</x:v>
      </x:c>
      <x:c r="B252" s="117" t="str">
        <x:v>dsc_segmento_investidor</x:v>
      </x:c>
      <x:c r="C252" s="117" t="str">
        <x:v>column</x:v>
      </x:c>
      <x:c r="D252" s="117" t="str"/>
      <x:c r="E252" s="117" t="str">
        <x:v>Power BI conceptualschema</x:v>
      </x:c>
    </x:row>
    <x:row r="253">
      <x:c r="A253" s="117" t="str">
        <x:v>Dados_FIDC_Segmento_Investidor</x:v>
      </x:c>
      <x:c r="B253" s="117" t="str">
        <x:v>dsc_tipo_investidor</x:v>
      </x:c>
      <x:c r="C253" s="117" t="str">
        <x:v>column</x:v>
      </x:c>
      <x:c r="D253" s="117" t="str"/>
      <x:c r="E253" s="117" t="str">
        <x:v>Power BI conceptualschema</x:v>
      </x:c>
    </x:row>
    <x:row r="254">
      <x:c r="A254" s="117" t="str">
        <x:v>Dados_FIDC_Segmento_Investidor</x:v>
      </x:c>
      <x:c r="B254" s="117" t="str">
        <x:v>dsc_tipo_anbima</x:v>
      </x:c>
      <x:c r="C254" s="117" t="str">
        <x:v>column</x:v>
      </x:c>
      <x:c r="D254" s="117" t="str"/>
      <x:c r="E254" s="117" t="str">
        <x:v>Power BI conceptualschema</x:v>
      </x:c>
    </x:row>
    <x:row r="255">
      <x:c r="A255" s="117" t="str">
        <x:v>Dados_FIDC_Segmento_Investidor</x:v>
      </x:c>
      <x:c r="B255" s="117" t="str">
        <x:v>id_dim_fundo</x:v>
      </x:c>
      <x:c r="C255" s="117" t="str">
        <x:v>column</x:v>
      </x:c>
      <x:c r="D255" s="117" t="str"/>
      <x:c r="E255" s="117" t="str">
        <x:v>Power BI conceptualschema</x:v>
      </x:c>
    </x:row>
    <x:row r="256">
      <x:c r="A256" s="117" t="str">
        <x:v>Dados_FIDC_Segmento_Investidor</x:v>
      </x:c>
      <x:c r="B256" s="117" t="str">
        <x:v>Num_Cotista_Segmento</x:v>
      </x:c>
      <x:c r="C256" s="117" t="str">
        <x:v>measure</x:v>
      </x:c>
      <x:c r="D256" s="117" t="str"/>
      <x:c r="E256" s="117" t="str">
        <x:v>Power BI conceptualschema</x:v>
      </x:c>
    </x:row>
    <x:row r="257">
      <x:c r="A257" s="117" t="str">
        <x:v>Valor_Encerrado_Subscritores</x:v>
      </x:c>
      <x:c r="B257" s="117" t="str">
        <x:v>ano_mes</x:v>
      </x:c>
      <x:c r="C257" s="117" t="str">
        <x:v>column</x:v>
      </x:c>
      <x:c r="D257" s="117" t="str"/>
      <x:c r="E257" s="117" t="str">
        <x:v>Power BI conceptualschema</x:v>
      </x:c>
    </x:row>
    <x:row r="258">
      <x:c r="A258" s="117" t="str">
        <x:v>Valor_Encerrado_Subscritores</x:v>
      </x:c>
      <x:c r="B258" s="117" t="str">
        <x:v>rito</x:v>
      </x:c>
      <x:c r="C258" s="117" t="str">
        <x:v>column</x:v>
      </x:c>
      <x:c r="D258" s="117" t="str"/>
      <x:c r="E258" s="117" t="str">
        <x:v>Power BI conceptualschema</x:v>
      </x:c>
    </x:row>
    <x:row r="259">
      <x:c r="A259" s="117" t="str">
        <x:v>Valor_Encerrado_Subscritores</x:v>
      </x:c>
      <x:c r="B259" s="117" t="str">
        <x:v>tvm</x:v>
      </x:c>
      <x:c r="C259" s="117" t="str">
        <x:v>column</x:v>
      </x:c>
      <x:c r="D259" s="117" t="str"/>
      <x:c r="E259" s="117" t="str">
        <x:v>Power BI conceptualschema</x:v>
      </x:c>
    </x:row>
    <x:row r="260">
      <x:c r="A260" s="117" t="str">
        <x:v>Valor_Encerrado_Subscritores</x:v>
      </x:c>
      <x:c r="B260" s="117" t="str">
        <x:v>tipo_de_subscritor</x:v>
      </x:c>
      <x:c r="C260" s="117" t="str">
        <x:v>column</x:v>
      </x:c>
      <x:c r="D260" s="117" t="str"/>
      <x:c r="E260" s="117" t="str">
        <x:v>Power BI conceptualschema</x:v>
      </x:c>
    </x:row>
    <x:row r="261">
      <x:c r="A261" s="117" t="str">
        <x:v>Valor_Encerrado_Subscritores</x:v>
      </x:c>
      <x:c r="B261" s="117" t="str">
        <x:v>lei_12431</x:v>
      </x:c>
      <x:c r="C261" s="117" t="str">
        <x:v>column</x:v>
      </x:c>
      <x:c r="D261" s="117" t="str"/>
      <x:c r="E261" s="117" t="str">
        <x:v>Power BI conceptualschema</x:v>
      </x:c>
    </x:row>
    <x:row r="262">
      <x:c r="A262" s="117" t="str">
        <x:v>Valor_Encerrado_Subscritores</x:v>
      </x:c>
      <x:c r="B262" s="117" t="str">
        <x:v>artigo_da_12431</x:v>
      </x:c>
      <x:c r="C262" s="117" t="str">
        <x:v>column</x:v>
      </x:c>
      <x:c r="D262" s="117" t="str"/>
      <x:c r="E262" s="117" t="str">
        <x:v>Power BI conceptualschema</x:v>
      </x:c>
    </x:row>
    <x:row r="263">
      <x:c r="A263" s="117" t="str">
        <x:v>Valor_Encerrado_Subscritores</x:v>
      </x:c>
      <x:c r="B263" s="117" t="str">
        <x:v>qtd_valor_imobiliario</x:v>
      </x:c>
      <x:c r="C263" s="117" t="str">
        <x:v>column</x:v>
      </x:c>
      <x:c r="D263" s="117" t="str"/>
      <x:c r="E263" s="117" t="str">
        <x:v>Power BI conceptualschema</x:v>
      </x:c>
    </x:row>
    <x:row r="264">
      <x:c r="A264" s="117" t="str">
        <x:v>Valor_Encerrado_Subscritores</x:v>
      </x:c>
      <x:c r="B264" s="117" t="str">
        <x:v>valor_total_investido</x:v>
      </x:c>
      <x:c r="C264" s="117" t="str">
        <x:v>column</x:v>
      </x:c>
      <x:c r="D264" s="117" t="str"/>
      <x:c r="E264" s="117" t="str">
        <x:v>Power BI conceptualschema</x:v>
      </x:c>
    </x:row>
    <x:row r="265">
      <x:c r="A265" s="117" t="str">
        <x:v>Valor_Encerrado_Subscritores</x:v>
      </x:c>
      <x:c r="B265" s="117" t="str">
        <x:v>valor_total_emitido</x:v>
      </x:c>
      <x:c r="C265" s="117" t="str">
        <x:v>column</x:v>
      </x:c>
      <x:c r="D265" s="117" t="str"/>
      <x:c r="E265" s="117" t="str">
        <x:v>Power BI conceptualschema</x:v>
      </x:c>
    </x:row>
    <x:row r="266">
      <x:c r="A266" s="117" t="str">
        <x:v>Valor_Encerrado_Subscritores</x:v>
      </x:c>
      <x:c r="B266" s="117" t="str">
        <x:v>FIDC</x:v>
      </x:c>
      <x:c r="C266" s="117" t="str">
        <x:v>measure</x:v>
      </x:c>
      <x:c r="D266" s="117" t="str"/>
      <x:c r="E266" s="117" t="str">
        <x:v>Power BI conceptualschema</x:v>
      </x:c>
    </x:row>
    <x:row r="267">
      <x:c r="A267" s="117" t="str">
        <x:v>Valor_Encerrado_Subscritores</x:v>
      </x:c>
      <x:c r="B267" s="117" t="str">
        <x:v>Volume financeiro total de ofertas</x:v>
      </x:c>
      <x:c r="C267" s="117" t="str">
        <x:v>measure</x:v>
      </x:c>
      <x:c r="D267" s="117" t="str"/>
      <x:c r="E267" s="117" t="str">
        <x:v>Power BI conceptualschema</x:v>
      </x:c>
    </x:row>
    <x:row r="268">
      <x:c r="A268" s="117" t="str">
        <x:v>Valor_Encerrado_Subscritores</x:v>
      </x:c>
      <x:c r="B268" s="117" t="str">
        <x:v>FIDC_Acumulado</x:v>
      </x:c>
      <x:c r="C268" s="117" t="str">
        <x:v>measure</x:v>
      </x:c>
      <x:c r="D268" s="117" t="str"/>
      <x:c r="E268" s="117" t="str">
        <x:v>Power BI conceptualschema</x:v>
      </x:c>
    </x:row>
    <x:row r="269">
      <x:c r="A269" s="117" t="str">
        <x:v>Filtros e Legendas</x:v>
      </x:c>
      <x:c r="B269" s="117" t="str">
        <x:v>Column</x:v>
      </x:c>
      <x:c r="C269" s="117" t="str">
        <x:v>column</x:v>
      </x:c>
      <x:c r="D269" s="117" t="str"/>
      <x:c r="E269" s="117" t="str">
        <x:v>Power BI conceptualschema</x:v>
      </x:c>
    </x:row>
    <x:row r="270">
      <x:c r="A270" s="117" t="str">
        <x:v>Filtros e Legendas</x:v>
      </x:c>
      <x:c r="B270" s="117" t="str">
        <x:v>Tooltip</x:v>
      </x:c>
      <x:c r="C270" s="117" t="str">
        <x:v>measure</x:v>
      </x:c>
      <x:c r="D270" s="117" t="str"/>
      <x:c r="E270" s="117" t="str">
        <x:v>Power BI conceptualschema</x:v>
      </x:c>
    </x:row>
    <x:row r="271">
      <x:c r="A271" s="117" t="str">
        <x:v>Filtros e Legendas</x:v>
      </x:c>
      <x:c r="B271" s="117" t="str">
        <x:v>Texto Dinamico Segmento Investidor</x:v>
      </x:c>
      <x:c r="C271" s="117" t="str">
        <x:v>measure</x:v>
      </x:c>
      <x:c r="D271" s="117" t="str"/>
      <x:c r="E271" s="117" t="str">
        <x:v>Power BI conceptualschema</x:v>
      </x:c>
    </x:row>
    <x:row r="272">
      <x:c r="A272" s="117" t="str">
        <x:v>Filtros e Legendas</x:v>
      </x:c>
      <x:c r="B272" s="117" t="str">
        <x:v>Texto Dinamico PL/Qtd Classes</x:v>
      </x:c>
      <x:c r="C272" s="117" t="str">
        <x:v>measure</x:v>
      </x:c>
      <x:c r="D272" s="117" t="str"/>
      <x:c r="E272" s="117" t="str">
        <x:v>Power BI conceptualschema</x:v>
      </x:c>
    </x:row>
    <x:row r="273">
      <x:c r="A273" s="117" t="str">
        <x:v>Filtros e Legendas</x:v>
      </x:c>
      <x:c r="B273" s="117" t="str">
        <x:v>Texto Dinamico PL/Qtd Classes 2</x:v>
      </x:c>
      <x:c r="C273" s="117" t="str">
        <x:v>measure</x:v>
      </x:c>
      <x:c r="D273" s="117" t="str"/>
      <x:c r="E273" s="117" t="str">
        <x:v>Power BI conceptualschema</x:v>
      </x:c>
    </x:row>
    <x:row r="274">
      <x:c r="A274" s="117" t="str">
        <x:v>Filtros e Legendas</x:v>
      </x:c>
      <x:c r="B274" s="117" t="str">
        <x:v>Data_Ref</x:v>
      </x:c>
      <x:c r="C274" s="117" t="str">
        <x:v>measure</x:v>
      </x:c>
      <x:c r="D274" s="117" t="str"/>
      <x:c r="E274" s="117" t="str">
        <x:v>Power BI conceptualschema</x:v>
      </x:c>
    </x:row>
    <x:row r="275">
      <x:c r="A275" s="117" t="str">
        <x:v>Filtros e Legendas</x:v>
      </x:c>
      <x:c r="B275" s="117" t="str">
        <x:v>Texto Dinamico Segmento Investidor 2</x:v>
      </x:c>
      <x:c r="C275" s="117" t="str">
        <x:v>measure</x:v>
      </x:c>
      <x:c r="D275" s="117" t="str"/>
      <x:c r="E275" s="117" t="str">
        <x:v>Power BI conceptualschema</x:v>
      </x:c>
    </x:row>
    <x:row r="276">
      <x:c r="A276" s="117" t="str">
        <x:v>Filtros e Legendas</x:v>
      </x:c>
      <x:c r="B276" s="117" t="str">
        <x:v>Data_Tooltip</x:v>
      </x:c>
      <x:c r="C276" s="117" t="str">
        <x:v>measure</x:v>
      </x:c>
      <x:c r="D276" s="117" t="str"/>
      <x:c r="E276" s="117" t="str">
        <x:v>Power BI conceptualschema</x:v>
      </x:c>
    </x:row>
    <x:row r="277">
      <x:c r="A277" s="117" t="str">
        <x:v>Filtros e Legendas</x:v>
      </x:c>
      <x:c r="B277" s="117" t="str">
        <x:v>Subscritores</x:v>
      </x:c>
      <x:c r="C277" s="117" t="str">
        <x:v>measure</x:v>
      </x:c>
      <x:c r="D277" s="117" t="str"/>
      <x:c r="E277" s="117" t="str">
        <x:v>Power BI conceptualschema</x:v>
      </x:c>
    </x:row>
    <x:row r="278">
      <x:c r="A278" s="117" t="str">
        <x:v>Slicer_Medidas_Contas</x:v>
      </x:c>
      <x:c r="B278" s="117" t="str">
        <x:v>Medidas</x:v>
      </x:c>
      <x:c r="C278" s="117" t="str">
        <x:v>column</x:v>
      </x:c>
      <x:c r="D278" s="117" t="str"/>
      <x:c r="E278" s="117" t="str">
        <x:v>Power BI conceptualschema</x:v>
      </x:c>
    </x:row>
    <x:row r="279">
      <x:c r="A279" s="117" t="str">
        <x:v>Slicer_Medidas_Contas</x:v>
      </x:c>
      <x:c r="B279" s="117" t="str">
        <x:v>Parâmetro Campos</x:v>
      </x:c>
      <x:c r="C279" s="117" t="str">
        <x:v>column</x:v>
      </x:c>
      <x:c r="D279" s="117" t="str"/>
      <x:c r="E279" s="117" t="str">
        <x:v>Power BI conceptualschema</x:v>
      </x:c>
    </x:row>
    <x:row r="280">
      <x:c r="A280" s="117" t="str">
        <x:v>Slicer_Medidas_Contas</x:v>
      </x:c>
      <x:c r="B280" s="117" t="str">
        <x:v>Parâmetro Pedido</x:v>
      </x:c>
      <x:c r="C280" s="117" t="str">
        <x:v>column</x:v>
      </x:c>
      <x:c r="D280" s="117" t="str"/>
      <x:c r="E280" s="117" t="str">
        <x:v>Power BI conceptualschema</x:v>
      </x:c>
    </x:row>
    <x:row r="281">
      <x:c r="A281" s="117" t="str">
        <x:v>Medidas Ofertas</x:v>
      </x:c>
      <x:c r="B281" s="117" t="str">
        <x:v>Column</x:v>
      </x:c>
      <x:c r="C281" s="117" t="str">
        <x:v>column</x:v>
      </x:c>
      <x:c r="D281" s="117" t="str"/>
      <x:c r="E281" s="117" t="str">
        <x:v>Power BI conceptualschema</x:v>
      </x:c>
    </x:row>
    <x:row r="282">
      <x:c r="A282" s="117" t="str">
        <x:v>Medidas Ofertas</x:v>
      </x:c>
      <x:c r="B282" s="117" t="str">
        <x:v>Valor_Encerrado_Demais_Invest</x:v>
      </x:c>
      <x:c r="C282" s="117" t="str">
        <x:v>measure</x:v>
      </x:c>
      <x:c r="D282" s="117" t="str"/>
      <x:c r="E282" s="117" t="str">
        <x:v>Power BI conceptualschema</x:v>
      </x:c>
    </x:row>
    <x:row r="283">
      <x:c r="A283" s="117" t="str">
        <x:v>Medidas Ofertas</x:v>
      </x:c>
      <x:c r="B283" s="117" t="str">
        <x:v>Valor_Encerrado_Fund_Invest</x:v>
      </x:c>
      <x:c r="C283" s="117" t="str">
        <x:v>measure</x:v>
      </x:c>
      <x:c r="D283" s="117" t="str"/>
      <x:c r="E283" s="117" t="str">
        <x:v>Power BI conceptualschema</x:v>
      </x:c>
    </x:row>
    <x:row r="284">
      <x:c r="A284" s="117" t="str">
        <x:v>Medidas Ofertas</x:v>
      </x:c>
      <x:c r="B284" s="117" t="str">
        <x:v>% Demais_Investidores</x:v>
      </x:c>
      <x:c r="C284" s="117" t="str">
        <x:v>measure</x:v>
      </x:c>
      <x:c r="D284" s="117" t="str"/>
      <x:c r="E284" s="117" t="str">
        <x:v>Power BI conceptualschema</x:v>
      </x:c>
    </x:row>
    <x:row r="285">
      <x:c r="A285" s="117" t="str">
        <x:v>Medidas Ofertas</x:v>
      </x:c>
      <x:c r="B285" s="117" t="str">
        <x:v>Diff_Demais_Investidores</x:v>
      </x:c>
      <x:c r="C285" s="117" t="str">
        <x:v>measure</x:v>
      </x:c>
      <x:c r="D285" s="117" t="str"/>
      <x:c r="E285" s="117" t="str">
        <x:v>Power BI conceptualschema</x:v>
      </x:c>
    </x:row>
    <x:row r="286">
      <x:c r="A286" s="117" t="str">
        <x:v>Medidas Ofertas</x:v>
      </x:c>
      <x:c r="B286" s="117" t="str">
        <x:v>Valor_Encerrado_Intermed_Demais</x:v>
      </x:c>
      <x:c r="C286" s="117" t="str">
        <x:v>measure</x:v>
      </x:c>
      <x:c r="D286" s="117" t="str"/>
      <x:c r="E286" s="117" t="str">
        <x:v>Power BI conceptualschema</x:v>
      </x:c>
    </x:row>
    <x:row r="287">
      <x:c r="A287" s="117" t="str">
        <x:v>Medidas Ofertas</x:v>
      </x:c>
      <x:c r="B287" s="117" t="str">
        <x:v>Valor_Encerrado_Invest_Estrang</x:v>
      </x:c>
      <x:c r="C287" s="117" t="str">
        <x:v>measure</x:v>
      </x:c>
      <x:c r="D287" s="117" t="str"/>
      <x:c r="E287" s="117" t="str">
        <x:v>Power BI conceptualschema</x:v>
      </x:c>
    </x:row>
    <x:row r="288">
      <x:c r="A288" s="117" t="str">
        <x:v>Medidas Ofertas</x:v>
      </x:c>
      <x:c r="B288" s="117" t="str">
        <x:v>Valor_Encerrado_PF</x:v>
      </x:c>
      <x:c r="C288" s="117" t="str">
        <x:v>measure</x:v>
      </x:c>
      <x:c r="D288" s="117" t="str"/>
      <x:c r="E288" s="117" t="str">
        <x:v>Power BI conceptualschema</x:v>
      </x:c>
    </x:row>
    <x:row r="289">
      <x:c r="A289" s="117" t="str">
        <x:v>Medidas Ofertas</x:v>
      </x:c>
      <x:c r="B289" s="117" t="str">
        <x:v>% Fund_Invest</x:v>
      </x:c>
      <x:c r="C289" s="117" t="str">
        <x:v>measure</x:v>
      </x:c>
      <x:c r="D289" s="117" t="str"/>
      <x:c r="E289" s="117" t="str">
        <x:v>Power BI conceptualschema</x:v>
      </x:c>
    </x:row>
    <x:row r="290">
      <x:c r="A290" s="117" t="str">
        <x:v>Medidas Ofertas</x:v>
      </x:c>
      <x:c r="B290" s="117" t="str">
        <x:v>Diff_Fund_Investt</x:v>
      </x:c>
      <x:c r="C290" s="117" t="str">
        <x:v>measure</x:v>
      </x:c>
      <x:c r="D290" s="117" t="str"/>
      <x:c r="E290" s="117" t="str">
        <x:v>Power BI conceptualschema</x:v>
      </x:c>
    </x:row>
    <x:row r="291">
      <x:c r="A291" s="117" t="str">
        <x:v>Medidas Ofertas</x:v>
      </x:c>
      <x:c r="B291" s="117" t="str">
        <x:v>% Intermed_Demais</x:v>
      </x:c>
      <x:c r="C291" s="117" t="str">
        <x:v>measure</x:v>
      </x:c>
      <x:c r="D291" s="117" t="str"/>
      <x:c r="E291" s="117" t="str">
        <x:v>Power BI conceptualschema</x:v>
      </x:c>
    </x:row>
    <x:row r="292">
      <x:c r="A292" s="117" t="str">
        <x:v>Medidas Ofertas</x:v>
      </x:c>
      <x:c r="B292" s="117" t="str">
        <x:v>Diff_Intermed_Demais</x:v>
      </x:c>
      <x:c r="C292" s="117" t="str">
        <x:v>measure</x:v>
      </x:c>
      <x:c r="D292" s="117" t="str"/>
      <x:c r="E292" s="117" t="str">
        <x:v>Power BI conceptualschema</x:v>
      </x:c>
    </x:row>
    <x:row r="293">
      <x:c r="A293" s="117" t="str">
        <x:v>Medidas Ofertas</x:v>
      </x:c>
      <x:c r="B293" s="117" t="str">
        <x:v>% Invest_Estrang</x:v>
      </x:c>
      <x:c r="C293" s="117" t="str">
        <x:v>measure</x:v>
      </x:c>
      <x:c r="D293" s="117" t="str"/>
      <x:c r="E293" s="117" t="str">
        <x:v>Power BI conceptualschema</x:v>
      </x:c>
    </x:row>
    <x:row r="294">
      <x:c r="A294" s="117" t="str">
        <x:v>Medidas Ofertas</x:v>
      </x:c>
      <x:c r="B294" s="117" t="str">
        <x:v>Diff_Invest_Estrang</x:v>
      </x:c>
      <x:c r="C294" s="117" t="str">
        <x:v>measure</x:v>
      </x:c>
      <x:c r="D294" s="117" t="str"/>
      <x:c r="E294" s="117" t="str">
        <x:v>Power BI conceptualschema</x:v>
      </x:c>
    </x:row>
    <x:row r="295">
      <x:c r="A295" s="117" t="str">
        <x:v>Medidas Ofertas</x:v>
      </x:c>
      <x:c r="B295" s="117" t="str">
        <x:v>% Pessoas_Fisicas</x:v>
      </x:c>
      <x:c r="C295" s="117" t="str">
        <x:v>measure</x:v>
      </x:c>
      <x:c r="D295" s="117" t="str"/>
      <x:c r="E295" s="117" t="str">
        <x:v>Power BI conceptualschema</x:v>
      </x:c>
    </x:row>
    <x:row r="296">
      <x:c r="A296" s="117" t="str">
        <x:v>Medidas Ofertas</x:v>
      </x:c>
      <x:c r="B296" s="117" t="str">
        <x:v>Diff_Pessoas_Fisicas</x:v>
      </x:c>
      <x:c r="C296" s="117" t="str">
        <x:v>measure</x:v>
      </x:c>
      <x:c r="D296" s="117" t="str"/>
      <x:c r="E296" s="117" t="str">
        <x:v>Power BI conceptualschema</x:v>
      </x:c>
    </x:row>
    <x:row r="297">
      <x:c r="A297" s="117" t="str">
        <x:v>Medidas Ofertas</x:v>
      </x:c>
      <x:c r="B297" s="117" t="str">
        <x:v>Valor_Encerrado_Industria_sbs</x:v>
      </x:c>
      <x:c r="C297" s="117" t="str">
        <x:v>measure</x:v>
      </x:c>
      <x:c r="D297" s="117" t="str"/>
      <x:c r="E297" s="117" t="str">
        <x:v>Power BI conceptualschema</x:v>
      </x:c>
    </x:row>
    <x:row r="298">
      <x:c r="A298" s="117" t="str">
        <x:v>Medidas Ofertas</x:v>
      </x:c>
      <x:c r="B298" s="117" t="str">
        <x:v>Nome Subscritores (Dinamico)</x:v>
      </x:c>
      <x:c r="C298" s="117" t="str">
        <x:v>measure</x:v>
      </x:c>
      <x:c r="D298" s="117" t="str"/>
      <x:c r="E298" s="117" t="str">
        <x:v>Power BI conceptualschema</x:v>
      </x:c>
    </x:row>
    <x:row r="299">
      <x:c r="A299" s="117" t="str">
        <x:v>Slicer_Segmento_Investidor</x:v>
      </x:c>
      <x:c r="B299" s="117" t="str">
        <x:v>Parâmetro</x:v>
      </x:c>
      <x:c r="C299" s="117" t="str">
        <x:v>column</x:v>
      </x:c>
      <x:c r="D299" s="117" t="str"/>
      <x:c r="E299" s="117" t="str">
        <x:v>Power BI conceptualschema</x:v>
      </x:c>
    </x:row>
    <x:row r="300">
      <x:c r="A300" s="117" t="str">
        <x:v>Slicer_Segmento_Investidor</x:v>
      </x:c>
      <x:c r="B300" s="117" t="str">
        <x:v>Parâmetro Campos</x:v>
      </x:c>
      <x:c r="C300" s="117" t="str">
        <x:v>column</x:v>
      </x:c>
      <x:c r="D300" s="117" t="str"/>
      <x:c r="E300" s="117" t="str">
        <x:v>Power BI conceptualschema</x:v>
      </x:c>
    </x:row>
    <x:row r="301">
      <x:c r="A301" s="117" t="str">
        <x:v>Slicer_Segmento_Investidor</x:v>
      </x:c>
      <x:c r="B301" s="117" t="str">
        <x:v>Parâmetro Pedido</x:v>
      </x:c>
      <x:c r="C301" s="117" t="str">
        <x:v>column</x:v>
      </x:c>
      <x:c r="D301" s="117" t="str"/>
      <x:c r="E301" s="117" t="str">
        <x:v>Power BI conceptualschema</x:v>
      </x:c>
    </x:row>
    <x:row r="302">
      <x:c r="A302" s="117" t="str">
        <x:v>Slicer_Medidas_Subclasse</x:v>
      </x:c>
      <x:c r="B302" s="117" t="str">
        <x:v>Parâmetro</x:v>
      </x:c>
      <x:c r="C302" s="117" t="str">
        <x:v>column</x:v>
      </x:c>
      <x:c r="D302" s="117" t="str"/>
      <x:c r="E302" s="117" t="str">
        <x:v>Power BI conceptualschema</x:v>
      </x:c>
    </x:row>
    <x:row r="303">
      <x:c r="A303" s="117" t="str">
        <x:v>Slicer_Medidas_Subclasse</x:v>
      </x:c>
      <x:c r="B303" s="117" t="str">
        <x:v>Parâmetro Campos</x:v>
      </x:c>
      <x:c r="C303" s="117" t="str">
        <x:v>column</x:v>
      </x:c>
      <x:c r="D303" s="117" t="str"/>
      <x:c r="E303" s="117" t="str">
        <x:v>Power BI conceptualschema</x:v>
      </x:c>
    </x:row>
    <x:row r="304">
      <x:c r="A304" s="117" t="str">
        <x:v>Slicer_Medidas_Subclasse</x:v>
      </x:c>
      <x:c r="B304" s="117" t="str">
        <x:v>Parâmetro Pedido</x:v>
      </x:c>
      <x:c r="C304" s="117" t="str">
        <x:v>column</x:v>
      </x:c>
      <x:c r="D304" s="117" t="str"/>
      <x:c r="E304" s="117" t="str">
        <x:v>Power BI conceptualschema</x:v>
      </x:c>
    </x:row>
    <x:row r="305">
      <x:c r="A305" s="117" t="str">
        <x:v>Slicer_Medidas_Classe</x:v>
      </x:c>
      <x:c r="B305" s="117" t="str">
        <x:v>Parâmetro</x:v>
      </x:c>
      <x:c r="C305" s="117" t="str">
        <x:v>column</x:v>
      </x:c>
      <x:c r="D305" s="117" t="str"/>
      <x:c r="E305" s="117" t="str">
        <x:v>Power BI conceptualschema</x:v>
      </x:c>
    </x:row>
    <x:row r="306">
      <x:c r="A306" s="117" t="str">
        <x:v>Slicer_Medidas_Classe</x:v>
      </x:c>
      <x:c r="B306" s="117" t="str">
        <x:v>Parâmetro Campos</x:v>
      </x:c>
      <x:c r="C306" s="117" t="str">
        <x:v>column</x:v>
      </x:c>
      <x:c r="D306" s="117" t="str"/>
      <x:c r="E306" s="117" t="str">
        <x:v>Power BI conceptualschema</x:v>
      </x:c>
    </x:row>
    <x:row r="307">
      <x:c r="A307" s="118" t="str">
        <x:v>Slicer_Medidas_Classe</x:v>
      </x:c>
      <x:c r="B307" s="118" t="str">
        <x:v>Parâmetro Pedido</x:v>
      </x:c>
      <x:c r="C307" s="118" t="str">
        <x:v>column</x:v>
      </x:c>
      <x:c r="D307" s="118" t="str"/>
      <x:c r="E307" s="118" t="str">
        <x:v>Power BI conceptualschema</x:v>
      </x:c>
    </x:row>
  </x:sheetData>
  <x:mergeCells>
    <x:mergeCell ref="A1:E1"/>
    <x:mergeCell ref="G1:K5"/>
  </x:mergeCells>
  <x:pageMargins left="0.7" right="0.7" top="0.75" bottom="0.75" header="0.3" footer="0.3"/>
  <x:tableParts count="1">
    <x:tablePart xmlns:r="http://schemas.openxmlformats.org/officeDocument/2006/relationships" r:id="R697d20aabe1b450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5" hidden="0" customWidth="1"/>
  </x:cols>
  <x:sheetData>
    <x:row r="1" ht="28" customHeight="1">
      <x:c r="A1" s="4" t="str">
        <x:v>Checks e reconciliações</x:v>
      </x:c>
      <x:c r="B1" s="4" t="str">
        <x:v>Checks e reconciliações</x:v>
      </x:c>
      <x:c r="C1" s="4" t="str">
        <x:v>Checks e reconciliações</x:v>
      </x:c>
      <x:c r="D1" s="4" t="str">
        <x:v>Checks e reconciliações</x:v>
      </x:c>
      <x:c r="E1" s="4" t="str">
        <x:v>Checks e reconciliações</x:v>
      </x:c>
      <x:c r="F1" s="4" t="str">
        <x:v>Checks e reconciliações</x:v>
      </x:c>
      <x:c r="G1" s="4" t="str">
        <x:v>Checks e reconciliações</x:v>
      </x:c>
    </x:row>
    <x:row r="2" ht="26" customHeight="1">
      <x:c r="A2" s="110" t="str">
        <x:v>Check</x:v>
      </x:c>
      <x:c r="B2" s="111" t="str">
        <x:v>Atual</x:v>
      </x:c>
      <x:c r="C2" s="111" t="str">
        <x:v>Esperado</x:v>
      </x:c>
      <x:c r="D2" s="111" t="str">
        <x:v>Diferença</x:v>
      </x:c>
      <x:c r="E2" s="111" t="str">
        <x:v>Tolerância</x:v>
      </x:c>
      <x:c r="F2" s="111" t="str">
        <x:v>Status</x:v>
      </x:c>
      <x:c r="G2" s="112" t="str">
        <x:v>Nota</x:v>
      </x:c>
    </x:row>
    <x:row r="3">
      <x:c r="A3" s="116" t="str">
        <x:v>PL card vs série</x:v>
      </x:c>
      <x:c r="B3" s="140" t="n">
        <x:f>'Base Mensal'!$B$22</x:f>
        <x:v>751088455158.1736</x:v>
      </x:c>
      <x:c r="C3" s="140" t="n">
        <x:f>'Base Mensal'!$Q$2</x:f>
        <x:v>751088455158.1736</x:v>
      </x:c>
      <x:c r="D3" s="140" t="n">
        <x:f>B3-C3</x:f>
        <x:v>0</x:v>
      </x:c>
      <x:c r="E3" s="140" t="n">
        <x:v>1</x:v>
      </x:c>
      <x:c r="F3" s="116" t="str">
        <x:f>IF(ABS(D3)&lt;=E3,"OK","ERRO")</x:f>
        <x:v>OK</x:v>
      </x:c>
      <x:c r="G3" s="116" t="str">
        <x:v>Último mês</x:v>
      </x:c>
    </x:row>
    <x:row r="4">
      <x:c r="A4" s="117" t="str">
        <x:v>PL por tipo vs total</x:v>
      </x:c>
      <x:c r="B4" s="141" t="n">
        <x:f>SUM('Base Mensal'!$C$22:$F$22)</x:f>
        <x:v>751088455158.1736</x:v>
      </x:c>
      <x:c r="C4" s="141" t="n">
        <x:f>'Base Mensal'!$B$22</x:f>
        <x:v>751088455158.1736</x:v>
      </x:c>
      <x:c r="D4" s="141" t="n">
        <x:f>B4-C4</x:f>
        <x:v>0</x:v>
      </x:c>
      <x:c r="E4" s="141" t="n">
        <x:v>1</x:v>
      </x:c>
      <x:c r="F4" s="117" t="str">
        <x:f>IF(ABS(D4)&lt;=E4,"OK","ERRO")</x:f>
        <x:v>OK</x:v>
      </x:c>
      <x:c r="G4" s="117" t="str">
        <x:v>Soma dos quatro tipos</x:v>
      </x:c>
    </x:row>
    <x:row r="5">
      <x:c r="A5" s="117" t="str">
        <x:v>PL responsabilidade vs total</x:v>
      </x:c>
      <x:c r="B5" s="141" t="n">
        <x:f>SUM('Base Mensal'!$H$22:$J$22)</x:f>
        <x:v>751088455158.1733</x:v>
      </x:c>
      <x:c r="C5" s="141" t="n">
        <x:f>'Base Mensal'!$B$22</x:f>
        <x:v>751088455158.1736</x:v>
      </x:c>
      <x:c r="D5" s="141" t="n">
        <x:f>B5-C5</x:f>
        <x:v>-0.000244140625</x:v>
      </x:c>
      <x:c r="E5" s="141" t="n">
        <x:v>1</x:v>
      </x:c>
      <x:c r="F5" s="117" t="str">
        <x:f>IF(ABS(D5)&lt;=E5,"OK","ERRO")</x:f>
        <x:v>OK</x:v>
      </x:c>
      <x:c r="G5" s="117" t="str">
        <x:v>Sim + Não + N/A</x:v>
      </x:c>
    </x:row>
    <x:row r="6">
      <x:c r="A6" s="117" t="str">
        <x:v>Contas por segmento vs card</x:v>
      </x:c>
      <x:c r="B6" s="141" t="n">
        <x:f>SUM('Base Contas'!$F$2:$F$11)</x:f>
        <x:v>428938</x:v>
      </x:c>
      <x:c r="C6" s="141" t="n">
        <x:f>'Base Mensal'!$Q$5</x:f>
        <x:v>428938</x:v>
      </x:c>
      <x:c r="D6" s="141" t="n">
        <x:f>B6-C6</x:f>
        <x:v>0</x:v>
      </x:c>
      <x:c r="E6" s="141" t="n">
        <x:v>0</x:v>
      </x:c>
      <x:c r="F6" s="117" t="str">
        <x:f>IF(ABS(D6)&lt;=E6,"OK","ERRO")</x:f>
        <x:v>OK</x:v>
      </x:c>
      <x:c r="G6" s="117" t="str">
        <x:v>10 segmentos</x:v>
      </x:c>
    </x:row>
    <x:row r="7">
      <x:c r="A7" s="117" t="str">
        <x:v>Classes abertas + fechadas vs total</x:v>
      </x:c>
      <x:c r="B7" s="141" t="n">
        <x:f>SUM('Base Mensal'!$Q$6:$Q$7)</x:f>
        <x:v>4118</x:v>
      </x:c>
      <x:c r="C7" s="141" t="n">
        <x:f>'Base Mensal'!$Q$3</x:f>
        <x:v>4118</x:v>
      </x:c>
      <x:c r="D7" s="141" t="n">
        <x:f>B7-C7</x:f>
        <x:v>0</x:v>
      </x:c>
      <x:c r="E7" s="141" t="n">
        <x:v>0</x:v>
      </x:c>
      <x:c r="F7" s="117" t="str">
        <x:f>IF(ABS(D7)&lt;=E7,"OK","ERRO")</x:f>
        <x:v>OK</x:v>
      </x:c>
      <x:c r="G7" s="117" t="str">
        <x:v>Forma de condomínio</x:v>
      </x:c>
    </x:row>
    <x:row r="8">
      <x:c r="A8" s="118" t="str">
        <x:v>Referência mensal</x:v>
      </x:c>
      <x:c r="B8" s="118" t="str">
        <x:v>Mai 2026</x:v>
      </x:c>
      <x:c r="C8" s="118" t="str">
        <x:v>Mai 2026</x:v>
      </x:c>
      <x:c r="D8" s="118"/>
      <x:c r="E8" s="118"/>
      <x:c r="F8" s="118" t="str">
        <x:f>IF(B8=C8,"OK","ERRO")</x:f>
        <x:v>OK</x:v>
      </x:c>
      <x:c r="G8" s="118" t="str">
        <x:v>Texto do dashboard</x:v>
      </x:c>
    </x:row>
    <x:row r="10">
      <x:c r="A10" s="99" t="str">
        <x:v>Todos os checks devem aparecer como OK. As tolerâncias monetárias são de R$ 1 por efeitos de ponto flutuante; contagens têm tolerância zero.</x:v>
      </x:c>
      <x:c r="B10" s="99" t="str">
        <x:v>Todos os checks devem aparecer como OK. As tolerâncias monetárias são de R$ 1 por efeitos de ponto flutuante; contagens têm tolerância zero.</x:v>
      </x:c>
      <x:c r="C10" s="99" t="str">
        <x:v>Todos os checks devem aparecer como OK. As tolerâncias monetárias são de R$ 1 por efeitos de ponto flutuante; contagens têm tolerância zero.</x:v>
      </x:c>
      <x:c r="D10" s="99" t="str">
        <x:v>Todos os checks devem aparecer como OK. As tolerâncias monetárias são de R$ 1 por efeitos de ponto flutuante; contagens têm tolerância zero.</x:v>
      </x:c>
      <x:c r="E10" s="99" t="str">
        <x:v>Todos os checks devem aparecer como OK. As tolerâncias monetárias são de R$ 1 por efeitos de ponto flutuante; contagens têm tolerância zero.</x:v>
      </x:c>
      <x:c r="F10" s="99" t="str">
        <x:v>Todos os checks devem aparecer como OK. As tolerâncias monetárias são de R$ 1 por efeitos de ponto flutuante; contagens têm tolerância zero.</x:v>
      </x:c>
      <x:c r="G10" s="99" t="str">
        <x:v>Todos os checks devem aparecer como OK. As tolerâncias monetárias são de R$ 1 por efeitos de ponto flutuante; contagens têm tolerância zero.</x:v>
      </x:c>
    </x:row>
    <x:row r="11">
      <x:c r="A11" s="99" t="str">
        <x:v>Todos os checks devem aparecer como OK. As tolerâncias monetárias são de R$ 1 por efeitos de ponto flutuante; contagens têm tolerância zero.</x:v>
      </x:c>
      <x:c r="B11" s="99" t="str">
        <x:v>Todos os checks devem aparecer como OK. As tolerâncias monetárias são de R$ 1 por efeitos de ponto flutuante; contagens têm tolerância zero.</x:v>
      </x:c>
      <x:c r="C11" s="99" t="str">
        <x:v>Todos os checks devem aparecer como OK. As tolerâncias monetárias são de R$ 1 por efeitos de ponto flutuante; contagens têm tolerância zero.</x:v>
      </x:c>
      <x:c r="D11" s="99" t="str">
        <x:v>Todos os checks devem aparecer como OK. As tolerâncias monetárias são de R$ 1 por efeitos de ponto flutuante; contagens têm tolerância zero.</x:v>
      </x:c>
      <x:c r="E11" s="99" t="str">
        <x:v>Todos os checks devem aparecer como OK. As tolerâncias monetárias são de R$ 1 por efeitos de ponto flutuante; contagens têm tolerância zero.</x:v>
      </x:c>
      <x:c r="F11" s="99" t="str">
        <x:v>Todos os checks devem aparecer como OK. As tolerâncias monetárias são de R$ 1 por efeitos de ponto flutuante; contagens têm tolerância zero.</x:v>
      </x:c>
      <x:c r="G11" s="99" t="str">
        <x:v>Todos os checks devem aparecer como OK. As tolerâncias monetárias são de R$ 1 por efeitos de ponto flutuante; contagens têm tolerância zero.</x:v>
      </x:c>
    </x:row>
    <x:row r="12">
      <x:c r="A12" s="99" t="str">
        <x:v>Todos os checks devem aparecer como OK. As tolerâncias monetárias são de R$ 1 por efeitos de ponto flutuante; contagens têm tolerância zero.</x:v>
      </x:c>
      <x:c r="B12" s="99" t="str">
        <x:v>Todos os checks devem aparecer como OK. As tolerâncias monetárias são de R$ 1 por efeitos de ponto flutuante; contagens têm tolerância zero.</x:v>
      </x:c>
      <x:c r="C12" s="99" t="str">
        <x:v>Todos os checks devem aparecer como OK. As tolerâncias monetárias são de R$ 1 por efeitos de ponto flutuante; contagens têm tolerância zero.</x:v>
      </x:c>
      <x:c r="D12" s="99" t="str">
        <x:v>Todos os checks devem aparecer como OK. As tolerâncias monetárias são de R$ 1 por efeitos de ponto flutuante; contagens têm tolerância zero.</x:v>
      </x:c>
      <x:c r="E12" s="99" t="str">
        <x:v>Todos os checks devem aparecer como OK. As tolerâncias monetárias são de R$ 1 por efeitos de ponto flutuante; contagens têm tolerância zero.</x:v>
      </x:c>
      <x:c r="F12" s="99" t="str">
        <x:v>Todos os checks devem aparecer como OK. As tolerâncias monetárias são de R$ 1 por efeitos de ponto flutuante; contagens têm tolerância zero.</x:v>
      </x:c>
      <x:c r="G12" s="99" t="str">
        <x:v>Todos os checks devem aparecer como OK. As tolerâncias monetárias são de R$ 1 por efeitos de ponto flutuante; contagens têm tolerância zero.</x:v>
      </x:c>
    </x:row>
    <x:row r="13">
      <x:c r="A13" s="99" t="str">
        <x:v>Todos os checks devem aparecer como OK. As tolerâncias monetárias são de R$ 1 por efeitos de ponto flutuante; contagens têm tolerância zero.</x:v>
      </x:c>
      <x:c r="B13" s="99" t="str">
        <x:v>Todos os checks devem aparecer como OK. As tolerâncias monetárias são de R$ 1 por efeitos de ponto flutuante; contagens têm tolerância zero.</x:v>
      </x:c>
      <x:c r="C13" s="99" t="str">
        <x:v>Todos os checks devem aparecer como OK. As tolerâncias monetárias são de R$ 1 por efeitos de ponto flutuante; contagens têm tolerância zero.</x:v>
      </x:c>
      <x:c r="D13" s="99" t="str">
        <x:v>Todos os checks devem aparecer como OK. As tolerâncias monetárias são de R$ 1 por efeitos de ponto flutuante; contagens têm tolerância zero.</x:v>
      </x:c>
      <x:c r="E13" s="99" t="str">
        <x:v>Todos os checks devem aparecer como OK. As tolerâncias monetárias são de R$ 1 por efeitos de ponto flutuante; contagens têm tolerância zero.</x:v>
      </x:c>
      <x:c r="F13" s="99" t="str">
        <x:v>Todos os checks devem aparecer como OK. As tolerâncias monetárias são de R$ 1 por efeitos de ponto flutuante; contagens têm tolerância zero.</x:v>
      </x:c>
      <x:c r="G13" s="99" t="str">
        <x:v>Todos os checks devem aparecer como OK. As tolerâncias monetárias são de R$ 1 por efeitos de ponto flutuante; contagens têm tolerância zero.</x:v>
      </x:c>
    </x:row>
  </x:sheetData>
  <x:mergeCells>
    <x:mergeCell ref="A1:G1"/>
    <x:mergeCell ref="A10:G13"/>
  </x:mergeCells>
  <x:conditionalFormatting sqref="F3:F8">
    <x:cfRule type="containsText" dxfId="0" priority="1" operator="containsText" text="OK"/>
    <x:cfRule type="containsText" dxfId="1" priority="2" operator="containsText" text="ERRO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95" hidden="0" customWidth="1"/>
    <x:col min="3" max="3" width="52" hidden="0" customWidth="1"/>
    <x:col min="4" max="4" width="28" hidden="0" customWidth="1"/>
  </x:cols>
  <x:sheetData>
    <x:row r="1" ht="28" customHeight="1">
      <x:c r="A1" s="4" t="str">
        <x:v>Fontes e evidências</x:v>
      </x:c>
      <x:c r="B1" s="4" t="str">
        <x:v>Fontes e evidências</x:v>
      </x:c>
      <x:c r="C1" s="4" t="str">
        <x:v>Fontes e evidências</x:v>
      </x:c>
      <x:c r="D1" s="4" t="str">
        <x:v>Fontes e evidências</x:v>
      </x:c>
    </x:row>
    <x:row r="2" ht="26" customHeight="1">
      <x:c r="A2" s="110" t="str">
        <x:v>Fonte</x:v>
      </x:c>
      <x:c r="B2" s="111" t="str">
        <x:v>URL</x:v>
      </x:c>
      <x:c r="C2" s="111" t="str">
        <x:v>Uso nesta análise</x:v>
      </x:c>
      <x:c r="D2" s="112" t="str">
        <x:v>Data/estado</x:v>
      </x:c>
    </x:row>
    <x:row r="3" ht="42" customHeight="1">
      <x:c r="A3" s="131" t="str">
        <x:v>Dashboard público</x:v>
      </x:c>
      <x:c r="B3" s="131" t="str">
        <x:v>https://data.anbima.com.br/publicacoes/fundos-de-investimento/dashboard-de-fidcs</x:v>
      </x:c>
      <x:c r="C3" s="131" t="str">
        <x:v>HTML/iframe e conteúdo editorial</x:v>
      </x:c>
      <x:c r="D3" s="131" t="str">
        <x:v>Acessado 10/07/2026</x:v>
      </x:c>
    </x:row>
    <x:row r="4" ht="42" customHeight="1">
      <x:c r="A4" s="132" t="str">
        <x:v>Embed Power BI</x:v>
      </x:c>
      <x:c r="B4" s="132" t="str">
        <x:v>https://app.powerbi.com/view?r=eyJrIjoiM2M2NzVmOWItMzI0Yi00MTE1LWI5ZmYtZTM0ZWM4ZDUwODNlIiwidCI6Ijk3OTM3M2VkLWQxMzAtNDU4NS1iNTY5LTNjM2NlNjE0MTIyNyJ9</x:v>
      </x:c>
      <x:c r="C4" s="132" t="str">
        <x:v>Visual, referência e metadados</x:v>
      </x:c>
      <x:c r="D4" s="132" t="str">
        <x:v>Acessado 10/07/2026</x:v>
      </x:c>
    </x:row>
    <x:row r="5" ht="42" customHeight="1">
      <x:c r="A5" s="132" t="str">
        <x:v>CMS Strapi</x:v>
      </x:c>
      <x:c r="B5" s="132" t="str">
        <x:v>https://data-strapi.prd.anbima.com.br/api/dashboards?filters%5Btemplate%5D%5Bslug%5D%5B%24eq%5D=dashboard-de-fidcs&amp;locale=pt-BR&amp;populate=template.attachment</x:v>
      </x:c>
      <x:c r="C5" s="132" t="str">
        <x:v>iframe; attachment null; updatedAt</x:v>
      </x:c>
      <x:c r="D5" s="132" t="str">
        <x:v>Acessado 10/07/2026</x:v>
      </x:c>
    </x:row>
    <x:row r="6" ht="42" customHeight="1">
      <x:c r="A6" s="132" t="str">
        <x:v>Notícia ANBIMA</x:v>
      </x:c>
      <x:c r="B6" s="132" t="str">
        <x:v>https://www.anbima.com.br/pt_br/noticias/anbima-data-lanca-dashboard-de-fidcs.htm</x:v>
      </x:c>
      <x:c r="C6" s="132" t="str">
        <x:v>Escopo de indicadores</x:v>
      </x:c>
      <x:c r="D6" s="132" t="str">
        <x:v>18/12/2025</x:v>
      </x:c>
    </x:row>
    <x:row r="7" ht="42" customHeight="1">
      <x:c r="A7" s="132" t="str">
        <x:v>API Fundos v2</x:v>
      </x:c>
      <x:c r="B7" s="132" t="str">
        <x:v>https://developers.anbima.com.br/en/api-de-fundos-v2-rcvm-175/</x:v>
      </x:c>
      <x:c r="C7" s="132" t="str">
        <x:v>Endpoints, campos, granularidade e paginação</x:v>
      </x:c>
      <x:c r="D7" s="132" t="str">
        <x:v>Vigente em 10/07/2026</x:v>
      </x:c>
    </x:row>
    <x:row r="8" ht="42" customHeight="1">
      <x:c r="A8" s="132" t="str">
        <x:v>Autenticação</x:v>
      </x:c>
      <x:c r="B8" s="132" t="str">
        <x:v>https://developers.anbima.com.br/pt/documentacao/autenticacao/</x:v>
      </x:c>
      <x:c r="C8" s="132" t="str">
        <x:v>OAuth2 e headers</x:v>
      </x:c>
      <x:c r="D8" s="132" t="str">
        <x:v>Vigente em 10/07/2026</x:v>
      </x:c>
    </x:row>
    <x:row r="9" ht="42" customHeight="1">
      <x:c r="A9" s="132" t="str">
        <x:v>ANBIMA Feed</x:v>
      </x:c>
      <x:c r="B9" s="132" t="str">
        <x:v>https://feed.anbima.com.br/</x:v>
      </x:c>
      <x:c r="C9" s="132" t="str">
        <x:v>Planos e preços</x:v>
      </x:c>
      <x:c r="D9" s="132" t="str">
        <x:v>Observado em 10/07/2026</x:v>
      </x:c>
    </x:row>
    <x:row r="10" ht="42" customHeight="1">
      <x:c r="A10" s="132" t="str">
        <x:v>Precificação FIDC</x:v>
      </x:c>
      <x:c r="B10" s="132" t="str">
        <x:v>https://developers.anbima.com.br/pt/documentacao/precos-indices/apis-de-precos/fidc/</x:v>
      </x:c>
      <x:c r="C10" s="132" t="str">
        <x:v>Mercado secundário diário</x:v>
      </x:c>
      <x:c r="D10" s="132" t="str">
        <x:v>Vigente em 10/07/2026</x:v>
      </x:c>
    </x:row>
    <x:row r="11" ht="42" customHeight="1">
      <x:c r="A11" s="132" t="str">
        <x:v>Termos de uso</x:v>
      </x:c>
      <x:c r="B11" s="132" t="str">
        <x:v>https://www.anbima.com.br/pt_br/termos-de-uso.htm</x:v>
      </x:c>
      <x:c r="C11" s="132" t="str">
        <x:v>Vedações a engenharia reversa/spider; uso público de telas</x:v>
      </x:c>
      <x:c r="D11" s="132" t="str">
        <x:v>Atualizado 01/07/2026</x:v>
      </x:c>
    </x:row>
    <x:row r="12" ht="42" customHeight="1">
      <x:c r="A12" s="132" t="str">
        <x:v>Power BI modelsAndExploration</x:v>
      </x:c>
      <x:c r="B12" s="132" t="str">
        <x:v>https://wabi-brazil-south-d-primary-api.analysis.windows.net/public/reports/3c675f9b-324b-4115-b9ff-e34ec8d5083e/modelsAndExploration?preferReadOnlySession=true</x:v>
      </x:c>
      <x:c r="C12" s="132" t="str">
        <x:v>modelId/reportId/refresh/queries</x:v>
      </x:c>
      <x:c r="D12" s="132" t="str">
        <x:v>Acessado 10/07/2026</x:v>
      </x:c>
    </x:row>
    <x:row r="13" ht="42" customHeight="1">
      <x:c r="A13" s="132" t="str">
        <x:v>Power BI conceptualschema</x:v>
      </x:c>
      <x:c r="B13" s="132" t="str">
        <x:v>https://wabi-brazil-south-d-primary-api.analysis.windows.net/public/reports/conceptualschema</x:v>
      </x:c>
      <x:c r="C13" s="132" t="str">
        <x:v>Entidades e campos</x:v>
      </x:c>
      <x:c r="D13" s="132" t="str">
        <x:v>Acessado 10/07/2026</x:v>
      </x:c>
    </x:row>
    <x:row r="14" ht="42" customHeight="1">
      <x:c r="A14" s="133" t="str">
        <x:v>Power BI querydata</x:v>
      </x:c>
      <x:c r="B14" s="133" t="str">
        <x:v>https://wabi-brazil-south-d-primary-api.analysis.windows.net/public/reports/querydata?synchronous=true</x:v>
      </x:c>
      <x:c r="C14" s="133" t="str">
        <x:v>Dados agregados DSR</x:v>
      </x:c>
      <x:c r="D14" s="133" t="str">
        <x:v>Acessado 10/07/2026</x:v>
      </x:c>
    </x:row>
  </x:sheetData>
  <x:mergeCells>
    <x:mergeCell ref="A1:D1"/>
  </x:mergeCells>
  <x:pageMargins left="0.7" right="0.7" top="0.75" bottom="0.75" header="0.3" footer="0.3"/>
</x:worksheet>
</file>